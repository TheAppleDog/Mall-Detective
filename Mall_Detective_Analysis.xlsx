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Data Analytics\Mall Detective Project\"/>
    </mc:Choice>
  </mc:AlternateContent>
  <xr:revisionPtr revIDLastSave="0" documentId="8_{C7526CD6-52A3-4DE4-8D1F-AB3D7BE7603B}" xr6:coauthVersionLast="47" xr6:coauthVersionMax="47" xr10:uidLastSave="{00000000-0000-0000-0000-000000000000}"/>
  <bookViews>
    <workbookView xWindow="-108" yWindow="-108" windowWidth="23256" windowHeight="13176" firstSheet="5" activeTab="5" xr2:uid="{00000000-000D-0000-FFFF-FFFF00000000}"/>
  </bookViews>
  <sheets>
    <sheet name="Monthly Sales" sheetId="6" r:id="rId1"/>
    <sheet name="Zone performance" sheetId="11" r:id="rId2"/>
    <sheet name="Category performance" sheetId="7" r:id="rId3"/>
    <sheet name="Payment mix" sheetId="8" r:id="rId4"/>
    <sheet name="Discount analysis" sheetId="9" r:id="rId5"/>
    <sheet name="Day type total sales" sheetId="13" r:id="rId6"/>
    <sheet name="transactions" sheetId="1" r:id="rId7"/>
    <sheet name="Entrance Footfall" sheetId="10" r:id="rId8"/>
    <sheet name="footfall" sheetId="2" r:id="rId9"/>
    <sheet name="tenants" sheetId="3" r:id="rId10"/>
    <sheet name="campaigns" sheetId="4" r:id="rId11"/>
    <sheet name="statistics" sheetId="12" r:id="rId12"/>
    <sheet name="data_dictionary" sheetId="5" r:id="rId13"/>
  </sheets>
  <definedNames>
    <definedName name="_xlnm._FilterDatabase" localSheetId="10" hidden="1">campaigns!$A$1:$F$5</definedName>
    <definedName name="_xlnm._FilterDatabase" localSheetId="12" hidden="1">data_dictionary!$A$1:$C$5</definedName>
    <definedName name="_xlnm._FilterDatabase" localSheetId="8" hidden="1">footfall!$A$1:$E$721</definedName>
    <definedName name="_xlnm._FilterDatabase" localSheetId="9" hidden="1">tenants!$A$1:$F$31</definedName>
    <definedName name="_xlnm._FilterDatabase" localSheetId="6" hidden="1">transactions!$A$1:$J$3201</definedName>
  </definedNames>
  <calcPr calcId="191029"/>
  <pivotCaches>
    <pivotCache cacheId="18" r:id="rId14"/>
    <pivotCache cacheId="14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2" l="1"/>
  <c r="B8" i="12"/>
  <c r="B7" i="12"/>
  <c r="B6" i="12"/>
  <c r="B5" i="12"/>
  <c r="B4" i="12"/>
  <c r="B3" i="12"/>
  <c r="B2" i="12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K2" i="1"/>
  <c r="L2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L795" i="1" s="1"/>
  <c r="K796" i="1"/>
  <c r="L796" i="1" s="1"/>
  <c r="K797" i="1"/>
  <c r="L797" i="1" s="1"/>
  <c r="K798" i="1"/>
  <c r="L798" i="1" s="1"/>
  <c r="K799" i="1"/>
  <c r="L799" i="1" s="1"/>
  <c r="K800" i="1"/>
  <c r="L800" i="1" s="1"/>
  <c r="K801" i="1"/>
  <c r="L801" i="1" s="1"/>
  <c r="K802" i="1"/>
  <c r="L802" i="1" s="1"/>
  <c r="K803" i="1"/>
  <c r="L803" i="1" s="1"/>
  <c r="K804" i="1"/>
  <c r="L804" i="1" s="1"/>
  <c r="K805" i="1"/>
  <c r="L805" i="1" s="1"/>
  <c r="K806" i="1"/>
  <c r="L806" i="1" s="1"/>
  <c r="K807" i="1"/>
  <c r="L807" i="1" s="1"/>
  <c r="K808" i="1"/>
  <c r="L808" i="1" s="1"/>
  <c r="K809" i="1"/>
  <c r="L809" i="1" s="1"/>
  <c r="K810" i="1"/>
  <c r="L810" i="1" s="1"/>
  <c r="K811" i="1"/>
  <c r="L811" i="1" s="1"/>
  <c r="K812" i="1"/>
  <c r="L812" i="1" s="1"/>
  <c r="K813" i="1"/>
  <c r="L813" i="1" s="1"/>
  <c r="K814" i="1"/>
  <c r="L814" i="1" s="1"/>
  <c r="K815" i="1"/>
  <c r="L815" i="1" s="1"/>
  <c r="K816" i="1"/>
  <c r="L816" i="1" s="1"/>
  <c r="K817" i="1"/>
  <c r="L817" i="1" s="1"/>
  <c r="K818" i="1"/>
  <c r="L818" i="1" s="1"/>
  <c r="K819" i="1"/>
  <c r="L819" i="1" s="1"/>
  <c r="K820" i="1"/>
  <c r="L820" i="1" s="1"/>
  <c r="K821" i="1"/>
  <c r="L821" i="1" s="1"/>
  <c r="K822" i="1"/>
  <c r="L822" i="1" s="1"/>
  <c r="K823" i="1"/>
  <c r="L823" i="1" s="1"/>
  <c r="K824" i="1"/>
  <c r="L824" i="1" s="1"/>
  <c r="K825" i="1"/>
  <c r="L825" i="1" s="1"/>
  <c r="K826" i="1"/>
  <c r="L826" i="1" s="1"/>
  <c r="K827" i="1"/>
  <c r="L827" i="1" s="1"/>
  <c r="K828" i="1"/>
  <c r="L828" i="1" s="1"/>
  <c r="K829" i="1"/>
  <c r="L829" i="1" s="1"/>
  <c r="K830" i="1"/>
  <c r="L830" i="1" s="1"/>
  <c r="K831" i="1"/>
  <c r="L831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L842" i="1" s="1"/>
  <c r="K843" i="1"/>
  <c r="L843" i="1" s="1"/>
  <c r="K844" i="1"/>
  <c r="L844" i="1" s="1"/>
  <c r="K845" i="1"/>
  <c r="L845" i="1" s="1"/>
  <c r="K846" i="1"/>
  <c r="L846" i="1" s="1"/>
  <c r="K847" i="1"/>
  <c r="L847" i="1" s="1"/>
  <c r="K848" i="1"/>
  <c r="L848" i="1" s="1"/>
  <c r="K849" i="1"/>
  <c r="L849" i="1" s="1"/>
  <c r="K850" i="1"/>
  <c r="L850" i="1" s="1"/>
  <c r="K851" i="1"/>
  <c r="L851" i="1" s="1"/>
  <c r="K852" i="1"/>
  <c r="L852" i="1" s="1"/>
  <c r="K853" i="1"/>
  <c r="L853" i="1" s="1"/>
  <c r="K854" i="1"/>
  <c r="L854" i="1" s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L860" i="1" s="1"/>
  <c r="K861" i="1"/>
  <c r="L861" i="1" s="1"/>
  <c r="K862" i="1"/>
  <c r="L862" i="1" s="1"/>
  <c r="K863" i="1"/>
  <c r="L863" i="1" s="1"/>
  <c r="K864" i="1"/>
  <c r="L864" i="1" s="1"/>
  <c r="K865" i="1"/>
  <c r="L865" i="1" s="1"/>
  <c r="K866" i="1"/>
  <c r="L866" i="1" s="1"/>
  <c r="K867" i="1"/>
  <c r="L867" i="1" s="1"/>
  <c r="K868" i="1"/>
  <c r="L868" i="1" s="1"/>
  <c r="K869" i="1"/>
  <c r="L869" i="1" s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L876" i="1" s="1"/>
  <c r="K877" i="1"/>
  <c r="L877" i="1" s="1"/>
  <c r="K878" i="1"/>
  <c r="L878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K885" i="1"/>
  <c r="L885" i="1" s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K899" i="1"/>
  <c r="L899" i="1" s="1"/>
  <c r="K900" i="1"/>
  <c r="L900" i="1" s="1"/>
  <c r="K901" i="1"/>
  <c r="L901" i="1" s="1"/>
  <c r="K902" i="1"/>
  <c r="L902" i="1" s="1"/>
  <c r="K903" i="1"/>
  <c r="L903" i="1" s="1"/>
  <c r="K904" i="1"/>
  <c r="L904" i="1" s="1"/>
  <c r="K905" i="1"/>
  <c r="L905" i="1" s="1"/>
  <c r="K906" i="1"/>
  <c r="L906" i="1" s="1"/>
  <c r="K907" i="1"/>
  <c r="L907" i="1" s="1"/>
  <c r="K908" i="1"/>
  <c r="L908" i="1" s="1"/>
  <c r="K909" i="1"/>
  <c r="L909" i="1" s="1"/>
  <c r="K910" i="1"/>
  <c r="L910" i="1" s="1"/>
  <c r="K911" i="1"/>
  <c r="L911" i="1" s="1"/>
  <c r="K912" i="1"/>
  <c r="L912" i="1" s="1"/>
  <c r="K913" i="1"/>
  <c r="L913" i="1" s="1"/>
  <c r="K914" i="1"/>
  <c r="L914" i="1" s="1"/>
  <c r="K915" i="1"/>
  <c r="L915" i="1" s="1"/>
  <c r="K916" i="1"/>
  <c r="L916" i="1" s="1"/>
  <c r="K917" i="1"/>
  <c r="L917" i="1" s="1"/>
  <c r="K918" i="1"/>
  <c r="L918" i="1" s="1"/>
  <c r="K919" i="1"/>
  <c r="L919" i="1" s="1"/>
  <c r="K920" i="1"/>
  <c r="L920" i="1" s="1"/>
  <c r="K921" i="1"/>
  <c r="L921" i="1" s="1"/>
  <c r="K922" i="1"/>
  <c r="L922" i="1" s="1"/>
  <c r="K923" i="1"/>
  <c r="L923" i="1" s="1"/>
  <c r="K924" i="1"/>
  <c r="L924" i="1" s="1"/>
  <c r="K925" i="1"/>
  <c r="L925" i="1" s="1"/>
  <c r="K926" i="1"/>
  <c r="L926" i="1" s="1"/>
  <c r="K927" i="1"/>
  <c r="L927" i="1" s="1"/>
  <c r="K928" i="1"/>
  <c r="L928" i="1" s="1"/>
  <c r="K929" i="1"/>
  <c r="L929" i="1" s="1"/>
  <c r="K930" i="1"/>
  <c r="L930" i="1" s="1"/>
  <c r="K931" i="1"/>
  <c r="L931" i="1" s="1"/>
  <c r="K932" i="1"/>
  <c r="L932" i="1" s="1"/>
  <c r="K933" i="1"/>
  <c r="L933" i="1" s="1"/>
  <c r="K934" i="1"/>
  <c r="L934" i="1" s="1"/>
  <c r="K935" i="1"/>
  <c r="L935" i="1" s="1"/>
  <c r="K936" i="1"/>
  <c r="L936" i="1" s="1"/>
  <c r="K937" i="1"/>
  <c r="L937" i="1" s="1"/>
  <c r="K938" i="1"/>
  <c r="L938" i="1" s="1"/>
  <c r="K939" i="1"/>
  <c r="L939" i="1" s="1"/>
  <c r="K940" i="1"/>
  <c r="L940" i="1" s="1"/>
  <c r="K941" i="1"/>
  <c r="L941" i="1" s="1"/>
  <c r="K942" i="1"/>
  <c r="L942" i="1" s="1"/>
  <c r="K943" i="1"/>
  <c r="L943" i="1" s="1"/>
  <c r="K944" i="1"/>
  <c r="L944" i="1" s="1"/>
  <c r="K945" i="1"/>
  <c r="L945" i="1" s="1"/>
  <c r="K946" i="1"/>
  <c r="L946" i="1" s="1"/>
  <c r="K947" i="1"/>
  <c r="L947" i="1" s="1"/>
  <c r="K948" i="1"/>
  <c r="L948" i="1" s="1"/>
  <c r="K949" i="1"/>
  <c r="L949" i="1" s="1"/>
  <c r="K950" i="1"/>
  <c r="L950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L956" i="1" s="1"/>
  <c r="K957" i="1"/>
  <c r="L957" i="1" s="1"/>
  <c r="K958" i="1"/>
  <c r="L958" i="1" s="1"/>
  <c r="K959" i="1"/>
  <c r="L959" i="1" s="1"/>
  <c r="K960" i="1"/>
  <c r="L960" i="1" s="1"/>
  <c r="K961" i="1"/>
  <c r="L961" i="1" s="1"/>
  <c r="K962" i="1"/>
  <c r="L962" i="1" s="1"/>
  <c r="K963" i="1"/>
  <c r="L963" i="1" s="1"/>
  <c r="K964" i="1"/>
  <c r="L964" i="1" s="1"/>
  <c r="K965" i="1"/>
  <c r="L965" i="1" s="1"/>
  <c r="K966" i="1"/>
  <c r="L966" i="1" s="1"/>
  <c r="K967" i="1"/>
  <c r="L967" i="1" s="1"/>
  <c r="K968" i="1"/>
  <c r="L968" i="1" s="1"/>
  <c r="K969" i="1"/>
  <c r="L969" i="1" s="1"/>
  <c r="K970" i="1"/>
  <c r="L970" i="1" s="1"/>
  <c r="K971" i="1"/>
  <c r="L971" i="1" s="1"/>
  <c r="K972" i="1"/>
  <c r="L972" i="1" s="1"/>
  <c r="K973" i="1"/>
  <c r="L973" i="1" s="1"/>
  <c r="K974" i="1"/>
  <c r="L974" i="1" s="1"/>
  <c r="K975" i="1"/>
  <c r="L975" i="1" s="1"/>
  <c r="K976" i="1"/>
  <c r="L976" i="1" s="1"/>
  <c r="K977" i="1"/>
  <c r="L977" i="1" s="1"/>
  <c r="K978" i="1"/>
  <c r="L978" i="1" s="1"/>
  <c r="K979" i="1"/>
  <c r="L979" i="1" s="1"/>
  <c r="K980" i="1"/>
  <c r="L980" i="1" s="1"/>
  <c r="K981" i="1"/>
  <c r="L981" i="1" s="1"/>
  <c r="K982" i="1"/>
  <c r="L982" i="1" s="1"/>
  <c r="K983" i="1"/>
  <c r="L983" i="1" s="1"/>
  <c r="K984" i="1"/>
  <c r="L984" i="1" s="1"/>
  <c r="K985" i="1"/>
  <c r="L985" i="1" s="1"/>
  <c r="K986" i="1"/>
  <c r="L986" i="1" s="1"/>
  <c r="K987" i="1"/>
  <c r="L987" i="1" s="1"/>
  <c r="K988" i="1"/>
  <c r="L988" i="1" s="1"/>
  <c r="K989" i="1"/>
  <c r="L989" i="1" s="1"/>
  <c r="K990" i="1"/>
  <c r="L990" i="1" s="1"/>
  <c r="K991" i="1"/>
  <c r="L991" i="1" s="1"/>
  <c r="K992" i="1"/>
  <c r="L992" i="1" s="1"/>
  <c r="K993" i="1"/>
  <c r="L993" i="1" s="1"/>
  <c r="K994" i="1"/>
  <c r="L994" i="1" s="1"/>
  <c r="K995" i="1"/>
  <c r="L995" i="1" s="1"/>
  <c r="K996" i="1"/>
  <c r="L996" i="1" s="1"/>
  <c r="K997" i="1"/>
  <c r="L997" i="1" s="1"/>
  <c r="K998" i="1"/>
  <c r="L998" i="1" s="1"/>
  <c r="K999" i="1"/>
  <c r="L999" i="1" s="1"/>
  <c r="K1000" i="1"/>
  <c r="L1000" i="1" s="1"/>
  <c r="K1001" i="1"/>
  <c r="L1001" i="1" s="1"/>
  <c r="K1002" i="1"/>
  <c r="L1002" i="1" s="1"/>
  <c r="K1003" i="1"/>
  <c r="L1003" i="1" s="1"/>
  <c r="K1004" i="1"/>
  <c r="L1004" i="1" s="1"/>
  <c r="K1005" i="1"/>
  <c r="L1005" i="1" s="1"/>
  <c r="K1006" i="1"/>
  <c r="L1006" i="1" s="1"/>
  <c r="K1007" i="1"/>
  <c r="L1007" i="1" s="1"/>
  <c r="K1008" i="1"/>
  <c r="L1008" i="1" s="1"/>
  <c r="K1009" i="1"/>
  <c r="L1009" i="1" s="1"/>
  <c r="K1010" i="1"/>
  <c r="L1010" i="1" s="1"/>
  <c r="K1011" i="1"/>
  <c r="L1011" i="1" s="1"/>
  <c r="K1012" i="1"/>
  <c r="L1012" i="1" s="1"/>
  <c r="K1013" i="1"/>
  <c r="L1013" i="1" s="1"/>
  <c r="K1014" i="1"/>
  <c r="L1014" i="1" s="1"/>
  <c r="K1015" i="1"/>
  <c r="L1015" i="1" s="1"/>
  <c r="K1016" i="1"/>
  <c r="L1016" i="1" s="1"/>
  <c r="K1017" i="1"/>
  <c r="L1017" i="1" s="1"/>
  <c r="K1018" i="1"/>
  <c r="L1018" i="1" s="1"/>
  <c r="K1019" i="1"/>
  <c r="L1019" i="1" s="1"/>
  <c r="K1020" i="1"/>
  <c r="L1020" i="1" s="1"/>
  <c r="K1021" i="1"/>
  <c r="L1021" i="1" s="1"/>
  <c r="K1022" i="1"/>
  <c r="L1022" i="1" s="1"/>
  <c r="K1023" i="1"/>
  <c r="L1023" i="1" s="1"/>
  <c r="K1024" i="1"/>
  <c r="L1024" i="1" s="1"/>
  <c r="K1025" i="1"/>
  <c r="L1025" i="1" s="1"/>
  <c r="K1026" i="1"/>
  <c r="L1026" i="1" s="1"/>
  <c r="K1027" i="1"/>
  <c r="L1027" i="1" s="1"/>
  <c r="K1028" i="1"/>
  <c r="L1028" i="1" s="1"/>
  <c r="K1029" i="1"/>
  <c r="L1029" i="1" s="1"/>
  <c r="K1030" i="1"/>
  <c r="L1030" i="1" s="1"/>
  <c r="K1031" i="1"/>
  <c r="L1031" i="1" s="1"/>
  <c r="K1032" i="1"/>
  <c r="L1032" i="1" s="1"/>
  <c r="K1033" i="1"/>
  <c r="L1033" i="1" s="1"/>
  <c r="K1034" i="1"/>
  <c r="L1034" i="1" s="1"/>
  <c r="K1035" i="1"/>
  <c r="L1035" i="1" s="1"/>
  <c r="K1036" i="1"/>
  <c r="L1036" i="1" s="1"/>
  <c r="K1037" i="1"/>
  <c r="L1037" i="1" s="1"/>
  <c r="K1038" i="1"/>
  <c r="L1038" i="1" s="1"/>
  <c r="K1039" i="1"/>
  <c r="L1039" i="1" s="1"/>
  <c r="K1040" i="1"/>
  <c r="L1040" i="1" s="1"/>
  <c r="K1041" i="1"/>
  <c r="L1041" i="1" s="1"/>
  <c r="K1042" i="1"/>
  <c r="L1042" i="1" s="1"/>
  <c r="K1043" i="1"/>
  <c r="L1043" i="1" s="1"/>
  <c r="K1044" i="1"/>
  <c r="L1044" i="1" s="1"/>
  <c r="K1045" i="1"/>
  <c r="L1045" i="1" s="1"/>
  <c r="K1046" i="1"/>
  <c r="L1046" i="1" s="1"/>
  <c r="K1047" i="1"/>
  <c r="L1047" i="1" s="1"/>
  <c r="K1048" i="1"/>
  <c r="L1048" i="1" s="1"/>
  <c r="K1049" i="1"/>
  <c r="L1049" i="1" s="1"/>
  <c r="K1050" i="1"/>
  <c r="L1050" i="1" s="1"/>
  <c r="K1051" i="1"/>
  <c r="L1051" i="1" s="1"/>
  <c r="K1052" i="1"/>
  <c r="L1052" i="1" s="1"/>
  <c r="K1053" i="1"/>
  <c r="L1053" i="1" s="1"/>
  <c r="K1054" i="1"/>
  <c r="L1054" i="1" s="1"/>
  <c r="K1055" i="1"/>
  <c r="L1055" i="1" s="1"/>
  <c r="K1056" i="1"/>
  <c r="L1056" i="1" s="1"/>
  <c r="K1057" i="1"/>
  <c r="L1057" i="1" s="1"/>
  <c r="K1058" i="1"/>
  <c r="L1058" i="1" s="1"/>
  <c r="K1059" i="1"/>
  <c r="L1059" i="1" s="1"/>
  <c r="K1060" i="1"/>
  <c r="L1060" i="1" s="1"/>
  <c r="K1061" i="1"/>
  <c r="L1061" i="1" s="1"/>
  <c r="K1062" i="1"/>
  <c r="L1062" i="1" s="1"/>
  <c r="K1063" i="1"/>
  <c r="L1063" i="1" s="1"/>
  <c r="K1064" i="1"/>
  <c r="L1064" i="1" s="1"/>
  <c r="K1065" i="1"/>
  <c r="L1065" i="1" s="1"/>
  <c r="K1066" i="1"/>
  <c r="L1066" i="1" s="1"/>
  <c r="K1067" i="1"/>
  <c r="L1067" i="1" s="1"/>
  <c r="K1068" i="1"/>
  <c r="L1068" i="1" s="1"/>
  <c r="K1069" i="1"/>
  <c r="L1069" i="1" s="1"/>
  <c r="K1070" i="1"/>
  <c r="L1070" i="1" s="1"/>
  <c r="K1071" i="1"/>
  <c r="L1071" i="1" s="1"/>
  <c r="K1072" i="1"/>
  <c r="L1072" i="1" s="1"/>
  <c r="K1073" i="1"/>
  <c r="L1073" i="1" s="1"/>
  <c r="K1074" i="1"/>
  <c r="L1074" i="1" s="1"/>
  <c r="K1075" i="1"/>
  <c r="L1075" i="1" s="1"/>
  <c r="K1076" i="1"/>
  <c r="L1076" i="1" s="1"/>
  <c r="K1077" i="1"/>
  <c r="L1077" i="1" s="1"/>
  <c r="K1078" i="1"/>
  <c r="L1078" i="1" s="1"/>
  <c r="K1079" i="1"/>
  <c r="L1079" i="1" s="1"/>
  <c r="K1080" i="1"/>
  <c r="L1080" i="1" s="1"/>
  <c r="K1081" i="1"/>
  <c r="L1081" i="1" s="1"/>
  <c r="K1082" i="1"/>
  <c r="L1082" i="1" s="1"/>
  <c r="K1083" i="1"/>
  <c r="L1083" i="1" s="1"/>
  <c r="K1084" i="1"/>
  <c r="L1084" i="1" s="1"/>
  <c r="K1085" i="1"/>
  <c r="L1085" i="1" s="1"/>
  <c r="K1086" i="1"/>
  <c r="L1086" i="1" s="1"/>
  <c r="K1087" i="1"/>
  <c r="L1087" i="1" s="1"/>
  <c r="K1088" i="1"/>
  <c r="L1088" i="1" s="1"/>
  <c r="K1089" i="1"/>
  <c r="L1089" i="1" s="1"/>
  <c r="K1090" i="1"/>
  <c r="L1090" i="1" s="1"/>
  <c r="K1091" i="1"/>
  <c r="L1091" i="1" s="1"/>
  <c r="K1092" i="1"/>
  <c r="L1092" i="1" s="1"/>
  <c r="K1093" i="1"/>
  <c r="L1093" i="1" s="1"/>
  <c r="K1094" i="1"/>
  <c r="L1094" i="1" s="1"/>
  <c r="K1095" i="1"/>
  <c r="L1095" i="1" s="1"/>
  <c r="K1096" i="1"/>
  <c r="L1096" i="1" s="1"/>
  <c r="K1097" i="1"/>
  <c r="L1097" i="1" s="1"/>
  <c r="K1098" i="1"/>
  <c r="L1098" i="1" s="1"/>
  <c r="K1099" i="1"/>
  <c r="L1099" i="1" s="1"/>
  <c r="K1100" i="1"/>
  <c r="L1100" i="1" s="1"/>
  <c r="K1101" i="1"/>
  <c r="L1101" i="1" s="1"/>
  <c r="K1102" i="1"/>
  <c r="L1102" i="1" s="1"/>
  <c r="K1103" i="1"/>
  <c r="L1103" i="1" s="1"/>
  <c r="K1104" i="1"/>
  <c r="L1104" i="1" s="1"/>
  <c r="K1105" i="1"/>
  <c r="L1105" i="1" s="1"/>
  <c r="K1106" i="1"/>
  <c r="L1106" i="1" s="1"/>
  <c r="K1107" i="1"/>
  <c r="L1107" i="1" s="1"/>
  <c r="K1108" i="1"/>
  <c r="L1108" i="1" s="1"/>
  <c r="K1109" i="1"/>
  <c r="L1109" i="1" s="1"/>
  <c r="K1110" i="1"/>
  <c r="L1110" i="1" s="1"/>
  <c r="K1111" i="1"/>
  <c r="L1111" i="1" s="1"/>
  <c r="K1112" i="1"/>
  <c r="L1112" i="1" s="1"/>
  <c r="K1113" i="1"/>
  <c r="L1113" i="1" s="1"/>
  <c r="K1114" i="1"/>
  <c r="L1114" i="1" s="1"/>
  <c r="K1115" i="1"/>
  <c r="L1115" i="1" s="1"/>
  <c r="K1116" i="1"/>
  <c r="L1116" i="1" s="1"/>
  <c r="K1117" i="1"/>
  <c r="L1117" i="1" s="1"/>
  <c r="K1118" i="1"/>
  <c r="L1118" i="1" s="1"/>
  <c r="K1119" i="1"/>
  <c r="L1119" i="1" s="1"/>
  <c r="K1120" i="1"/>
  <c r="L1120" i="1" s="1"/>
  <c r="K1121" i="1"/>
  <c r="L1121" i="1" s="1"/>
  <c r="K1122" i="1"/>
  <c r="L1122" i="1" s="1"/>
  <c r="K1123" i="1"/>
  <c r="L1123" i="1" s="1"/>
  <c r="K1124" i="1"/>
  <c r="L1124" i="1" s="1"/>
  <c r="K1125" i="1"/>
  <c r="L1125" i="1" s="1"/>
  <c r="K1126" i="1"/>
  <c r="L1126" i="1" s="1"/>
  <c r="K1127" i="1"/>
  <c r="L1127" i="1" s="1"/>
  <c r="K1128" i="1"/>
  <c r="L1128" i="1" s="1"/>
  <c r="K1129" i="1"/>
  <c r="L1129" i="1" s="1"/>
  <c r="K1130" i="1"/>
  <c r="L1130" i="1" s="1"/>
  <c r="K1131" i="1"/>
  <c r="L1131" i="1" s="1"/>
  <c r="K1132" i="1"/>
  <c r="L1132" i="1" s="1"/>
  <c r="K1133" i="1"/>
  <c r="L1133" i="1" s="1"/>
  <c r="K1134" i="1"/>
  <c r="L1134" i="1" s="1"/>
  <c r="K1135" i="1"/>
  <c r="L1135" i="1" s="1"/>
  <c r="K1136" i="1"/>
  <c r="L1136" i="1" s="1"/>
  <c r="K1137" i="1"/>
  <c r="L1137" i="1" s="1"/>
  <c r="K1138" i="1"/>
  <c r="L1138" i="1" s="1"/>
  <c r="K1139" i="1"/>
  <c r="L1139" i="1" s="1"/>
  <c r="K1140" i="1"/>
  <c r="L1140" i="1" s="1"/>
  <c r="K1141" i="1"/>
  <c r="L1141" i="1" s="1"/>
  <c r="K1142" i="1"/>
  <c r="L1142" i="1" s="1"/>
  <c r="K1143" i="1"/>
  <c r="L1143" i="1" s="1"/>
  <c r="K1144" i="1"/>
  <c r="L1144" i="1" s="1"/>
  <c r="K1145" i="1"/>
  <c r="L1145" i="1" s="1"/>
  <c r="K1146" i="1"/>
  <c r="L1146" i="1" s="1"/>
  <c r="K1147" i="1"/>
  <c r="L1147" i="1" s="1"/>
  <c r="K1148" i="1"/>
  <c r="L1148" i="1" s="1"/>
  <c r="K1149" i="1"/>
  <c r="L1149" i="1" s="1"/>
  <c r="K1150" i="1"/>
  <c r="L1150" i="1" s="1"/>
  <c r="K1151" i="1"/>
  <c r="L1151" i="1" s="1"/>
  <c r="K1152" i="1"/>
  <c r="L1152" i="1" s="1"/>
  <c r="K1153" i="1"/>
  <c r="L1153" i="1" s="1"/>
  <c r="K1154" i="1"/>
  <c r="L1154" i="1" s="1"/>
  <c r="K1155" i="1"/>
  <c r="L1155" i="1" s="1"/>
  <c r="K1156" i="1"/>
  <c r="L1156" i="1" s="1"/>
  <c r="K1157" i="1"/>
  <c r="L1157" i="1" s="1"/>
  <c r="K1158" i="1"/>
  <c r="L1158" i="1" s="1"/>
  <c r="K1159" i="1"/>
  <c r="L1159" i="1" s="1"/>
  <c r="K1160" i="1"/>
  <c r="L1160" i="1" s="1"/>
  <c r="K1161" i="1"/>
  <c r="L1161" i="1" s="1"/>
  <c r="K1162" i="1"/>
  <c r="L1162" i="1" s="1"/>
  <c r="K1163" i="1"/>
  <c r="L1163" i="1" s="1"/>
  <c r="K1164" i="1"/>
  <c r="L1164" i="1" s="1"/>
  <c r="K1165" i="1"/>
  <c r="L1165" i="1" s="1"/>
  <c r="K1166" i="1"/>
  <c r="L1166" i="1" s="1"/>
  <c r="K1167" i="1"/>
  <c r="L1167" i="1" s="1"/>
  <c r="K1168" i="1"/>
  <c r="L1168" i="1" s="1"/>
  <c r="K1169" i="1"/>
  <c r="L1169" i="1" s="1"/>
  <c r="K1170" i="1"/>
  <c r="L1170" i="1" s="1"/>
  <c r="K1171" i="1"/>
  <c r="L1171" i="1" s="1"/>
  <c r="K1172" i="1"/>
  <c r="L1172" i="1" s="1"/>
  <c r="K1173" i="1"/>
  <c r="L1173" i="1" s="1"/>
  <c r="K1174" i="1"/>
  <c r="L1174" i="1" s="1"/>
  <c r="K1175" i="1"/>
  <c r="L1175" i="1" s="1"/>
  <c r="K1176" i="1"/>
  <c r="L1176" i="1" s="1"/>
  <c r="K1177" i="1"/>
  <c r="L1177" i="1" s="1"/>
  <c r="K1178" i="1"/>
  <c r="L1178" i="1" s="1"/>
  <c r="K1179" i="1"/>
  <c r="L1179" i="1" s="1"/>
  <c r="K1180" i="1"/>
  <c r="L1180" i="1" s="1"/>
  <c r="K1181" i="1"/>
  <c r="L1181" i="1" s="1"/>
  <c r="K1182" i="1"/>
  <c r="L1182" i="1" s="1"/>
  <c r="K1183" i="1"/>
  <c r="L1183" i="1" s="1"/>
  <c r="K1184" i="1"/>
  <c r="L1184" i="1" s="1"/>
  <c r="K1185" i="1"/>
  <c r="L1185" i="1" s="1"/>
  <c r="K1186" i="1"/>
  <c r="L1186" i="1" s="1"/>
  <c r="K1187" i="1"/>
  <c r="L1187" i="1" s="1"/>
  <c r="K1188" i="1"/>
  <c r="L1188" i="1" s="1"/>
  <c r="K1189" i="1"/>
  <c r="L1189" i="1" s="1"/>
  <c r="K1190" i="1"/>
  <c r="L1190" i="1" s="1"/>
  <c r="K1191" i="1"/>
  <c r="L1191" i="1" s="1"/>
  <c r="K1192" i="1"/>
  <c r="L1192" i="1" s="1"/>
  <c r="K1193" i="1"/>
  <c r="L1193" i="1" s="1"/>
  <c r="K1194" i="1"/>
  <c r="L1194" i="1" s="1"/>
  <c r="K1195" i="1"/>
  <c r="L1195" i="1" s="1"/>
  <c r="K1196" i="1"/>
  <c r="L1196" i="1" s="1"/>
  <c r="K1197" i="1"/>
  <c r="L1197" i="1" s="1"/>
  <c r="K1198" i="1"/>
  <c r="L1198" i="1" s="1"/>
  <c r="K1199" i="1"/>
  <c r="L1199" i="1" s="1"/>
  <c r="K1200" i="1"/>
  <c r="L1200" i="1" s="1"/>
  <c r="K1201" i="1"/>
  <c r="L1201" i="1" s="1"/>
  <c r="K1202" i="1"/>
  <c r="L1202" i="1" s="1"/>
  <c r="K1203" i="1"/>
  <c r="L1203" i="1" s="1"/>
  <c r="K1204" i="1"/>
  <c r="L1204" i="1" s="1"/>
  <c r="K1205" i="1"/>
  <c r="L1205" i="1" s="1"/>
  <c r="K1206" i="1"/>
  <c r="L1206" i="1" s="1"/>
  <c r="K1207" i="1"/>
  <c r="L1207" i="1" s="1"/>
  <c r="K1208" i="1"/>
  <c r="L1208" i="1" s="1"/>
  <c r="K1209" i="1"/>
  <c r="L1209" i="1" s="1"/>
  <c r="K1210" i="1"/>
  <c r="L1210" i="1" s="1"/>
  <c r="K1211" i="1"/>
  <c r="L1211" i="1" s="1"/>
  <c r="K1212" i="1"/>
  <c r="L1212" i="1" s="1"/>
  <c r="K1213" i="1"/>
  <c r="L1213" i="1" s="1"/>
  <c r="K1214" i="1"/>
  <c r="L1214" i="1" s="1"/>
  <c r="K1215" i="1"/>
  <c r="L1215" i="1" s="1"/>
  <c r="K1216" i="1"/>
  <c r="L1216" i="1" s="1"/>
  <c r="K1217" i="1"/>
  <c r="L1217" i="1" s="1"/>
  <c r="K1218" i="1"/>
  <c r="L1218" i="1" s="1"/>
  <c r="K1219" i="1"/>
  <c r="L1219" i="1" s="1"/>
  <c r="K1220" i="1"/>
  <c r="L1220" i="1" s="1"/>
  <c r="K1221" i="1"/>
  <c r="L1221" i="1" s="1"/>
  <c r="K1222" i="1"/>
  <c r="L1222" i="1" s="1"/>
  <c r="K1223" i="1"/>
  <c r="L1223" i="1" s="1"/>
  <c r="K1224" i="1"/>
  <c r="L1224" i="1" s="1"/>
  <c r="K1225" i="1"/>
  <c r="L1225" i="1" s="1"/>
  <c r="K1226" i="1"/>
  <c r="L1226" i="1" s="1"/>
  <c r="K1227" i="1"/>
  <c r="L1227" i="1" s="1"/>
  <c r="K1228" i="1"/>
  <c r="L1228" i="1" s="1"/>
  <c r="K1229" i="1"/>
  <c r="L1229" i="1" s="1"/>
  <c r="K1230" i="1"/>
  <c r="L1230" i="1" s="1"/>
  <c r="K1231" i="1"/>
  <c r="L1231" i="1" s="1"/>
  <c r="K1232" i="1"/>
  <c r="L1232" i="1" s="1"/>
  <c r="K1233" i="1"/>
  <c r="L1233" i="1" s="1"/>
  <c r="K1234" i="1"/>
  <c r="L1234" i="1" s="1"/>
  <c r="K1235" i="1"/>
  <c r="L1235" i="1" s="1"/>
  <c r="K1236" i="1"/>
  <c r="L1236" i="1" s="1"/>
  <c r="K1237" i="1"/>
  <c r="L1237" i="1" s="1"/>
  <c r="K1238" i="1"/>
  <c r="L1238" i="1" s="1"/>
  <c r="K1239" i="1"/>
  <c r="L1239" i="1" s="1"/>
  <c r="K1240" i="1"/>
  <c r="L1240" i="1" s="1"/>
  <c r="K1241" i="1"/>
  <c r="L1241" i="1" s="1"/>
  <c r="K1242" i="1"/>
  <c r="L1242" i="1" s="1"/>
  <c r="K1243" i="1"/>
  <c r="L1243" i="1" s="1"/>
  <c r="K1244" i="1"/>
  <c r="L1244" i="1" s="1"/>
  <c r="K1245" i="1"/>
  <c r="L1245" i="1" s="1"/>
  <c r="K1246" i="1"/>
  <c r="L1246" i="1" s="1"/>
  <c r="K1247" i="1"/>
  <c r="L1247" i="1" s="1"/>
  <c r="K1248" i="1"/>
  <c r="L1248" i="1" s="1"/>
  <c r="K1249" i="1"/>
  <c r="L1249" i="1" s="1"/>
  <c r="K1250" i="1"/>
  <c r="L1250" i="1" s="1"/>
  <c r="K1251" i="1"/>
  <c r="L1251" i="1" s="1"/>
  <c r="K1252" i="1"/>
  <c r="L1252" i="1" s="1"/>
  <c r="K1253" i="1"/>
  <c r="L1253" i="1" s="1"/>
  <c r="K1254" i="1"/>
  <c r="L1254" i="1" s="1"/>
  <c r="K1255" i="1"/>
  <c r="L1255" i="1" s="1"/>
  <c r="K1256" i="1"/>
  <c r="L1256" i="1" s="1"/>
  <c r="K1257" i="1"/>
  <c r="L1257" i="1" s="1"/>
  <c r="K1258" i="1"/>
  <c r="L1258" i="1" s="1"/>
  <c r="K1259" i="1"/>
  <c r="L1259" i="1" s="1"/>
  <c r="K1260" i="1"/>
  <c r="L1260" i="1" s="1"/>
  <c r="K1261" i="1"/>
  <c r="L1261" i="1" s="1"/>
  <c r="K1262" i="1"/>
  <c r="L1262" i="1" s="1"/>
  <c r="K1263" i="1"/>
  <c r="L1263" i="1" s="1"/>
  <c r="K1264" i="1"/>
  <c r="L1264" i="1" s="1"/>
  <c r="K1265" i="1"/>
  <c r="L1265" i="1" s="1"/>
  <c r="K1266" i="1"/>
  <c r="L1266" i="1" s="1"/>
  <c r="K1267" i="1"/>
  <c r="L1267" i="1" s="1"/>
  <c r="K1268" i="1"/>
  <c r="L1268" i="1" s="1"/>
  <c r="K1269" i="1"/>
  <c r="L1269" i="1" s="1"/>
  <c r="K1270" i="1"/>
  <c r="L1270" i="1" s="1"/>
  <c r="K1271" i="1"/>
  <c r="L1271" i="1" s="1"/>
  <c r="K1272" i="1"/>
  <c r="L1272" i="1" s="1"/>
  <c r="K1273" i="1"/>
  <c r="L1273" i="1" s="1"/>
  <c r="K1274" i="1"/>
  <c r="L1274" i="1" s="1"/>
  <c r="K1275" i="1"/>
  <c r="L1275" i="1" s="1"/>
  <c r="K1276" i="1"/>
  <c r="L1276" i="1" s="1"/>
  <c r="K1277" i="1"/>
  <c r="L1277" i="1" s="1"/>
  <c r="K1278" i="1"/>
  <c r="L1278" i="1" s="1"/>
  <c r="K1279" i="1"/>
  <c r="L1279" i="1" s="1"/>
  <c r="K1280" i="1"/>
  <c r="L1280" i="1" s="1"/>
  <c r="K1281" i="1"/>
  <c r="L1281" i="1" s="1"/>
  <c r="K1282" i="1"/>
  <c r="L1282" i="1" s="1"/>
  <c r="K1283" i="1"/>
  <c r="L1283" i="1" s="1"/>
  <c r="K1284" i="1"/>
  <c r="L1284" i="1" s="1"/>
  <c r="K1285" i="1"/>
  <c r="L1285" i="1" s="1"/>
  <c r="K1286" i="1"/>
  <c r="L1286" i="1" s="1"/>
  <c r="K1287" i="1"/>
  <c r="L1287" i="1" s="1"/>
  <c r="K1288" i="1"/>
  <c r="L1288" i="1" s="1"/>
  <c r="K1289" i="1"/>
  <c r="L1289" i="1" s="1"/>
  <c r="K1290" i="1"/>
  <c r="L1290" i="1" s="1"/>
  <c r="K1291" i="1"/>
  <c r="L1291" i="1" s="1"/>
  <c r="K1292" i="1"/>
  <c r="L1292" i="1" s="1"/>
  <c r="K1293" i="1"/>
  <c r="L1293" i="1" s="1"/>
  <c r="K1294" i="1"/>
  <c r="L1294" i="1" s="1"/>
  <c r="K1295" i="1"/>
  <c r="L1295" i="1" s="1"/>
  <c r="K1296" i="1"/>
  <c r="L1296" i="1" s="1"/>
  <c r="K1297" i="1"/>
  <c r="L1297" i="1" s="1"/>
  <c r="K1298" i="1"/>
  <c r="L1298" i="1" s="1"/>
  <c r="K1299" i="1"/>
  <c r="L1299" i="1" s="1"/>
  <c r="K1300" i="1"/>
  <c r="L1300" i="1" s="1"/>
  <c r="K1301" i="1"/>
  <c r="L1301" i="1" s="1"/>
  <c r="K1302" i="1"/>
  <c r="L1302" i="1" s="1"/>
  <c r="K1303" i="1"/>
  <c r="L1303" i="1" s="1"/>
  <c r="K1304" i="1"/>
  <c r="L1304" i="1" s="1"/>
  <c r="K1305" i="1"/>
  <c r="L1305" i="1" s="1"/>
  <c r="K1306" i="1"/>
  <c r="L1306" i="1" s="1"/>
  <c r="K1307" i="1"/>
  <c r="L1307" i="1" s="1"/>
  <c r="K1308" i="1"/>
  <c r="L1308" i="1" s="1"/>
  <c r="K1309" i="1"/>
  <c r="L1309" i="1" s="1"/>
  <c r="K1310" i="1"/>
  <c r="L1310" i="1" s="1"/>
  <c r="K1311" i="1"/>
  <c r="L1311" i="1" s="1"/>
  <c r="K1312" i="1"/>
  <c r="L1312" i="1" s="1"/>
  <c r="K1313" i="1"/>
  <c r="L1313" i="1" s="1"/>
  <c r="K1314" i="1"/>
  <c r="L1314" i="1" s="1"/>
  <c r="K1315" i="1"/>
  <c r="L1315" i="1" s="1"/>
  <c r="K1316" i="1"/>
  <c r="L1316" i="1" s="1"/>
  <c r="K1317" i="1"/>
  <c r="L1317" i="1" s="1"/>
  <c r="K1318" i="1"/>
  <c r="L1318" i="1" s="1"/>
  <c r="K1319" i="1"/>
  <c r="L1319" i="1" s="1"/>
  <c r="K1320" i="1"/>
  <c r="L1320" i="1" s="1"/>
  <c r="K1321" i="1"/>
  <c r="L1321" i="1" s="1"/>
  <c r="K1322" i="1"/>
  <c r="L1322" i="1" s="1"/>
  <c r="K1323" i="1"/>
  <c r="L1323" i="1" s="1"/>
  <c r="K1324" i="1"/>
  <c r="L1324" i="1" s="1"/>
  <c r="K1325" i="1"/>
  <c r="L1325" i="1" s="1"/>
  <c r="K1326" i="1"/>
  <c r="L1326" i="1" s="1"/>
  <c r="K1327" i="1"/>
  <c r="L1327" i="1" s="1"/>
  <c r="K1328" i="1"/>
  <c r="L1328" i="1" s="1"/>
  <c r="K1329" i="1"/>
  <c r="L1329" i="1" s="1"/>
  <c r="K1330" i="1"/>
  <c r="L1330" i="1" s="1"/>
  <c r="K1331" i="1"/>
  <c r="L1331" i="1" s="1"/>
  <c r="K1332" i="1"/>
  <c r="L1332" i="1" s="1"/>
  <c r="K1333" i="1"/>
  <c r="L1333" i="1" s="1"/>
  <c r="K1334" i="1"/>
  <c r="L1334" i="1" s="1"/>
  <c r="K1335" i="1"/>
  <c r="L1335" i="1" s="1"/>
  <c r="K1336" i="1"/>
  <c r="L1336" i="1" s="1"/>
  <c r="K1337" i="1"/>
  <c r="L1337" i="1" s="1"/>
  <c r="K1338" i="1"/>
  <c r="L1338" i="1" s="1"/>
  <c r="K1339" i="1"/>
  <c r="L1339" i="1" s="1"/>
  <c r="K1340" i="1"/>
  <c r="L1340" i="1" s="1"/>
  <c r="K1341" i="1"/>
  <c r="L1341" i="1" s="1"/>
  <c r="K1342" i="1"/>
  <c r="L1342" i="1" s="1"/>
  <c r="K1343" i="1"/>
  <c r="L1343" i="1" s="1"/>
  <c r="K1344" i="1"/>
  <c r="L1344" i="1" s="1"/>
  <c r="K1345" i="1"/>
  <c r="L1345" i="1" s="1"/>
  <c r="K1346" i="1"/>
  <c r="L1346" i="1" s="1"/>
  <c r="K1347" i="1"/>
  <c r="L1347" i="1" s="1"/>
  <c r="K1348" i="1"/>
  <c r="L1348" i="1" s="1"/>
  <c r="K1349" i="1"/>
  <c r="L1349" i="1" s="1"/>
  <c r="K1350" i="1"/>
  <c r="L1350" i="1" s="1"/>
  <c r="K1351" i="1"/>
  <c r="L1351" i="1" s="1"/>
  <c r="K1352" i="1"/>
  <c r="L1352" i="1" s="1"/>
  <c r="K1353" i="1"/>
  <c r="L1353" i="1" s="1"/>
  <c r="K1354" i="1"/>
  <c r="L1354" i="1" s="1"/>
  <c r="K1355" i="1"/>
  <c r="L1355" i="1" s="1"/>
  <c r="K1356" i="1"/>
  <c r="L1356" i="1" s="1"/>
  <c r="K1357" i="1"/>
  <c r="L1357" i="1" s="1"/>
  <c r="K1358" i="1"/>
  <c r="L1358" i="1" s="1"/>
  <c r="K1359" i="1"/>
  <c r="L1359" i="1" s="1"/>
  <c r="K1360" i="1"/>
  <c r="L1360" i="1" s="1"/>
  <c r="K1361" i="1"/>
  <c r="L1361" i="1" s="1"/>
  <c r="K1362" i="1"/>
  <c r="L1362" i="1" s="1"/>
  <c r="K1363" i="1"/>
  <c r="L1363" i="1" s="1"/>
  <c r="K1364" i="1"/>
  <c r="L1364" i="1" s="1"/>
  <c r="K1365" i="1"/>
  <c r="L1365" i="1" s="1"/>
  <c r="K1366" i="1"/>
  <c r="L1366" i="1" s="1"/>
  <c r="K1367" i="1"/>
  <c r="L1367" i="1" s="1"/>
  <c r="K1368" i="1"/>
  <c r="L1368" i="1" s="1"/>
  <c r="K1369" i="1"/>
  <c r="L1369" i="1" s="1"/>
  <c r="K1370" i="1"/>
  <c r="L1370" i="1" s="1"/>
  <c r="K1371" i="1"/>
  <c r="L1371" i="1" s="1"/>
  <c r="K1372" i="1"/>
  <c r="L1372" i="1" s="1"/>
  <c r="K1373" i="1"/>
  <c r="L1373" i="1" s="1"/>
  <c r="K1374" i="1"/>
  <c r="L1374" i="1" s="1"/>
  <c r="K1375" i="1"/>
  <c r="L1375" i="1" s="1"/>
  <c r="K1376" i="1"/>
  <c r="L1376" i="1" s="1"/>
  <c r="K1377" i="1"/>
  <c r="L1377" i="1" s="1"/>
  <c r="K1378" i="1"/>
  <c r="L1378" i="1" s="1"/>
  <c r="K1379" i="1"/>
  <c r="L1379" i="1" s="1"/>
  <c r="K1380" i="1"/>
  <c r="L1380" i="1" s="1"/>
  <c r="K1381" i="1"/>
  <c r="L1381" i="1" s="1"/>
  <c r="K1382" i="1"/>
  <c r="L1382" i="1" s="1"/>
  <c r="K1383" i="1"/>
  <c r="L1383" i="1" s="1"/>
  <c r="K1384" i="1"/>
  <c r="L1384" i="1" s="1"/>
  <c r="K1385" i="1"/>
  <c r="L1385" i="1" s="1"/>
  <c r="K1386" i="1"/>
  <c r="L1386" i="1" s="1"/>
  <c r="K1387" i="1"/>
  <c r="L1387" i="1" s="1"/>
  <c r="K1388" i="1"/>
  <c r="L1388" i="1" s="1"/>
  <c r="K1389" i="1"/>
  <c r="L1389" i="1" s="1"/>
  <c r="K1390" i="1"/>
  <c r="L1390" i="1" s="1"/>
  <c r="K1391" i="1"/>
  <c r="L1391" i="1" s="1"/>
  <c r="K1392" i="1"/>
  <c r="L1392" i="1" s="1"/>
  <c r="K1393" i="1"/>
  <c r="L1393" i="1" s="1"/>
  <c r="K1394" i="1"/>
  <c r="L1394" i="1" s="1"/>
  <c r="K1395" i="1"/>
  <c r="L1395" i="1" s="1"/>
  <c r="K1396" i="1"/>
  <c r="L1396" i="1" s="1"/>
  <c r="K1397" i="1"/>
  <c r="L1397" i="1" s="1"/>
  <c r="K1398" i="1"/>
  <c r="L1398" i="1" s="1"/>
  <c r="K1399" i="1"/>
  <c r="L1399" i="1" s="1"/>
  <c r="K1400" i="1"/>
  <c r="L1400" i="1" s="1"/>
  <c r="K1401" i="1"/>
  <c r="L1401" i="1" s="1"/>
  <c r="K1402" i="1"/>
  <c r="L1402" i="1" s="1"/>
  <c r="K1403" i="1"/>
  <c r="L1403" i="1" s="1"/>
  <c r="K1404" i="1"/>
  <c r="L1404" i="1" s="1"/>
  <c r="K1405" i="1"/>
  <c r="L1405" i="1" s="1"/>
  <c r="K1406" i="1"/>
  <c r="L1406" i="1" s="1"/>
  <c r="K1407" i="1"/>
  <c r="L1407" i="1" s="1"/>
  <c r="K1408" i="1"/>
  <c r="L1408" i="1" s="1"/>
  <c r="K1409" i="1"/>
  <c r="L1409" i="1" s="1"/>
  <c r="K1410" i="1"/>
  <c r="L1410" i="1" s="1"/>
  <c r="K1411" i="1"/>
  <c r="L1411" i="1" s="1"/>
  <c r="K1412" i="1"/>
  <c r="L1412" i="1" s="1"/>
  <c r="K1413" i="1"/>
  <c r="L1413" i="1" s="1"/>
  <c r="K1414" i="1"/>
  <c r="L1414" i="1" s="1"/>
  <c r="K1415" i="1"/>
  <c r="L1415" i="1" s="1"/>
  <c r="K1416" i="1"/>
  <c r="L1416" i="1" s="1"/>
  <c r="K1417" i="1"/>
  <c r="L1417" i="1" s="1"/>
  <c r="K1418" i="1"/>
  <c r="L1418" i="1" s="1"/>
  <c r="K1419" i="1"/>
  <c r="L1419" i="1" s="1"/>
  <c r="K1420" i="1"/>
  <c r="L1420" i="1" s="1"/>
  <c r="K1421" i="1"/>
  <c r="L1421" i="1" s="1"/>
  <c r="K1422" i="1"/>
  <c r="L1422" i="1" s="1"/>
  <c r="K1423" i="1"/>
  <c r="L1423" i="1" s="1"/>
  <c r="K1424" i="1"/>
  <c r="L1424" i="1" s="1"/>
  <c r="K1425" i="1"/>
  <c r="L1425" i="1" s="1"/>
  <c r="K1426" i="1"/>
  <c r="L1426" i="1" s="1"/>
  <c r="K1427" i="1"/>
  <c r="L1427" i="1" s="1"/>
  <c r="K1428" i="1"/>
  <c r="L1428" i="1" s="1"/>
  <c r="K1429" i="1"/>
  <c r="L1429" i="1" s="1"/>
  <c r="K1430" i="1"/>
  <c r="L1430" i="1" s="1"/>
  <c r="K1431" i="1"/>
  <c r="L1431" i="1" s="1"/>
  <c r="K1432" i="1"/>
  <c r="L1432" i="1" s="1"/>
  <c r="K1433" i="1"/>
  <c r="L1433" i="1" s="1"/>
  <c r="K1434" i="1"/>
  <c r="L1434" i="1" s="1"/>
  <c r="K1435" i="1"/>
  <c r="L1435" i="1" s="1"/>
  <c r="K1436" i="1"/>
  <c r="L1436" i="1" s="1"/>
  <c r="K1437" i="1"/>
  <c r="L1437" i="1" s="1"/>
  <c r="K1438" i="1"/>
  <c r="L1438" i="1" s="1"/>
  <c r="K1439" i="1"/>
  <c r="L1439" i="1" s="1"/>
  <c r="K1440" i="1"/>
  <c r="L1440" i="1" s="1"/>
  <c r="K1441" i="1"/>
  <c r="L1441" i="1" s="1"/>
  <c r="K1442" i="1"/>
  <c r="L1442" i="1" s="1"/>
  <c r="K1443" i="1"/>
  <c r="L1443" i="1" s="1"/>
  <c r="K1444" i="1"/>
  <c r="L1444" i="1" s="1"/>
  <c r="K1445" i="1"/>
  <c r="L1445" i="1" s="1"/>
  <c r="K1446" i="1"/>
  <c r="L1446" i="1" s="1"/>
  <c r="K1447" i="1"/>
  <c r="L1447" i="1" s="1"/>
  <c r="K1448" i="1"/>
  <c r="L1448" i="1" s="1"/>
  <c r="K1449" i="1"/>
  <c r="L1449" i="1" s="1"/>
  <c r="K1450" i="1"/>
  <c r="L1450" i="1" s="1"/>
  <c r="K1451" i="1"/>
  <c r="L1451" i="1" s="1"/>
  <c r="K1452" i="1"/>
  <c r="L1452" i="1" s="1"/>
  <c r="K1453" i="1"/>
  <c r="L1453" i="1" s="1"/>
  <c r="K1454" i="1"/>
  <c r="L1454" i="1" s="1"/>
  <c r="K1455" i="1"/>
  <c r="L1455" i="1" s="1"/>
  <c r="K1456" i="1"/>
  <c r="L1456" i="1" s="1"/>
  <c r="K1457" i="1"/>
  <c r="L1457" i="1" s="1"/>
  <c r="K1458" i="1"/>
  <c r="L1458" i="1" s="1"/>
  <c r="K1459" i="1"/>
  <c r="L1459" i="1" s="1"/>
  <c r="K1460" i="1"/>
  <c r="L1460" i="1" s="1"/>
  <c r="K1461" i="1"/>
  <c r="L1461" i="1" s="1"/>
  <c r="K1462" i="1"/>
  <c r="L1462" i="1" s="1"/>
  <c r="K1463" i="1"/>
  <c r="L1463" i="1" s="1"/>
  <c r="K1464" i="1"/>
  <c r="L1464" i="1" s="1"/>
  <c r="K1465" i="1"/>
  <c r="L1465" i="1" s="1"/>
  <c r="K1466" i="1"/>
  <c r="L1466" i="1" s="1"/>
  <c r="K1467" i="1"/>
  <c r="L1467" i="1" s="1"/>
  <c r="K1468" i="1"/>
  <c r="L1468" i="1" s="1"/>
  <c r="K1469" i="1"/>
  <c r="L1469" i="1" s="1"/>
  <c r="K1470" i="1"/>
  <c r="L1470" i="1" s="1"/>
  <c r="K1471" i="1"/>
  <c r="L1471" i="1" s="1"/>
  <c r="K1472" i="1"/>
  <c r="L1472" i="1" s="1"/>
  <c r="K1473" i="1"/>
  <c r="L1473" i="1" s="1"/>
  <c r="K1474" i="1"/>
  <c r="L1474" i="1" s="1"/>
  <c r="K1475" i="1"/>
  <c r="L1475" i="1" s="1"/>
  <c r="K1476" i="1"/>
  <c r="L1476" i="1" s="1"/>
  <c r="K1477" i="1"/>
  <c r="L1477" i="1" s="1"/>
  <c r="K1478" i="1"/>
  <c r="L1478" i="1" s="1"/>
  <c r="K1479" i="1"/>
  <c r="L1479" i="1" s="1"/>
  <c r="K1480" i="1"/>
  <c r="L1480" i="1" s="1"/>
  <c r="K1481" i="1"/>
  <c r="L1481" i="1" s="1"/>
  <c r="K1482" i="1"/>
  <c r="L1482" i="1" s="1"/>
  <c r="K1483" i="1"/>
  <c r="L1483" i="1" s="1"/>
  <c r="K1484" i="1"/>
  <c r="L1484" i="1" s="1"/>
  <c r="K1485" i="1"/>
  <c r="L1485" i="1" s="1"/>
  <c r="K1486" i="1"/>
  <c r="L1486" i="1" s="1"/>
  <c r="K1487" i="1"/>
  <c r="L1487" i="1" s="1"/>
  <c r="K1488" i="1"/>
  <c r="L1488" i="1" s="1"/>
  <c r="K1489" i="1"/>
  <c r="L1489" i="1" s="1"/>
  <c r="K1490" i="1"/>
  <c r="L1490" i="1" s="1"/>
  <c r="K1491" i="1"/>
  <c r="L1491" i="1" s="1"/>
  <c r="K1492" i="1"/>
  <c r="L1492" i="1" s="1"/>
  <c r="K1493" i="1"/>
  <c r="L1493" i="1" s="1"/>
  <c r="K1494" i="1"/>
  <c r="L1494" i="1" s="1"/>
  <c r="K1495" i="1"/>
  <c r="L1495" i="1" s="1"/>
  <c r="K1496" i="1"/>
  <c r="L1496" i="1" s="1"/>
  <c r="K1497" i="1"/>
  <c r="L1497" i="1" s="1"/>
  <c r="K1498" i="1"/>
  <c r="L1498" i="1" s="1"/>
  <c r="K1499" i="1"/>
  <c r="L1499" i="1" s="1"/>
  <c r="K1500" i="1"/>
  <c r="L1500" i="1" s="1"/>
  <c r="K1501" i="1"/>
  <c r="L1501" i="1" s="1"/>
  <c r="K1502" i="1"/>
  <c r="L1502" i="1" s="1"/>
  <c r="K1503" i="1"/>
  <c r="L1503" i="1" s="1"/>
  <c r="K1504" i="1"/>
  <c r="L1504" i="1" s="1"/>
  <c r="K1505" i="1"/>
  <c r="L1505" i="1" s="1"/>
  <c r="K1506" i="1"/>
  <c r="L1506" i="1" s="1"/>
  <c r="K1507" i="1"/>
  <c r="L1507" i="1" s="1"/>
  <c r="K1508" i="1"/>
  <c r="L1508" i="1" s="1"/>
  <c r="K1509" i="1"/>
  <c r="L1509" i="1" s="1"/>
  <c r="K1510" i="1"/>
  <c r="L1510" i="1" s="1"/>
  <c r="K1511" i="1"/>
  <c r="L1511" i="1" s="1"/>
  <c r="K1512" i="1"/>
  <c r="L1512" i="1" s="1"/>
  <c r="K1513" i="1"/>
  <c r="L1513" i="1" s="1"/>
  <c r="K1514" i="1"/>
  <c r="L1514" i="1" s="1"/>
  <c r="K1515" i="1"/>
  <c r="L1515" i="1" s="1"/>
  <c r="K1516" i="1"/>
  <c r="L1516" i="1" s="1"/>
  <c r="K1517" i="1"/>
  <c r="L1517" i="1" s="1"/>
  <c r="K1518" i="1"/>
  <c r="L1518" i="1" s="1"/>
  <c r="K1519" i="1"/>
  <c r="L1519" i="1" s="1"/>
  <c r="K1520" i="1"/>
  <c r="L1520" i="1" s="1"/>
  <c r="K1521" i="1"/>
  <c r="L1521" i="1" s="1"/>
  <c r="K1522" i="1"/>
  <c r="L1522" i="1" s="1"/>
  <c r="K1523" i="1"/>
  <c r="L1523" i="1" s="1"/>
  <c r="K1524" i="1"/>
  <c r="L1524" i="1" s="1"/>
  <c r="K1525" i="1"/>
  <c r="L1525" i="1" s="1"/>
  <c r="K1526" i="1"/>
  <c r="L1526" i="1" s="1"/>
  <c r="K1527" i="1"/>
  <c r="L1527" i="1" s="1"/>
  <c r="K1528" i="1"/>
  <c r="L1528" i="1" s="1"/>
  <c r="K1529" i="1"/>
  <c r="L1529" i="1" s="1"/>
  <c r="K1530" i="1"/>
  <c r="L1530" i="1" s="1"/>
  <c r="K1531" i="1"/>
  <c r="L1531" i="1" s="1"/>
  <c r="K1532" i="1"/>
  <c r="L1532" i="1" s="1"/>
  <c r="K1533" i="1"/>
  <c r="L1533" i="1" s="1"/>
  <c r="K1534" i="1"/>
  <c r="L1534" i="1" s="1"/>
  <c r="K1535" i="1"/>
  <c r="L1535" i="1" s="1"/>
  <c r="K1536" i="1"/>
  <c r="L1536" i="1" s="1"/>
  <c r="K1537" i="1"/>
  <c r="L1537" i="1" s="1"/>
  <c r="K1538" i="1"/>
  <c r="L1538" i="1" s="1"/>
  <c r="K1539" i="1"/>
  <c r="L1539" i="1" s="1"/>
  <c r="K1540" i="1"/>
  <c r="L1540" i="1" s="1"/>
  <c r="K1541" i="1"/>
  <c r="L1541" i="1" s="1"/>
  <c r="K1542" i="1"/>
  <c r="L1542" i="1" s="1"/>
  <c r="K1543" i="1"/>
  <c r="L1543" i="1" s="1"/>
  <c r="K1544" i="1"/>
  <c r="L1544" i="1" s="1"/>
  <c r="K1545" i="1"/>
  <c r="L1545" i="1" s="1"/>
  <c r="K1546" i="1"/>
  <c r="L1546" i="1" s="1"/>
  <c r="K1547" i="1"/>
  <c r="L1547" i="1" s="1"/>
  <c r="K1548" i="1"/>
  <c r="L1548" i="1" s="1"/>
  <c r="K1549" i="1"/>
  <c r="L1549" i="1" s="1"/>
  <c r="K1550" i="1"/>
  <c r="L1550" i="1" s="1"/>
  <c r="K1551" i="1"/>
  <c r="L1551" i="1" s="1"/>
  <c r="K1552" i="1"/>
  <c r="L1552" i="1" s="1"/>
  <c r="K1553" i="1"/>
  <c r="L1553" i="1" s="1"/>
  <c r="K1554" i="1"/>
  <c r="L1554" i="1" s="1"/>
  <c r="K1555" i="1"/>
  <c r="L1555" i="1" s="1"/>
  <c r="K1556" i="1"/>
  <c r="L1556" i="1" s="1"/>
  <c r="K1557" i="1"/>
  <c r="L1557" i="1" s="1"/>
  <c r="K1558" i="1"/>
  <c r="L1558" i="1" s="1"/>
  <c r="K1559" i="1"/>
  <c r="L1559" i="1" s="1"/>
  <c r="K1560" i="1"/>
  <c r="L1560" i="1" s="1"/>
  <c r="K1561" i="1"/>
  <c r="L1561" i="1" s="1"/>
  <c r="K1562" i="1"/>
  <c r="L1562" i="1" s="1"/>
  <c r="K1563" i="1"/>
  <c r="L1563" i="1" s="1"/>
  <c r="K1564" i="1"/>
  <c r="L1564" i="1" s="1"/>
  <c r="K1565" i="1"/>
  <c r="L1565" i="1" s="1"/>
  <c r="K1566" i="1"/>
  <c r="L1566" i="1" s="1"/>
  <c r="K1567" i="1"/>
  <c r="L1567" i="1" s="1"/>
  <c r="K1568" i="1"/>
  <c r="L1568" i="1" s="1"/>
  <c r="K1569" i="1"/>
  <c r="L1569" i="1" s="1"/>
  <c r="K1570" i="1"/>
  <c r="L1570" i="1" s="1"/>
  <c r="K1571" i="1"/>
  <c r="L1571" i="1" s="1"/>
  <c r="K1572" i="1"/>
  <c r="L1572" i="1" s="1"/>
  <c r="K1573" i="1"/>
  <c r="L1573" i="1" s="1"/>
  <c r="K1574" i="1"/>
  <c r="L1574" i="1" s="1"/>
  <c r="K1575" i="1"/>
  <c r="L1575" i="1" s="1"/>
  <c r="K1576" i="1"/>
  <c r="L1576" i="1" s="1"/>
  <c r="K1577" i="1"/>
  <c r="L1577" i="1" s="1"/>
  <c r="K1578" i="1"/>
  <c r="L1578" i="1" s="1"/>
  <c r="K1579" i="1"/>
  <c r="L1579" i="1" s="1"/>
  <c r="K1580" i="1"/>
  <c r="L1580" i="1" s="1"/>
  <c r="K1581" i="1"/>
  <c r="L1581" i="1" s="1"/>
  <c r="K1582" i="1"/>
  <c r="L1582" i="1" s="1"/>
  <c r="K1583" i="1"/>
  <c r="L1583" i="1" s="1"/>
  <c r="K1584" i="1"/>
  <c r="L1584" i="1" s="1"/>
  <c r="K1585" i="1"/>
  <c r="L1585" i="1" s="1"/>
  <c r="K1586" i="1"/>
  <c r="L1586" i="1" s="1"/>
  <c r="K1587" i="1"/>
  <c r="L1587" i="1" s="1"/>
  <c r="K1588" i="1"/>
  <c r="L1588" i="1" s="1"/>
  <c r="K1589" i="1"/>
  <c r="L1589" i="1" s="1"/>
  <c r="K1590" i="1"/>
  <c r="L1590" i="1" s="1"/>
  <c r="K1591" i="1"/>
  <c r="L1591" i="1" s="1"/>
  <c r="K1592" i="1"/>
  <c r="L1592" i="1" s="1"/>
  <c r="K1593" i="1"/>
  <c r="L1593" i="1" s="1"/>
  <c r="K1594" i="1"/>
  <c r="L1594" i="1" s="1"/>
  <c r="K1595" i="1"/>
  <c r="L1595" i="1" s="1"/>
  <c r="K1596" i="1"/>
  <c r="L1596" i="1" s="1"/>
  <c r="K1597" i="1"/>
  <c r="L1597" i="1" s="1"/>
  <c r="K1598" i="1"/>
  <c r="L1598" i="1" s="1"/>
  <c r="K1599" i="1"/>
  <c r="L1599" i="1" s="1"/>
  <c r="K1600" i="1"/>
  <c r="L1600" i="1" s="1"/>
  <c r="K1601" i="1"/>
  <c r="L1601" i="1" s="1"/>
  <c r="K1602" i="1"/>
  <c r="L1602" i="1" s="1"/>
  <c r="K1603" i="1"/>
  <c r="L1603" i="1" s="1"/>
  <c r="K1604" i="1"/>
  <c r="L1604" i="1" s="1"/>
  <c r="K1605" i="1"/>
  <c r="L1605" i="1" s="1"/>
  <c r="K1606" i="1"/>
  <c r="L1606" i="1" s="1"/>
  <c r="K1607" i="1"/>
  <c r="L1607" i="1" s="1"/>
  <c r="K1608" i="1"/>
  <c r="L1608" i="1" s="1"/>
  <c r="K1609" i="1"/>
  <c r="L1609" i="1" s="1"/>
  <c r="K1610" i="1"/>
  <c r="L1610" i="1" s="1"/>
  <c r="K1611" i="1"/>
  <c r="L1611" i="1" s="1"/>
  <c r="K1612" i="1"/>
  <c r="L1612" i="1" s="1"/>
  <c r="K1613" i="1"/>
  <c r="L1613" i="1" s="1"/>
  <c r="K1614" i="1"/>
  <c r="L1614" i="1" s="1"/>
  <c r="K1615" i="1"/>
  <c r="L1615" i="1" s="1"/>
  <c r="K1616" i="1"/>
  <c r="L1616" i="1" s="1"/>
  <c r="K1617" i="1"/>
  <c r="L1617" i="1" s="1"/>
  <c r="K1618" i="1"/>
  <c r="L1618" i="1" s="1"/>
  <c r="K1619" i="1"/>
  <c r="L1619" i="1" s="1"/>
  <c r="K1620" i="1"/>
  <c r="L1620" i="1" s="1"/>
  <c r="K1621" i="1"/>
  <c r="L1621" i="1" s="1"/>
  <c r="K1622" i="1"/>
  <c r="L1622" i="1" s="1"/>
  <c r="K1623" i="1"/>
  <c r="L1623" i="1" s="1"/>
  <c r="K1624" i="1"/>
  <c r="L1624" i="1" s="1"/>
  <c r="K1625" i="1"/>
  <c r="L1625" i="1" s="1"/>
  <c r="K1626" i="1"/>
  <c r="L1626" i="1" s="1"/>
  <c r="K1627" i="1"/>
  <c r="L1627" i="1" s="1"/>
  <c r="K1628" i="1"/>
  <c r="L1628" i="1" s="1"/>
  <c r="K1629" i="1"/>
  <c r="L1629" i="1" s="1"/>
  <c r="K1630" i="1"/>
  <c r="L1630" i="1" s="1"/>
  <c r="K1631" i="1"/>
  <c r="L1631" i="1" s="1"/>
  <c r="K1632" i="1"/>
  <c r="L1632" i="1" s="1"/>
  <c r="K1633" i="1"/>
  <c r="L1633" i="1" s="1"/>
  <c r="K1634" i="1"/>
  <c r="L1634" i="1" s="1"/>
  <c r="K1635" i="1"/>
  <c r="L1635" i="1" s="1"/>
  <c r="K1636" i="1"/>
  <c r="L1636" i="1" s="1"/>
  <c r="K1637" i="1"/>
  <c r="L1637" i="1" s="1"/>
  <c r="K1638" i="1"/>
  <c r="L1638" i="1" s="1"/>
  <c r="K1639" i="1"/>
  <c r="L1639" i="1" s="1"/>
  <c r="K1640" i="1"/>
  <c r="L1640" i="1" s="1"/>
  <c r="K1641" i="1"/>
  <c r="L1641" i="1" s="1"/>
  <c r="K1642" i="1"/>
  <c r="L1642" i="1" s="1"/>
  <c r="K1643" i="1"/>
  <c r="L1643" i="1" s="1"/>
  <c r="K1644" i="1"/>
  <c r="L1644" i="1" s="1"/>
  <c r="K1645" i="1"/>
  <c r="L1645" i="1" s="1"/>
  <c r="K1646" i="1"/>
  <c r="L1646" i="1" s="1"/>
  <c r="K1647" i="1"/>
  <c r="L1647" i="1" s="1"/>
  <c r="K1648" i="1"/>
  <c r="L1648" i="1" s="1"/>
  <c r="K1649" i="1"/>
  <c r="L1649" i="1" s="1"/>
  <c r="K1650" i="1"/>
  <c r="L1650" i="1" s="1"/>
  <c r="K1651" i="1"/>
  <c r="L1651" i="1" s="1"/>
  <c r="K1652" i="1"/>
  <c r="L1652" i="1" s="1"/>
  <c r="K1653" i="1"/>
  <c r="L1653" i="1" s="1"/>
  <c r="K1654" i="1"/>
  <c r="L1654" i="1" s="1"/>
  <c r="K1655" i="1"/>
  <c r="L1655" i="1" s="1"/>
  <c r="K1656" i="1"/>
  <c r="L1656" i="1" s="1"/>
  <c r="K1657" i="1"/>
  <c r="L1657" i="1" s="1"/>
  <c r="K1658" i="1"/>
  <c r="L1658" i="1" s="1"/>
  <c r="K1659" i="1"/>
  <c r="L1659" i="1" s="1"/>
  <c r="K1660" i="1"/>
  <c r="L1660" i="1" s="1"/>
  <c r="K1661" i="1"/>
  <c r="L1661" i="1" s="1"/>
  <c r="K1662" i="1"/>
  <c r="L1662" i="1" s="1"/>
  <c r="K1663" i="1"/>
  <c r="L1663" i="1" s="1"/>
  <c r="K1664" i="1"/>
  <c r="L1664" i="1" s="1"/>
  <c r="K1665" i="1"/>
  <c r="L1665" i="1" s="1"/>
  <c r="K1666" i="1"/>
  <c r="L1666" i="1" s="1"/>
  <c r="K1667" i="1"/>
  <c r="L1667" i="1" s="1"/>
  <c r="K1668" i="1"/>
  <c r="L1668" i="1" s="1"/>
  <c r="K1669" i="1"/>
  <c r="L1669" i="1" s="1"/>
  <c r="K1670" i="1"/>
  <c r="L1670" i="1" s="1"/>
  <c r="K1671" i="1"/>
  <c r="L1671" i="1" s="1"/>
  <c r="K1672" i="1"/>
  <c r="L1672" i="1" s="1"/>
  <c r="K1673" i="1"/>
  <c r="L1673" i="1" s="1"/>
  <c r="K1674" i="1"/>
  <c r="L1674" i="1" s="1"/>
  <c r="K1675" i="1"/>
  <c r="L1675" i="1" s="1"/>
  <c r="K1676" i="1"/>
  <c r="L1676" i="1" s="1"/>
  <c r="K1677" i="1"/>
  <c r="L1677" i="1" s="1"/>
  <c r="K1678" i="1"/>
  <c r="L1678" i="1" s="1"/>
  <c r="K1679" i="1"/>
  <c r="L1679" i="1" s="1"/>
  <c r="K1680" i="1"/>
  <c r="L1680" i="1" s="1"/>
  <c r="K1681" i="1"/>
  <c r="L1681" i="1" s="1"/>
  <c r="K1682" i="1"/>
  <c r="L1682" i="1" s="1"/>
  <c r="K1683" i="1"/>
  <c r="L1683" i="1" s="1"/>
  <c r="K1684" i="1"/>
  <c r="L1684" i="1" s="1"/>
  <c r="K1685" i="1"/>
  <c r="L1685" i="1" s="1"/>
  <c r="K1686" i="1"/>
  <c r="L1686" i="1" s="1"/>
  <c r="K1687" i="1"/>
  <c r="L1687" i="1" s="1"/>
  <c r="K1688" i="1"/>
  <c r="L1688" i="1" s="1"/>
  <c r="K1689" i="1"/>
  <c r="L1689" i="1" s="1"/>
  <c r="K1690" i="1"/>
  <c r="L1690" i="1" s="1"/>
  <c r="K1691" i="1"/>
  <c r="L1691" i="1" s="1"/>
  <c r="K1692" i="1"/>
  <c r="L1692" i="1" s="1"/>
  <c r="K1693" i="1"/>
  <c r="L1693" i="1" s="1"/>
  <c r="K1694" i="1"/>
  <c r="L1694" i="1" s="1"/>
  <c r="K1695" i="1"/>
  <c r="L1695" i="1" s="1"/>
  <c r="K1696" i="1"/>
  <c r="L1696" i="1" s="1"/>
  <c r="K1697" i="1"/>
  <c r="L1697" i="1" s="1"/>
  <c r="K1698" i="1"/>
  <c r="L1698" i="1" s="1"/>
  <c r="K1699" i="1"/>
  <c r="L1699" i="1" s="1"/>
  <c r="K1700" i="1"/>
  <c r="L1700" i="1" s="1"/>
  <c r="K1701" i="1"/>
  <c r="L1701" i="1" s="1"/>
  <c r="K1702" i="1"/>
  <c r="L1702" i="1" s="1"/>
  <c r="K1703" i="1"/>
  <c r="L1703" i="1" s="1"/>
  <c r="K1704" i="1"/>
  <c r="L1704" i="1" s="1"/>
  <c r="K1705" i="1"/>
  <c r="L1705" i="1" s="1"/>
  <c r="K1706" i="1"/>
  <c r="L1706" i="1" s="1"/>
  <c r="K1707" i="1"/>
  <c r="L1707" i="1" s="1"/>
  <c r="K1708" i="1"/>
  <c r="L1708" i="1" s="1"/>
  <c r="K1709" i="1"/>
  <c r="L1709" i="1" s="1"/>
  <c r="K1710" i="1"/>
  <c r="L1710" i="1" s="1"/>
  <c r="K1711" i="1"/>
  <c r="L1711" i="1" s="1"/>
  <c r="K1712" i="1"/>
  <c r="L1712" i="1" s="1"/>
  <c r="K1713" i="1"/>
  <c r="L1713" i="1" s="1"/>
  <c r="K1714" i="1"/>
  <c r="L1714" i="1" s="1"/>
  <c r="K1715" i="1"/>
  <c r="L1715" i="1" s="1"/>
  <c r="K1716" i="1"/>
  <c r="L1716" i="1" s="1"/>
  <c r="K1717" i="1"/>
  <c r="L1717" i="1" s="1"/>
  <c r="K1718" i="1"/>
  <c r="L1718" i="1" s="1"/>
  <c r="K1719" i="1"/>
  <c r="L1719" i="1" s="1"/>
  <c r="K1720" i="1"/>
  <c r="L1720" i="1" s="1"/>
  <c r="K1721" i="1"/>
  <c r="L1721" i="1" s="1"/>
  <c r="K1722" i="1"/>
  <c r="L1722" i="1" s="1"/>
  <c r="K1723" i="1"/>
  <c r="L1723" i="1" s="1"/>
  <c r="K1724" i="1"/>
  <c r="L1724" i="1" s="1"/>
  <c r="K1725" i="1"/>
  <c r="L1725" i="1" s="1"/>
  <c r="K1726" i="1"/>
  <c r="L1726" i="1" s="1"/>
  <c r="K1727" i="1"/>
  <c r="L1727" i="1" s="1"/>
  <c r="K1728" i="1"/>
  <c r="L1728" i="1" s="1"/>
  <c r="K1729" i="1"/>
  <c r="L1729" i="1" s="1"/>
  <c r="K1730" i="1"/>
  <c r="L1730" i="1" s="1"/>
  <c r="K1731" i="1"/>
  <c r="L1731" i="1" s="1"/>
  <c r="K1732" i="1"/>
  <c r="L1732" i="1" s="1"/>
  <c r="K1733" i="1"/>
  <c r="L1733" i="1" s="1"/>
  <c r="K1734" i="1"/>
  <c r="L1734" i="1" s="1"/>
  <c r="K1735" i="1"/>
  <c r="L1735" i="1" s="1"/>
  <c r="K1736" i="1"/>
  <c r="L1736" i="1" s="1"/>
  <c r="K1737" i="1"/>
  <c r="L1737" i="1" s="1"/>
  <c r="K1738" i="1"/>
  <c r="L1738" i="1" s="1"/>
  <c r="K1739" i="1"/>
  <c r="L1739" i="1" s="1"/>
  <c r="K1740" i="1"/>
  <c r="L1740" i="1" s="1"/>
  <c r="K1741" i="1"/>
  <c r="L1741" i="1" s="1"/>
  <c r="K1742" i="1"/>
  <c r="L1742" i="1" s="1"/>
  <c r="K1743" i="1"/>
  <c r="L1743" i="1" s="1"/>
  <c r="K1744" i="1"/>
  <c r="L1744" i="1" s="1"/>
  <c r="K1745" i="1"/>
  <c r="L1745" i="1" s="1"/>
  <c r="K1746" i="1"/>
  <c r="L1746" i="1" s="1"/>
  <c r="K1747" i="1"/>
  <c r="L1747" i="1" s="1"/>
  <c r="K1748" i="1"/>
  <c r="L1748" i="1" s="1"/>
  <c r="K1749" i="1"/>
  <c r="L1749" i="1" s="1"/>
  <c r="K1750" i="1"/>
  <c r="L1750" i="1" s="1"/>
  <c r="K1751" i="1"/>
  <c r="L1751" i="1" s="1"/>
  <c r="K1752" i="1"/>
  <c r="L1752" i="1" s="1"/>
  <c r="K1753" i="1"/>
  <c r="L1753" i="1" s="1"/>
  <c r="K1754" i="1"/>
  <c r="L1754" i="1" s="1"/>
  <c r="K1755" i="1"/>
  <c r="L1755" i="1" s="1"/>
  <c r="K1756" i="1"/>
  <c r="L1756" i="1" s="1"/>
  <c r="K1757" i="1"/>
  <c r="L1757" i="1" s="1"/>
  <c r="K1758" i="1"/>
  <c r="L1758" i="1" s="1"/>
  <c r="K1759" i="1"/>
  <c r="L1759" i="1" s="1"/>
  <c r="K1760" i="1"/>
  <c r="L1760" i="1" s="1"/>
  <c r="K1761" i="1"/>
  <c r="L1761" i="1" s="1"/>
  <c r="K1762" i="1"/>
  <c r="L1762" i="1" s="1"/>
  <c r="K1763" i="1"/>
  <c r="L1763" i="1" s="1"/>
  <c r="K1764" i="1"/>
  <c r="L1764" i="1" s="1"/>
  <c r="K1765" i="1"/>
  <c r="L1765" i="1" s="1"/>
  <c r="K1766" i="1"/>
  <c r="L1766" i="1" s="1"/>
  <c r="K1767" i="1"/>
  <c r="L1767" i="1" s="1"/>
  <c r="K1768" i="1"/>
  <c r="L1768" i="1" s="1"/>
  <c r="K1769" i="1"/>
  <c r="L1769" i="1" s="1"/>
  <c r="K1770" i="1"/>
  <c r="L1770" i="1" s="1"/>
  <c r="K1771" i="1"/>
  <c r="L1771" i="1" s="1"/>
  <c r="K1772" i="1"/>
  <c r="L1772" i="1" s="1"/>
  <c r="K1773" i="1"/>
  <c r="L1773" i="1" s="1"/>
  <c r="K1774" i="1"/>
  <c r="L1774" i="1" s="1"/>
  <c r="K1775" i="1"/>
  <c r="L1775" i="1" s="1"/>
  <c r="K1776" i="1"/>
  <c r="L1776" i="1" s="1"/>
  <c r="K1777" i="1"/>
  <c r="L1777" i="1" s="1"/>
  <c r="K1778" i="1"/>
  <c r="L1778" i="1" s="1"/>
  <c r="K1779" i="1"/>
  <c r="L1779" i="1" s="1"/>
  <c r="K1780" i="1"/>
  <c r="L1780" i="1" s="1"/>
  <c r="K1781" i="1"/>
  <c r="L1781" i="1" s="1"/>
  <c r="K1782" i="1"/>
  <c r="L1782" i="1" s="1"/>
  <c r="K1783" i="1"/>
  <c r="L1783" i="1" s="1"/>
  <c r="K1784" i="1"/>
  <c r="L1784" i="1" s="1"/>
  <c r="K1785" i="1"/>
  <c r="L1785" i="1" s="1"/>
  <c r="K1786" i="1"/>
  <c r="L1786" i="1" s="1"/>
  <c r="K1787" i="1"/>
  <c r="L1787" i="1" s="1"/>
  <c r="K1788" i="1"/>
  <c r="L1788" i="1" s="1"/>
  <c r="K1789" i="1"/>
  <c r="L1789" i="1" s="1"/>
  <c r="K1790" i="1"/>
  <c r="L1790" i="1" s="1"/>
  <c r="K1791" i="1"/>
  <c r="L1791" i="1" s="1"/>
  <c r="K1792" i="1"/>
  <c r="L1792" i="1" s="1"/>
  <c r="K1793" i="1"/>
  <c r="L1793" i="1" s="1"/>
  <c r="K1794" i="1"/>
  <c r="L1794" i="1" s="1"/>
  <c r="K1795" i="1"/>
  <c r="L1795" i="1" s="1"/>
  <c r="K1796" i="1"/>
  <c r="L1796" i="1" s="1"/>
  <c r="K1797" i="1"/>
  <c r="L1797" i="1" s="1"/>
  <c r="K1798" i="1"/>
  <c r="L1798" i="1" s="1"/>
  <c r="K1799" i="1"/>
  <c r="L1799" i="1" s="1"/>
  <c r="K1800" i="1"/>
  <c r="L1800" i="1" s="1"/>
  <c r="K1801" i="1"/>
  <c r="L1801" i="1" s="1"/>
  <c r="K1802" i="1"/>
  <c r="L1802" i="1" s="1"/>
  <c r="K1803" i="1"/>
  <c r="L1803" i="1" s="1"/>
  <c r="K1804" i="1"/>
  <c r="L1804" i="1" s="1"/>
  <c r="K1805" i="1"/>
  <c r="L1805" i="1" s="1"/>
  <c r="K1806" i="1"/>
  <c r="L1806" i="1" s="1"/>
  <c r="K1807" i="1"/>
  <c r="L1807" i="1" s="1"/>
  <c r="K1808" i="1"/>
  <c r="L1808" i="1" s="1"/>
  <c r="K1809" i="1"/>
  <c r="L1809" i="1" s="1"/>
  <c r="K1810" i="1"/>
  <c r="L1810" i="1" s="1"/>
  <c r="K1811" i="1"/>
  <c r="L1811" i="1" s="1"/>
  <c r="K1812" i="1"/>
  <c r="L1812" i="1" s="1"/>
  <c r="K1813" i="1"/>
  <c r="L1813" i="1" s="1"/>
  <c r="K1814" i="1"/>
  <c r="L1814" i="1" s="1"/>
  <c r="K1815" i="1"/>
  <c r="L1815" i="1" s="1"/>
  <c r="K1816" i="1"/>
  <c r="L1816" i="1" s="1"/>
  <c r="K1817" i="1"/>
  <c r="L1817" i="1" s="1"/>
  <c r="K1818" i="1"/>
  <c r="L1818" i="1" s="1"/>
  <c r="K1819" i="1"/>
  <c r="L1819" i="1" s="1"/>
  <c r="K1820" i="1"/>
  <c r="L1820" i="1" s="1"/>
  <c r="K1821" i="1"/>
  <c r="L1821" i="1" s="1"/>
  <c r="K1822" i="1"/>
  <c r="L1822" i="1" s="1"/>
  <c r="K1823" i="1"/>
  <c r="L1823" i="1" s="1"/>
  <c r="K1824" i="1"/>
  <c r="L1824" i="1" s="1"/>
  <c r="K1825" i="1"/>
  <c r="L1825" i="1" s="1"/>
  <c r="K1826" i="1"/>
  <c r="L1826" i="1" s="1"/>
  <c r="K1827" i="1"/>
  <c r="L1827" i="1" s="1"/>
  <c r="K1828" i="1"/>
  <c r="L1828" i="1" s="1"/>
  <c r="K1829" i="1"/>
  <c r="L1829" i="1" s="1"/>
  <c r="K1830" i="1"/>
  <c r="L1830" i="1" s="1"/>
  <c r="K1831" i="1"/>
  <c r="L1831" i="1" s="1"/>
  <c r="K1832" i="1"/>
  <c r="L1832" i="1" s="1"/>
  <c r="K1833" i="1"/>
  <c r="L1833" i="1" s="1"/>
  <c r="K1834" i="1"/>
  <c r="L1834" i="1" s="1"/>
  <c r="K1835" i="1"/>
  <c r="L1835" i="1" s="1"/>
  <c r="K1836" i="1"/>
  <c r="L1836" i="1" s="1"/>
  <c r="K1837" i="1"/>
  <c r="L1837" i="1" s="1"/>
  <c r="K1838" i="1"/>
  <c r="L1838" i="1" s="1"/>
  <c r="K1839" i="1"/>
  <c r="L1839" i="1" s="1"/>
  <c r="K1840" i="1"/>
  <c r="L1840" i="1" s="1"/>
  <c r="K1841" i="1"/>
  <c r="L1841" i="1" s="1"/>
  <c r="K1842" i="1"/>
  <c r="L1842" i="1" s="1"/>
  <c r="K1843" i="1"/>
  <c r="L1843" i="1" s="1"/>
  <c r="K1844" i="1"/>
  <c r="L1844" i="1" s="1"/>
  <c r="K1845" i="1"/>
  <c r="L1845" i="1" s="1"/>
  <c r="K1846" i="1"/>
  <c r="L1846" i="1" s="1"/>
  <c r="K1847" i="1"/>
  <c r="L1847" i="1" s="1"/>
  <c r="K1848" i="1"/>
  <c r="L1848" i="1" s="1"/>
  <c r="K1849" i="1"/>
  <c r="L1849" i="1" s="1"/>
  <c r="K1850" i="1"/>
  <c r="L1850" i="1" s="1"/>
  <c r="K1851" i="1"/>
  <c r="L1851" i="1" s="1"/>
  <c r="K1852" i="1"/>
  <c r="L1852" i="1" s="1"/>
  <c r="K1853" i="1"/>
  <c r="L1853" i="1" s="1"/>
  <c r="K1854" i="1"/>
  <c r="L1854" i="1" s="1"/>
  <c r="K1855" i="1"/>
  <c r="L1855" i="1" s="1"/>
  <c r="K1856" i="1"/>
  <c r="L1856" i="1" s="1"/>
  <c r="K1857" i="1"/>
  <c r="L1857" i="1" s="1"/>
  <c r="K1858" i="1"/>
  <c r="L1858" i="1" s="1"/>
  <c r="K1859" i="1"/>
  <c r="L1859" i="1" s="1"/>
  <c r="K1860" i="1"/>
  <c r="L1860" i="1" s="1"/>
  <c r="K1861" i="1"/>
  <c r="L1861" i="1" s="1"/>
  <c r="K1862" i="1"/>
  <c r="L1862" i="1" s="1"/>
  <c r="K1863" i="1"/>
  <c r="L1863" i="1" s="1"/>
  <c r="K1864" i="1"/>
  <c r="L1864" i="1" s="1"/>
  <c r="K1865" i="1"/>
  <c r="L1865" i="1" s="1"/>
  <c r="K1866" i="1"/>
  <c r="L1866" i="1" s="1"/>
  <c r="K1867" i="1"/>
  <c r="L1867" i="1" s="1"/>
  <c r="K1868" i="1"/>
  <c r="L1868" i="1" s="1"/>
  <c r="K1869" i="1"/>
  <c r="L1869" i="1" s="1"/>
  <c r="K1870" i="1"/>
  <c r="L1870" i="1" s="1"/>
  <c r="K1871" i="1"/>
  <c r="L1871" i="1" s="1"/>
  <c r="K1872" i="1"/>
  <c r="L1872" i="1" s="1"/>
  <c r="K1873" i="1"/>
  <c r="L1873" i="1" s="1"/>
  <c r="K1874" i="1"/>
  <c r="L1874" i="1" s="1"/>
  <c r="K1875" i="1"/>
  <c r="L1875" i="1" s="1"/>
  <c r="K1876" i="1"/>
  <c r="L1876" i="1" s="1"/>
  <c r="K1877" i="1"/>
  <c r="L1877" i="1" s="1"/>
  <c r="K1878" i="1"/>
  <c r="L1878" i="1" s="1"/>
  <c r="K1879" i="1"/>
  <c r="L1879" i="1" s="1"/>
  <c r="K1880" i="1"/>
  <c r="L1880" i="1" s="1"/>
  <c r="K1881" i="1"/>
  <c r="L1881" i="1" s="1"/>
  <c r="K1882" i="1"/>
  <c r="L1882" i="1" s="1"/>
  <c r="K1883" i="1"/>
  <c r="L1883" i="1" s="1"/>
  <c r="K1884" i="1"/>
  <c r="L1884" i="1" s="1"/>
  <c r="K1885" i="1"/>
  <c r="L1885" i="1" s="1"/>
  <c r="K1886" i="1"/>
  <c r="L1886" i="1" s="1"/>
  <c r="K1887" i="1"/>
  <c r="L1887" i="1" s="1"/>
  <c r="K1888" i="1"/>
  <c r="L1888" i="1" s="1"/>
  <c r="K1889" i="1"/>
  <c r="L1889" i="1" s="1"/>
  <c r="K1890" i="1"/>
  <c r="L1890" i="1" s="1"/>
  <c r="K1891" i="1"/>
  <c r="L1891" i="1" s="1"/>
  <c r="K1892" i="1"/>
  <c r="L1892" i="1" s="1"/>
  <c r="K1893" i="1"/>
  <c r="L1893" i="1" s="1"/>
  <c r="K1894" i="1"/>
  <c r="L1894" i="1" s="1"/>
  <c r="K1895" i="1"/>
  <c r="L1895" i="1" s="1"/>
  <c r="K1896" i="1"/>
  <c r="L1896" i="1" s="1"/>
  <c r="K1897" i="1"/>
  <c r="L1897" i="1" s="1"/>
  <c r="K1898" i="1"/>
  <c r="L1898" i="1" s="1"/>
  <c r="K1899" i="1"/>
  <c r="L1899" i="1" s="1"/>
  <c r="K1900" i="1"/>
  <c r="L1900" i="1" s="1"/>
  <c r="K1901" i="1"/>
  <c r="L1901" i="1" s="1"/>
  <c r="K1902" i="1"/>
  <c r="L1902" i="1" s="1"/>
  <c r="K1903" i="1"/>
  <c r="L1903" i="1" s="1"/>
  <c r="K1904" i="1"/>
  <c r="L1904" i="1" s="1"/>
  <c r="K1905" i="1"/>
  <c r="L1905" i="1" s="1"/>
  <c r="K1906" i="1"/>
  <c r="L1906" i="1" s="1"/>
  <c r="K1907" i="1"/>
  <c r="L1907" i="1" s="1"/>
  <c r="K1908" i="1"/>
  <c r="L1908" i="1" s="1"/>
  <c r="K1909" i="1"/>
  <c r="L1909" i="1" s="1"/>
  <c r="K1910" i="1"/>
  <c r="L1910" i="1" s="1"/>
  <c r="K1911" i="1"/>
  <c r="L1911" i="1" s="1"/>
  <c r="K1912" i="1"/>
  <c r="L1912" i="1" s="1"/>
  <c r="K1913" i="1"/>
  <c r="L1913" i="1" s="1"/>
  <c r="K1914" i="1"/>
  <c r="L1914" i="1" s="1"/>
  <c r="K1915" i="1"/>
  <c r="L1915" i="1" s="1"/>
  <c r="K1916" i="1"/>
  <c r="L1916" i="1" s="1"/>
  <c r="K1917" i="1"/>
  <c r="L1917" i="1" s="1"/>
  <c r="K1918" i="1"/>
  <c r="L1918" i="1" s="1"/>
  <c r="K1919" i="1"/>
  <c r="L1919" i="1" s="1"/>
  <c r="K1920" i="1"/>
  <c r="L1920" i="1" s="1"/>
  <c r="K1921" i="1"/>
  <c r="L1921" i="1" s="1"/>
  <c r="K1922" i="1"/>
  <c r="L1922" i="1" s="1"/>
  <c r="K1923" i="1"/>
  <c r="L1923" i="1" s="1"/>
  <c r="K1924" i="1"/>
  <c r="L1924" i="1" s="1"/>
  <c r="K1925" i="1"/>
  <c r="L1925" i="1" s="1"/>
  <c r="K1926" i="1"/>
  <c r="L1926" i="1" s="1"/>
  <c r="K1927" i="1"/>
  <c r="L1927" i="1" s="1"/>
  <c r="K1928" i="1"/>
  <c r="L1928" i="1" s="1"/>
  <c r="K1929" i="1"/>
  <c r="L1929" i="1" s="1"/>
  <c r="K1930" i="1"/>
  <c r="L1930" i="1" s="1"/>
  <c r="K1931" i="1"/>
  <c r="L1931" i="1" s="1"/>
  <c r="K1932" i="1"/>
  <c r="L1932" i="1" s="1"/>
  <c r="K1933" i="1"/>
  <c r="L1933" i="1" s="1"/>
  <c r="K1934" i="1"/>
  <c r="L1934" i="1" s="1"/>
  <c r="K1935" i="1"/>
  <c r="L1935" i="1" s="1"/>
  <c r="K1936" i="1"/>
  <c r="L1936" i="1" s="1"/>
  <c r="K1937" i="1"/>
  <c r="L1937" i="1" s="1"/>
  <c r="K1938" i="1"/>
  <c r="L1938" i="1" s="1"/>
  <c r="K1939" i="1"/>
  <c r="L1939" i="1" s="1"/>
  <c r="K1940" i="1"/>
  <c r="L1940" i="1" s="1"/>
  <c r="K1941" i="1"/>
  <c r="L1941" i="1" s="1"/>
  <c r="K1942" i="1"/>
  <c r="L1942" i="1" s="1"/>
  <c r="K1943" i="1"/>
  <c r="L1943" i="1" s="1"/>
  <c r="K1944" i="1"/>
  <c r="L1944" i="1" s="1"/>
  <c r="K1945" i="1"/>
  <c r="L1945" i="1" s="1"/>
  <c r="K1946" i="1"/>
  <c r="L1946" i="1" s="1"/>
  <c r="K1947" i="1"/>
  <c r="L1947" i="1" s="1"/>
  <c r="K1948" i="1"/>
  <c r="L1948" i="1" s="1"/>
  <c r="K1949" i="1"/>
  <c r="L1949" i="1" s="1"/>
  <c r="K1950" i="1"/>
  <c r="L1950" i="1" s="1"/>
  <c r="K1951" i="1"/>
  <c r="L1951" i="1" s="1"/>
  <c r="K1952" i="1"/>
  <c r="L1952" i="1" s="1"/>
  <c r="K1953" i="1"/>
  <c r="L1953" i="1" s="1"/>
  <c r="K1954" i="1"/>
  <c r="L1954" i="1" s="1"/>
  <c r="K1955" i="1"/>
  <c r="L1955" i="1" s="1"/>
  <c r="K1956" i="1"/>
  <c r="L1956" i="1" s="1"/>
  <c r="K1957" i="1"/>
  <c r="L1957" i="1" s="1"/>
  <c r="K1958" i="1"/>
  <c r="L1958" i="1" s="1"/>
  <c r="K1959" i="1"/>
  <c r="L1959" i="1" s="1"/>
  <c r="K1960" i="1"/>
  <c r="L1960" i="1" s="1"/>
  <c r="K1961" i="1"/>
  <c r="L1961" i="1" s="1"/>
  <c r="K1962" i="1"/>
  <c r="L1962" i="1" s="1"/>
  <c r="K1963" i="1"/>
  <c r="L1963" i="1" s="1"/>
  <c r="K1964" i="1"/>
  <c r="L1964" i="1" s="1"/>
  <c r="K1965" i="1"/>
  <c r="L1965" i="1" s="1"/>
  <c r="K1966" i="1"/>
  <c r="L1966" i="1" s="1"/>
  <c r="K1967" i="1"/>
  <c r="L1967" i="1" s="1"/>
  <c r="K1968" i="1"/>
  <c r="L1968" i="1" s="1"/>
  <c r="K1969" i="1"/>
  <c r="L1969" i="1" s="1"/>
  <c r="K1970" i="1"/>
  <c r="L1970" i="1" s="1"/>
  <c r="K1971" i="1"/>
  <c r="L1971" i="1" s="1"/>
  <c r="K1972" i="1"/>
  <c r="L1972" i="1" s="1"/>
  <c r="K1973" i="1"/>
  <c r="L1973" i="1" s="1"/>
  <c r="K1974" i="1"/>
  <c r="L1974" i="1" s="1"/>
  <c r="K1975" i="1"/>
  <c r="L1975" i="1" s="1"/>
  <c r="K1976" i="1"/>
  <c r="L1976" i="1" s="1"/>
  <c r="K1977" i="1"/>
  <c r="L1977" i="1" s="1"/>
  <c r="K1978" i="1"/>
  <c r="L1978" i="1" s="1"/>
  <c r="K1979" i="1"/>
  <c r="L1979" i="1" s="1"/>
  <c r="K1980" i="1"/>
  <c r="L1980" i="1" s="1"/>
  <c r="K1981" i="1"/>
  <c r="L1981" i="1" s="1"/>
  <c r="K1982" i="1"/>
  <c r="L1982" i="1" s="1"/>
  <c r="K1983" i="1"/>
  <c r="L1983" i="1" s="1"/>
  <c r="K1984" i="1"/>
  <c r="L1984" i="1" s="1"/>
  <c r="K1985" i="1"/>
  <c r="L1985" i="1" s="1"/>
  <c r="K1986" i="1"/>
  <c r="L1986" i="1" s="1"/>
  <c r="K1987" i="1"/>
  <c r="L1987" i="1" s="1"/>
  <c r="K1988" i="1"/>
  <c r="L1988" i="1" s="1"/>
  <c r="K1989" i="1"/>
  <c r="L1989" i="1" s="1"/>
  <c r="K1990" i="1"/>
  <c r="L1990" i="1" s="1"/>
  <c r="K1991" i="1"/>
  <c r="L1991" i="1" s="1"/>
  <c r="K1992" i="1"/>
  <c r="L1992" i="1" s="1"/>
  <c r="K1993" i="1"/>
  <c r="L1993" i="1" s="1"/>
  <c r="K1994" i="1"/>
  <c r="L1994" i="1" s="1"/>
  <c r="K1995" i="1"/>
  <c r="L1995" i="1" s="1"/>
  <c r="K1996" i="1"/>
  <c r="L1996" i="1" s="1"/>
  <c r="K1997" i="1"/>
  <c r="L1997" i="1" s="1"/>
  <c r="K1998" i="1"/>
  <c r="L1998" i="1" s="1"/>
  <c r="K1999" i="1"/>
  <c r="L1999" i="1" s="1"/>
  <c r="K2000" i="1"/>
  <c r="L2000" i="1" s="1"/>
  <c r="K2001" i="1"/>
  <c r="L2001" i="1" s="1"/>
  <c r="K2002" i="1"/>
  <c r="L2002" i="1" s="1"/>
  <c r="K2003" i="1"/>
  <c r="L2003" i="1" s="1"/>
  <c r="K2004" i="1"/>
  <c r="L2004" i="1" s="1"/>
  <c r="K2005" i="1"/>
  <c r="L2005" i="1" s="1"/>
  <c r="K2006" i="1"/>
  <c r="L2006" i="1" s="1"/>
  <c r="K2007" i="1"/>
  <c r="L2007" i="1" s="1"/>
  <c r="K2008" i="1"/>
  <c r="L2008" i="1" s="1"/>
  <c r="K2009" i="1"/>
  <c r="L2009" i="1" s="1"/>
  <c r="K2010" i="1"/>
  <c r="L2010" i="1" s="1"/>
  <c r="K2011" i="1"/>
  <c r="L2011" i="1" s="1"/>
  <c r="K2012" i="1"/>
  <c r="L2012" i="1" s="1"/>
  <c r="K2013" i="1"/>
  <c r="L2013" i="1" s="1"/>
  <c r="K2014" i="1"/>
  <c r="L2014" i="1" s="1"/>
  <c r="K2015" i="1"/>
  <c r="L2015" i="1" s="1"/>
  <c r="K2016" i="1"/>
  <c r="L2016" i="1" s="1"/>
  <c r="K2017" i="1"/>
  <c r="L2017" i="1" s="1"/>
  <c r="K2018" i="1"/>
  <c r="L2018" i="1" s="1"/>
  <c r="K2019" i="1"/>
  <c r="L2019" i="1" s="1"/>
  <c r="K2020" i="1"/>
  <c r="L2020" i="1" s="1"/>
  <c r="K2021" i="1"/>
  <c r="L2021" i="1" s="1"/>
  <c r="K2022" i="1"/>
  <c r="L2022" i="1" s="1"/>
  <c r="K2023" i="1"/>
  <c r="L2023" i="1" s="1"/>
  <c r="K2024" i="1"/>
  <c r="L2024" i="1" s="1"/>
  <c r="K2025" i="1"/>
  <c r="L2025" i="1" s="1"/>
  <c r="K2026" i="1"/>
  <c r="L2026" i="1" s="1"/>
  <c r="K2027" i="1"/>
  <c r="L2027" i="1" s="1"/>
  <c r="K2028" i="1"/>
  <c r="L2028" i="1" s="1"/>
  <c r="K2029" i="1"/>
  <c r="L2029" i="1" s="1"/>
  <c r="K2030" i="1"/>
  <c r="L2030" i="1" s="1"/>
  <c r="K2031" i="1"/>
  <c r="L2031" i="1" s="1"/>
  <c r="K2032" i="1"/>
  <c r="L2032" i="1" s="1"/>
  <c r="K2033" i="1"/>
  <c r="L2033" i="1" s="1"/>
  <c r="K2034" i="1"/>
  <c r="L2034" i="1" s="1"/>
  <c r="K2035" i="1"/>
  <c r="L2035" i="1" s="1"/>
  <c r="K2036" i="1"/>
  <c r="L2036" i="1" s="1"/>
  <c r="K2037" i="1"/>
  <c r="L2037" i="1" s="1"/>
  <c r="K2038" i="1"/>
  <c r="L2038" i="1" s="1"/>
  <c r="K2039" i="1"/>
  <c r="L2039" i="1" s="1"/>
  <c r="K2040" i="1"/>
  <c r="L2040" i="1" s="1"/>
  <c r="K2041" i="1"/>
  <c r="L2041" i="1" s="1"/>
  <c r="K2042" i="1"/>
  <c r="L2042" i="1" s="1"/>
  <c r="K2043" i="1"/>
  <c r="L2043" i="1" s="1"/>
  <c r="K2044" i="1"/>
  <c r="L2044" i="1" s="1"/>
  <c r="K2045" i="1"/>
  <c r="L2045" i="1" s="1"/>
  <c r="K2046" i="1"/>
  <c r="L2046" i="1" s="1"/>
  <c r="K2047" i="1"/>
  <c r="L2047" i="1" s="1"/>
  <c r="K2048" i="1"/>
  <c r="L2048" i="1" s="1"/>
  <c r="K2049" i="1"/>
  <c r="L2049" i="1" s="1"/>
  <c r="K2050" i="1"/>
  <c r="L2050" i="1" s="1"/>
  <c r="K2051" i="1"/>
  <c r="L2051" i="1" s="1"/>
  <c r="K2052" i="1"/>
  <c r="L2052" i="1" s="1"/>
  <c r="K2053" i="1"/>
  <c r="L2053" i="1" s="1"/>
  <c r="K2054" i="1"/>
  <c r="L2054" i="1" s="1"/>
  <c r="K2055" i="1"/>
  <c r="L2055" i="1" s="1"/>
  <c r="K2056" i="1"/>
  <c r="L2056" i="1" s="1"/>
  <c r="K2057" i="1"/>
  <c r="L2057" i="1" s="1"/>
  <c r="K2058" i="1"/>
  <c r="L2058" i="1" s="1"/>
  <c r="K2059" i="1"/>
  <c r="L2059" i="1" s="1"/>
  <c r="K2060" i="1"/>
  <c r="L2060" i="1" s="1"/>
  <c r="K2061" i="1"/>
  <c r="L2061" i="1" s="1"/>
  <c r="K2062" i="1"/>
  <c r="L2062" i="1" s="1"/>
  <c r="K2063" i="1"/>
  <c r="L2063" i="1" s="1"/>
  <c r="K2064" i="1"/>
  <c r="L2064" i="1" s="1"/>
  <c r="K2065" i="1"/>
  <c r="L2065" i="1" s="1"/>
  <c r="K2066" i="1"/>
  <c r="L2066" i="1" s="1"/>
  <c r="K2067" i="1"/>
  <c r="L2067" i="1" s="1"/>
  <c r="K2068" i="1"/>
  <c r="L2068" i="1" s="1"/>
  <c r="K2069" i="1"/>
  <c r="L2069" i="1" s="1"/>
  <c r="K2070" i="1"/>
  <c r="L2070" i="1" s="1"/>
  <c r="K2071" i="1"/>
  <c r="L2071" i="1" s="1"/>
  <c r="K2072" i="1"/>
  <c r="L2072" i="1" s="1"/>
  <c r="K2073" i="1"/>
  <c r="L2073" i="1" s="1"/>
  <c r="K2074" i="1"/>
  <c r="L2074" i="1" s="1"/>
  <c r="K2075" i="1"/>
  <c r="L2075" i="1" s="1"/>
  <c r="K2076" i="1"/>
  <c r="L2076" i="1" s="1"/>
  <c r="K2077" i="1"/>
  <c r="L2077" i="1" s="1"/>
  <c r="K2078" i="1"/>
  <c r="L2078" i="1" s="1"/>
  <c r="K2079" i="1"/>
  <c r="L2079" i="1" s="1"/>
  <c r="K2080" i="1"/>
  <c r="L2080" i="1" s="1"/>
  <c r="K2081" i="1"/>
  <c r="L2081" i="1" s="1"/>
  <c r="K2082" i="1"/>
  <c r="L2082" i="1" s="1"/>
  <c r="K2083" i="1"/>
  <c r="L2083" i="1" s="1"/>
  <c r="K2084" i="1"/>
  <c r="L2084" i="1" s="1"/>
  <c r="K2085" i="1"/>
  <c r="L2085" i="1" s="1"/>
  <c r="K2086" i="1"/>
  <c r="L2086" i="1" s="1"/>
  <c r="K2087" i="1"/>
  <c r="L2087" i="1" s="1"/>
  <c r="K2088" i="1"/>
  <c r="L2088" i="1" s="1"/>
  <c r="K2089" i="1"/>
  <c r="L2089" i="1" s="1"/>
  <c r="K2090" i="1"/>
  <c r="L2090" i="1" s="1"/>
  <c r="K2091" i="1"/>
  <c r="L2091" i="1" s="1"/>
  <c r="K2092" i="1"/>
  <c r="L2092" i="1" s="1"/>
  <c r="K2093" i="1"/>
  <c r="L2093" i="1" s="1"/>
  <c r="K2094" i="1"/>
  <c r="L2094" i="1" s="1"/>
  <c r="K2095" i="1"/>
  <c r="L2095" i="1" s="1"/>
  <c r="K2096" i="1"/>
  <c r="L2096" i="1" s="1"/>
  <c r="K2097" i="1"/>
  <c r="L2097" i="1" s="1"/>
  <c r="K2098" i="1"/>
  <c r="L2098" i="1" s="1"/>
  <c r="K2099" i="1"/>
  <c r="L2099" i="1" s="1"/>
  <c r="K2100" i="1"/>
  <c r="L2100" i="1" s="1"/>
  <c r="K2101" i="1"/>
  <c r="L2101" i="1" s="1"/>
  <c r="K2102" i="1"/>
  <c r="L2102" i="1" s="1"/>
  <c r="K2103" i="1"/>
  <c r="L2103" i="1" s="1"/>
  <c r="K2104" i="1"/>
  <c r="L2104" i="1" s="1"/>
  <c r="K2105" i="1"/>
  <c r="L2105" i="1" s="1"/>
  <c r="K2106" i="1"/>
  <c r="L2106" i="1" s="1"/>
  <c r="K2107" i="1"/>
  <c r="L2107" i="1" s="1"/>
  <c r="K2108" i="1"/>
  <c r="L2108" i="1" s="1"/>
  <c r="K2109" i="1"/>
  <c r="L2109" i="1" s="1"/>
  <c r="K2110" i="1"/>
  <c r="L2110" i="1" s="1"/>
  <c r="K2111" i="1"/>
  <c r="L2111" i="1" s="1"/>
  <c r="K2112" i="1"/>
  <c r="L2112" i="1" s="1"/>
  <c r="K2113" i="1"/>
  <c r="L2113" i="1" s="1"/>
  <c r="K2114" i="1"/>
  <c r="L2114" i="1" s="1"/>
  <c r="K2115" i="1"/>
  <c r="L2115" i="1" s="1"/>
  <c r="K2116" i="1"/>
  <c r="L2116" i="1" s="1"/>
  <c r="K2117" i="1"/>
  <c r="L2117" i="1" s="1"/>
  <c r="K2118" i="1"/>
  <c r="L2118" i="1" s="1"/>
  <c r="K2119" i="1"/>
  <c r="L2119" i="1" s="1"/>
  <c r="K2120" i="1"/>
  <c r="L2120" i="1" s="1"/>
  <c r="K2121" i="1"/>
  <c r="L2121" i="1" s="1"/>
  <c r="K2122" i="1"/>
  <c r="L2122" i="1" s="1"/>
  <c r="K2123" i="1"/>
  <c r="L2123" i="1" s="1"/>
  <c r="K2124" i="1"/>
  <c r="L2124" i="1" s="1"/>
  <c r="K2125" i="1"/>
  <c r="L2125" i="1" s="1"/>
  <c r="K2126" i="1"/>
  <c r="L2126" i="1" s="1"/>
  <c r="K2127" i="1"/>
  <c r="L2127" i="1" s="1"/>
  <c r="K2128" i="1"/>
  <c r="L2128" i="1" s="1"/>
  <c r="K2129" i="1"/>
  <c r="L2129" i="1" s="1"/>
  <c r="K2130" i="1"/>
  <c r="L2130" i="1" s="1"/>
  <c r="K2131" i="1"/>
  <c r="L2131" i="1" s="1"/>
  <c r="K2132" i="1"/>
  <c r="L2132" i="1" s="1"/>
  <c r="K2133" i="1"/>
  <c r="L2133" i="1" s="1"/>
  <c r="K2134" i="1"/>
  <c r="L2134" i="1" s="1"/>
  <c r="K2135" i="1"/>
  <c r="L2135" i="1" s="1"/>
  <c r="K2136" i="1"/>
  <c r="L2136" i="1" s="1"/>
  <c r="K2137" i="1"/>
  <c r="L2137" i="1" s="1"/>
  <c r="K2138" i="1"/>
  <c r="L2138" i="1" s="1"/>
  <c r="K2139" i="1"/>
  <c r="L2139" i="1" s="1"/>
  <c r="K2140" i="1"/>
  <c r="L2140" i="1" s="1"/>
  <c r="K2141" i="1"/>
  <c r="L2141" i="1" s="1"/>
  <c r="K2142" i="1"/>
  <c r="L2142" i="1" s="1"/>
  <c r="K2143" i="1"/>
  <c r="L2143" i="1" s="1"/>
  <c r="K2144" i="1"/>
  <c r="L2144" i="1" s="1"/>
  <c r="K2145" i="1"/>
  <c r="L2145" i="1" s="1"/>
  <c r="K2146" i="1"/>
  <c r="L2146" i="1" s="1"/>
  <c r="K2147" i="1"/>
  <c r="L2147" i="1" s="1"/>
  <c r="K2148" i="1"/>
  <c r="L2148" i="1" s="1"/>
  <c r="K2149" i="1"/>
  <c r="L2149" i="1" s="1"/>
  <c r="K2150" i="1"/>
  <c r="L2150" i="1" s="1"/>
  <c r="K2151" i="1"/>
  <c r="L2151" i="1" s="1"/>
  <c r="K2152" i="1"/>
  <c r="L2152" i="1" s="1"/>
  <c r="K2153" i="1"/>
  <c r="L2153" i="1" s="1"/>
  <c r="K2154" i="1"/>
  <c r="L2154" i="1" s="1"/>
  <c r="K2155" i="1"/>
  <c r="L2155" i="1" s="1"/>
  <c r="K2156" i="1"/>
  <c r="L2156" i="1" s="1"/>
  <c r="K2157" i="1"/>
  <c r="L2157" i="1" s="1"/>
  <c r="K2158" i="1"/>
  <c r="L2158" i="1" s="1"/>
  <c r="K2159" i="1"/>
  <c r="L2159" i="1" s="1"/>
  <c r="K2160" i="1"/>
  <c r="L2160" i="1" s="1"/>
  <c r="K2161" i="1"/>
  <c r="L2161" i="1" s="1"/>
  <c r="K2162" i="1"/>
  <c r="L2162" i="1" s="1"/>
  <c r="K2163" i="1"/>
  <c r="L2163" i="1" s="1"/>
  <c r="K2164" i="1"/>
  <c r="L2164" i="1" s="1"/>
  <c r="K2165" i="1"/>
  <c r="L2165" i="1" s="1"/>
  <c r="K2166" i="1"/>
  <c r="L2166" i="1" s="1"/>
  <c r="K2167" i="1"/>
  <c r="L2167" i="1" s="1"/>
  <c r="K2168" i="1"/>
  <c r="L2168" i="1" s="1"/>
  <c r="K2169" i="1"/>
  <c r="L2169" i="1" s="1"/>
  <c r="K2170" i="1"/>
  <c r="L2170" i="1" s="1"/>
  <c r="K2171" i="1"/>
  <c r="L2171" i="1" s="1"/>
  <c r="K2172" i="1"/>
  <c r="L2172" i="1" s="1"/>
  <c r="K2173" i="1"/>
  <c r="L2173" i="1" s="1"/>
  <c r="K2174" i="1"/>
  <c r="L2174" i="1" s="1"/>
  <c r="K2175" i="1"/>
  <c r="L2175" i="1" s="1"/>
  <c r="K2176" i="1"/>
  <c r="L2176" i="1" s="1"/>
  <c r="K2177" i="1"/>
  <c r="L2177" i="1" s="1"/>
  <c r="K2178" i="1"/>
  <c r="L2178" i="1" s="1"/>
  <c r="K2179" i="1"/>
  <c r="L2179" i="1" s="1"/>
  <c r="K2180" i="1"/>
  <c r="L2180" i="1" s="1"/>
  <c r="K2181" i="1"/>
  <c r="L2181" i="1" s="1"/>
  <c r="K2182" i="1"/>
  <c r="L2182" i="1" s="1"/>
  <c r="K2183" i="1"/>
  <c r="L2183" i="1" s="1"/>
  <c r="K2184" i="1"/>
  <c r="L2184" i="1" s="1"/>
  <c r="K2185" i="1"/>
  <c r="L2185" i="1" s="1"/>
  <c r="K2186" i="1"/>
  <c r="L2186" i="1" s="1"/>
  <c r="K2187" i="1"/>
  <c r="L2187" i="1" s="1"/>
  <c r="K2188" i="1"/>
  <c r="L2188" i="1" s="1"/>
  <c r="K2189" i="1"/>
  <c r="L2189" i="1" s="1"/>
  <c r="K2190" i="1"/>
  <c r="L2190" i="1" s="1"/>
  <c r="K2191" i="1"/>
  <c r="L2191" i="1" s="1"/>
  <c r="K2192" i="1"/>
  <c r="L2192" i="1" s="1"/>
  <c r="K2193" i="1"/>
  <c r="L2193" i="1" s="1"/>
  <c r="K2194" i="1"/>
  <c r="L2194" i="1" s="1"/>
  <c r="K2195" i="1"/>
  <c r="L2195" i="1" s="1"/>
  <c r="K2196" i="1"/>
  <c r="L2196" i="1" s="1"/>
  <c r="K2197" i="1"/>
  <c r="L2197" i="1" s="1"/>
  <c r="K2198" i="1"/>
  <c r="L2198" i="1" s="1"/>
  <c r="K2199" i="1"/>
  <c r="L2199" i="1" s="1"/>
  <c r="K2200" i="1"/>
  <c r="L2200" i="1" s="1"/>
  <c r="K2201" i="1"/>
  <c r="L2201" i="1" s="1"/>
  <c r="K2202" i="1"/>
  <c r="L2202" i="1" s="1"/>
  <c r="K2203" i="1"/>
  <c r="L2203" i="1" s="1"/>
  <c r="K2204" i="1"/>
  <c r="L2204" i="1" s="1"/>
  <c r="K2205" i="1"/>
  <c r="L2205" i="1" s="1"/>
  <c r="K2206" i="1"/>
  <c r="L2206" i="1" s="1"/>
  <c r="K2207" i="1"/>
  <c r="L2207" i="1" s="1"/>
  <c r="K2208" i="1"/>
  <c r="L2208" i="1" s="1"/>
  <c r="K2209" i="1"/>
  <c r="L2209" i="1" s="1"/>
  <c r="K2210" i="1"/>
  <c r="L2210" i="1" s="1"/>
  <c r="K2211" i="1"/>
  <c r="L2211" i="1" s="1"/>
  <c r="K2212" i="1"/>
  <c r="L2212" i="1" s="1"/>
  <c r="K2213" i="1"/>
  <c r="L2213" i="1" s="1"/>
  <c r="K2214" i="1"/>
  <c r="L2214" i="1" s="1"/>
  <c r="K2215" i="1"/>
  <c r="L2215" i="1" s="1"/>
  <c r="K2216" i="1"/>
  <c r="L2216" i="1" s="1"/>
  <c r="K2217" i="1"/>
  <c r="L2217" i="1" s="1"/>
  <c r="K2218" i="1"/>
  <c r="L2218" i="1" s="1"/>
  <c r="K2219" i="1"/>
  <c r="L2219" i="1" s="1"/>
  <c r="K2220" i="1"/>
  <c r="L2220" i="1" s="1"/>
  <c r="K2221" i="1"/>
  <c r="L2221" i="1" s="1"/>
  <c r="K2222" i="1"/>
  <c r="L2222" i="1" s="1"/>
  <c r="K2223" i="1"/>
  <c r="L2223" i="1" s="1"/>
  <c r="K2224" i="1"/>
  <c r="L2224" i="1" s="1"/>
  <c r="K2225" i="1"/>
  <c r="L2225" i="1" s="1"/>
  <c r="K2226" i="1"/>
  <c r="L2226" i="1" s="1"/>
  <c r="K2227" i="1"/>
  <c r="L2227" i="1" s="1"/>
  <c r="K2228" i="1"/>
  <c r="L2228" i="1" s="1"/>
  <c r="K2229" i="1"/>
  <c r="L2229" i="1" s="1"/>
  <c r="K2230" i="1"/>
  <c r="L2230" i="1" s="1"/>
  <c r="K2231" i="1"/>
  <c r="L2231" i="1" s="1"/>
  <c r="K2232" i="1"/>
  <c r="L2232" i="1" s="1"/>
  <c r="K2233" i="1"/>
  <c r="L2233" i="1" s="1"/>
  <c r="K2234" i="1"/>
  <c r="L2234" i="1" s="1"/>
  <c r="K2235" i="1"/>
  <c r="L2235" i="1" s="1"/>
  <c r="K2236" i="1"/>
  <c r="L2236" i="1" s="1"/>
  <c r="K2237" i="1"/>
  <c r="L2237" i="1" s="1"/>
  <c r="K2238" i="1"/>
  <c r="L2238" i="1" s="1"/>
  <c r="K2239" i="1"/>
  <c r="L2239" i="1" s="1"/>
  <c r="K2240" i="1"/>
  <c r="L2240" i="1" s="1"/>
  <c r="K2241" i="1"/>
  <c r="L2241" i="1" s="1"/>
  <c r="K2242" i="1"/>
  <c r="L2242" i="1" s="1"/>
  <c r="K2243" i="1"/>
  <c r="L2243" i="1" s="1"/>
  <c r="K2244" i="1"/>
  <c r="L2244" i="1" s="1"/>
  <c r="K2245" i="1"/>
  <c r="L2245" i="1" s="1"/>
  <c r="K2246" i="1"/>
  <c r="L2246" i="1" s="1"/>
  <c r="K2247" i="1"/>
  <c r="L2247" i="1" s="1"/>
  <c r="K2248" i="1"/>
  <c r="L2248" i="1" s="1"/>
  <c r="K2249" i="1"/>
  <c r="L2249" i="1" s="1"/>
  <c r="K2250" i="1"/>
  <c r="L2250" i="1" s="1"/>
  <c r="K2251" i="1"/>
  <c r="L2251" i="1" s="1"/>
  <c r="K2252" i="1"/>
  <c r="L2252" i="1" s="1"/>
  <c r="K2253" i="1"/>
  <c r="L2253" i="1" s="1"/>
  <c r="K2254" i="1"/>
  <c r="L2254" i="1" s="1"/>
  <c r="K2255" i="1"/>
  <c r="L2255" i="1" s="1"/>
  <c r="K2256" i="1"/>
  <c r="L2256" i="1" s="1"/>
  <c r="K2257" i="1"/>
  <c r="L2257" i="1" s="1"/>
  <c r="K2258" i="1"/>
  <c r="L2258" i="1" s="1"/>
  <c r="K2259" i="1"/>
  <c r="L2259" i="1" s="1"/>
  <c r="K2260" i="1"/>
  <c r="L2260" i="1" s="1"/>
  <c r="K2261" i="1"/>
  <c r="L2261" i="1" s="1"/>
  <c r="K2262" i="1"/>
  <c r="L2262" i="1" s="1"/>
  <c r="K2263" i="1"/>
  <c r="L2263" i="1" s="1"/>
  <c r="K2264" i="1"/>
  <c r="L2264" i="1" s="1"/>
  <c r="K2265" i="1"/>
  <c r="L2265" i="1" s="1"/>
  <c r="K2266" i="1"/>
  <c r="L2266" i="1" s="1"/>
  <c r="K2267" i="1"/>
  <c r="L2267" i="1" s="1"/>
  <c r="K2268" i="1"/>
  <c r="L2268" i="1" s="1"/>
  <c r="K2269" i="1"/>
  <c r="L2269" i="1" s="1"/>
  <c r="K2270" i="1"/>
  <c r="L2270" i="1" s="1"/>
  <c r="K2271" i="1"/>
  <c r="L2271" i="1" s="1"/>
  <c r="K2272" i="1"/>
  <c r="L2272" i="1" s="1"/>
  <c r="K2273" i="1"/>
  <c r="L2273" i="1" s="1"/>
  <c r="K2274" i="1"/>
  <c r="L2274" i="1" s="1"/>
  <c r="K2275" i="1"/>
  <c r="L2275" i="1" s="1"/>
  <c r="K2276" i="1"/>
  <c r="L2276" i="1" s="1"/>
  <c r="K2277" i="1"/>
  <c r="L2277" i="1" s="1"/>
  <c r="K2278" i="1"/>
  <c r="L2278" i="1" s="1"/>
  <c r="K2279" i="1"/>
  <c r="L2279" i="1" s="1"/>
  <c r="K2280" i="1"/>
  <c r="L2280" i="1" s="1"/>
  <c r="K2281" i="1"/>
  <c r="L2281" i="1" s="1"/>
  <c r="K2282" i="1"/>
  <c r="L2282" i="1" s="1"/>
  <c r="K2283" i="1"/>
  <c r="L2283" i="1" s="1"/>
  <c r="K2284" i="1"/>
  <c r="L2284" i="1" s="1"/>
  <c r="K2285" i="1"/>
  <c r="L2285" i="1" s="1"/>
  <c r="K2286" i="1"/>
  <c r="L2286" i="1" s="1"/>
  <c r="K2287" i="1"/>
  <c r="L2287" i="1" s="1"/>
  <c r="K2288" i="1"/>
  <c r="L2288" i="1" s="1"/>
  <c r="K2289" i="1"/>
  <c r="L2289" i="1" s="1"/>
  <c r="K2290" i="1"/>
  <c r="L2290" i="1" s="1"/>
  <c r="K2291" i="1"/>
  <c r="L2291" i="1" s="1"/>
  <c r="K2292" i="1"/>
  <c r="L2292" i="1" s="1"/>
  <c r="K2293" i="1"/>
  <c r="L2293" i="1" s="1"/>
  <c r="K2294" i="1"/>
  <c r="L2294" i="1" s="1"/>
  <c r="K2295" i="1"/>
  <c r="L2295" i="1" s="1"/>
  <c r="K2296" i="1"/>
  <c r="L2296" i="1" s="1"/>
  <c r="K2297" i="1"/>
  <c r="L2297" i="1" s="1"/>
  <c r="K2298" i="1"/>
  <c r="L2298" i="1" s="1"/>
  <c r="K2299" i="1"/>
  <c r="L2299" i="1" s="1"/>
  <c r="K2300" i="1"/>
  <c r="L2300" i="1" s="1"/>
  <c r="K2301" i="1"/>
  <c r="L2301" i="1" s="1"/>
  <c r="K2302" i="1"/>
  <c r="L2302" i="1" s="1"/>
  <c r="K2303" i="1"/>
  <c r="L2303" i="1" s="1"/>
  <c r="K2304" i="1"/>
  <c r="L2304" i="1" s="1"/>
  <c r="K2305" i="1"/>
  <c r="L2305" i="1" s="1"/>
  <c r="K2306" i="1"/>
  <c r="L2306" i="1" s="1"/>
  <c r="K2307" i="1"/>
  <c r="L2307" i="1" s="1"/>
  <c r="K2308" i="1"/>
  <c r="L2308" i="1" s="1"/>
  <c r="K2309" i="1"/>
  <c r="L2309" i="1" s="1"/>
  <c r="K2310" i="1"/>
  <c r="L2310" i="1" s="1"/>
  <c r="K2311" i="1"/>
  <c r="L2311" i="1" s="1"/>
  <c r="K2312" i="1"/>
  <c r="L2312" i="1" s="1"/>
  <c r="K2313" i="1"/>
  <c r="L2313" i="1" s="1"/>
  <c r="K2314" i="1"/>
  <c r="L2314" i="1" s="1"/>
  <c r="K2315" i="1"/>
  <c r="L2315" i="1" s="1"/>
  <c r="K2316" i="1"/>
  <c r="L2316" i="1" s="1"/>
  <c r="K2317" i="1"/>
  <c r="L2317" i="1" s="1"/>
  <c r="K2318" i="1"/>
  <c r="L2318" i="1" s="1"/>
  <c r="K2319" i="1"/>
  <c r="L2319" i="1" s="1"/>
  <c r="K2320" i="1"/>
  <c r="L2320" i="1" s="1"/>
  <c r="K2321" i="1"/>
  <c r="L2321" i="1" s="1"/>
  <c r="K2322" i="1"/>
  <c r="L2322" i="1" s="1"/>
  <c r="K2323" i="1"/>
  <c r="L2323" i="1" s="1"/>
  <c r="K2324" i="1"/>
  <c r="L2324" i="1" s="1"/>
  <c r="K2325" i="1"/>
  <c r="L2325" i="1" s="1"/>
  <c r="K2326" i="1"/>
  <c r="L2326" i="1" s="1"/>
  <c r="K2327" i="1"/>
  <c r="L2327" i="1" s="1"/>
  <c r="K2328" i="1"/>
  <c r="L2328" i="1" s="1"/>
  <c r="K2329" i="1"/>
  <c r="L2329" i="1" s="1"/>
  <c r="K2330" i="1"/>
  <c r="L2330" i="1" s="1"/>
  <c r="K2331" i="1"/>
  <c r="L2331" i="1" s="1"/>
  <c r="K2332" i="1"/>
  <c r="L2332" i="1" s="1"/>
  <c r="K2333" i="1"/>
  <c r="L2333" i="1" s="1"/>
  <c r="K2334" i="1"/>
  <c r="L2334" i="1" s="1"/>
  <c r="K2335" i="1"/>
  <c r="L2335" i="1" s="1"/>
  <c r="K2336" i="1"/>
  <c r="L2336" i="1" s="1"/>
  <c r="K2337" i="1"/>
  <c r="L2337" i="1" s="1"/>
  <c r="K2338" i="1"/>
  <c r="L2338" i="1" s="1"/>
  <c r="K2339" i="1"/>
  <c r="L2339" i="1" s="1"/>
  <c r="K2340" i="1"/>
  <c r="L2340" i="1" s="1"/>
  <c r="K2341" i="1"/>
  <c r="L2341" i="1" s="1"/>
  <c r="K2342" i="1"/>
  <c r="L2342" i="1" s="1"/>
  <c r="K2343" i="1"/>
  <c r="L2343" i="1" s="1"/>
  <c r="K2344" i="1"/>
  <c r="L2344" i="1" s="1"/>
  <c r="K2345" i="1"/>
  <c r="L2345" i="1" s="1"/>
  <c r="K2346" i="1"/>
  <c r="L2346" i="1" s="1"/>
  <c r="K2347" i="1"/>
  <c r="L2347" i="1" s="1"/>
  <c r="K2348" i="1"/>
  <c r="L2348" i="1" s="1"/>
  <c r="K2349" i="1"/>
  <c r="L2349" i="1" s="1"/>
  <c r="K2350" i="1"/>
  <c r="L2350" i="1" s="1"/>
  <c r="K2351" i="1"/>
  <c r="L2351" i="1" s="1"/>
  <c r="K2352" i="1"/>
  <c r="L2352" i="1" s="1"/>
  <c r="K2353" i="1"/>
  <c r="L2353" i="1" s="1"/>
  <c r="K2354" i="1"/>
  <c r="L2354" i="1" s="1"/>
  <c r="K2355" i="1"/>
  <c r="L2355" i="1" s="1"/>
  <c r="K2356" i="1"/>
  <c r="L2356" i="1" s="1"/>
  <c r="K2357" i="1"/>
  <c r="L2357" i="1" s="1"/>
  <c r="K2358" i="1"/>
  <c r="L2358" i="1" s="1"/>
  <c r="K2359" i="1"/>
  <c r="L2359" i="1" s="1"/>
  <c r="K2360" i="1"/>
  <c r="L2360" i="1" s="1"/>
  <c r="K2361" i="1"/>
  <c r="L2361" i="1" s="1"/>
  <c r="K2362" i="1"/>
  <c r="L2362" i="1" s="1"/>
  <c r="K2363" i="1"/>
  <c r="L2363" i="1" s="1"/>
  <c r="K2364" i="1"/>
  <c r="L2364" i="1" s="1"/>
  <c r="K2365" i="1"/>
  <c r="L2365" i="1" s="1"/>
  <c r="K2366" i="1"/>
  <c r="L2366" i="1" s="1"/>
  <c r="K2367" i="1"/>
  <c r="L2367" i="1" s="1"/>
  <c r="K2368" i="1"/>
  <c r="L2368" i="1" s="1"/>
  <c r="K2369" i="1"/>
  <c r="L2369" i="1" s="1"/>
  <c r="K2370" i="1"/>
  <c r="L2370" i="1" s="1"/>
  <c r="K2371" i="1"/>
  <c r="L2371" i="1" s="1"/>
  <c r="K2372" i="1"/>
  <c r="L2372" i="1" s="1"/>
  <c r="K2373" i="1"/>
  <c r="L2373" i="1" s="1"/>
  <c r="K2374" i="1"/>
  <c r="L2374" i="1" s="1"/>
  <c r="K2375" i="1"/>
  <c r="L2375" i="1" s="1"/>
  <c r="K2376" i="1"/>
  <c r="L2376" i="1" s="1"/>
  <c r="K2377" i="1"/>
  <c r="L2377" i="1" s="1"/>
  <c r="K2378" i="1"/>
  <c r="L2378" i="1" s="1"/>
  <c r="K2379" i="1"/>
  <c r="L2379" i="1" s="1"/>
  <c r="K2380" i="1"/>
  <c r="L2380" i="1" s="1"/>
  <c r="K2381" i="1"/>
  <c r="L2381" i="1" s="1"/>
  <c r="K2382" i="1"/>
  <c r="L2382" i="1" s="1"/>
  <c r="K2383" i="1"/>
  <c r="L2383" i="1" s="1"/>
  <c r="K2384" i="1"/>
  <c r="L2384" i="1" s="1"/>
  <c r="K2385" i="1"/>
  <c r="L2385" i="1" s="1"/>
  <c r="K2386" i="1"/>
  <c r="L2386" i="1" s="1"/>
  <c r="K2387" i="1"/>
  <c r="L2387" i="1" s="1"/>
  <c r="K2388" i="1"/>
  <c r="L2388" i="1" s="1"/>
  <c r="K2389" i="1"/>
  <c r="L2389" i="1" s="1"/>
  <c r="K2390" i="1"/>
  <c r="L2390" i="1" s="1"/>
  <c r="K2391" i="1"/>
  <c r="L2391" i="1" s="1"/>
  <c r="K2392" i="1"/>
  <c r="L2392" i="1" s="1"/>
  <c r="K2393" i="1"/>
  <c r="L2393" i="1" s="1"/>
  <c r="K2394" i="1"/>
  <c r="L2394" i="1" s="1"/>
  <c r="K2395" i="1"/>
  <c r="L2395" i="1" s="1"/>
  <c r="K2396" i="1"/>
  <c r="L2396" i="1" s="1"/>
  <c r="K2397" i="1"/>
  <c r="L2397" i="1" s="1"/>
  <c r="K2398" i="1"/>
  <c r="L2398" i="1" s="1"/>
  <c r="K2399" i="1"/>
  <c r="L2399" i="1" s="1"/>
  <c r="K2400" i="1"/>
  <c r="L2400" i="1" s="1"/>
  <c r="K2401" i="1"/>
  <c r="L2401" i="1" s="1"/>
  <c r="K2402" i="1"/>
  <c r="L2402" i="1" s="1"/>
  <c r="K2403" i="1"/>
  <c r="L2403" i="1" s="1"/>
  <c r="K2404" i="1"/>
  <c r="L2404" i="1" s="1"/>
  <c r="K2405" i="1"/>
  <c r="L2405" i="1" s="1"/>
  <c r="K2406" i="1"/>
  <c r="L2406" i="1" s="1"/>
  <c r="K2407" i="1"/>
  <c r="L2407" i="1" s="1"/>
  <c r="K2408" i="1"/>
  <c r="L2408" i="1" s="1"/>
  <c r="K2409" i="1"/>
  <c r="L2409" i="1" s="1"/>
  <c r="K2410" i="1"/>
  <c r="L2410" i="1" s="1"/>
  <c r="K2411" i="1"/>
  <c r="L2411" i="1" s="1"/>
  <c r="K2412" i="1"/>
  <c r="L2412" i="1" s="1"/>
  <c r="K2413" i="1"/>
  <c r="L2413" i="1" s="1"/>
  <c r="K2414" i="1"/>
  <c r="L2414" i="1" s="1"/>
  <c r="K2415" i="1"/>
  <c r="L2415" i="1" s="1"/>
  <c r="K2416" i="1"/>
  <c r="L2416" i="1" s="1"/>
  <c r="K2417" i="1"/>
  <c r="L2417" i="1" s="1"/>
  <c r="K2418" i="1"/>
  <c r="L2418" i="1" s="1"/>
  <c r="K2419" i="1"/>
  <c r="L2419" i="1" s="1"/>
  <c r="K2420" i="1"/>
  <c r="L2420" i="1" s="1"/>
  <c r="K2421" i="1"/>
  <c r="L2421" i="1" s="1"/>
  <c r="K2422" i="1"/>
  <c r="L2422" i="1" s="1"/>
  <c r="K2423" i="1"/>
  <c r="L2423" i="1" s="1"/>
  <c r="K2424" i="1"/>
  <c r="L2424" i="1" s="1"/>
  <c r="K2425" i="1"/>
  <c r="L2425" i="1" s="1"/>
  <c r="K2426" i="1"/>
  <c r="L2426" i="1" s="1"/>
  <c r="K2427" i="1"/>
  <c r="L2427" i="1" s="1"/>
  <c r="K2428" i="1"/>
  <c r="L2428" i="1" s="1"/>
  <c r="K2429" i="1"/>
  <c r="L2429" i="1" s="1"/>
  <c r="K2430" i="1"/>
  <c r="L2430" i="1" s="1"/>
  <c r="K2431" i="1"/>
  <c r="L2431" i="1" s="1"/>
  <c r="K2432" i="1"/>
  <c r="L2432" i="1" s="1"/>
  <c r="K2433" i="1"/>
  <c r="L2433" i="1" s="1"/>
  <c r="K2434" i="1"/>
  <c r="L2434" i="1" s="1"/>
  <c r="K2435" i="1"/>
  <c r="L2435" i="1" s="1"/>
  <c r="K2436" i="1"/>
  <c r="L2436" i="1" s="1"/>
  <c r="K2437" i="1"/>
  <c r="L2437" i="1" s="1"/>
  <c r="K2438" i="1"/>
  <c r="L2438" i="1" s="1"/>
  <c r="K2439" i="1"/>
  <c r="L2439" i="1" s="1"/>
  <c r="K2440" i="1"/>
  <c r="L2440" i="1" s="1"/>
  <c r="K2441" i="1"/>
  <c r="L2441" i="1" s="1"/>
  <c r="K2442" i="1"/>
  <c r="L2442" i="1" s="1"/>
  <c r="K2443" i="1"/>
  <c r="L2443" i="1" s="1"/>
  <c r="K2444" i="1"/>
  <c r="L2444" i="1" s="1"/>
  <c r="K2445" i="1"/>
  <c r="L2445" i="1" s="1"/>
  <c r="K2446" i="1"/>
  <c r="L2446" i="1" s="1"/>
  <c r="K2447" i="1"/>
  <c r="L2447" i="1" s="1"/>
  <c r="K2448" i="1"/>
  <c r="L2448" i="1" s="1"/>
  <c r="K2449" i="1"/>
  <c r="L2449" i="1" s="1"/>
  <c r="K2450" i="1"/>
  <c r="L2450" i="1" s="1"/>
  <c r="K2451" i="1"/>
  <c r="L2451" i="1" s="1"/>
  <c r="K2452" i="1"/>
  <c r="L2452" i="1" s="1"/>
  <c r="K2453" i="1"/>
  <c r="L2453" i="1" s="1"/>
  <c r="K2454" i="1"/>
  <c r="L2454" i="1" s="1"/>
  <c r="K2455" i="1"/>
  <c r="L2455" i="1" s="1"/>
  <c r="K2456" i="1"/>
  <c r="L2456" i="1" s="1"/>
  <c r="K2457" i="1"/>
  <c r="L2457" i="1" s="1"/>
  <c r="K2458" i="1"/>
  <c r="L2458" i="1" s="1"/>
  <c r="K2459" i="1"/>
  <c r="L2459" i="1" s="1"/>
  <c r="K2460" i="1"/>
  <c r="L2460" i="1" s="1"/>
  <c r="K2461" i="1"/>
  <c r="L2461" i="1" s="1"/>
  <c r="K2462" i="1"/>
  <c r="L2462" i="1" s="1"/>
  <c r="K2463" i="1"/>
  <c r="L2463" i="1" s="1"/>
  <c r="K2464" i="1"/>
  <c r="L2464" i="1" s="1"/>
  <c r="K2465" i="1"/>
  <c r="L2465" i="1" s="1"/>
  <c r="K2466" i="1"/>
  <c r="L2466" i="1" s="1"/>
  <c r="K2467" i="1"/>
  <c r="L2467" i="1" s="1"/>
  <c r="K2468" i="1"/>
  <c r="L2468" i="1" s="1"/>
  <c r="K2469" i="1"/>
  <c r="L2469" i="1" s="1"/>
  <c r="K2470" i="1"/>
  <c r="L2470" i="1" s="1"/>
  <c r="K2471" i="1"/>
  <c r="L2471" i="1" s="1"/>
  <c r="K2472" i="1"/>
  <c r="L2472" i="1" s="1"/>
  <c r="K2473" i="1"/>
  <c r="L2473" i="1" s="1"/>
  <c r="K2474" i="1"/>
  <c r="L2474" i="1" s="1"/>
  <c r="K2475" i="1"/>
  <c r="L2475" i="1" s="1"/>
  <c r="K2476" i="1"/>
  <c r="L2476" i="1" s="1"/>
  <c r="K2477" i="1"/>
  <c r="L2477" i="1" s="1"/>
  <c r="K2478" i="1"/>
  <c r="L2478" i="1" s="1"/>
  <c r="K2479" i="1"/>
  <c r="L2479" i="1" s="1"/>
  <c r="K2480" i="1"/>
  <c r="L2480" i="1" s="1"/>
  <c r="K2481" i="1"/>
  <c r="L2481" i="1" s="1"/>
  <c r="K2482" i="1"/>
  <c r="L2482" i="1" s="1"/>
  <c r="K2483" i="1"/>
  <c r="L2483" i="1" s="1"/>
  <c r="K2484" i="1"/>
  <c r="L2484" i="1" s="1"/>
  <c r="K2485" i="1"/>
  <c r="L2485" i="1" s="1"/>
  <c r="K2486" i="1"/>
  <c r="L2486" i="1" s="1"/>
  <c r="K2487" i="1"/>
  <c r="L2487" i="1" s="1"/>
  <c r="K2488" i="1"/>
  <c r="L2488" i="1" s="1"/>
  <c r="K2489" i="1"/>
  <c r="L2489" i="1" s="1"/>
  <c r="K2490" i="1"/>
  <c r="L2490" i="1" s="1"/>
  <c r="K2491" i="1"/>
  <c r="L2491" i="1" s="1"/>
  <c r="K2492" i="1"/>
  <c r="L2492" i="1" s="1"/>
  <c r="K2493" i="1"/>
  <c r="L2493" i="1" s="1"/>
  <c r="K2494" i="1"/>
  <c r="L2494" i="1" s="1"/>
  <c r="K2495" i="1"/>
  <c r="L2495" i="1" s="1"/>
  <c r="K2496" i="1"/>
  <c r="L2496" i="1" s="1"/>
  <c r="K2497" i="1"/>
  <c r="L2497" i="1" s="1"/>
  <c r="K2498" i="1"/>
  <c r="L2498" i="1" s="1"/>
  <c r="K2499" i="1"/>
  <c r="L2499" i="1" s="1"/>
  <c r="K2500" i="1"/>
  <c r="L2500" i="1" s="1"/>
  <c r="K2501" i="1"/>
  <c r="L2501" i="1" s="1"/>
  <c r="K2502" i="1"/>
  <c r="L2502" i="1" s="1"/>
  <c r="K2503" i="1"/>
  <c r="L2503" i="1" s="1"/>
  <c r="K2504" i="1"/>
  <c r="L2504" i="1" s="1"/>
  <c r="K2505" i="1"/>
  <c r="L2505" i="1" s="1"/>
  <c r="K2506" i="1"/>
  <c r="L2506" i="1" s="1"/>
  <c r="K2507" i="1"/>
  <c r="L2507" i="1" s="1"/>
  <c r="K2508" i="1"/>
  <c r="L2508" i="1" s="1"/>
  <c r="K2509" i="1"/>
  <c r="L2509" i="1" s="1"/>
  <c r="K2510" i="1"/>
  <c r="L2510" i="1" s="1"/>
  <c r="K2511" i="1"/>
  <c r="L2511" i="1" s="1"/>
  <c r="K2512" i="1"/>
  <c r="L2512" i="1" s="1"/>
  <c r="K2513" i="1"/>
  <c r="L2513" i="1" s="1"/>
  <c r="K2514" i="1"/>
  <c r="L2514" i="1" s="1"/>
  <c r="K2515" i="1"/>
  <c r="L2515" i="1" s="1"/>
  <c r="K2516" i="1"/>
  <c r="L2516" i="1" s="1"/>
  <c r="K2517" i="1"/>
  <c r="L2517" i="1" s="1"/>
  <c r="K2518" i="1"/>
  <c r="L2518" i="1" s="1"/>
  <c r="K2519" i="1"/>
  <c r="L2519" i="1" s="1"/>
  <c r="K2520" i="1"/>
  <c r="L2520" i="1" s="1"/>
  <c r="K2521" i="1"/>
  <c r="L2521" i="1" s="1"/>
  <c r="K2522" i="1"/>
  <c r="L2522" i="1" s="1"/>
  <c r="K2523" i="1"/>
  <c r="L2523" i="1" s="1"/>
  <c r="K2524" i="1"/>
  <c r="L2524" i="1" s="1"/>
  <c r="K2525" i="1"/>
  <c r="L2525" i="1" s="1"/>
  <c r="K2526" i="1"/>
  <c r="L2526" i="1" s="1"/>
  <c r="K2527" i="1"/>
  <c r="L2527" i="1" s="1"/>
  <c r="K2528" i="1"/>
  <c r="L2528" i="1" s="1"/>
  <c r="K2529" i="1"/>
  <c r="L2529" i="1" s="1"/>
  <c r="K2530" i="1"/>
  <c r="L2530" i="1" s="1"/>
  <c r="K2531" i="1"/>
  <c r="L2531" i="1" s="1"/>
  <c r="K2532" i="1"/>
  <c r="L2532" i="1" s="1"/>
  <c r="K2533" i="1"/>
  <c r="L2533" i="1" s="1"/>
  <c r="K2534" i="1"/>
  <c r="L2534" i="1" s="1"/>
  <c r="K2535" i="1"/>
  <c r="L2535" i="1" s="1"/>
  <c r="K2536" i="1"/>
  <c r="L2536" i="1" s="1"/>
  <c r="K2537" i="1"/>
  <c r="L2537" i="1" s="1"/>
  <c r="K2538" i="1"/>
  <c r="L2538" i="1" s="1"/>
  <c r="K2539" i="1"/>
  <c r="L2539" i="1" s="1"/>
  <c r="K2540" i="1"/>
  <c r="L2540" i="1" s="1"/>
  <c r="K2541" i="1"/>
  <c r="L2541" i="1" s="1"/>
  <c r="K2542" i="1"/>
  <c r="L2542" i="1" s="1"/>
  <c r="K2543" i="1"/>
  <c r="L2543" i="1" s="1"/>
  <c r="K2544" i="1"/>
  <c r="L2544" i="1" s="1"/>
  <c r="K2545" i="1"/>
  <c r="L2545" i="1" s="1"/>
  <c r="K2546" i="1"/>
  <c r="L2546" i="1" s="1"/>
  <c r="K2547" i="1"/>
  <c r="L2547" i="1" s="1"/>
  <c r="K2548" i="1"/>
  <c r="L2548" i="1" s="1"/>
  <c r="K2549" i="1"/>
  <c r="L2549" i="1" s="1"/>
  <c r="K2550" i="1"/>
  <c r="L2550" i="1" s="1"/>
  <c r="K2551" i="1"/>
  <c r="L2551" i="1" s="1"/>
  <c r="K2552" i="1"/>
  <c r="L2552" i="1" s="1"/>
  <c r="K2553" i="1"/>
  <c r="L2553" i="1" s="1"/>
  <c r="K2554" i="1"/>
  <c r="L2554" i="1" s="1"/>
  <c r="K2555" i="1"/>
  <c r="L2555" i="1" s="1"/>
  <c r="K2556" i="1"/>
  <c r="L2556" i="1" s="1"/>
  <c r="K2557" i="1"/>
  <c r="L2557" i="1" s="1"/>
  <c r="K2558" i="1"/>
  <c r="L2558" i="1" s="1"/>
  <c r="K2559" i="1"/>
  <c r="L2559" i="1" s="1"/>
  <c r="K2560" i="1"/>
  <c r="L2560" i="1" s="1"/>
  <c r="K2561" i="1"/>
  <c r="L2561" i="1" s="1"/>
  <c r="K2562" i="1"/>
  <c r="L2562" i="1" s="1"/>
  <c r="K2563" i="1"/>
  <c r="L2563" i="1" s="1"/>
  <c r="K2564" i="1"/>
  <c r="L2564" i="1" s="1"/>
  <c r="K2565" i="1"/>
  <c r="L2565" i="1" s="1"/>
  <c r="K2566" i="1"/>
  <c r="L2566" i="1" s="1"/>
  <c r="K2567" i="1"/>
  <c r="L2567" i="1" s="1"/>
  <c r="K2568" i="1"/>
  <c r="L2568" i="1" s="1"/>
  <c r="K2569" i="1"/>
  <c r="L2569" i="1" s="1"/>
  <c r="K2570" i="1"/>
  <c r="L2570" i="1" s="1"/>
  <c r="K2571" i="1"/>
  <c r="L2571" i="1" s="1"/>
  <c r="K2572" i="1"/>
  <c r="L2572" i="1" s="1"/>
  <c r="K2573" i="1"/>
  <c r="L2573" i="1" s="1"/>
  <c r="K2574" i="1"/>
  <c r="L2574" i="1" s="1"/>
  <c r="K2575" i="1"/>
  <c r="L2575" i="1" s="1"/>
  <c r="K2576" i="1"/>
  <c r="L2576" i="1" s="1"/>
  <c r="K2577" i="1"/>
  <c r="L2577" i="1" s="1"/>
  <c r="K2578" i="1"/>
  <c r="L2578" i="1" s="1"/>
  <c r="K2579" i="1"/>
  <c r="L2579" i="1" s="1"/>
  <c r="K2580" i="1"/>
  <c r="L2580" i="1" s="1"/>
  <c r="K2581" i="1"/>
  <c r="L2581" i="1" s="1"/>
  <c r="K2582" i="1"/>
  <c r="L2582" i="1" s="1"/>
  <c r="K2583" i="1"/>
  <c r="L2583" i="1" s="1"/>
  <c r="K2584" i="1"/>
  <c r="L2584" i="1" s="1"/>
  <c r="K2585" i="1"/>
  <c r="L2585" i="1" s="1"/>
  <c r="K2586" i="1"/>
  <c r="L2586" i="1" s="1"/>
  <c r="K2587" i="1"/>
  <c r="L2587" i="1" s="1"/>
  <c r="K2588" i="1"/>
  <c r="L2588" i="1" s="1"/>
  <c r="K2589" i="1"/>
  <c r="L2589" i="1" s="1"/>
  <c r="K2590" i="1"/>
  <c r="L2590" i="1" s="1"/>
  <c r="K2591" i="1"/>
  <c r="L2591" i="1" s="1"/>
  <c r="K2592" i="1"/>
  <c r="L2592" i="1" s="1"/>
  <c r="K2593" i="1"/>
  <c r="L2593" i="1" s="1"/>
  <c r="K2594" i="1"/>
  <c r="L2594" i="1" s="1"/>
  <c r="K2595" i="1"/>
  <c r="L2595" i="1" s="1"/>
  <c r="K2596" i="1"/>
  <c r="L2596" i="1" s="1"/>
  <c r="K2597" i="1"/>
  <c r="L2597" i="1" s="1"/>
  <c r="K2598" i="1"/>
  <c r="L2598" i="1" s="1"/>
  <c r="K2599" i="1"/>
  <c r="L2599" i="1" s="1"/>
  <c r="K2600" i="1"/>
  <c r="L2600" i="1" s="1"/>
  <c r="K2601" i="1"/>
  <c r="L2601" i="1" s="1"/>
  <c r="K2602" i="1"/>
  <c r="L2602" i="1" s="1"/>
  <c r="K2603" i="1"/>
  <c r="L2603" i="1" s="1"/>
  <c r="K2604" i="1"/>
  <c r="L2604" i="1" s="1"/>
  <c r="K2605" i="1"/>
  <c r="L2605" i="1" s="1"/>
  <c r="K2606" i="1"/>
  <c r="L2606" i="1" s="1"/>
  <c r="K2607" i="1"/>
  <c r="L2607" i="1" s="1"/>
  <c r="K2608" i="1"/>
  <c r="L2608" i="1" s="1"/>
  <c r="K2609" i="1"/>
  <c r="L2609" i="1" s="1"/>
  <c r="K2610" i="1"/>
  <c r="L2610" i="1" s="1"/>
  <c r="K2611" i="1"/>
  <c r="L2611" i="1" s="1"/>
  <c r="K2612" i="1"/>
  <c r="L2612" i="1" s="1"/>
  <c r="K2613" i="1"/>
  <c r="L2613" i="1" s="1"/>
  <c r="K2614" i="1"/>
  <c r="L2614" i="1" s="1"/>
  <c r="K2615" i="1"/>
  <c r="L2615" i="1" s="1"/>
  <c r="K2616" i="1"/>
  <c r="L2616" i="1" s="1"/>
  <c r="K2617" i="1"/>
  <c r="L2617" i="1" s="1"/>
  <c r="K2618" i="1"/>
  <c r="L2618" i="1" s="1"/>
  <c r="K2619" i="1"/>
  <c r="L2619" i="1" s="1"/>
  <c r="K2620" i="1"/>
  <c r="L2620" i="1" s="1"/>
  <c r="K2621" i="1"/>
  <c r="L2621" i="1" s="1"/>
  <c r="K2622" i="1"/>
  <c r="L2622" i="1" s="1"/>
  <c r="K2623" i="1"/>
  <c r="L2623" i="1" s="1"/>
  <c r="K2624" i="1"/>
  <c r="L2624" i="1" s="1"/>
  <c r="K2625" i="1"/>
  <c r="L2625" i="1" s="1"/>
  <c r="K2626" i="1"/>
  <c r="L2626" i="1" s="1"/>
  <c r="K2627" i="1"/>
  <c r="L2627" i="1" s="1"/>
  <c r="K2628" i="1"/>
  <c r="L2628" i="1" s="1"/>
  <c r="K2629" i="1"/>
  <c r="L2629" i="1" s="1"/>
  <c r="K2630" i="1"/>
  <c r="L2630" i="1" s="1"/>
  <c r="K2631" i="1"/>
  <c r="L2631" i="1" s="1"/>
  <c r="K2632" i="1"/>
  <c r="L2632" i="1" s="1"/>
  <c r="K2633" i="1"/>
  <c r="L2633" i="1" s="1"/>
  <c r="K2634" i="1"/>
  <c r="L2634" i="1" s="1"/>
  <c r="K2635" i="1"/>
  <c r="L2635" i="1" s="1"/>
  <c r="K2636" i="1"/>
  <c r="L2636" i="1" s="1"/>
  <c r="K2637" i="1"/>
  <c r="L2637" i="1" s="1"/>
  <c r="K2638" i="1"/>
  <c r="L2638" i="1" s="1"/>
  <c r="K2639" i="1"/>
  <c r="L2639" i="1" s="1"/>
  <c r="K2640" i="1"/>
  <c r="L2640" i="1" s="1"/>
  <c r="K2641" i="1"/>
  <c r="L2641" i="1" s="1"/>
  <c r="K2642" i="1"/>
  <c r="L2642" i="1" s="1"/>
  <c r="K2643" i="1"/>
  <c r="L2643" i="1" s="1"/>
  <c r="K2644" i="1"/>
  <c r="L2644" i="1" s="1"/>
  <c r="K2645" i="1"/>
  <c r="L2645" i="1" s="1"/>
  <c r="K2646" i="1"/>
  <c r="L2646" i="1" s="1"/>
  <c r="K2647" i="1"/>
  <c r="L2647" i="1" s="1"/>
  <c r="K2648" i="1"/>
  <c r="L2648" i="1" s="1"/>
  <c r="K2649" i="1"/>
  <c r="L2649" i="1" s="1"/>
  <c r="K2650" i="1"/>
  <c r="L2650" i="1" s="1"/>
  <c r="K2651" i="1"/>
  <c r="L2651" i="1" s="1"/>
  <c r="K2652" i="1"/>
  <c r="L2652" i="1" s="1"/>
  <c r="K2653" i="1"/>
  <c r="L2653" i="1" s="1"/>
  <c r="K2654" i="1"/>
  <c r="L2654" i="1" s="1"/>
  <c r="K2655" i="1"/>
  <c r="L2655" i="1" s="1"/>
  <c r="K2656" i="1"/>
  <c r="L2656" i="1" s="1"/>
  <c r="K2657" i="1"/>
  <c r="L2657" i="1" s="1"/>
  <c r="K2658" i="1"/>
  <c r="L2658" i="1" s="1"/>
  <c r="K2659" i="1"/>
  <c r="L2659" i="1" s="1"/>
  <c r="K2660" i="1"/>
  <c r="L2660" i="1" s="1"/>
  <c r="K2661" i="1"/>
  <c r="L2661" i="1" s="1"/>
  <c r="K2662" i="1"/>
  <c r="L2662" i="1" s="1"/>
  <c r="K2663" i="1"/>
  <c r="L2663" i="1" s="1"/>
  <c r="K2664" i="1"/>
  <c r="L2664" i="1" s="1"/>
  <c r="K2665" i="1"/>
  <c r="L2665" i="1" s="1"/>
  <c r="K2666" i="1"/>
  <c r="L2666" i="1" s="1"/>
  <c r="K2667" i="1"/>
  <c r="L2667" i="1" s="1"/>
  <c r="K2668" i="1"/>
  <c r="L2668" i="1" s="1"/>
  <c r="K2669" i="1"/>
  <c r="L2669" i="1" s="1"/>
  <c r="K2670" i="1"/>
  <c r="L2670" i="1" s="1"/>
  <c r="K2671" i="1"/>
  <c r="L2671" i="1" s="1"/>
  <c r="K2672" i="1"/>
  <c r="L2672" i="1" s="1"/>
  <c r="K2673" i="1"/>
  <c r="L2673" i="1" s="1"/>
  <c r="K2674" i="1"/>
  <c r="L2674" i="1" s="1"/>
  <c r="K2675" i="1"/>
  <c r="L2675" i="1" s="1"/>
  <c r="K2676" i="1"/>
  <c r="L2676" i="1" s="1"/>
  <c r="K2677" i="1"/>
  <c r="L2677" i="1" s="1"/>
  <c r="K2678" i="1"/>
  <c r="L2678" i="1" s="1"/>
  <c r="K2679" i="1"/>
  <c r="L2679" i="1" s="1"/>
  <c r="K2680" i="1"/>
  <c r="L2680" i="1" s="1"/>
  <c r="K2681" i="1"/>
  <c r="L2681" i="1" s="1"/>
  <c r="K2682" i="1"/>
  <c r="L2682" i="1" s="1"/>
  <c r="K2683" i="1"/>
  <c r="L2683" i="1" s="1"/>
  <c r="K2684" i="1"/>
  <c r="L2684" i="1" s="1"/>
  <c r="K2685" i="1"/>
  <c r="L2685" i="1" s="1"/>
  <c r="K2686" i="1"/>
  <c r="L2686" i="1" s="1"/>
  <c r="K2687" i="1"/>
  <c r="L2687" i="1" s="1"/>
  <c r="K2688" i="1"/>
  <c r="L2688" i="1" s="1"/>
  <c r="K2689" i="1"/>
  <c r="L2689" i="1" s="1"/>
  <c r="K2690" i="1"/>
  <c r="L2690" i="1" s="1"/>
  <c r="K2691" i="1"/>
  <c r="L2691" i="1" s="1"/>
  <c r="K2692" i="1"/>
  <c r="L2692" i="1" s="1"/>
  <c r="K2693" i="1"/>
  <c r="L2693" i="1" s="1"/>
  <c r="K2694" i="1"/>
  <c r="L2694" i="1" s="1"/>
  <c r="K2695" i="1"/>
  <c r="L2695" i="1" s="1"/>
  <c r="K2696" i="1"/>
  <c r="L2696" i="1" s="1"/>
  <c r="K2697" i="1"/>
  <c r="L2697" i="1" s="1"/>
  <c r="K2698" i="1"/>
  <c r="L2698" i="1" s="1"/>
  <c r="K2699" i="1"/>
  <c r="L2699" i="1" s="1"/>
  <c r="K2700" i="1"/>
  <c r="L2700" i="1" s="1"/>
  <c r="K2701" i="1"/>
  <c r="L2701" i="1" s="1"/>
  <c r="K2702" i="1"/>
  <c r="L2702" i="1" s="1"/>
  <c r="K2703" i="1"/>
  <c r="L2703" i="1" s="1"/>
  <c r="K2704" i="1"/>
  <c r="L2704" i="1" s="1"/>
  <c r="K2705" i="1"/>
  <c r="L2705" i="1" s="1"/>
  <c r="K2706" i="1"/>
  <c r="L2706" i="1" s="1"/>
  <c r="K2707" i="1"/>
  <c r="L2707" i="1" s="1"/>
  <c r="K2708" i="1"/>
  <c r="L2708" i="1" s="1"/>
  <c r="K2709" i="1"/>
  <c r="L2709" i="1" s="1"/>
  <c r="K2710" i="1"/>
  <c r="L2710" i="1" s="1"/>
  <c r="K2711" i="1"/>
  <c r="L2711" i="1" s="1"/>
  <c r="K2712" i="1"/>
  <c r="L2712" i="1" s="1"/>
  <c r="K2713" i="1"/>
  <c r="L2713" i="1" s="1"/>
  <c r="K2714" i="1"/>
  <c r="L2714" i="1" s="1"/>
  <c r="K2715" i="1"/>
  <c r="L2715" i="1" s="1"/>
  <c r="K2716" i="1"/>
  <c r="L2716" i="1" s="1"/>
  <c r="K2717" i="1"/>
  <c r="L2717" i="1" s="1"/>
  <c r="K2718" i="1"/>
  <c r="L2718" i="1" s="1"/>
  <c r="K2719" i="1"/>
  <c r="L2719" i="1" s="1"/>
  <c r="K2720" i="1"/>
  <c r="L2720" i="1" s="1"/>
  <c r="K2721" i="1"/>
  <c r="L2721" i="1" s="1"/>
  <c r="K2722" i="1"/>
  <c r="L2722" i="1" s="1"/>
  <c r="K2723" i="1"/>
  <c r="L2723" i="1" s="1"/>
  <c r="K2724" i="1"/>
  <c r="L2724" i="1" s="1"/>
  <c r="K2725" i="1"/>
  <c r="L2725" i="1" s="1"/>
  <c r="K2726" i="1"/>
  <c r="L2726" i="1" s="1"/>
  <c r="K2727" i="1"/>
  <c r="L2727" i="1" s="1"/>
  <c r="K2728" i="1"/>
  <c r="L2728" i="1" s="1"/>
  <c r="K2729" i="1"/>
  <c r="L2729" i="1" s="1"/>
  <c r="K2730" i="1"/>
  <c r="L2730" i="1" s="1"/>
  <c r="K2731" i="1"/>
  <c r="L2731" i="1" s="1"/>
  <c r="K2732" i="1"/>
  <c r="L2732" i="1" s="1"/>
  <c r="K2733" i="1"/>
  <c r="L2733" i="1" s="1"/>
  <c r="K2734" i="1"/>
  <c r="L2734" i="1" s="1"/>
  <c r="K2735" i="1"/>
  <c r="L2735" i="1" s="1"/>
  <c r="K2736" i="1"/>
  <c r="L2736" i="1" s="1"/>
  <c r="K2737" i="1"/>
  <c r="L2737" i="1" s="1"/>
  <c r="K2738" i="1"/>
  <c r="L2738" i="1" s="1"/>
  <c r="K2739" i="1"/>
  <c r="L2739" i="1" s="1"/>
  <c r="K2740" i="1"/>
  <c r="L2740" i="1" s="1"/>
  <c r="K2741" i="1"/>
  <c r="L2741" i="1" s="1"/>
  <c r="K2742" i="1"/>
  <c r="L2742" i="1" s="1"/>
  <c r="K2743" i="1"/>
  <c r="L2743" i="1" s="1"/>
  <c r="K2744" i="1"/>
  <c r="L2744" i="1" s="1"/>
  <c r="K2745" i="1"/>
  <c r="L2745" i="1" s="1"/>
  <c r="K2746" i="1"/>
  <c r="L2746" i="1" s="1"/>
  <c r="K2747" i="1"/>
  <c r="L2747" i="1" s="1"/>
  <c r="K2748" i="1"/>
  <c r="L2748" i="1" s="1"/>
  <c r="K2749" i="1"/>
  <c r="L2749" i="1" s="1"/>
  <c r="K2750" i="1"/>
  <c r="L2750" i="1" s="1"/>
  <c r="K2751" i="1"/>
  <c r="L2751" i="1" s="1"/>
  <c r="K2752" i="1"/>
  <c r="L2752" i="1" s="1"/>
  <c r="K2753" i="1"/>
  <c r="L2753" i="1" s="1"/>
  <c r="K2754" i="1"/>
  <c r="L2754" i="1" s="1"/>
  <c r="K2755" i="1"/>
  <c r="L2755" i="1" s="1"/>
  <c r="K2756" i="1"/>
  <c r="L2756" i="1" s="1"/>
  <c r="K2757" i="1"/>
  <c r="L2757" i="1" s="1"/>
  <c r="K2758" i="1"/>
  <c r="L2758" i="1" s="1"/>
  <c r="K2759" i="1"/>
  <c r="L2759" i="1" s="1"/>
  <c r="K2760" i="1"/>
  <c r="L2760" i="1" s="1"/>
  <c r="K2761" i="1"/>
  <c r="L2761" i="1" s="1"/>
  <c r="K2762" i="1"/>
  <c r="L2762" i="1" s="1"/>
  <c r="K2763" i="1"/>
  <c r="L2763" i="1" s="1"/>
  <c r="K2764" i="1"/>
  <c r="L2764" i="1" s="1"/>
  <c r="K2765" i="1"/>
  <c r="L2765" i="1" s="1"/>
  <c r="K2766" i="1"/>
  <c r="L2766" i="1" s="1"/>
  <c r="K2767" i="1"/>
  <c r="L2767" i="1" s="1"/>
  <c r="K2768" i="1"/>
  <c r="L2768" i="1" s="1"/>
  <c r="K2769" i="1"/>
  <c r="L2769" i="1" s="1"/>
  <c r="K2770" i="1"/>
  <c r="L2770" i="1" s="1"/>
  <c r="K2771" i="1"/>
  <c r="L2771" i="1" s="1"/>
  <c r="K2772" i="1"/>
  <c r="L2772" i="1" s="1"/>
  <c r="K2773" i="1"/>
  <c r="L2773" i="1" s="1"/>
  <c r="K2774" i="1"/>
  <c r="L2774" i="1" s="1"/>
  <c r="K2775" i="1"/>
  <c r="L2775" i="1" s="1"/>
  <c r="K2776" i="1"/>
  <c r="L2776" i="1" s="1"/>
  <c r="K2777" i="1"/>
  <c r="L2777" i="1" s="1"/>
  <c r="K2778" i="1"/>
  <c r="L2778" i="1" s="1"/>
  <c r="K2779" i="1"/>
  <c r="L2779" i="1" s="1"/>
  <c r="K2780" i="1"/>
  <c r="L2780" i="1" s="1"/>
  <c r="K2781" i="1"/>
  <c r="L2781" i="1" s="1"/>
  <c r="K2782" i="1"/>
  <c r="L2782" i="1" s="1"/>
  <c r="K2783" i="1"/>
  <c r="L2783" i="1" s="1"/>
  <c r="K2784" i="1"/>
  <c r="L2784" i="1" s="1"/>
  <c r="K2785" i="1"/>
  <c r="L2785" i="1" s="1"/>
  <c r="K2786" i="1"/>
  <c r="L2786" i="1" s="1"/>
  <c r="K2787" i="1"/>
  <c r="L2787" i="1" s="1"/>
  <c r="K2788" i="1"/>
  <c r="L2788" i="1" s="1"/>
  <c r="K2789" i="1"/>
  <c r="L2789" i="1" s="1"/>
  <c r="K2790" i="1"/>
  <c r="L2790" i="1" s="1"/>
  <c r="K2791" i="1"/>
  <c r="L2791" i="1" s="1"/>
  <c r="K2792" i="1"/>
  <c r="L2792" i="1" s="1"/>
  <c r="K2793" i="1"/>
  <c r="L2793" i="1" s="1"/>
  <c r="K2794" i="1"/>
  <c r="L2794" i="1" s="1"/>
  <c r="K2795" i="1"/>
  <c r="L2795" i="1" s="1"/>
  <c r="K2796" i="1"/>
  <c r="L2796" i="1" s="1"/>
  <c r="K2797" i="1"/>
  <c r="L2797" i="1" s="1"/>
  <c r="K2798" i="1"/>
  <c r="L2798" i="1" s="1"/>
  <c r="K2799" i="1"/>
  <c r="L2799" i="1" s="1"/>
  <c r="K2800" i="1"/>
  <c r="L2800" i="1" s="1"/>
  <c r="K2801" i="1"/>
  <c r="L2801" i="1" s="1"/>
  <c r="K2802" i="1"/>
  <c r="L2802" i="1" s="1"/>
  <c r="K2803" i="1"/>
  <c r="L2803" i="1" s="1"/>
  <c r="K2804" i="1"/>
  <c r="L2804" i="1" s="1"/>
  <c r="K2805" i="1"/>
  <c r="L2805" i="1" s="1"/>
  <c r="K2806" i="1"/>
  <c r="L2806" i="1" s="1"/>
  <c r="K2807" i="1"/>
  <c r="L2807" i="1" s="1"/>
  <c r="K2808" i="1"/>
  <c r="L2808" i="1" s="1"/>
  <c r="K2809" i="1"/>
  <c r="L2809" i="1" s="1"/>
  <c r="K2810" i="1"/>
  <c r="L2810" i="1" s="1"/>
  <c r="K2811" i="1"/>
  <c r="L2811" i="1" s="1"/>
  <c r="K2812" i="1"/>
  <c r="L2812" i="1" s="1"/>
  <c r="K2813" i="1"/>
  <c r="L2813" i="1" s="1"/>
  <c r="K2814" i="1"/>
  <c r="L2814" i="1" s="1"/>
  <c r="K2815" i="1"/>
  <c r="L2815" i="1" s="1"/>
  <c r="K2816" i="1"/>
  <c r="L2816" i="1" s="1"/>
  <c r="K2817" i="1"/>
  <c r="L2817" i="1" s="1"/>
  <c r="K2818" i="1"/>
  <c r="L2818" i="1" s="1"/>
  <c r="K2819" i="1"/>
  <c r="L2819" i="1" s="1"/>
  <c r="K2820" i="1"/>
  <c r="L2820" i="1" s="1"/>
  <c r="K2821" i="1"/>
  <c r="L2821" i="1" s="1"/>
  <c r="K2822" i="1"/>
  <c r="L2822" i="1" s="1"/>
  <c r="K2823" i="1"/>
  <c r="L2823" i="1" s="1"/>
  <c r="K2824" i="1"/>
  <c r="L2824" i="1" s="1"/>
  <c r="K2825" i="1"/>
  <c r="L2825" i="1" s="1"/>
  <c r="K2826" i="1"/>
  <c r="L2826" i="1" s="1"/>
  <c r="K2827" i="1"/>
  <c r="L2827" i="1" s="1"/>
  <c r="K2828" i="1"/>
  <c r="L2828" i="1" s="1"/>
  <c r="K2829" i="1"/>
  <c r="L2829" i="1" s="1"/>
  <c r="K2830" i="1"/>
  <c r="L2830" i="1" s="1"/>
  <c r="K2831" i="1"/>
  <c r="L2831" i="1" s="1"/>
  <c r="K2832" i="1"/>
  <c r="L2832" i="1" s="1"/>
  <c r="K2833" i="1"/>
  <c r="L2833" i="1" s="1"/>
  <c r="K2834" i="1"/>
  <c r="L2834" i="1" s="1"/>
  <c r="K2835" i="1"/>
  <c r="L2835" i="1" s="1"/>
  <c r="K2836" i="1"/>
  <c r="L2836" i="1" s="1"/>
  <c r="K2837" i="1"/>
  <c r="L2837" i="1" s="1"/>
  <c r="K2838" i="1"/>
  <c r="L2838" i="1" s="1"/>
  <c r="K2839" i="1"/>
  <c r="L2839" i="1" s="1"/>
  <c r="K2840" i="1"/>
  <c r="L2840" i="1" s="1"/>
  <c r="K2841" i="1"/>
  <c r="L2841" i="1" s="1"/>
  <c r="K2842" i="1"/>
  <c r="L2842" i="1" s="1"/>
  <c r="K2843" i="1"/>
  <c r="L2843" i="1" s="1"/>
  <c r="K2844" i="1"/>
  <c r="L2844" i="1" s="1"/>
  <c r="K2845" i="1"/>
  <c r="L2845" i="1" s="1"/>
  <c r="K2846" i="1"/>
  <c r="L2846" i="1" s="1"/>
  <c r="K2847" i="1"/>
  <c r="L2847" i="1" s="1"/>
  <c r="K2848" i="1"/>
  <c r="L2848" i="1" s="1"/>
  <c r="K2849" i="1"/>
  <c r="L2849" i="1" s="1"/>
  <c r="K2850" i="1"/>
  <c r="L2850" i="1" s="1"/>
  <c r="K2851" i="1"/>
  <c r="L2851" i="1" s="1"/>
  <c r="K2852" i="1"/>
  <c r="L2852" i="1" s="1"/>
  <c r="K2853" i="1"/>
  <c r="L2853" i="1" s="1"/>
  <c r="K2854" i="1"/>
  <c r="L2854" i="1" s="1"/>
  <c r="K2855" i="1"/>
  <c r="L2855" i="1" s="1"/>
  <c r="K2856" i="1"/>
  <c r="L2856" i="1" s="1"/>
  <c r="K2857" i="1"/>
  <c r="L2857" i="1" s="1"/>
  <c r="K2858" i="1"/>
  <c r="L2858" i="1" s="1"/>
  <c r="K2859" i="1"/>
  <c r="L2859" i="1" s="1"/>
  <c r="K2860" i="1"/>
  <c r="L2860" i="1" s="1"/>
  <c r="K2861" i="1"/>
  <c r="L2861" i="1" s="1"/>
  <c r="K2862" i="1"/>
  <c r="L2862" i="1" s="1"/>
  <c r="K2863" i="1"/>
  <c r="L2863" i="1" s="1"/>
  <c r="K2864" i="1"/>
  <c r="L2864" i="1" s="1"/>
  <c r="K2865" i="1"/>
  <c r="L2865" i="1" s="1"/>
  <c r="K2866" i="1"/>
  <c r="L2866" i="1" s="1"/>
  <c r="K2867" i="1"/>
  <c r="L2867" i="1" s="1"/>
  <c r="K2868" i="1"/>
  <c r="L2868" i="1" s="1"/>
  <c r="K2869" i="1"/>
  <c r="L2869" i="1" s="1"/>
  <c r="K2870" i="1"/>
  <c r="L2870" i="1" s="1"/>
  <c r="K2871" i="1"/>
  <c r="L2871" i="1" s="1"/>
  <c r="K2872" i="1"/>
  <c r="L2872" i="1" s="1"/>
  <c r="K2873" i="1"/>
  <c r="L2873" i="1" s="1"/>
  <c r="K2874" i="1"/>
  <c r="L2874" i="1" s="1"/>
  <c r="K2875" i="1"/>
  <c r="L2875" i="1" s="1"/>
  <c r="K2876" i="1"/>
  <c r="L2876" i="1" s="1"/>
  <c r="K2877" i="1"/>
  <c r="L2877" i="1" s="1"/>
  <c r="K2878" i="1"/>
  <c r="L2878" i="1" s="1"/>
  <c r="K2879" i="1"/>
  <c r="L2879" i="1" s="1"/>
  <c r="K2880" i="1"/>
  <c r="L2880" i="1" s="1"/>
  <c r="K2881" i="1"/>
  <c r="L2881" i="1" s="1"/>
  <c r="K2882" i="1"/>
  <c r="L2882" i="1" s="1"/>
  <c r="K2883" i="1"/>
  <c r="L2883" i="1" s="1"/>
  <c r="K2884" i="1"/>
  <c r="L2884" i="1" s="1"/>
  <c r="K2885" i="1"/>
  <c r="L2885" i="1" s="1"/>
  <c r="K2886" i="1"/>
  <c r="L2886" i="1" s="1"/>
  <c r="K2887" i="1"/>
  <c r="L2887" i="1" s="1"/>
  <c r="K2888" i="1"/>
  <c r="L2888" i="1" s="1"/>
  <c r="K2889" i="1"/>
  <c r="L2889" i="1" s="1"/>
  <c r="K2890" i="1"/>
  <c r="L2890" i="1" s="1"/>
  <c r="K2891" i="1"/>
  <c r="L2891" i="1" s="1"/>
  <c r="K2892" i="1"/>
  <c r="L2892" i="1" s="1"/>
  <c r="K2893" i="1"/>
  <c r="L2893" i="1" s="1"/>
  <c r="K2894" i="1"/>
  <c r="L2894" i="1" s="1"/>
  <c r="K2895" i="1"/>
  <c r="L2895" i="1" s="1"/>
  <c r="K2896" i="1"/>
  <c r="L2896" i="1" s="1"/>
  <c r="K2897" i="1"/>
  <c r="L2897" i="1" s="1"/>
  <c r="K2898" i="1"/>
  <c r="L2898" i="1" s="1"/>
  <c r="K2899" i="1"/>
  <c r="L2899" i="1" s="1"/>
  <c r="K2900" i="1"/>
  <c r="L2900" i="1" s="1"/>
  <c r="K2901" i="1"/>
  <c r="L2901" i="1" s="1"/>
  <c r="K2902" i="1"/>
  <c r="L2902" i="1" s="1"/>
  <c r="K2903" i="1"/>
  <c r="L2903" i="1" s="1"/>
  <c r="K2904" i="1"/>
  <c r="L2904" i="1" s="1"/>
  <c r="K2905" i="1"/>
  <c r="L2905" i="1" s="1"/>
  <c r="K2906" i="1"/>
  <c r="L2906" i="1" s="1"/>
  <c r="K2907" i="1"/>
  <c r="L2907" i="1" s="1"/>
  <c r="K2908" i="1"/>
  <c r="L2908" i="1" s="1"/>
  <c r="K2909" i="1"/>
  <c r="L2909" i="1" s="1"/>
  <c r="K2910" i="1"/>
  <c r="L2910" i="1" s="1"/>
  <c r="K2911" i="1"/>
  <c r="L2911" i="1" s="1"/>
  <c r="K2912" i="1"/>
  <c r="L2912" i="1" s="1"/>
  <c r="K2913" i="1"/>
  <c r="L2913" i="1" s="1"/>
  <c r="K2914" i="1"/>
  <c r="L2914" i="1" s="1"/>
  <c r="K2915" i="1"/>
  <c r="L2915" i="1" s="1"/>
  <c r="K2916" i="1"/>
  <c r="L2916" i="1" s="1"/>
  <c r="K2917" i="1"/>
  <c r="L2917" i="1" s="1"/>
  <c r="K2918" i="1"/>
  <c r="L2918" i="1" s="1"/>
  <c r="K2919" i="1"/>
  <c r="L2919" i="1" s="1"/>
  <c r="K2920" i="1"/>
  <c r="L2920" i="1" s="1"/>
  <c r="K2921" i="1"/>
  <c r="L2921" i="1" s="1"/>
  <c r="K2922" i="1"/>
  <c r="L2922" i="1" s="1"/>
  <c r="K2923" i="1"/>
  <c r="L2923" i="1" s="1"/>
  <c r="K2924" i="1"/>
  <c r="L2924" i="1" s="1"/>
  <c r="K2925" i="1"/>
  <c r="L2925" i="1" s="1"/>
  <c r="K2926" i="1"/>
  <c r="L2926" i="1" s="1"/>
  <c r="K2927" i="1"/>
  <c r="L2927" i="1" s="1"/>
  <c r="K2928" i="1"/>
  <c r="L2928" i="1" s="1"/>
  <c r="K2929" i="1"/>
  <c r="L2929" i="1" s="1"/>
  <c r="K2930" i="1"/>
  <c r="L2930" i="1" s="1"/>
  <c r="K2931" i="1"/>
  <c r="L2931" i="1" s="1"/>
  <c r="K2932" i="1"/>
  <c r="L2932" i="1" s="1"/>
  <c r="K2933" i="1"/>
  <c r="L2933" i="1" s="1"/>
  <c r="K2934" i="1"/>
  <c r="L2934" i="1" s="1"/>
  <c r="K2935" i="1"/>
  <c r="L2935" i="1" s="1"/>
  <c r="K2936" i="1"/>
  <c r="L2936" i="1" s="1"/>
  <c r="K2937" i="1"/>
  <c r="L2937" i="1" s="1"/>
  <c r="K2938" i="1"/>
  <c r="L2938" i="1" s="1"/>
  <c r="K2939" i="1"/>
  <c r="L2939" i="1" s="1"/>
  <c r="K2940" i="1"/>
  <c r="L2940" i="1" s="1"/>
  <c r="K2941" i="1"/>
  <c r="L2941" i="1" s="1"/>
  <c r="K2942" i="1"/>
  <c r="L2942" i="1" s="1"/>
  <c r="K2943" i="1"/>
  <c r="L2943" i="1" s="1"/>
  <c r="K2944" i="1"/>
  <c r="L2944" i="1" s="1"/>
  <c r="K2945" i="1"/>
  <c r="L2945" i="1" s="1"/>
  <c r="K2946" i="1"/>
  <c r="L2946" i="1" s="1"/>
  <c r="K2947" i="1"/>
  <c r="L2947" i="1" s="1"/>
  <c r="K2948" i="1"/>
  <c r="L2948" i="1" s="1"/>
  <c r="K2949" i="1"/>
  <c r="L2949" i="1" s="1"/>
  <c r="K2950" i="1"/>
  <c r="L2950" i="1" s="1"/>
  <c r="K2951" i="1"/>
  <c r="L2951" i="1" s="1"/>
  <c r="K2952" i="1"/>
  <c r="L2952" i="1" s="1"/>
  <c r="K2953" i="1"/>
  <c r="L2953" i="1" s="1"/>
  <c r="K2954" i="1"/>
  <c r="L2954" i="1" s="1"/>
  <c r="K2955" i="1"/>
  <c r="L2955" i="1" s="1"/>
  <c r="K2956" i="1"/>
  <c r="L2956" i="1" s="1"/>
  <c r="K2957" i="1"/>
  <c r="L2957" i="1" s="1"/>
  <c r="K2958" i="1"/>
  <c r="L2958" i="1" s="1"/>
  <c r="K2959" i="1"/>
  <c r="L2959" i="1" s="1"/>
  <c r="K2960" i="1"/>
  <c r="L2960" i="1" s="1"/>
  <c r="K2961" i="1"/>
  <c r="L2961" i="1" s="1"/>
  <c r="K2962" i="1"/>
  <c r="L2962" i="1" s="1"/>
  <c r="K2963" i="1"/>
  <c r="L2963" i="1" s="1"/>
  <c r="K2964" i="1"/>
  <c r="L2964" i="1" s="1"/>
  <c r="K2965" i="1"/>
  <c r="L2965" i="1" s="1"/>
  <c r="K2966" i="1"/>
  <c r="L2966" i="1" s="1"/>
  <c r="K2967" i="1"/>
  <c r="L2967" i="1" s="1"/>
  <c r="K2968" i="1"/>
  <c r="L2968" i="1" s="1"/>
  <c r="K2969" i="1"/>
  <c r="L2969" i="1" s="1"/>
  <c r="K2970" i="1"/>
  <c r="L2970" i="1" s="1"/>
  <c r="K2971" i="1"/>
  <c r="L2971" i="1" s="1"/>
  <c r="K2972" i="1"/>
  <c r="L2972" i="1" s="1"/>
  <c r="K2973" i="1"/>
  <c r="L2973" i="1" s="1"/>
  <c r="K2974" i="1"/>
  <c r="L2974" i="1" s="1"/>
  <c r="K2975" i="1"/>
  <c r="L2975" i="1" s="1"/>
  <c r="K2976" i="1"/>
  <c r="L2976" i="1" s="1"/>
  <c r="K2977" i="1"/>
  <c r="L2977" i="1" s="1"/>
  <c r="K2978" i="1"/>
  <c r="L2978" i="1" s="1"/>
  <c r="K2979" i="1"/>
  <c r="L2979" i="1" s="1"/>
  <c r="K2980" i="1"/>
  <c r="L2980" i="1" s="1"/>
  <c r="K2981" i="1"/>
  <c r="L2981" i="1" s="1"/>
  <c r="K2982" i="1"/>
  <c r="L2982" i="1" s="1"/>
  <c r="K2983" i="1"/>
  <c r="L2983" i="1" s="1"/>
  <c r="K2984" i="1"/>
  <c r="L2984" i="1" s="1"/>
  <c r="K2985" i="1"/>
  <c r="L2985" i="1" s="1"/>
  <c r="K2986" i="1"/>
  <c r="L2986" i="1" s="1"/>
  <c r="K2987" i="1"/>
  <c r="L2987" i="1" s="1"/>
  <c r="K2988" i="1"/>
  <c r="L2988" i="1" s="1"/>
  <c r="K2989" i="1"/>
  <c r="L2989" i="1" s="1"/>
  <c r="K2990" i="1"/>
  <c r="L2990" i="1" s="1"/>
  <c r="K2991" i="1"/>
  <c r="L2991" i="1" s="1"/>
  <c r="K2992" i="1"/>
  <c r="L2992" i="1" s="1"/>
  <c r="K2993" i="1"/>
  <c r="L2993" i="1" s="1"/>
  <c r="K2994" i="1"/>
  <c r="L2994" i="1" s="1"/>
  <c r="K2995" i="1"/>
  <c r="L2995" i="1" s="1"/>
  <c r="K2996" i="1"/>
  <c r="L2996" i="1" s="1"/>
  <c r="K2997" i="1"/>
  <c r="L2997" i="1" s="1"/>
  <c r="K2998" i="1"/>
  <c r="L2998" i="1" s="1"/>
  <c r="K2999" i="1"/>
  <c r="L2999" i="1" s="1"/>
  <c r="K3000" i="1"/>
  <c r="L3000" i="1" s="1"/>
  <c r="K3001" i="1"/>
  <c r="L3001" i="1" s="1"/>
  <c r="K3002" i="1"/>
  <c r="L3002" i="1" s="1"/>
  <c r="K3003" i="1"/>
  <c r="L3003" i="1" s="1"/>
  <c r="K3004" i="1"/>
  <c r="L3004" i="1" s="1"/>
  <c r="K3005" i="1"/>
  <c r="L3005" i="1" s="1"/>
  <c r="K3006" i="1"/>
  <c r="L3006" i="1" s="1"/>
  <c r="K3007" i="1"/>
  <c r="L3007" i="1" s="1"/>
  <c r="K3008" i="1"/>
  <c r="L3008" i="1" s="1"/>
  <c r="K3009" i="1"/>
  <c r="L3009" i="1" s="1"/>
  <c r="K3010" i="1"/>
  <c r="L3010" i="1" s="1"/>
  <c r="K3011" i="1"/>
  <c r="L3011" i="1" s="1"/>
  <c r="K3012" i="1"/>
  <c r="L3012" i="1" s="1"/>
  <c r="K3013" i="1"/>
  <c r="L3013" i="1" s="1"/>
  <c r="K3014" i="1"/>
  <c r="L3014" i="1" s="1"/>
  <c r="K3015" i="1"/>
  <c r="L3015" i="1" s="1"/>
  <c r="K3016" i="1"/>
  <c r="L3016" i="1" s="1"/>
  <c r="K3017" i="1"/>
  <c r="L3017" i="1" s="1"/>
  <c r="K3018" i="1"/>
  <c r="L3018" i="1" s="1"/>
  <c r="K3019" i="1"/>
  <c r="L3019" i="1" s="1"/>
  <c r="K3020" i="1"/>
  <c r="L3020" i="1" s="1"/>
  <c r="K3021" i="1"/>
  <c r="L3021" i="1" s="1"/>
  <c r="K3022" i="1"/>
  <c r="L3022" i="1" s="1"/>
  <c r="K3023" i="1"/>
  <c r="L3023" i="1" s="1"/>
  <c r="K3024" i="1"/>
  <c r="L3024" i="1" s="1"/>
  <c r="K3025" i="1"/>
  <c r="L3025" i="1" s="1"/>
  <c r="K3026" i="1"/>
  <c r="L3026" i="1" s="1"/>
  <c r="K3027" i="1"/>
  <c r="L3027" i="1" s="1"/>
  <c r="K3028" i="1"/>
  <c r="L3028" i="1" s="1"/>
  <c r="K3029" i="1"/>
  <c r="L3029" i="1" s="1"/>
  <c r="K3030" i="1"/>
  <c r="L3030" i="1" s="1"/>
  <c r="K3031" i="1"/>
  <c r="L3031" i="1" s="1"/>
  <c r="K3032" i="1"/>
  <c r="L3032" i="1" s="1"/>
  <c r="K3033" i="1"/>
  <c r="L3033" i="1" s="1"/>
  <c r="K3034" i="1"/>
  <c r="L3034" i="1" s="1"/>
  <c r="K3035" i="1"/>
  <c r="L3035" i="1" s="1"/>
  <c r="K3036" i="1"/>
  <c r="L3036" i="1" s="1"/>
  <c r="K3037" i="1"/>
  <c r="L3037" i="1" s="1"/>
  <c r="K3038" i="1"/>
  <c r="L3038" i="1" s="1"/>
  <c r="K3039" i="1"/>
  <c r="L3039" i="1" s="1"/>
  <c r="K3040" i="1"/>
  <c r="L3040" i="1" s="1"/>
  <c r="K3041" i="1"/>
  <c r="L3041" i="1" s="1"/>
  <c r="K3042" i="1"/>
  <c r="L3042" i="1" s="1"/>
  <c r="K3043" i="1"/>
  <c r="L3043" i="1" s="1"/>
  <c r="K3044" i="1"/>
  <c r="L3044" i="1" s="1"/>
  <c r="K3045" i="1"/>
  <c r="L3045" i="1" s="1"/>
  <c r="K3046" i="1"/>
  <c r="L3046" i="1" s="1"/>
  <c r="K3047" i="1"/>
  <c r="L3047" i="1" s="1"/>
  <c r="K3048" i="1"/>
  <c r="L3048" i="1" s="1"/>
  <c r="K3049" i="1"/>
  <c r="L3049" i="1" s="1"/>
  <c r="K3050" i="1"/>
  <c r="L3050" i="1" s="1"/>
  <c r="K3051" i="1"/>
  <c r="L3051" i="1" s="1"/>
  <c r="K3052" i="1"/>
  <c r="L3052" i="1" s="1"/>
  <c r="K3053" i="1"/>
  <c r="L3053" i="1" s="1"/>
  <c r="K3054" i="1"/>
  <c r="L3054" i="1" s="1"/>
  <c r="K3055" i="1"/>
  <c r="L3055" i="1" s="1"/>
  <c r="K3056" i="1"/>
  <c r="L3056" i="1" s="1"/>
  <c r="K3057" i="1"/>
  <c r="L3057" i="1" s="1"/>
  <c r="K3058" i="1"/>
  <c r="L3058" i="1" s="1"/>
  <c r="K3059" i="1"/>
  <c r="L3059" i="1" s="1"/>
  <c r="K3060" i="1"/>
  <c r="L3060" i="1" s="1"/>
  <c r="K3061" i="1"/>
  <c r="L3061" i="1" s="1"/>
  <c r="K3062" i="1"/>
  <c r="L3062" i="1" s="1"/>
  <c r="K3063" i="1"/>
  <c r="L3063" i="1" s="1"/>
  <c r="K3064" i="1"/>
  <c r="L3064" i="1" s="1"/>
  <c r="K3065" i="1"/>
  <c r="L3065" i="1" s="1"/>
  <c r="K3066" i="1"/>
  <c r="L3066" i="1" s="1"/>
  <c r="K3067" i="1"/>
  <c r="L3067" i="1" s="1"/>
  <c r="K3068" i="1"/>
  <c r="L3068" i="1" s="1"/>
  <c r="K3069" i="1"/>
  <c r="L3069" i="1" s="1"/>
  <c r="K3070" i="1"/>
  <c r="L3070" i="1" s="1"/>
  <c r="K3071" i="1"/>
  <c r="L3071" i="1" s="1"/>
  <c r="K3072" i="1"/>
  <c r="L3072" i="1" s="1"/>
  <c r="K3073" i="1"/>
  <c r="L3073" i="1" s="1"/>
  <c r="K3074" i="1"/>
  <c r="L3074" i="1" s="1"/>
  <c r="K3075" i="1"/>
  <c r="L3075" i="1" s="1"/>
  <c r="K3076" i="1"/>
  <c r="L3076" i="1" s="1"/>
  <c r="K3077" i="1"/>
  <c r="L3077" i="1" s="1"/>
  <c r="K3078" i="1"/>
  <c r="L3078" i="1" s="1"/>
  <c r="K3079" i="1"/>
  <c r="L3079" i="1" s="1"/>
  <c r="K3080" i="1"/>
  <c r="L3080" i="1" s="1"/>
  <c r="K3081" i="1"/>
  <c r="L3081" i="1" s="1"/>
  <c r="K3082" i="1"/>
  <c r="L3082" i="1" s="1"/>
  <c r="K3083" i="1"/>
  <c r="L3083" i="1" s="1"/>
  <c r="K3084" i="1"/>
  <c r="L3084" i="1" s="1"/>
  <c r="K3085" i="1"/>
  <c r="L3085" i="1" s="1"/>
  <c r="K3086" i="1"/>
  <c r="L3086" i="1" s="1"/>
  <c r="K3087" i="1"/>
  <c r="L3087" i="1" s="1"/>
  <c r="K3088" i="1"/>
  <c r="L3088" i="1" s="1"/>
  <c r="K3089" i="1"/>
  <c r="L3089" i="1" s="1"/>
  <c r="K3090" i="1"/>
  <c r="L3090" i="1" s="1"/>
  <c r="K3091" i="1"/>
  <c r="L3091" i="1" s="1"/>
  <c r="K3092" i="1"/>
  <c r="L3092" i="1" s="1"/>
  <c r="K3093" i="1"/>
  <c r="L3093" i="1" s="1"/>
  <c r="K3094" i="1"/>
  <c r="L3094" i="1" s="1"/>
  <c r="K3095" i="1"/>
  <c r="L3095" i="1" s="1"/>
  <c r="K3096" i="1"/>
  <c r="L3096" i="1" s="1"/>
  <c r="K3097" i="1"/>
  <c r="L3097" i="1" s="1"/>
  <c r="K3098" i="1"/>
  <c r="L3098" i="1" s="1"/>
  <c r="K3099" i="1"/>
  <c r="L3099" i="1" s="1"/>
  <c r="K3100" i="1"/>
  <c r="L3100" i="1" s="1"/>
  <c r="K3101" i="1"/>
  <c r="L3101" i="1" s="1"/>
  <c r="K3102" i="1"/>
  <c r="L3102" i="1" s="1"/>
  <c r="K3103" i="1"/>
  <c r="L3103" i="1" s="1"/>
  <c r="K3104" i="1"/>
  <c r="L3104" i="1" s="1"/>
  <c r="K3105" i="1"/>
  <c r="L3105" i="1" s="1"/>
  <c r="K3106" i="1"/>
  <c r="L3106" i="1" s="1"/>
  <c r="K3107" i="1"/>
  <c r="L3107" i="1" s="1"/>
  <c r="K3108" i="1"/>
  <c r="L3108" i="1" s="1"/>
  <c r="K3109" i="1"/>
  <c r="L3109" i="1" s="1"/>
  <c r="K3110" i="1"/>
  <c r="L3110" i="1" s="1"/>
  <c r="K3111" i="1"/>
  <c r="L3111" i="1" s="1"/>
  <c r="K3112" i="1"/>
  <c r="L3112" i="1" s="1"/>
  <c r="K3113" i="1"/>
  <c r="L3113" i="1" s="1"/>
  <c r="K3114" i="1"/>
  <c r="L3114" i="1" s="1"/>
  <c r="K3115" i="1"/>
  <c r="L3115" i="1" s="1"/>
  <c r="K3116" i="1"/>
  <c r="L3116" i="1" s="1"/>
  <c r="K3117" i="1"/>
  <c r="L3117" i="1" s="1"/>
  <c r="K3118" i="1"/>
  <c r="L3118" i="1" s="1"/>
  <c r="K3119" i="1"/>
  <c r="L3119" i="1" s="1"/>
  <c r="K3120" i="1"/>
  <c r="L3120" i="1" s="1"/>
  <c r="K3121" i="1"/>
  <c r="L3121" i="1" s="1"/>
  <c r="K3122" i="1"/>
  <c r="L3122" i="1" s="1"/>
  <c r="K3123" i="1"/>
  <c r="L3123" i="1" s="1"/>
  <c r="K3124" i="1"/>
  <c r="L3124" i="1" s="1"/>
  <c r="K3125" i="1"/>
  <c r="L3125" i="1" s="1"/>
  <c r="K3126" i="1"/>
  <c r="L3126" i="1" s="1"/>
  <c r="K3127" i="1"/>
  <c r="L3127" i="1" s="1"/>
  <c r="K3128" i="1"/>
  <c r="L3128" i="1" s="1"/>
  <c r="K3129" i="1"/>
  <c r="L3129" i="1" s="1"/>
  <c r="K3130" i="1"/>
  <c r="L3130" i="1" s="1"/>
  <c r="K3131" i="1"/>
  <c r="L3131" i="1" s="1"/>
  <c r="K3132" i="1"/>
  <c r="L3132" i="1" s="1"/>
  <c r="K3133" i="1"/>
  <c r="L3133" i="1" s="1"/>
  <c r="K3134" i="1"/>
  <c r="L3134" i="1" s="1"/>
  <c r="K3135" i="1"/>
  <c r="L3135" i="1" s="1"/>
  <c r="K3136" i="1"/>
  <c r="L3136" i="1" s="1"/>
  <c r="K3137" i="1"/>
  <c r="L3137" i="1" s="1"/>
  <c r="K3138" i="1"/>
  <c r="L3138" i="1" s="1"/>
  <c r="K3139" i="1"/>
  <c r="L3139" i="1" s="1"/>
  <c r="K3140" i="1"/>
  <c r="L3140" i="1" s="1"/>
  <c r="K3141" i="1"/>
  <c r="L3141" i="1" s="1"/>
  <c r="K3142" i="1"/>
  <c r="L3142" i="1" s="1"/>
  <c r="K3143" i="1"/>
  <c r="L3143" i="1" s="1"/>
  <c r="K3144" i="1"/>
  <c r="L3144" i="1" s="1"/>
  <c r="K3145" i="1"/>
  <c r="L3145" i="1" s="1"/>
  <c r="K3146" i="1"/>
  <c r="L3146" i="1" s="1"/>
  <c r="K3147" i="1"/>
  <c r="L3147" i="1" s="1"/>
  <c r="K3148" i="1"/>
  <c r="L3148" i="1" s="1"/>
  <c r="K3149" i="1"/>
  <c r="L3149" i="1" s="1"/>
  <c r="K3150" i="1"/>
  <c r="L3150" i="1" s="1"/>
  <c r="K3151" i="1"/>
  <c r="L3151" i="1" s="1"/>
  <c r="K3152" i="1"/>
  <c r="L3152" i="1" s="1"/>
  <c r="K3153" i="1"/>
  <c r="L3153" i="1" s="1"/>
  <c r="K3154" i="1"/>
  <c r="L3154" i="1" s="1"/>
  <c r="K3155" i="1"/>
  <c r="L3155" i="1" s="1"/>
  <c r="K3156" i="1"/>
  <c r="L3156" i="1" s="1"/>
  <c r="K3157" i="1"/>
  <c r="L3157" i="1" s="1"/>
  <c r="K3158" i="1"/>
  <c r="L3158" i="1" s="1"/>
  <c r="K3159" i="1"/>
  <c r="L3159" i="1" s="1"/>
  <c r="K3160" i="1"/>
  <c r="L3160" i="1" s="1"/>
  <c r="K3161" i="1"/>
  <c r="L3161" i="1" s="1"/>
  <c r="K3162" i="1"/>
  <c r="L3162" i="1" s="1"/>
  <c r="K3163" i="1"/>
  <c r="L3163" i="1" s="1"/>
  <c r="K3164" i="1"/>
  <c r="L3164" i="1" s="1"/>
  <c r="K3165" i="1"/>
  <c r="L3165" i="1" s="1"/>
  <c r="K3166" i="1"/>
  <c r="L3166" i="1" s="1"/>
  <c r="K3167" i="1"/>
  <c r="L3167" i="1" s="1"/>
  <c r="K3168" i="1"/>
  <c r="L3168" i="1" s="1"/>
  <c r="K3169" i="1"/>
  <c r="L3169" i="1" s="1"/>
  <c r="K3170" i="1"/>
  <c r="L3170" i="1" s="1"/>
  <c r="K3171" i="1"/>
  <c r="L3171" i="1" s="1"/>
  <c r="K3172" i="1"/>
  <c r="L3172" i="1" s="1"/>
  <c r="K3173" i="1"/>
  <c r="L3173" i="1" s="1"/>
  <c r="K3174" i="1"/>
  <c r="L3174" i="1" s="1"/>
  <c r="K3175" i="1"/>
  <c r="L3175" i="1" s="1"/>
  <c r="K3176" i="1"/>
  <c r="L3176" i="1" s="1"/>
  <c r="K3177" i="1"/>
  <c r="L3177" i="1" s="1"/>
  <c r="K3178" i="1"/>
  <c r="L3178" i="1" s="1"/>
  <c r="K3179" i="1"/>
  <c r="L3179" i="1" s="1"/>
  <c r="K3180" i="1"/>
  <c r="L3180" i="1" s="1"/>
  <c r="K3181" i="1"/>
  <c r="L3181" i="1" s="1"/>
  <c r="K3182" i="1"/>
  <c r="L3182" i="1" s="1"/>
  <c r="K3183" i="1"/>
  <c r="L3183" i="1" s="1"/>
  <c r="K3184" i="1"/>
  <c r="L3184" i="1" s="1"/>
  <c r="K3185" i="1"/>
  <c r="L3185" i="1" s="1"/>
  <c r="K3186" i="1"/>
  <c r="L3186" i="1" s="1"/>
  <c r="K3187" i="1"/>
  <c r="L3187" i="1" s="1"/>
  <c r="K3188" i="1"/>
  <c r="L3188" i="1" s="1"/>
  <c r="K3189" i="1"/>
  <c r="L3189" i="1" s="1"/>
  <c r="K3190" i="1"/>
  <c r="L3190" i="1" s="1"/>
  <c r="K3191" i="1"/>
  <c r="L3191" i="1" s="1"/>
  <c r="K3192" i="1"/>
  <c r="L3192" i="1" s="1"/>
  <c r="K3193" i="1"/>
  <c r="L3193" i="1" s="1"/>
  <c r="K3194" i="1"/>
  <c r="L3194" i="1" s="1"/>
  <c r="K3195" i="1"/>
  <c r="L3195" i="1" s="1"/>
  <c r="K3196" i="1"/>
  <c r="L3196" i="1" s="1"/>
  <c r="K3197" i="1"/>
  <c r="L3197" i="1" s="1"/>
  <c r="K3198" i="1"/>
  <c r="L3198" i="1" s="1"/>
  <c r="K3199" i="1"/>
  <c r="L3199" i="1" s="1"/>
  <c r="K3200" i="1"/>
  <c r="L3200" i="1" s="1"/>
  <c r="K3201" i="1"/>
  <c r="L3201" i="1" s="1"/>
</calcChain>
</file>

<file path=xl/sharedStrings.xml><?xml version="1.0" encoding="utf-8"?>
<sst xmlns="http://schemas.openxmlformats.org/spreadsheetml/2006/main" count="15219" uniqueCount="3383">
  <si>
    <t>transaction_id</t>
  </si>
  <si>
    <t>date</t>
  </si>
  <si>
    <t>hour</t>
  </si>
  <si>
    <t>tenant_id</t>
  </si>
  <si>
    <t>payment_method</t>
  </si>
  <si>
    <t>gross_sales_inr</t>
  </si>
  <si>
    <t>discount_pct</t>
  </si>
  <si>
    <t>net_sales_inr</t>
  </si>
  <si>
    <t>items_count</t>
  </si>
  <si>
    <t>customer_type</t>
  </si>
  <si>
    <t>TX000001</t>
  </si>
  <si>
    <t>T019</t>
  </si>
  <si>
    <t>UPI</t>
  </si>
  <si>
    <t>Walk-in</t>
  </si>
  <si>
    <t>TX000002</t>
  </si>
  <si>
    <t>T021</t>
  </si>
  <si>
    <t>Member</t>
  </si>
  <si>
    <t>TX000003</t>
  </si>
  <si>
    <t>T025</t>
  </si>
  <si>
    <t>TX000004</t>
  </si>
  <si>
    <t>T016</t>
  </si>
  <si>
    <t>Cash</t>
  </si>
  <si>
    <t>TX000005</t>
  </si>
  <si>
    <t>T003</t>
  </si>
  <si>
    <t>TX000006</t>
  </si>
  <si>
    <t>T020</t>
  </si>
  <si>
    <t>TX000007</t>
  </si>
  <si>
    <t>T010</t>
  </si>
  <si>
    <t>TX000008</t>
  </si>
  <si>
    <t>T018</t>
  </si>
  <si>
    <t>TX000009</t>
  </si>
  <si>
    <t>T008</t>
  </si>
  <si>
    <t>Card</t>
  </si>
  <si>
    <t>TX000010</t>
  </si>
  <si>
    <t>T014</t>
  </si>
  <si>
    <t>TX000011</t>
  </si>
  <si>
    <t>T009</t>
  </si>
  <si>
    <t>TX000012</t>
  </si>
  <si>
    <t>TX000013</t>
  </si>
  <si>
    <t>TX000014</t>
  </si>
  <si>
    <t>TX000015</t>
  </si>
  <si>
    <t>T001</t>
  </si>
  <si>
    <t>TX000016</t>
  </si>
  <si>
    <t>T007</t>
  </si>
  <si>
    <t>TX000017</t>
  </si>
  <si>
    <t>T024</t>
  </si>
  <si>
    <t>TX000018</t>
  </si>
  <si>
    <t>TX000019</t>
  </si>
  <si>
    <t>T005</t>
  </si>
  <si>
    <t>TX000020</t>
  </si>
  <si>
    <t>TX000021</t>
  </si>
  <si>
    <t>Wallet</t>
  </si>
  <si>
    <t>TX000022</t>
  </si>
  <si>
    <t>T030</t>
  </si>
  <si>
    <t>TX000023</t>
  </si>
  <si>
    <t>T012</t>
  </si>
  <si>
    <t>TX000024</t>
  </si>
  <si>
    <t>T017</t>
  </si>
  <si>
    <t>TX000025</t>
  </si>
  <si>
    <t>T011</t>
  </si>
  <si>
    <t>TX000026</t>
  </si>
  <si>
    <t>T002</t>
  </si>
  <si>
    <t>TX000027</t>
  </si>
  <si>
    <t>T023</t>
  </si>
  <si>
    <t>TX000028</t>
  </si>
  <si>
    <t>TX000029</t>
  </si>
  <si>
    <t>TX000030</t>
  </si>
  <si>
    <t>TX000031</t>
  </si>
  <si>
    <t>TX000032</t>
  </si>
  <si>
    <t>TX000033</t>
  </si>
  <si>
    <t>T027</t>
  </si>
  <si>
    <t>TX000034</t>
  </si>
  <si>
    <t>T028</t>
  </si>
  <si>
    <t>TX000035</t>
  </si>
  <si>
    <t>TX000036</t>
  </si>
  <si>
    <t>TX000037</t>
  </si>
  <si>
    <t>TX000038</t>
  </si>
  <si>
    <t>TX000039</t>
  </si>
  <si>
    <t>TX000040</t>
  </si>
  <si>
    <t>TX000041</t>
  </si>
  <si>
    <t>T022</t>
  </si>
  <si>
    <t>TX000042</t>
  </si>
  <si>
    <t>TX000043</t>
  </si>
  <si>
    <t>TX000044</t>
  </si>
  <si>
    <t>TX000045</t>
  </si>
  <si>
    <t>T029</t>
  </si>
  <si>
    <t>TX000046</t>
  </si>
  <si>
    <t>T026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</si>
  <si>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</si>
  <si>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</si>
  <si>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</si>
  <si>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</si>
  <si>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</si>
  <si>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</si>
  <si>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</si>
  <si>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</si>
  <si>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</si>
  <si>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</si>
  <si>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T006</t>
  </si>
  <si>
    <t>TX000057</t>
  </si>
  <si>
    <t>TX000058</t>
  </si>
  <si>
    <t>TX000059</t>
  </si>
  <si>
    <t>TX000060</t>
  </si>
  <si>
    <t>TX000061</t>
  </si>
  <si>
    <t>T013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</si>
  <si>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</si>
  <si>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</si>
  <si>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</si>
  <si>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</si>
  <si>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</si>
  <si>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</si>
  <si>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</si>
  <si>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</si>
  <si>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</si>
  <si>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</si>
  <si>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</si>
  <si>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</si>
  <si>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</si>
  <si>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</si>
  <si>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</si>
  <si>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</si>
  <si>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</si>
  <si>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T015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</si>
  <si>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</si>
  <si>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</si>
  <si>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</si>
  <si>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</si>
  <si>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</si>
  <si>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</si>
  <si>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</si>
  <si>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</si>
  <si>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</si>
  <si>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</si>
  <si>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</si>
  <si>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</si>
  <si>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</si>
  <si>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</si>
  <si>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</si>
  <si>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</si>
  <si>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</si>
  <si>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</si>
  <si>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</si>
  <si>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</si>
  <si>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</si>
  <si>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</si>
  <si>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</si>
  <si>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</si>
  <si>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</si>
  <si>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</si>
  <si>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</si>
  <si>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</si>
  <si>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</si>
  <si>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</si>
  <si>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</si>
  <si>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</si>
  <si>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</si>
  <si>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</si>
  <si>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</si>
  <si>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</si>
  <si>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</si>
  <si>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</si>
  <si>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</si>
  <si>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</si>
  <si>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</si>
  <si>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</si>
  <si>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</si>
  <si>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</si>
  <si>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</si>
  <si>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</si>
  <si>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</si>
  <si>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</si>
  <si>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</si>
  <si>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</si>
  <si>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</si>
  <si>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</si>
  <si>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</si>
  <si>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</si>
  <si>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</si>
  <si>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</si>
  <si>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</si>
  <si>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</si>
  <si>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</si>
  <si>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</si>
  <si>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</si>
  <si>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</si>
  <si>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</si>
  <si>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</si>
  <si>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</si>
  <si>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</si>
  <si>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</si>
  <si>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</si>
  <si>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</si>
  <si>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</si>
  <si>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</si>
  <si>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</si>
  <si>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</si>
  <si>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</si>
  <si>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</si>
  <si>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</si>
  <si>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</si>
  <si>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</si>
  <si>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</si>
  <si>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</si>
  <si>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</si>
  <si>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T004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</si>
  <si>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</si>
  <si>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</si>
  <si>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</si>
  <si>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</si>
  <si>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</si>
  <si>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</si>
  <si>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</si>
  <si>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</si>
  <si>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</si>
  <si>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</si>
  <si>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</si>
  <si>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</si>
  <si>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</si>
  <si>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</si>
  <si>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</si>
  <si>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</si>
  <si>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</si>
  <si>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</si>
  <si>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</si>
  <si>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</si>
  <si>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</si>
  <si>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</si>
  <si>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</si>
  <si>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</si>
  <si>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</si>
  <si>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</si>
  <si>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</si>
  <si>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</si>
  <si>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</si>
  <si>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</si>
  <si>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</si>
  <si>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</si>
  <si>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</si>
  <si>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</si>
  <si>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</si>
  <si>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</si>
  <si>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</si>
  <si>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</si>
  <si>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</si>
  <si>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</si>
  <si>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</si>
  <si>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</si>
  <si>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</si>
  <si>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</si>
  <si>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</si>
  <si>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</si>
  <si>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</si>
  <si>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</si>
  <si>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</si>
  <si>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</si>
  <si>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</si>
  <si>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</si>
  <si>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</si>
  <si>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</si>
  <si>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</si>
  <si>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</si>
  <si>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</si>
  <si>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</si>
  <si>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</si>
  <si>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</si>
  <si>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</si>
  <si>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</si>
  <si>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</si>
  <si>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</si>
  <si>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</si>
  <si>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</si>
  <si>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</si>
  <si>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</si>
  <si>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</si>
  <si>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</si>
  <si>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</si>
  <si>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</si>
  <si>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</si>
  <si>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</si>
  <si>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</si>
  <si>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</si>
  <si>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</si>
  <si>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</si>
  <si>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</si>
  <si>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</si>
  <si>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</si>
  <si>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</si>
  <si>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</si>
  <si>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</si>
  <si>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</si>
  <si>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</si>
  <si>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</si>
  <si>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</si>
  <si>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</si>
  <si>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</si>
  <si>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</si>
  <si>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</si>
  <si>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</si>
  <si>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</si>
  <si>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</si>
  <si>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</si>
  <si>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</si>
  <si>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</si>
  <si>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</si>
  <si>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</si>
  <si>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</si>
  <si>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</si>
  <si>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</si>
  <si>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</si>
  <si>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</si>
  <si>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</si>
  <si>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</si>
  <si>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</si>
  <si>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</si>
  <si>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</si>
  <si>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</si>
  <si>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</si>
  <si>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</si>
  <si>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</si>
  <si>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</si>
  <si>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</si>
  <si>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</si>
  <si>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</si>
  <si>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</si>
  <si>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</si>
  <si>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</si>
  <si>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</si>
  <si>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</si>
  <si>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</si>
  <si>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</si>
  <si>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</si>
  <si>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</si>
  <si>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</si>
  <si>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</si>
  <si>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</si>
  <si>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</si>
  <si>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</si>
  <si>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</si>
  <si>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</si>
  <si>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</si>
  <si>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</si>
  <si>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</si>
  <si>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</si>
  <si>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</si>
  <si>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</si>
  <si>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</si>
  <si>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TX000301</t>
  </si>
  <si>
    <t>TX000302</t>
  </si>
  <si>
    <t>TX000303</t>
  </si>
  <si>
    <t>TX000304</t>
  </si>
  <si>
    <t>TX000305</t>
  </si>
  <si>
    <t>TX000306</t>
  </si>
  <si>
    <t>TX000307</t>
  </si>
  <si>
    <t>TX000308</t>
  </si>
  <si>
    <t>TX000309</t>
  </si>
  <si>
    <t>TX000310</t>
  </si>
  <si>
    <t>TX000311</t>
  </si>
  <si>
    <t>TX000312</t>
  </si>
  <si>
    <t>TX000313</t>
  </si>
  <si>
    <t>TX000314</t>
  </si>
  <si>
    <t>TX000315</t>
  </si>
  <si>
    <t>TX000316</t>
  </si>
  <si>
    <t>TX000317</t>
  </si>
  <si>
    <t>TX000318</t>
  </si>
  <si>
    <t>TX000319</t>
  </si>
  <si>
    <t>TX000320</t>
  </si>
  <si>
    <t>TX000321</t>
  </si>
  <si>
    <t>TX000322</t>
  </si>
  <si>
    <t>TX000323</t>
  </si>
  <si>
    <t>TX000324</t>
  </si>
  <si>
    <t>TX000325</t>
  </si>
  <si>
    <t>TX000326</t>
  </si>
  <si>
    <t>TX000327</t>
  </si>
  <si>
    <t>TX000328</t>
  </si>
  <si>
    <t>TX000329</t>
  </si>
  <si>
    <t>TX000330</t>
  </si>
  <si>
    <t>TX000331</t>
  </si>
  <si>
    <t>TX000332</t>
  </si>
  <si>
    <t>TX000333</t>
  </si>
  <si>
    <t>TX000334</t>
  </si>
  <si>
    <t>TX000335</t>
  </si>
  <si>
    <t>TX000336</t>
  </si>
  <si>
    <t>TX000337</t>
  </si>
  <si>
    <t>TX000338</t>
  </si>
  <si>
    <t>TX000339</t>
  </si>
  <si>
    <t>TX000340</t>
  </si>
  <si>
    <t>TX000341</t>
  </si>
  <si>
    <t>TX000342</t>
  </si>
  <si>
    <t>TX000343</t>
  </si>
  <si>
    <t>TX000344</t>
  </si>
  <si>
    <t>TX000345</t>
  </si>
  <si>
    <t>TX000346</t>
  </si>
  <si>
    <t>TX000347</t>
  </si>
  <si>
    <t>TX000348</t>
  </si>
  <si>
    <t>TX000349</t>
  </si>
  <si>
    <t>TX000350</t>
  </si>
  <si>
    <t>TX000351</t>
  </si>
  <si>
    <t>TX000352</t>
  </si>
  <si>
    <t>TX000353</t>
  </si>
  <si>
    <t>TX000354</t>
  </si>
  <si>
    <t>TX000355</t>
  </si>
  <si>
    <t>TX000356</t>
  </si>
  <si>
    <t>TX000357</t>
  </si>
  <si>
    <t>TX000358</t>
  </si>
  <si>
    <t>TX000359</t>
  </si>
  <si>
    <t>TX000360</t>
  </si>
  <si>
    <t>TX000361</t>
  </si>
  <si>
    <t>TX000362</t>
  </si>
  <si>
    <t>TX000363</t>
  </si>
  <si>
    <t>TX000364</t>
  </si>
  <si>
    <t>TX000365</t>
  </si>
  <si>
    <t>TX000366</t>
  </si>
  <si>
    <t>TX000367</t>
  </si>
  <si>
    <t>TX000368</t>
  </si>
  <si>
    <t>TX000369</t>
  </si>
  <si>
    <t>TX000370</t>
  </si>
  <si>
    <t>TX000371</t>
  </si>
  <si>
    <t>TX000372</t>
  </si>
  <si>
    <t>TX000373</t>
  </si>
  <si>
    <t>TX000374</t>
  </si>
  <si>
    <t>TX000375</t>
  </si>
  <si>
    <t>TX000376</t>
  </si>
  <si>
    <t>TX000377</t>
  </si>
  <si>
    <t>TX000378</t>
  </si>
  <si>
    <t>TX000379</t>
  </si>
  <si>
    <t>TX000380</t>
  </si>
  <si>
    <t>TX000381</t>
  </si>
  <si>
    <t>TX000382</t>
  </si>
  <si>
    <t>TX000383</t>
  </si>
  <si>
    <t>TX000384</t>
  </si>
  <si>
    <t>TX000385</t>
  </si>
  <si>
    <t>TX000386</t>
  </si>
  <si>
    <t>TX000387</t>
  </si>
  <si>
    <t>TX000388</t>
  </si>
  <si>
    <t>TX000389</t>
  </si>
  <si>
    <t>TX000390</t>
  </si>
  <si>
    <t>TX000391</t>
  </si>
  <si>
    <t>TX000392</t>
  </si>
  <si>
    <t>TX000393</t>
  </si>
  <si>
    <t>TX000394</t>
  </si>
  <si>
    <t>TX000395</t>
  </si>
  <si>
    <t>TX000396</t>
  </si>
  <si>
    <t>TX000397</t>
  </si>
  <si>
    <t>TX000398</t>
  </si>
  <si>
    <t>TX000399</t>
  </si>
  <si>
    <t>TX000400</t>
  </si>
  <si>
    <t>TX000401</t>
  </si>
  <si>
    <t>TX000402</t>
  </si>
  <si>
    <t>TX000403</t>
  </si>
  <si>
    <t>TX000404</t>
  </si>
  <si>
    <t>TX000405</t>
  </si>
  <si>
    <t>TX000406</t>
  </si>
  <si>
    <t>TX000407</t>
  </si>
  <si>
    <t>TX000408</t>
  </si>
  <si>
    <t>TX000409</t>
  </si>
  <si>
    <t>TX000410</t>
  </si>
  <si>
    <t>TX000411</t>
  </si>
  <si>
    <t>TX000412</t>
  </si>
  <si>
    <t>TX000413</t>
  </si>
  <si>
    <t>TX000414</t>
  </si>
  <si>
    <t>TX000415</t>
  </si>
  <si>
    <t>TX000416</t>
  </si>
  <si>
    <t>TX000417</t>
  </si>
  <si>
    <t>TX000418</t>
  </si>
  <si>
    <t>TX000419</t>
  </si>
  <si>
    <t>TX000420</t>
  </si>
  <si>
    <t>TX000421</t>
  </si>
  <si>
    <t>TX000422</t>
  </si>
  <si>
    <t>TX000423</t>
  </si>
  <si>
    <t>TX000424</t>
  </si>
  <si>
    <t>TX000425</t>
  </si>
  <si>
    <t>TX000426</t>
  </si>
  <si>
    <t>TX000427</t>
  </si>
  <si>
    <t>TX000428</t>
  </si>
  <si>
    <t>TX000429</t>
  </si>
  <si>
    <t>TX000430</t>
  </si>
  <si>
    <t>TX000431</t>
  </si>
  <si>
    <t>TX000432</t>
  </si>
  <si>
    <t>TX000433</t>
  </si>
  <si>
    <t>TX000434</t>
  </si>
  <si>
    <t>TX000435</t>
  </si>
  <si>
    <t>TX000436</t>
  </si>
  <si>
    <t>TX000437</t>
  </si>
  <si>
    <t>TX000438</t>
  </si>
  <si>
    <t>TX000439</t>
  </si>
  <si>
    <t>TX000440</t>
  </si>
  <si>
    <t>TX000441</t>
  </si>
  <si>
    <t>TX000442</t>
  </si>
  <si>
    <t>TX000443</t>
  </si>
  <si>
    <t>TX000444</t>
  </si>
  <si>
    <t>TX000445</t>
  </si>
  <si>
    <t>TX000446</t>
  </si>
  <si>
    <t>TX000447</t>
  </si>
  <si>
    <t>TX000448</t>
  </si>
  <si>
    <t>TX000449</t>
  </si>
  <si>
    <t>TX000450</t>
  </si>
  <si>
    <t>TX000451</t>
  </si>
  <si>
    <t>TX000452</t>
  </si>
  <si>
    <t>TX000453</t>
  </si>
  <si>
    <t>TX000454</t>
  </si>
  <si>
    <t>TX000455</t>
  </si>
  <si>
    <t>TX000456</t>
  </si>
  <si>
    <t>TX000457</t>
  </si>
  <si>
    <t>TX000458</t>
  </si>
  <si>
    <t>TX000459</t>
  </si>
  <si>
    <t>TX000460</t>
  </si>
  <si>
    <t>TX000461</t>
  </si>
  <si>
    <t>TX000462</t>
  </si>
  <si>
    <t>TX000463</t>
  </si>
  <si>
    <t>TX000464</t>
  </si>
  <si>
    <t>TX000465</t>
  </si>
  <si>
    <t>TX000466</t>
  </si>
  <si>
    <t>TX000467</t>
  </si>
  <si>
    <t>TX000468</t>
  </si>
  <si>
    <t>TX000469</t>
  </si>
  <si>
    <t>TX000470</t>
  </si>
  <si>
    <t>TX000471</t>
  </si>
  <si>
    <t>TX000472</t>
  </si>
  <si>
    <t>TX000473</t>
  </si>
  <si>
    <t>TX000474</t>
  </si>
  <si>
    <t>TX000475</t>
  </si>
  <si>
    <t>TX000476</t>
  </si>
  <si>
    <t>TX000477</t>
  </si>
  <si>
    <t>TX000478</t>
  </si>
  <si>
    <t>TX000479</t>
  </si>
  <si>
    <t>TX000480</t>
  </si>
  <si>
    <t>TX000481</t>
  </si>
  <si>
    <t>TX000482</t>
  </si>
  <si>
    <t>TX000483</t>
  </si>
  <si>
    <t>TX000484</t>
  </si>
  <si>
    <t>TX000485</t>
  </si>
  <si>
    <t>TX000486</t>
  </si>
  <si>
    <t>TX000487</t>
  </si>
  <si>
    <t>TX000488</t>
  </si>
  <si>
    <t>TX000489</t>
  </si>
  <si>
    <t>TX000490</t>
  </si>
  <si>
    <t>TX000491</t>
  </si>
  <si>
    <t>TX000492</t>
  </si>
  <si>
    <t>TX000493</t>
  </si>
  <si>
    <t>TX000494</t>
  </si>
  <si>
    <t>TX000495</t>
  </si>
  <si>
    <t>TX000496</t>
  </si>
  <si>
    <t>TX000497</t>
  </si>
  <si>
    <t>TX000498</t>
  </si>
  <si>
    <t>TX000499</t>
  </si>
  <si>
    <t>TX000500</t>
  </si>
  <si>
    <t>TX000501</t>
  </si>
  <si>
    <t>TX000502</t>
  </si>
  <si>
    <t>TX000503</t>
  </si>
  <si>
    <t>TX000504</t>
  </si>
  <si>
    <t>TX000505</t>
  </si>
  <si>
    <t>TX000506</t>
  </si>
  <si>
    <t>TX000507</t>
  </si>
  <si>
    <t>TX000508</t>
  </si>
  <si>
    <t>TX000509</t>
  </si>
  <si>
    <t>TX000510</t>
  </si>
  <si>
    <t>TX000511</t>
  </si>
  <si>
    <t>TX000512</t>
  </si>
  <si>
    <t>TX000513</t>
  </si>
  <si>
    <t>TX000514</t>
  </si>
  <si>
    <t>TX000515</t>
  </si>
  <si>
    <t>TX000516</t>
  </si>
  <si>
    <t>TX000517</t>
  </si>
  <si>
    <t>TX000518</t>
  </si>
  <si>
    <t>TX000519</t>
  </si>
  <si>
    <t>TX000520</t>
  </si>
  <si>
    <t>TX000521</t>
  </si>
  <si>
    <t>TX000522</t>
  </si>
  <si>
    <t>TX000523</t>
  </si>
  <si>
    <t>TX000524</t>
  </si>
  <si>
    <t>TX000525</t>
  </si>
  <si>
    <t>TX000526</t>
  </si>
  <si>
    <t>TX000527</t>
  </si>
  <si>
    <t>TX000528</t>
  </si>
  <si>
    <t>TX000529</t>
  </si>
  <si>
    <t>TX000530</t>
  </si>
  <si>
    <t>TX000531</t>
  </si>
  <si>
    <t>TX000532</t>
  </si>
  <si>
    <t>TX000533</t>
  </si>
  <si>
    <t>TX000534</t>
  </si>
  <si>
    <t>TX000535</t>
  </si>
  <si>
    <t>TX000536</t>
  </si>
  <si>
    <t>TX000537</t>
  </si>
  <si>
    <t>TX000538</t>
  </si>
  <si>
    <t>TX000539</t>
  </si>
  <si>
    <t>TX000540</t>
  </si>
  <si>
    <t>TX000541</t>
  </si>
  <si>
    <t>TX000542</t>
  </si>
  <si>
    <t>TX000543</t>
  </si>
  <si>
    <t>TX000544</t>
  </si>
  <si>
    <t>TX000545</t>
  </si>
  <si>
    <t>TX000546</t>
  </si>
  <si>
    <t>TX000547</t>
  </si>
  <si>
    <t>TX000548</t>
  </si>
  <si>
    <t>TX000549</t>
  </si>
  <si>
    <t>TX000550</t>
  </si>
  <si>
    <t>TX000551</t>
  </si>
  <si>
    <t>TX000552</t>
  </si>
  <si>
    <t>TX000553</t>
  </si>
  <si>
    <t>TX000554</t>
  </si>
  <si>
    <t>TX000555</t>
  </si>
  <si>
    <t>TX000556</t>
  </si>
  <si>
    <t>TX000557</t>
  </si>
  <si>
    <t>TX000558</t>
  </si>
  <si>
    <t>TX000559</t>
  </si>
  <si>
    <t>TX000560</t>
  </si>
  <si>
    <t>TX000561</t>
  </si>
  <si>
    <t>TX000562</t>
  </si>
  <si>
    <t>TX000563</t>
  </si>
  <si>
    <t>TX000564</t>
  </si>
  <si>
    <t>TX000565</t>
  </si>
  <si>
    <t>TX000566</t>
  </si>
  <si>
    <t>TX000567</t>
  </si>
  <si>
    <t>TX000568</t>
  </si>
  <si>
    <t>TX000569</t>
  </si>
  <si>
    <t>TX000570</t>
  </si>
  <si>
    <t>TX000571</t>
  </si>
  <si>
    <t>TX000572</t>
  </si>
  <si>
    <t>TX000573</t>
  </si>
  <si>
    <t>TX000574</t>
  </si>
  <si>
    <t>TX000575</t>
  </si>
  <si>
    <t>TX000576</t>
  </si>
  <si>
    <t>TX000577</t>
  </si>
  <si>
    <t>TX000578</t>
  </si>
  <si>
    <t>TX000579</t>
  </si>
  <si>
    <t>TX000580</t>
  </si>
  <si>
    <t>TX000581</t>
  </si>
  <si>
    <t>TX000582</t>
  </si>
  <si>
    <t>TX000583</t>
  </si>
  <si>
    <t>TX000584</t>
  </si>
  <si>
    <t>TX000585</t>
  </si>
  <si>
    <t>TX000586</t>
  </si>
  <si>
    <t>TX000587</t>
  </si>
  <si>
    <t>TX000588</t>
  </si>
  <si>
    <t>TX000589</t>
  </si>
  <si>
    <t>TX000590</t>
  </si>
  <si>
    <t>TX000591</t>
  </si>
  <si>
    <t>TX000592</t>
  </si>
  <si>
    <t>TX000593</t>
  </si>
  <si>
    <t>TX000594</t>
  </si>
  <si>
    <t>TX000595</t>
  </si>
  <si>
    <t>TX000596</t>
  </si>
  <si>
    <t>TX000597</t>
  </si>
  <si>
    <t>TX000598</t>
  </si>
  <si>
    <t>TX000599</t>
  </si>
  <si>
    <t>TX000600</t>
  </si>
  <si>
    <t>TX000601</t>
  </si>
  <si>
    <t>TX000602</t>
  </si>
  <si>
    <t>TX000603</t>
  </si>
  <si>
    <t>TX000604</t>
  </si>
  <si>
    <t>TX000605</t>
  </si>
  <si>
    <t>TX000606</t>
  </si>
  <si>
    <t>TX000607</t>
  </si>
  <si>
    <t>TX000608</t>
  </si>
  <si>
    <t>TX000609</t>
  </si>
  <si>
    <t>TX000610</t>
  </si>
  <si>
    <t>TX000611</t>
  </si>
  <si>
    <t>TX000612</t>
  </si>
  <si>
    <t>TX000613</t>
  </si>
  <si>
    <t>TX000614</t>
  </si>
  <si>
    <t>TX000615</t>
  </si>
  <si>
    <t>TX000616</t>
  </si>
  <si>
    <t>TX000617</t>
  </si>
  <si>
    <t>TX000618</t>
  </si>
  <si>
    <t>TX000619</t>
  </si>
  <si>
    <t>TX000620</t>
  </si>
  <si>
    <t>TX000621</t>
  </si>
  <si>
    <t>TX000622</t>
  </si>
  <si>
    <t>TX000623</t>
  </si>
  <si>
    <t>TX000624</t>
  </si>
  <si>
    <t>TX000625</t>
  </si>
  <si>
    <t>TX000626</t>
  </si>
  <si>
    <t>TX000627</t>
  </si>
  <si>
    <t>TX000628</t>
  </si>
  <si>
    <t>TX000629</t>
  </si>
  <si>
    <t>TX000630</t>
  </si>
  <si>
    <t>TX000631</t>
  </si>
  <si>
    <t>TX000632</t>
  </si>
  <si>
    <t>TX000633</t>
  </si>
  <si>
    <t>TX000634</t>
  </si>
  <si>
    <t>TX000635</t>
  </si>
  <si>
    <t>TX000636</t>
  </si>
  <si>
    <t>TX000637</t>
  </si>
  <si>
    <t>TX000638</t>
  </si>
  <si>
    <t>TX000639</t>
  </si>
  <si>
    <t>TX000640</t>
  </si>
  <si>
    <t>TX000641</t>
  </si>
  <si>
    <t>TX000642</t>
  </si>
  <si>
    <t>TX000643</t>
  </si>
  <si>
    <t>TX000644</t>
  </si>
  <si>
    <t>TX000645</t>
  </si>
  <si>
    <t>TX000646</t>
  </si>
  <si>
    <t>TX000647</t>
  </si>
  <si>
    <t>TX000648</t>
  </si>
  <si>
    <t>TX000649</t>
  </si>
  <si>
    <t>TX000650</t>
  </si>
  <si>
    <t>TX000651</t>
  </si>
  <si>
    <t>TX000652</t>
  </si>
  <si>
    <t>TX000653</t>
  </si>
  <si>
    <t>TX000654</t>
  </si>
  <si>
    <t>TX000655</t>
  </si>
  <si>
    <t>TX000656</t>
  </si>
  <si>
    <t>TX000657</t>
  </si>
  <si>
    <t>TX000658</t>
  </si>
  <si>
    <t>TX000659</t>
  </si>
  <si>
    <t>TX000660</t>
  </si>
  <si>
    <t>TX000661</t>
  </si>
  <si>
    <t>TX000662</t>
  </si>
  <si>
    <t>TX000663</t>
  </si>
  <si>
    <t>TX000664</t>
  </si>
  <si>
    <t>TX000665</t>
  </si>
  <si>
    <t>TX000666</t>
  </si>
  <si>
    <t>TX000667</t>
  </si>
  <si>
    <t>TX000668</t>
  </si>
  <si>
    <t>TX000669</t>
  </si>
  <si>
    <t>TX000670</t>
  </si>
  <si>
    <t>TX000671</t>
  </si>
  <si>
    <t>TX000672</t>
  </si>
  <si>
    <t>TX000673</t>
  </si>
  <si>
    <t>TX000674</t>
  </si>
  <si>
    <t>TX000675</t>
  </si>
  <si>
    <t>TX000676</t>
  </si>
  <si>
    <t>TX000677</t>
  </si>
  <si>
    <t>TX000678</t>
  </si>
  <si>
    <t>TX000679</t>
  </si>
  <si>
    <t>TX000680</t>
  </si>
  <si>
    <t>TX000681</t>
  </si>
  <si>
    <t>TX000682</t>
  </si>
  <si>
    <t>TX000683</t>
  </si>
  <si>
    <t>TX000684</t>
  </si>
  <si>
    <t>TX000685</t>
  </si>
  <si>
    <t>TX000686</t>
  </si>
  <si>
    <t>TX000687</t>
  </si>
  <si>
    <t>TX000688</t>
  </si>
  <si>
    <t>TX000689</t>
  </si>
  <si>
    <t>TX000690</t>
  </si>
  <si>
    <t>TX000691</t>
  </si>
  <si>
    <t>TX000692</t>
  </si>
  <si>
    <t>TX000693</t>
  </si>
  <si>
    <t>TX000694</t>
  </si>
  <si>
    <t>TX000695</t>
  </si>
  <si>
    <t>TX000696</t>
  </si>
  <si>
    <t>TX000697</t>
  </si>
  <si>
    <t>TX000698</t>
  </si>
  <si>
    <t>TX000699</t>
  </si>
  <si>
    <t>TX000700</t>
  </si>
  <si>
    <t>TX000701</t>
  </si>
  <si>
    <t>TX000702</t>
  </si>
  <si>
    <t>TX000703</t>
  </si>
  <si>
    <t>TX000704</t>
  </si>
  <si>
    <t>TX000705</t>
  </si>
  <si>
    <t>TX000706</t>
  </si>
  <si>
    <t>TX000707</t>
  </si>
  <si>
    <t>TX000708</t>
  </si>
  <si>
    <t>TX000709</t>
  </si>
  <si>
    <t>TX000710</t>
  </si>
  <si>
    <t>TX000711</t>
  </si>
  <si>
    <t>TX000712</t>
  </si>
  <si>
    <t>TX000713</t>
  </si>
  <si>
    <t>TX000714</t>
  </si>
  <si>
    <t>TX000715</t>
  </si>
  <si>
    <t>TX000716</t>
  </si>
  <si>
    <t>TX000717</t>
  </si>
  <si>
    <t>TX000718</t>
  </si>
  <si>
    <t>TX000719</t>
  </si>
  <si>
    <t>TX000720</t>
  </si>
  <si>
    <t>TX000721</t>
  </si>
  <si>
    <t>TX000722</t>
  </si>
  <si>
    <t>TX000723</t>
  </si>
  <si>
    <t>TX000724</t>
  </si>
  <si>
    <t>TX000725</t>
  </si>
  <si>
    <t>TX000726</t>
  </si>
  <si>
    <t>TX000727</t>
  </si>
  <si>
    <t>TX000728</t>
  </si>
  <si>
    <t>TX000729</t>
  </si>
  <si>
    <t>TX000730</t>
  </si>
  <si>
    <t>TX000731</t>
  </si>
  <si>
    <t>TX000732</t>
  </si>
  <si>
    <t>TX000733</t>
  </si>
  <si>
    <t>TX000734</t>
  </si>
  <si>
    <t>TX000735</t>
  </si>
  <si>
    <t>TX000736</t>
  </si>
  <si>
    <t>TX000737</t>
  </si>
  <si>
    <t>TX000738</t>
  </si>
  <si>
    <t>TX000739</t>
  </si>
  <si>
    <t>TX000740</t>
  </si>
  <si>
    <t>TX000741</t>
  </si>
  <si>
    <t>TX000742</t>
  </si>
  <si>
    <t>TX000743</t>
  </si>
  <si>
    <t>TX000744</t>
  </si>
  <si>
    <t>TX000745</t>
  </si>
  <si>
    <t>TX000746</t>
  </si>
  <si>
    <t>TX000747</t>
  </si>
  <si>
    <t>TX000748</t>
  </si>
  <si>
    <t>TX000749</t>
  </si>
  <si>
    <t>TX000750</t>
  </si>
  <si>
    <t>TX000751</t>
  </si>
  <si>
    <t>TX000752</t>
  </si>
  <si>
    <t>TX000753</t>
  </si>
  <si>
    <t>TX000754</t>
  </si>
  <si>
    <t>TX000755</t>
  </si>
  <si>
    <t>TX000756</t>
  </si>
  <si>
    <t>TX000757</t>
  </si>
  <si>
    <t>TX000758</t>
  </si>
  <si>
    <t>TX000759</t>
  </si>
  <si>
    <t>TX000760</t>
  </si>
  <si>
    <t>TX000761</t>
  </si>
  <si>
    <t>TX000762</t>
  </si>
  <si>
    <t>TX000763</t>
  </si>
  <si>
    <t>TX000764</t>
  </si>
  <si>
    <t>TX000765</t>
  </si>
  <si>
    <t>TX000766</t>
  </si>
  <si>
    <t>TX000767</t>
  </si>
  <si>
    <t>TX000768</t>
  </si>
  <si>
    <t>TX000769</t>
  </si>
  <si>
    <t>TX000770</t>
  </si>
  <si>
    <t>TX000771</t>
  </si>
  <si>
    <t>TX000772</t>
  </si>
  <si>
    <t>TX000773</t>
  </si>
  <si>
    <t>TX000774</t>
  </si>
  <si>
    <t>TX000775</t>
  </si>
  <si>
    <t>TX000776</t>
  </si>
  <si>
    <t>TX000777</t>
  </si>
  <si>
    <t>TX000778</t>
  </si>
  <si>
    <t>TX000779</t>
  </si>
  <si>
    <t>TX000780</t>
  </si>
  <si>
    <t>TX000781</t>
  </si>
  <si>
    <t>TX000782</t>
  </si>
  <si>
    <t>TX000783</t>
  </si>
  <si>
    <t>TX000784</t>
  </si>
  <si>
    <t>TX000785</t>
  </si>
  <si>
    <t>TX000786</t>
  </si>
  <si>
    <t>TX000787</t>
  </si>
  <si>
    <t>TX000788</t>
  </si>
  <si>
    <t>TX000789</t>
  </si>
  <si>
    <t>TX000790</t>
  </si>
  <si>
    <t>TX000791</t>
  </si>
  <si>
    <t>TX000792</t>
  </si>
  <si>
    <t>TX000793</t>
  </si>
  <si>
    <t>TX000794</t>
  </si>
  <si>
    <t>TX000795</t>
  </si>
  <si>
    <t>TX000796</t>
  </si>
  <si>
    <t>TX000797</t>
  </si>
  <si>
    <t>TX000798</t>
  </si>
  <si>
    <t>TX000799</t>
  </si>
  <si>
    <t>TX000800</t>
  </si>
  <si>
    <t>TX000801</t>
  </si>
  <si>
    <t>TX000802</t>
  </si>
  <si>
    <t>TX000803</t>
  </si>
  <si>
    <t>TX000804</t>
  </si>
  <si>
    <t>TX000805</t>
  </si>
  <si>
    <t>TX000806</t>
  </si>
  <si>
    <t>TX000807</t>
  </si>
  <si>
    <t>TX000808</t>
  </si>
  <si>
    <t>TX000809</t>
  </si>
  <si>
    <t>TX000810</t>
  </si>
  <si>
    <t>TX000811</t>
  </si>
  <si>
    <t>TX000812</t>
  </si>
  <si>
    <t>TX000813</t>
  </si>
  <si>
    <t>TX000814</t>
  </si>
  <si>
    <t>TX000815</t>
  </si>
  <si>
    <t>TX000816</t>
  </si>
  <si>
    <t>TX000817</t>
  </si>
  <si>
    <t>TX000818</t>
  </si>
  <si>
    <t>TX000819</t>
  </si>
  <si>
    <t>TX000820</t>
  </si>
  <si>
    <t>TX000821</t>
  </si>
  <si>
    <t>TX000822</t>
  </si>
  <si>
    <t>TX000823</t>
  </si>
  <si>
    <t>TX000824</t>
  </si>
  <si>
    <t>TX000825</t>
  </si>
  <si>
    <t>TX000826</t>
  </si>
  <si>
    <t>TX000827</t>
  </si>
  <si>
    <t>TX000828</t>
  </si>
  <si>
    <t>TX000829</t>
  </si>
  <si>
    <t>TX000830</t>
  </si>
  <si>
    <t>TX000831</t>
  </si>
  <si>
    <t>TX000832</t>
  </si>
  <si>
    <t>TX000833</t>
  </si>
  <si>
    <t>TX000834</t>
  </si>
  <si>
    <t>TX000835</t>
  </si>
  <si>
    <t>TX000836</t>
  </si>
  <si>
    <t>TX000837</t>
  </si>
  <si>
    <t>TX000838</t>
  </si>
  <si>
    <t>TX000839</t>
  </si>
  <si>
    <t>TX000840</t>
  </si>
  <si>
    <t>TX000841</t>
  </si>
  <si>
    <t>TX000842</t>
  </si>
  <si>
    <t>TX000843</t>
  </si>
  <si>
    <t>TX000844</t>
  </si>
  <si>
    <t>TX000845</t>
  </si>
  <si>
    <t>TX000846</t>
  </si>
  <si>
    <t>TX000847</t>
  </si>
  <si>
    <t>TX000848</t>
  </si>
  <si>
    <t>TX000849</t>
  </si>
  <si>
    <t>TX000850</t>
  </si>
  <si>
    <t>TX000851</t>
  </si>
  <si>
    <t>TX000852</t>
  </si>
  <si>
    <t>TX000853</t>
  </si>
  <si>
    <t>TX000854</t>
  </si>
  <si>
    <t>TX000855</t>
  </si>
  <si>
    <t>TX000856</t>
  </si>
  <si>
    <t>TX000857</t>
  </si>
  <si>
    <t>TX000858</t>
  </si>
  <si>
    <t>TX000859</t>
  </si>
  <si>
    <t>TX000860</t>
  </si>
  <si>
    <t>TX000861</t>
  </si>
  <si>
    <t>TX000862</t>
  </si>
  <si>
    <t>TX000863</t>
  </si>
  <si>
    <t>TX000864</t>
  </si>
  <si>
    <t>TX000865</t>
  </si>
  <si>
    <t>TX000866</t>
  </si>
  <si>
    <t>TX000867</t>
  </si>
  <si>
    <t>TX000868</t>
  </si>
  <si>
    <t>TX000869</t>
  </si>
  <si>
    <t>TX000870</t>
  </si>
  <si>
    <t>TX000871</t>
  </si>
  <si>
    <t>TX000872</t>
  </si>
  <si>
    <t>TX000873</t>
  </si>
  <si>
    <t>TX000874</t>
  </si>
  <si>
    <t>TX000875</t>
  </si>
  <si>
    <t>TX000876</t>
  </si>
  <si>
    <t>TX000877</t>
  </si>
  <si>
    <t>TX000878</t>
  </si>
  <si>
    <t>TX000879</t>
  </si>
  <si>
    <t>TX000880</t>
  </si>
  <si>
    <t>TX000881</t>
  </si>
  <si>
    <t>TX000882</t>
  </si>
  <si>
    <t>TX000883</t>
  </si>
  <si>
    <t>TX000884</t>
  </si>
  <si>
    <t>TX000885</t>
  </si>
  <si>
    <t>TX000886</t>
  </si>
  <si>
    <t>TX000887</t>
  </si>
  <si>
    <t>TX000888</t>
  </si>
  <si>
    <t>TX000889</t>
  </si>
  <si>
    <t>TX000890</t>
  </si>
  <si>
    <t>TX000891</t>
  </si>
  <si>
    <t>TX000892</t>
  </si>
  <si>
    <t>TX000893</t>
  </si>
  <si>
    <t>TX000894</t>
  </si>
  <si>
    <t>TX000895</t>
  </si>
  <si>
    <t>TX000896</t>
  </si>
  <si>
    <t>TX000897</t>
  </si>
  <si>
    <t>TX000898</t>
  </si>
  <si>
    <t>TX000899</t>
  </si>
  <si>
    <t>TX000900</t>
  </si>
  <si>
    <t>TX000901</t>
  </si>
  <si>
    <t>TX000902</t>
  </si>
  <si>
    <t>TX000903</t>
  </si>
  <si>
    <t>TX000904</t>
  </si>
  <si>
    <t>TX000905</t>
  </si>
  <si>
    <t>TX000906</t>
  </si>
  <si>
    <t>TX000907</t>
  </si>
  <si>
    <t>TX000908</t>
  </si>
  <si>
    <t>TX000909</t>
  </si>
  <si>
    <t>TX000910</t>
  </si>
  <si>
    <t>TX000911</t>
  </si>
  <si>
    <t>TX000912</t>
  </si>
  <si>
    <t>TX000913</t>
  </si>
  <si>
    <t>TX000914</t>
  </si>
  <si>
    <t>TX000915</t>
  </si>
  <si>
    <t>TX000916</t>
  </si>
  <si>
    <t>TX000917</t>
  </si>
  <si>
    <t>TX000918</t>
  </si>
  <si>
    <t>TX000919</t>
  </si>
  <si>
    <t>TX000920</t>
  </si>
  <si>
    <t>TX000921</t>
  </si>
  <si>
    <t>TX000922</t>
  </si>
  <si>
    <t>TX000923</t>
  </si>
  <si>
    <t>TX000924</t>
  </si>
  <si>
    <t>TX000925</t>
  </si>
  <si>
    <t>TX000926</t>
  </si>
  <si>
    <t>TX000927</t>
  </si>
  <si>
    <t>TX000928</t>
  </si>
  <si>
    <t>TX000929</t>
  </si>
  <si>
    <t>TX000930</t>
  </si>
  <si>
    <t>TX000931</t>
  </si>
  <si>
    <t>TX000932</t>
  </si>
  <si>
    <t>TX000933</t>
  </si>
  <si>
    <t>TX000934</t>
  </si>
  <si>
    <t>TX000935</t>
  </si>
  <si>
    <t>TX000936</t>
  </si>
  <si>
    <t>TX000937</t>
  </si>
  <si>
    <t>TX000938</t>
  </si>
  <si>
    <t>TX000939</t>
  </si>
  <si>
    <t>TX000940</t>
  </si>
  <si>
    <t>TX000941</t>
  </si>
  <si>
    <t>TX000942</t>
  </si>
  <si>
    <t>TX000943</t>
  </si>
  <si>
    <t>TX000944</t>
  </si>
  <si>
    <t>TX000945</t>
  </si>
  <si>
    <t>TX000946</t>
  </si>
  <si>
    <t>TX000947</t>
  </si>
  <si>
    <t>TX000948</t>
  </si>
  <si>
    <t>TX000949</t>
  </si>
  <si>
    <t>TX000950</t>
  </si>
  <si>
    <t>TX000951</t>
  </si>
  <si>
    <t>TX000952</t>
  </si>
  <si>
    <t>TX000953</t>
  </si>
  <si>
    <t>TX000954</t>
  </si>
  <si>
    <t>TX000955</t>
  </si>
  <si>
    <t>TX000956</t>
  </si>
  <si>
    <t>TX000957</t>
  </si>
  <si>
    <t>TX000958</t>
  </si>
  <si>
    <t>TX000959</t>
  </si>
  <si>
    <t>TX000960</t>
  </si>
  <si>
    <t>TX000961</t>
  </si>
  <si>
    <t>TX000962</t>
  </si>
  <si>
    <t>TX000963</t>
  </si>
  <si>
    <t>TX000964</t>
  </si>
  <si>
    <t>TX000965</t>
  </si>
  <si>
    <t>TX000966</t>
  </si>
  <si>
    <t>TX000967</t>
  </si>
  <si>
    <t>TX000968</t>
  </si>
  <si>
    <t>TX000969</t>
  </si>
  <si>
    <t>TX000970</t>
  </si>
  <si>
    <t>TX000971</t>
  </si>
  <si>
    <t>TX000972</t>
  </si>
  <si>
    <t>TX000973</t>
  </si>
  <si>
    <t>TX000974</t>
  </si>
  <si>
    <t>TX000975</t>
  </si>
  <si>
    <t>TX000976</t>
  </si>
  <si>
    <t>TX000977</t>
  </si>
  <si>
    <t>TX000978</t>
  </si>
  <si>
    <t>TX000979</t>
  </si>
  <si>
    <t>TX000980</t>
  </si>
  <si>
    <t>TX000981</t>
  </si>
  <si>
    <t>TX000982</t>
  </si>
  <si>
    <t>TX000983</t>
  </si>
  <si>
    <t>TX000984</t>
  </si>
  <si>
    <t>TX000985</t>
  </si>
  <si>
    <t>TX000986</t>
  </si>
  <si>
    <t>TX000987</t>
  </si>
  <si>
    <t>TX000988</t>
  </si>
  <si>
    <t>TX000989</t>
  </si>
  <si>
    <t>TX000990</t>
  </si>
  <si>
    <t>TX000991</t>
  </si>
  <si>
    <t>TX000992</t>
  </si>
  <si>
    <t>TX000993</t>
  </si>
  <si>
    <t>TX000994</t>
  </si>
  <si>
    <t>TX000995</t>
  </si>
  <si>
    <t>TX000996</t>
  </si>
  <si>
    <t>TX000997</t>
  </si>
  <si>
    <t>TX000998</t>
  </si>
  <si>
    <t>TX000999</t>
  </si>
  <si>
    <t>TX001000</t>
  </si>
  <si>
    <t>TX001001</t>
  </si>
  <si>
    <t>TX001002</t>
  </si>
  <si>
    <t>TX001003</t>
  </si>
  <si>
    <t>TX001004</t>
  </si>
  <si>
    <t>TX001005</t>
  </si>
  <si>
    <t>TX001006</t>
  </si>
  <si>
    <t>TX001007</t>
  </si>
  <si>
    <t>TX001008</t>
  </si>
  <si>
    <t>TX001009</t>
  </si>
  <si>
    <t>TX001010</t>
  </si>
  <si>
    <t>TX001011</t>
  </si>
  <si>
    <t>TX001012</t>
  </si>
  <si>
    <t>TX001013</t>
  </si>
  <si>
    <t>TX001014</t>
  </si>
  <si>
    <t>TX001015</t>
  </si>
  <si>
    <t>TX001016</t>
  </si>
  <si>
    <t>TX001017</t>
  </si>
  <si>
    <t>TX001018</t>
  </si>
  <si>
    <t>TX001019</t>
  </si>
  <si>
    <t>TX001020</t>
  </si>
  <si>
    <t>TX001021</t>
  </si>
  <si>
    <t>TX001022</t>
  </si>
  <si>
    <t>TX001023</t>
  </si>
  <si>
    <t>TX001024</t>
  </si>
  <si>
    <t>TX001025</t>
  </si>
  <si>
    <t>TX001026</t>
  </si>
  <si>
    <t>TX001027</t>
  </si>
  <si>
    <t>TX001028</t>
  </si>
  <si>
    <t>TX001029</t>
  </si>
  <si>
    <t>TX001030</t>
  </si>
  <si>
    <t>TX001031</t>
  </si>
  <si>
    <t>TX001032</t>
  </si>
  <si>
    <t>TX001033</t>
  </si>
  <si>
    <t>TX001034</t>
  </si>
  <si>
    <t>TX001035</t>
  </si>
  <si>
    <t>TX001036</t>
  </si>
  <si>
    <t>TX001037</t>
  </si>
  <si>
    <t>TX001038</t>
  </si>
  <si>
    <t>TX001039</t>
  </si>
  <si>
    <t>TX001040</t>
  </si>
  <si>
    <t>TX001041</t>
  </si>
  <si>
    <t>TX001042</t>
  </si>
  <si>
    <t>TX001043</t>
  </si>
  <si>
    <t>TX001044</t>
  </si>
  <si>
    <t>TX001045</t>
  </si>
  <si>
    <t>TX001046</t>
  </si>
  <si>
    <t>TX001047</t>
  </si>
  <si>
    <t>TX001048</t>
  </si>
  <si>
    <t>TX001049</t>
  </si>
  <si>
    <t>TX001050</t>
  </si>
  <si>
    <t>TX001051</t>
  </si>
  <si>
    <t>TX001052</t>
  </si>
  <si>
    <t>TX001053</t>
  </si>
  <si>
    <t>TX001054</t>
  </si>
  <si>
    <t>TX001055</t>
  </si>
  <si>
    <t>TX001056</t>
  </si>
  <si>
    <t>TX001057</t>
  </si>
  <si>
    <t>TX001058</t>
  </si>
  <si>
    <t>TX001059</t>
  </si>
  <si>
    <t>TX001060</t>
  </si>
  <si>
    <t>TX001061</t>
  </si>
  <si>
    <t>TX001062</t>
  </si>
  <si>
    <t>TX001063</t>
  </si>
  <si>
    <t>TX001064</t>
  </si>
  <si>
    <t>TX001065</t>
  </si>
  <si>
    <t>TX001066</t>
  </si>
  <si>
    <t>TX001067</t>
  </si>
  <si>
    <t>TX001068</t>
  </si>
  <si>
    <t>TX001069</t>
  </si>
  <si>
    <t>TX001070</t>
  </si>
  <si>
    <t>TX001071</t>
  </si>
  <si>
    <t>TX001072</t>
  </si>
  <si>
    <t>TX001073</t>
  </si>
  <si>
    <t>TX001074</t>
  </si>
  <si>
    <t>TX001075</t>
  </si>
  <si>
    <t>TX001076</t>
  </si>
  <si>
    <t>TX001077</t>
  </si>
  <si>
    <t>TX001078</t>
  </si>
  <si>
    <t>TX001079</t>
  </si>
  <si>
    <t>TX001080</t>
  </si>
  <si>
    <t>TX001081</t>
  </si>
  <si>
    <t>TX001082</t>
  </si>
  <si>
    <t>TX001083</t>
  </si>
  <si>
    <t>TX001084</t>
  </si>
  <si>
    <t>TX001085</t>
  </si>
  <si>
    <t>TX001086</t>
  </si>
  <si>
    <t>TX001087</t>
  </si>
  <si>
    <t>TX001088</t>
  </si>
  <si>
    <t>TX001089</t>
  </si>
  <si>
    <t>TX001090</t>
  </si>
  <si>
    <t>TX001091</t>
  </si>
  <si>
    <t>TX001092</t>
  </si>
  <si>
    <t>TX001093</t>
  </si>
  <si>
    <t>TX001094</t>
  </si>
  <si>
    <t>TX001095</t>
  </si>
  <si>
    <t>TX001096</t>
  </si>
  <si>
    <t>TX001097</t>
  </si>
  <si>
    <t>TX001098</t>
  </si>
  <si>
    <t>TX001099</t>
  </si>
  <si>
    <t>TX001100</t>
  </si>
  <si>
    <t>TX001101</t>
  </si>
  <si>
    <t>TX001102</t>
  </si>
  <si>
    <t>TX001103</t>
  </si>
  <si>
    <t>TX001104</t>
  </si>
  <si>
    <t>TX001105</t>
  </si>
  <si>
    <t>TX001106</t>
  </si>
  <si>
    <t>TX001107</t>
  </si>
  <si>
    <t>TX001108</t>
  </si>
  <si>
    <t>TX001109</t>
  </si>
  <si>
    <t>TX001110</t>
  </si>
  <si>
    <t>TX001111</t>
  </si>
  <si>
    <t>TX001112</t>
  </si>
  <si>
    <t>TX001113</t>
  </si>
  <si>
    <t>TX001114</t>
  </si>
  <si>
    <t>TX001115</t>
  </si>
  <si>
    <t>TX001116</t>
  </si>
  <si>
    <t>TX001117</t>
  </si>
  <si>
    <t>TX001118</t>
  </si>
  <si>
    <t>TX001119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</si>
  <si>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</si>
  <si>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</si>
  <si>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</si>
  <si>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</si>
  <si>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</si>
  <si>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</si>
  <si>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</si>
  <si>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</si>
  <si>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</si>
  <si>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TX001129</t>
  </si>
  <si>
    <t>TX001130</t>
  </si>
  <si>
    <t>TX001131</t>
  </si>
  <si>
    <t>TX001132</t>
  </si>
  <si>
    <t>TX001133</t>
  </si>
  <si>
    <t>TX001134</t>
  </si>
  <si>
    <t>TX001135</t>
  </si>
  <si>
    <t>TX001136</t>
  </si>
  <si>
    <t>TX001137</t>
  </si>
  <si>
    <t>TX001138</t>
  </si>
  <si>
    <t>TX001139</t>
  </si>
  <si>
    <t>TX001140</t>
  </si>
  <si>
    <t>TX001141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</si>
  <si>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</si>
  <si>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</si>
  <si>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</si>
  <si>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</si>
  <si>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</si>
  <si>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</si>
  <si>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</si>
  <si>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</si>
  <si>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TX001150</t>
  </si>
  <si>
    <t>TX001151</t>
  </si>
  <si>
    <t>TX001152</t>
  </si>
  <si>
    <t>TX001153</t>
  </si>
  <si>
    <t>TX001154</t>
  </si>
  <si>
    <t>TX001155</t>
  </si>
  <si>
    <t>TX001156</t>
  </si>
  <si>
    <t>TX001157</t>
  </si>
  <si>
    <t>TX001158</t>
  </si>
  <si>
    <t>TX001159</t>
  </si>
  <si>
    <t>TX001160</t>
  </si>
  <si>
    <t>TX001161</t>
  </si>
  <si>
    <t>TX001162</t>
  </si>
  <si>
    <t>TX001163</t>
  </si>
  <si>
    <t>TX001164</t>
  </si>
  <si>
    <t>TX001165</t>
  </si>
  <si>
    <t>TX001166</t>
  </si>
  <si>
    <t>TX001167</t>
  </si>
  <si>
    <t>TX001168</t>
  </si>
  <si>
    <t>TX001169</t>
  </si>
  <si>
    <t>TX001170</t>
  </si>
  <si>
    <t>TX001171</t>
  </si>
  <si>
    <t>TX001172</t>
  </si>
  <si>
    <t>TX001173</t>
  </si>
  <si>
    <t>TX001174</t>
  </si>
  <si>
    <t>TX001175</t>
  </si>
  <si>
    <t>TX001176</t>
  </si>
  <si>
    <t>TX001177</t>
  </si>
  <si>
    <t>TX001178</t>
  </si>
  <si>
    <t>TX001179</t>
  </si>
  <si>
    <t>TX001180</t>
  </si>
  <si>
    <t>TX001181</t>
  </si>
  <si>
    <t>TX001182</t>
  </si>
  <si>
    <t>TX001183</t>
  </si>
  <si>
    <t>TX001184</t>
  </si>
  <si>
    <t>TX001185</t>
  </si>
  <si>
    <t>TX001186</t>
  </si>
  <si>
    <t>TX001187</t>
  </si>
  <si>
    <t>TX001188</t>
  </si>
  <si>
    <t>TX001189</t>
  </si>
  <si>
    <t>TX001190</t>
  </si>
  <si>
    <t>TX001191</t>
  </si>
  <si>
    <t>TX001192</t>
  </si>
  <si>
    <t>TX001193</t>
  </si>
  <si>
    <t>TX001194</t>
  </si>
  <si>
    <t>TX001195</t>
  </si>
  <si>
    <t>TX001196</t>
  </si>
  <si>
    <t>TX001197</t>
  </si>
  <si>
    <t>TX001198</t>
  </si>
  <si>
    <t>TX001199</t>
  </si>
  <si>
    <t>TX001200</t>
  </si>
  <si>
    <t>TX001201</t>
  </si>
  <si>
    <t>TX001202</t>
  </si>
  <si>
    <t>TX001203</t>
  </si>
  <si>
    <t>TX001204</t>
  </si>
  <si>
    <t>TX001205</t>
  </si>
  <si>
    <t>TX001206</t>
  </si>
  <si>
    <t>TX001207</t>
  </si>
  <si>
    <t>TX001208</t>
  </si>
  <si>
    <t>TX001209</t>
  </si>
  <si>
    <t>TX001210</t>
  </si>
  <si>
    <t>TX001211</t>
  </si>
  <si>
    <t>TX001212</t>
  </si>
  <si>
    <t>TX001213</t>
  </si>
  <si>
    <t>TX001214</t>
  </si>
  <si>
    <t>TX001215</t>
  </si>
  <si>
    <t>TX001216</t>
  </si>
  <si>
    <t>TX001217</t>
  </si>
  <si>
    <t>TX001218</t>
  </si>
  <si>
    <t>TX001219</t>
  </si>
  <si>
    <t>TX001220</t>
  </si>
  <si>
    <t>TX001221</t>
  </si>
  <si>
    <t>TX001222</t>
  </si>
  <si>
    <t>TX001223</t>
  </si>
  <si>
    <t>TX001224</t>
  </si>
  <si>
    <t>TX001225</t>
  </si>
  <si>
    <t>TX001226</t>
  </si>
  <si>
    <t>TX001227</t>
  </si>
  <si>
    <t>TX001228</t>
  </si>
  <si>
    <t>TX001229</t>
  </si>
  <si>
    <t>TX001230</t>
  </si>
  <si>
    <t>TX001231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</si>
  <si>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</si>
  <si>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</si>
  <si>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</si>
  <si>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</si>
  <si>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</si>
  <si>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</si>
  <si>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</si>
  <si>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</si>
  <si>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</si>
  <si>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TX001241</t>
  </si>
  <si>
    <t>TX001242</t>
  </si>
  <si>
    <t>TX001243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</si>
  <si>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</si>
  <si>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</si>
  <si>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</si>
  <si>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</si>
  <si>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</si>
  <si>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</si>
  <si>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</si>
  <si>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</si>
  <si>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TX001252</t>
  </si>
  <si>
    <t>TX001253</t>
  </si>
  <si>
    <t>TX001254</t>
  </si>
  <si>
    <t>TX001255</t>
  </si>
  <si>
    <t>TX001256</t>
  </si>
  <si>
    <t>TX001257</t>
  </si>
  <si>
    <t>TX001258</t>
  </si>
  <si>
    <t>TX001259</t>
  </si>
  <si>
    <t>TX001260</t>
  </si>
  <si>
    <t>TX001261</t>
  </si>
  <si>
    <t>TX001262</t>
  </si>
  <si>
    <t>TX001263</t>
  </si>
  <si>
    <t>TX001264</t>
  </si>
  <si>
    <t>TX001265</t>
  </si>
  <si>
    <t>TX001266</t>
  </si>
  <si>
    <t>TX001267</t>
  </si>
  <si>
    <t>TX001268</t>
  </si>
  <si>
    <t>TX001269</t>
  </si>
  <si>
    <t>TX001270</t>
  </si>
  <si>
    <t>TX001271</t>
  </si>
  <si>
    <t>TX001272</t>
  </si>
  <si>
    <t>TX001273</t>
  </si>
  <si>
    <t>TX001274</t>
  </si>
  <si>
    <t>TX001275</t>
  </si>
  <si>
    <t>TX001276</t>
  </si>
  <si>
    <t>TX001277</t>
  </si>
  <si>
    <t>TX001278</t>
  </si>
  <si>
    <t>TX001279</t>
  </si>
  <si>
    <t>TX001280</t>
  </si>
  <si>
    <t>TX001281</t>
  </si>
  <si>
    <t>TX001282</t>
  </si>
  <si>
    <t>TX001283</t>
  </si>
  <si>
    <t>TX001284</t>
  </si>
  <si>
    <t>TX001285</t>
  </si>
  <si>
    <t>TX001286</t>
  </si>
  <si>
    <t>TX001287</t>
  </si>
  <si>
    <t>TX001288</t>
  </si>
  <si>
    <t>TX001289</t>
  </si>
  <si>
    <t>TX001290</t>
  </si>
  <si>
    <t>TX001291</t>
  </si>
  <si>
    <t>TX001292</t>
  </si>
  <si>
    <t>TX001293</t>
  </si>
  <si>
    <t>TX001294</t>
  </si>
  <si>
    <t>TX001295</t>
  </si>
  <si>
    <t>TX001296</t>
  </si>
  <si>
    <t>TX001297</t>
  </si>
  <si>
    <t>TX001298</t>
  </si>
  <si>
    <t>TX001299</t>
  </si>
  <si>
    <t>TX001300</t>
  </si>
  <si>
    <t>TX001301</t>
  </si>
  <si>
    <t>TX001302</t>
  </si>
  <si>
    <t>TX001303</t>
  </si>
  <si>
    <t>TX001304</t>
  </si>
  <si>
    <t>TX001305</t>
  </si>
  <si>
    <t>TX001306</t>
  </si>
  <si>
    <t>TX001307</t>
  </si>
  <si>
    <t>TX001308</t>
  </si>
  <si>
    <t>TX001309</t>
  </si>
  <si>
    <t>TX001310</t>
  </si>
  <si>
    <t>TX001311</t>
  </si>
  <si>
    <t>TX001312</t>
  </si>
  <si>
    <t>TX001313</t>
  </si>
  <si>
    <t>TX001314</t>
  </si>
  <si>
    <t>TX001315</t>
  </si>
  <si>
    <t>TX001316</t>
  </si>
  <si>
    <t>TX001317</t>
  </si>
  <si>
    <t>TX001318</t>
  </si>
  <si>
    <t>TX001319</t>
  </si>
  <si>
    <t>TX001320</t>
  </si>
  <si>
    <t>TX001321</t>
  </si>
  <si>
    <t>TX001322</t>
  </si>
  <si>
    <t>TX001323</t>
  </si>
  <si>
    <t>TX001324</t>
  </si>
  <si>
    <t>TX001325</t>
  </si>
  <si>
    <t>TX001326</t>
  </si>
  <si>
    <t>TX001327</t>
  </si>
  <si>
    <t>TX001328</t>
  </si>
  <si>
    <t>TX001329</t>
  </si>
  <si>
    <t>TX001330</t>
  </si>
  <si>
    <t>TX001331</t>
  </si>
  <si>
    <t>TX001332</t>
  </si>
  <si>
    <t>TX001333</t>
  </si>
  <si>
    <t>TX001334</t>
  </si>
  <si>
    <t>TX001335</t>
  </si>
  <si>
    <t>TX001336</t>
  </si>
  <si>
    <t>TX001337</t>
  </si>
  <si>
    <t>TX001338</t>
  </si>
  <si>
    <t>TX001339</t>
  </si>
  <si>
    <t>TX001340</t>
  </si>
  <si>
    <t>TX001341</t>
  </si>
  <si>
    <t>TX001342</t>
  </si>
  <si>
    <t>TX001343</t>
  </si>
  <si>
    <t>TX001344</t>
  </si>
  <si>
    <t>TX001345</t>
  </si>
  <si>
    <t>TX001346</t>
  </si>
  <si>
    <t>TX001347</t>
  </si>
  <si>
    <t>TX001348</t>
  </si>
  <si>
    <t>TX001349</t>
  </si>
  <si>
    <t>TX001350</t>
  </si>
  <si>
    <t>TX001351</t>
  </si>
  <si>
    <t>TX001352</t>
  </si>
  <si>
    <t>TX001353</t>
  </si>
  <si>
    <t>TX001354</t>
  </si>
  <si>
    <t>TX001355</t>
  </si>
  <si>
    <t>TX001356</t>
  </si>
  <si>
    <t>TX001357</t>
  </si>
  <si>
    <t>TX001358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</si>
  <si>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</si>
  <si>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</si>
  <si>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</si>
  <si>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</si>
  <si>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</si>
  <si>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</si>
  <si>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</si>
  <si>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</si>
  <si>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</si>
  <si>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</si>
  <si>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TX001369</t>
  </si>
  <si>
    <t>TX001370</t>
  </si>
  <si>
    <t>TX001371</t>
  </si>
  <si>
    <t>TX001372</t>
  </si>
  <si>
    <t>TX001373</t>
  </si>
  <si>
    <t>TX001374</t>
  </si>
  <si>
    <t>TX001375</t>
  </si>
  <si>
    <t>TX001376</t>
  </si>
  <si>
    <t>TX001377</t>
  </si>
  <si>
    <t>TX001378</t>
  </si>
  <si>
    <t>TX001379</t>
  </si>
  <si>
    <t>TX001380</t>
  </si>
  <si>
    <t>TX001381</t>
  </si>
  <si>
    <t>TX001382</t>
  </si>
  <si>
    <t>TX001383</t>
  </si>
  <si>
    <t>TX001384</t>
  </si>
  <si>
    <t>TX001385</t>
  </si>
  <si>
    <t>TX001386</t>
  </si>
  <si>
    <t>TX001387</t>
  </si>
  <si>
    <t>TX001388</t>
  </si>
  <si>
    <t>TX001389</t>
  </si>
  <si>
    <t>TX001390</t>
  </si>
  <si>
    <t>TX001391</t>
  </si>
  <si>
    <t>TX001392</t>
  </si>
  <si>
    <t>TX001393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</si>
  <si>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</si>
  <si>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</si>
  <si>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</si>
  <si>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</si>
  <si>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</si>
  <si>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</si>
  <si>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</si>
  <si>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</si>
  <si>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TX001402</t>
  </si>
  <si>
    <t>TX001403</t>
  </si>
  <si>
    <t>TX001404</t>
  </si>
  <si>
    <t>TX001405</t>
  </si>
  <si>
    <t>TX001406</t>
  </si>
  <si>
    <t>TX001407</t>
  </si>
  <si>
    <t>TX001408</t>
  </si>
  <si>
    <t>TX001409</t>
  </si>
  <si>
    <t>TX001410</t>
  </si>
  <si>
    <t>TX001411</t>
  </si>
  <si>
    <t>TX001412</t>
  </si>
  <si>
    <t>TX001413</t>
  </si>
  <si>
    <t>TX001414</t>
  </si>
  <si>
    <t>TX001415</t>
  </si>
  <si>
    <t>TX001416</t>
  </si>
  <si>
    <t>TX001417</t>
  </si>
  <si>
    <t>TX001418</t>
  </si>
  <si>
    <t>TX001419</t>
  </si>
  <si>
    <t>TX001420</t>
  </si>
  <si>
    <t>TX001421</t>
  </si>
  <si>
    <t>TX001422</t>
  </si>
  <si>
    <t>TX001423</t>
  </si>
  <si>
    <t>TX001424</t>
  </si>
  <si>
    <t>TX001425</t>
  </si>
  <si>
    <t>TX001426</t>
  </si>
  <si>
    <t>TX001427</t>
  </si>
  <si>
    <t>TX001428</t>
  </si>
  <si>
    <t>TX001429</t>
  </si>
  <si>
    <t>TX001430</t>
  </si>
  <si>
    <t>TX001431</t>
  </si>
  <si>
    <t>TX001432</t>
  </si>
  <si>
    <t>TX001433</t>
  </si>
  <si>
    <t>TX001434</t>
  </si>
  <si>
    <t>TX001435</t>
  </si>
  <si>
    <t>TX001436</t>
  </si>
  <si>
    <t>TX001437</t>
  </si>
  <si>
    <t>TX001438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</si>
  <si>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</si>
  <si>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</si>
  <si>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</si>
  <si>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</si>
  <si>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</si>
  <si>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</si>
  <si>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</si>
  <si>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</si>
  <si>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TX001447</t>
  </si>
  <si>
    <t>TX001448</t>
  </si>
  <si>
    <t>TX001449</t>
  </si>
  <si>
    <t>TX001450</t>
  </si>
  <si>
    <t>TX001451</t>
  </si>
  <si>
    <t>TX001452</t>
  </si>
  <si>
    <t>TX001453</t>
  </si>
  <si>
    <t>TX001454</t>
  </si>
  <si>
    <t>TX001455</t>
  </si>
  <si>
    <t>TX001456</t>
  </si>
  <si>
    <t>TX001457</t>
  </si>
  <si>
    <t>TX001458</t>
  </si>
  <si>
    <t>TX001459</t>
  </si>
  <si>
    <t>TX001460</t>
  </si>
  <si>
    <t>TX001461</t>
  </si>
  <si>
    <t>TX001462</t>
  </si>
  <si>
    <t>TX001463</t>
  </si>
  <si>
    <t>TX001464</t>
  </si>
  <si>
    <t>TX001465</t>
  </si>
  <si>
    <t>TX001466</t>
  </si>
  <si>
    <t>TX001467</t>
  </si>
  <si>
    <t>TX001468</t>
  </si>
  <si>
    <t>TX001469</t>
  </si>
  <si>
    <t>TX001470</t>
  </si>
  <si>
    <t>TX001471</t>
  </si>
  <si>
    <t>TX001472</t>
  </si>
  <si>
    <t>TX001473</t>
  </si>
  <si>
    <t>TX001474</t>
  </si>
  <si>
    <t>TX001475</t>
  </si>
  <si>
    <t>TX001476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</si>
  <si>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</si>
  <si>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</si>
  <si>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</si>
  <si>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</si>
  <si>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</si>
  <si>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</si>
  <si>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</si>
  <si>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</si>
  <si>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</si>
  <si>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</si>
  <si>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</si>
  <si>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</si>
  <si>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</si>
  <si>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</si>
  <si>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</si>
  <si>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</si>
  <si>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</si>
  <si>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</si>
  <si>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</si>
  <si>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</si>
  <si>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</si>
  <si>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</si>
  <si>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</si>
  <si>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</si>
  <si>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</si>
  <si>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</si>
  <si>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</si>
  <si>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</si>
  <si>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</si>
  <si>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</si>
  <si>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TX001507</t>
  </si>
  <si>
    <t>TX001508</t>
  </si>
  <si>
    <t>TX001509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</si>
  <si>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</si>
  <si>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</si>
  <si>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</si>
  <si>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</si>
  <si>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</si>
  <si>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</si>
  <si>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</si>
  <si>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</si>
  <si>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</si>
  <si>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</si>
  <si>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</si>
  <si>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</si>
  <si>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</si>
  <si>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TX001523</t>
  </si>
  <si>
    <t>TX001524</t>
  </si>
  <si>
    <t>TX001525</t>
  </si>
  <si>
    <t>TX001526</t>
  </si>
  <si>
    <t>TX001527</t>
  </si>
  <si>
    <t>TX001528</t>
  </si>
  <si>
    <t>TX001529</t>
  </si>
  <si>
    <t>TX001530</t>
  </si>
  <si>
    <t>TX001531</t>
  </si>
  <si>
    <t>TX001532</t>
  </si>
  <si>
    <t>TX001533</t>
  </si>
  <si>
    <t>TX001534</t>
  </si>
  <si>
    <t>TX001535</t>
  </si>
  <si>
    <t>TX001536</t>
  </si>
  <si>
    <t>TX001537</t>
  </si>
  <si>
    <t>TX001538</t>
  </si>
  <si>
    <t>TX001539</t>
  </si>
  <si>
    <t>TX001540</t>
  </si>
  <si>
    <t>TX001541</t>
  </si>
  <si>
    <t>TX001542</t>
  </si>
  <si>
    <t>TX001543</t>
  </si>
  <si>
    <t>TX001544</t>
  </si>
  <si>
    <t>TX001545</t>
  </si>
  <si>
    <t>TX001546</t>
  </si>
  <si>
    <t>TX001547</t>
  </si>
  <si>
    <t>TX001548</t>
  </si>
  <si>
    <t>TX001549</t>
  </si>
  <si>
    <t>TX001550</t>
  </si>
  <si>
    <t>TX001551</t>
  </si>
  <si>
    <t>TX001552</t>
  </si>
  <si>
    <t>TX001553</t>
  </si>
  <si>
    <t>TX001554</t>
  </si>
  <si>
    <t>TX001555</t>
  </si>
  <si>
    <t>TX001556</t>
  </si>
  <si>
    <t>TX001557</t>
  </si>
  <si>
    <t>TX001558</t>
  </si>
  <si>
    <t>TX001559</t>
  </si>
  <si>
    <t>TX001560</t>
  </si>
  <si>
    <t>TX001561</t>
  </si>
  <si>
    <t>TX001562</t>
  </si>
  <si>
    <t>TX001563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</si>
  <si>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</si>
  <si>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</si>
  <si>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</si>
  <si>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</si>
  <si>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</si>
  <si>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</si>
  <si>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</si>
  <si>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</si>
  <si>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</si>
  <si>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TX001573</t>
  </si>
  <si>
    <t>TX001574</t>
  </si>
  <si>
    <t>TX001575</t>
  </si>
  <si>
    <t>TX001576</t>
  </si>
  <si>
    <t>TX001577</t>
  </si>
  <si>
    <t>TX001578</t>
  </si>
  <si>
    <t>TX001579</t>
  </si>
  <si>
    <t>TX001580</t>
  </si>
  <si>
    <t>TX001581</t>
  </si>
  <si>
    <t>TX001582</t>
  </si>
  <si>
    <t>TX001583</t>
  </si>
  <si>
    <t>TX001584</t>
  </si>
  <si>
    <t>TX001585</t>
  </si>
  <si>
    <t>TX001586</t>
  </si>
  <si>
    <t>TX001587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</si>
  <si>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</si>
  <si>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</si>
  <si>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</si>
  <si>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</si>
  <si>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</si>
  <si>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</si>
  <si>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</si>
  <si>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</si>
  <si>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</si>
  <si>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</si>
  <si>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</si>
  <si>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TX001599</t>
  </si>
  <si>
    <t>TX001600</t>
  </si>
  <si>
    <t>TX001601</t>
  </si>
  <si>
    <t>TX001602</t>
  </si>
  <si>
    <t>TX001603</t>
  </si>
  <si>
    <t>TX001604</t>
  </si>
  <si>
    <t>TX001605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</si>
  <si>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</si>
  <si>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</si>
  <si>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</si>
  <si>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</si>
  <si>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</si>
  <si>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</si>
  <si>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</si>
  <si>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</si>
  <si>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</si>
  <si>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</si>
  <si>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</si>
  <si>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</si>
  <si>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</si>
  <si>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TX001619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</si>
  <si>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</si>
  <si>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</si>
  <si>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</si>
  <si>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</si>
  <si>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</si>
  <si>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</si>
  <si>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</si>
  <si>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</si>
  <si>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</si>
  <si>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</si>
  <si>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</si>
  <si>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TX001631</t>
  </si>
  <si>
    <t>TX001632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</si>
  <si>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</si>
  <si>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</si>
  <si>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</si>
  <si>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</si>
  <si>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</si>
  <si>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</si>
  <si>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</si>
  <si>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</si>
  <si>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TX001641</t>
  </si>
  <si>
    <t>TX001642</t>
  </si>
  <si>
    <t>TX001643</t>
  </si>
  <si>
    <t>TX001644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</si>
  <si>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</si>
  <si>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</si>
  <si>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</si>
  <si>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</si>
  <si>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</si>
  <si>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</si>
  <si>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</si>
  <si>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</si>
  <si>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</si>
  <si>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TX001654</t>
  </si>
  <si>
    <t>TX001655</t>
  </si>
  <si>
    <t>TX001656</t>
  </si>
  <si>
    <t>TX001657</t>
  </si>
  <si>
    <t>TX001658</t>
  </si>
  <si>
    <t>TX001659</t>
  </si>
  <si>
    <t>TX001660</t>
  </si>
  <si>
    <t>TX001661</t>
  </si>
  <si>
    <t>TX001662</t>
  </si>
  <si>
    <t>TX001663</t>
  </si>
  <si>
    <t>TX001664</t>
  </si>
  <si>
    <t>TX001665</t>
  </si>
  <si>
    <t>TX001666</t>
  </si>
  <si>
    <t>TX001667</t>
  </si>
  <si>
    <t>TX001668</t>
  </si>
  <si>
    <t>TX001669</t>
  </si>
  <si>
    <t>TX001670</t>
  </si>
  <si>
    <t>TX001671</t>
  </si>
  <si>
    <t>TX001672</t>
  </si>
  <si>
    <t>TX001673</t>
  </si>
  <si>
    <t>TX001674</t>
  </si>
  <si>
    <t>TX001675</t>
  </si>
  <si>
    <t>TX001676</t>
  </si>
  <si>
    <t>TX001677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</si>
  <si>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</si>
  <si>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</si>
  <si>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</si>
  <si>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</si>
  <si>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</si>
  <si>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</si>
  <si>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</si>
  <si>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</si>
  <si>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</si>
  <si>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</si>
  <si>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</si>
  <si>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</si>
  <si>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</si>
  <si>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</si>
  <si>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TX001692</t>
  </si>
  <si>
    <t>TX001693</t>
  </si>
  <si>
    <t>TX001694</t>
  </si>
  <si>
    <t>TX001695</t>
  </si>
  <si>
    <t>TX001696</t>
  </si>
  <si>
    <t>TX001697</t>
  </si>
  <si>
    <t>TX001698</t>
  </si>
  <si>
    <t>TX001699</t>
  </si>
  <si>
    <t>TX001700</t>
  </si>
  <si>
    <t>TX001701</t>
  </si>
  <si>
    <t>TX001702</t>
  </si>
  <si>
    <t>TX001703</t>
  </si>
  <si>
    <t>TX001704</t>
  </si>
  <si>
    <t>TX001705</t>
  </si>
  <si>
    <t>TX001706</t>
  </si>
  <si>
    <t>TX001707</t>
  </si>
  <si>
    <t>TX001708</t>
  </si>
  <si>
    <t>TX001709</t>
  </si>
  <si>
    <t>TX001710</t>
  </si>
  <si>
    <t>TX001711</t>
  </si>
  <si>
    <t>TX001712</t>
  </si>
  <si>
    <t>TX001713</t>
  </si>
  <si>
    <t>TX001714</t>
  </si>
  <si>
    <t>TX001715</t>
  </si>
  <si>
    <t>TX001716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</si>
  <si>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</si>
  <si>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</si>
  <si>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</si>
  <si>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</si>
  <si>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</si>
  <si>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</si>
  <si>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</si>
  <si>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</si>
  <si>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</si>
  <si>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</si>
  <si>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</si>
  <si>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</si>
  <si>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</si>
  <si>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</si>
  <si>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</si>
  <si>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</si>
  <si>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</si>
  <si>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</si>
  <si>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</si>
  <si>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</si>
  <si>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</si>
  <si>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</si>
  <si>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</si>
  <si>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</si>
  <si>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TX001741</t>
  </si>
  <si>
    <t>TX001742</t>
  </si>
  <si>
    <t>TX001743</t>
  </si>
  <si>
    <t>TX001744</t>
  </si>
  <si>
    <t>TX001745</t>
  </si>
  <si>
    <t>TX001746</t>
  </si>
  <si>
    <t>TX001747</t>
  </si>
  <si>
    <t>TX001748</t>
  </si>
  <si>
    <t>TX001749</t>
  </si>
  <si>
    <t>TX001750</t>
  </si>
  <si>
    <t>TX001751</t>
  </si>
  <si>
    <t>TX001752</t>
  </si>
  <si>
    <t>TX001753</t>
  </si>
  <si>
    <t>TX001754</t>
  </si>
  <si>
    <t>TX001755</t>
  </si>
  <si>
    <t>TX001756</t>
  </si>
  <si>
    <t>TX001757</t>
  </si>
  <si>
    <t>TX001758</t>
  </si>
  <si>
    <t>TX001759</t>
  </si>
  <si>
    <t>TX001760</t>
  </si>
  <si>
    <t>TX001761</t>
  </si>
  <si>
    <t>TX001762</t>
  </si>
  <si>
    <t>TX001763</t>
  </si>
  <si>
    <t>TX001764</t>
  </si>
  <si>
    <t>TX001765</t>
  </si>
  <si>
    <t>TX001766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</si>
  <si>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</si>
  <si>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</si>
  <si>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</si>
  <si>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</si>
  <si>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</si>
  <si>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</si>
  <si>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</si>
  <si>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</si>
  <si>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</si>
  <si>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</si>
  <si>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</si>
  <si>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</si>
  <si>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</si>
  <si>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</si>
  <si>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</si>
  <si>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</si>
  <si>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</si>
  <si>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</si>
  <si>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</si>
  <si>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</si>
  <si>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</si>
  <si>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</si>
  <si>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</si>
  <si>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</si>
  <si>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TX001791</t>
  </si>
  <si>
    <t>TX001792</t>
  </si>
  <si>
    <t>TX001793</t>
  </si>
  <si>
    <t>TX001794</t>
  </si>
  <si>
    <t>TX001795</t>
  </si>
  <si>
    <t>TX001796</t>
  </si>
  <si>
    <t>TX001797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</si>
  <si>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</si>
  <si>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</si>
  <si>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</si>
  <si>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</si>
  <si>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</si>
  <si>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</si>
  <si>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</si>
  <si>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</si>
  <si>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</si>
  <si>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</si>
  <si>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</si>
  <si>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</si>
  <si>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</si>
  <si>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</si>
  <si>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</si>
  <si>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</si>
  <si>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</si>
  <si>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</si>
  <si>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</si>
  <si>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</si>
  <si>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</si>
  <si>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</si>
  <si>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</si>
  <si>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</si>
  <si>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</si>
  <si>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</si>
  <si>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</si>
  <si>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</si>
  <si>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</si>
  <si>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</si>
  <si>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</si>
  <si>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</si>
  <si>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TX001830</t>
  </si>
  <si>
    <t>TX001831</t>
  </si>
  <si>
    <t>TX001832</t>
  </si>
  <si>
    <t>TX001833</t>
  </si>
  <si>
    <t>TX001834</t>
  </si>
  <si>
    <t>TX001835</t>
  </si>
  <si>
    <t>TX001836</t>
  </si>
  <si>
    <t>TX001837</t>
  </si>
  <si>
    <t>TX001838</t>
  </si>
  <si>
    <t>TX001839</t>
  </si>
  <si>
    <t>TX001840</t>
  </si>
  <si>
    <t>TX001841</t>
  </si>
  <si>
    <t>TX001842</t>
  </si>
  <si>
    <t>TX001843</t>
  </si>
  <si>
    <t>TX001844</t>
  </si>
  <si>
    <t>TX001845</t>
  </si>
  <si>
    <t>TX001846</t>
  </si>
  <si>
    <t>TX001847</t>
  </si>
  <si>
    <t>TX001848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</si>
  <si>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</si>
  <si>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</si>
  <si>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</si>
  <si>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</si>
  <si>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</si>
  <si>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</si>
  <si>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</si>
  <si>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</si>
  <si>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</si>
  <si>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</si>
  <si>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</si>
  <si>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</si>
  <si>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</si>
  <si>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</si>
  <si>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</si>
  <si>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</si>
  <si>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</si>
  <si>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</si>
  <si>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</si>
  <si>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</si>
  <si>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</si>
  <si>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</si>
  <si>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</si>
  <si>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</si>
  <si>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</si>
  <si>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</si>
  <si>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</si>
  <si>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</si>
  <si>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</si>
  <si>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</si>
  <si>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</si>
  <si>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</si>
  <si>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</si>
  <si>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</si>
  <si>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</si>
  <si>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</si>
  <si>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</si>
  <si>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</si>
  <si>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</si>
  <si>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</si>
  <si>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TX001889</t>
  </si>
  <si>
    <t>TX001890</t>
  </si>
  <si>
    <t>TX001891</t>
  </si>
  <si>
    <t>TX001892</t>
  </si>
  <si>
    <t>TX001893</t>
  </si>
  <si>
    <t>TX001894</t>
  </si>
  <si>
    <t>TX001895</t>
  </si>
  <si>
    <t>TX001896</t>
  </si>
  <si>
    <t>TX001897</t>
  </si>
  <si>
    <t>TX001898</t>
  </si>
  <si>
    <t>TX001899</t>
  </si>
  <si>
    <t>TX001900</t>
  </si>
  <si>
    <t>TX001901</t>
  </si>
  <si>
    <t>TX001902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</si>
  <si>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</si>
  <si>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</si>
  <si>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</si>
  <si>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</si>
  <si>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</si>
  <si>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</si>
  <si>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</si>
  <si>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</si>
  <si>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</si>
  <si>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</si>
  <si>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</si>
  <si>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</si>
  <si>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</si>
  <si>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</si>
  <si>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</si>
  <si>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</si>
  <si>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</si>
  <si>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</si>
  <si>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</si>
  <si>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</si>
  <si>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</si>
  <si>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</si>
  <si>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</si>
  <si>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</si>
  <si>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</si>
  <si>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TX001928</t>
  </si>
  <si>
    <t>TX001929</t>
  </si>
  <si>
    <t>TX001930</t>
  </si>
  <si>
    <t>TX001931</t>
  </si>
  <si>
    <t>TX001932</t>
  </si>
  <si>
    <t>TX001933</t>
  </si>
  <si>
    <t>TX001934</t>
  </si>
  <si>
    <t>TX001935</t>
  </si>
  <si>
    <t>TX001936</t>
  </si>
  <si>
    <t>TX001937</t>
  </si>
  <si>
    <t>TX001938</t>
  </si>
  <si>
    <t>TX001939</t>
  </si>
  <si>
    <t>TX001940</t>
  </si>
  <si>
    <t>TX001941</t>
  </si>
  <si>
    <t>TX001942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</si>
  <si>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</si>
  <si>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</si>
  <si>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</si>
  <si>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</si>
  <si>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</si>
  <si>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</si>
  <si>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</si>
  <si>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</si>
  <si>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</si>
  <si>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</si>
  <si>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</si>
  <si>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</si>
  <si>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</si>
  <si>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</si>
  <si>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</si>
  <si>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</si>
  <si>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</si>
  <si>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</si>
  <si>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TX001961</t>
  </si>
  <si>
    <t>TX001962</t>
  </si>
  <si>
    <t>TX001963</t>
  </si>
  <si>
    <t>TX001964</t>
  </si>
  <si>
    <t>TX001965</t>
  </si>
  <si>
    <t>TX001966</t>
  </si>
  <si>
    <t>TX001967</t>
  </si>
  <si>
    <t>TX001968</t>
  </si>
  <si>
    <t>TX001969</t>
  </si>
  <si>
    <t>TX001970</t>
  </si>
  <si>
    <t>TX001971</t>
  </si>
  <si>
    <t>TX001972</t>
  </si>
  <si>
    <t>TX001973</t>
  </si>
  <si>
    <t>TX001974</t>
  </si>
  <si>
    <t>TX001975</t>
  </si>
  <si>
    <t>TX001976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</si>
  <si>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</si>
  <si>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</si>
  <si>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</si>
  <si>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</si>
  <si>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</si>
  <si>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</si>
  <si>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</si>
  <si>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</si>
  <si>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TX001985</t>
  </si>
  <si>
    <t>TX001986</t>
  </si>
  <si>
    <t>TX001987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</si>
  <si>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</si>
  <si>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</si>
  <si>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</si>
  <si>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</si>
  <si>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</si>
  <si>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</si>
  <si>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</si>
  <si>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</si>
  <si>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</si>
  <si>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</si>
  <si>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TX001998</t>
  </si>
  <si>
    <t>TX001999</t>
  </si>
  <si>
    <t>TX002000</t>
  </si>
  <si>
    <t>TX002001</t>
  </si>
  <si>
    <t>TX002002</t>
  </si>
  <si>
    <t>TX002003</t>
  </si>
  <si>
    <t>TX002004</t>
  </si>
  <si>
    <t>TX002005</t>
  </si>
  <si>
    <t>TX002006</t>
  </si>
  <si>
    <t>TX002007</t>
  </si>
  <si>
    <t>TX002008</t>
  </si>
  <si>
    <t>TX002009</t>
  </si>
  <si>
    <t>TX002010</t>
  </si>
  <si>
    <t>TX002011</t>
  </si>
  <si>
    <t>TX002012</t>
  </si>
  <si>
    <t>TX002013</t>
  </si>
  <si>
    <t>TX002014</t>
  </si>
  <si>
    <t>TX002015</t>
  </si>
  <si>
    <t>TX002016</t>
  </si>
  <si>
    <t>TX002017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</si>
  <si>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</si>
  <si>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</si>
  <si>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</si>
  <si>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</si>
  <si>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</si>
  <si>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</si>
  <si>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</si>
  <si>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</si>
  <si>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</si>
  <si>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TX002027</t>
  </si>
  <si>
    <t>TX002028</t>
  </si>
  <si>
    <t>TX002029</t>
  </si>
  <si>
    <t>TX002030</t>
  </si>
  <si>
    <t>TX002031</t>
  </si>
  <si>
    <t>TX002032</t>
  </si>
  <si>
    <t>TX002033</t>
  </si>
  <si>
    <t>TX002034</t>
  </si>
  <si>
    <t>TX002035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</si>
  <si>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</si>
  <si>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</si>
  <si>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</si>
  <si>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</si>
  <si>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</si>
  <si>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</si>
  <si>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</si>
  <si>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</si>
  <si>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TX002044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</si>
  <si>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</si>
  <si>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</si>
  <si>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</si>
  <si>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</si>
  <si>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</si>
  <si>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</si>
  <si>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</si>
  <si>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</si>
  <si>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</si>
  <si>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</si>
  <si>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</si>
  <si>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</si>
  <si>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</si>
  <si>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</si>
  <si>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TX002059</t>
  </si>
  <si>
    <t>TX002060</t>
  </si>
  <si>
    <t>TX002061</t>
  </si>
  <si>
    <t>TX002062</t>
  </si>
  <si>
    <t>TX002063</t>
  </si>
  <si>
    <t>TX002064</t>
  </si>
  <si>
    <t>TX002065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</si>
  <si>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</si>
  <si>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</si>
  <si>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</si>
  <si>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</si>
  <si>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</si>
  <si>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</si>
  <si>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</si>
  <si>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</si>
  <si>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</si>
  <si>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</si>
  <si>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</si>
  <si>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</si>
  <si>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</si>
  <si>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</si>
  <si>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</si>
  <si>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</si>
  <si>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</si>
  <si>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</si>
  <si>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</si>
  <si>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</si>
  <si>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</si>
  <si>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</si>
  <si>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</si>
  <si>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</si>
  <si>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</si>
  <si>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</si>
  <si>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</si>
  <si>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</si>
  <si>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</si>
  <si>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</si>
  <si>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</si>
  <si>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</si>
  <si>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</si>
  <si>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</si>
  <si>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</si>
  <si>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</si>
  <si>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</si>
  <si>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</si>
  <si>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</si>
  <si>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</si>
  <si>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</si>
  <si>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</si>
  <si>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</si>
  <si>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</si>
  <si>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</si>
  <si>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</si>
  <si>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</si>
  <si>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</si>
  <si>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</si>
  <si>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</si>
  <si>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</si>
  <si>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</si>
  <si>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</si>
  <si>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</si>
  <si>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</si>
  <si>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</si>
  <si>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</si>
  <si>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</si>
  <si>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</si>
  <si>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</si>
  <si>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</si>
  <si>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</si>
  <si>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</si>
  <si>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TX002129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</si>
  <si>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</si>
  <si>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</si>
  <si>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</si>
  <si>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</si>
  <si>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</si>
  <si>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</si>
  <si>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</si>
  <si>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</si>
  <si>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</si>
  <si>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</si>
  <si>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</si>
  <si>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</si>
  <si>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</si>
  <si>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</si>
  <si>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</si>
  <si>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</si>
  <si>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</si>
  <si>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</si>
  <si>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</si>
  <si>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</si>
  <si>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</si>
  <si>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</si>
  <si>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</si>
  <si>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</si>
  <si>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TX002154</t>
  </si>
  <si>
    <t>TX002155</t>
  </si>
  <si>
    <t>TX002156</t>
  </si>
  <si>
    <t>TX002157</t>
  </si>
  <si>
    <t>TX002158</t>
  </si>
  <si>
    <t>TX002159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</si>
  <si>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</si>
  <si>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</si>
  <si>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</si>
  <si>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</si>
  <si>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</si>
  <si>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</si>
  <si>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</si>
  <si>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</si>
  <si>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</si>
  <si>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</si>
  <si>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</si>
  <si>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</si>
  <si>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</si>
  <si>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</si>
  <si>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</si>
  <si>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TX002175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</si>
  <si>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</si>
  <si>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</si>
  <si>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</si>
  <si>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</si>
  <si>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</si>
  <si>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</si>
  <si>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</si>
  <si>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</si>
  <si>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</si>
  <si>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</si>
  <si>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</si>
  <si>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TX002187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</si>
  <si>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</si>
  <si>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</si>
  <si>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</si>
  <si>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</si>
  <si>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</si>
  <si>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</si>
  <si>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</si>
  <si>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</si>
  <si>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</si>
  <si>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</si>
  <si>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</si>
  <si>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</si>
  <si>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</si>
  <si>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</si>
  <si>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</si>
  <si>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</si>
  <si>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TX002204</t>
  </si>
  <si>
    <t>TX002205</t>
  </si>
  <si>
    <t>TX002206</t>
  </si>
  <si>
    <t>TX002207</t>
  </si>
  <si>
    <t>TX002208</t>
  </si>
  <si>
    <t>TX002209</t>
  </si>
  <si>
    <t>TX002210</t>
  </si>
  <si>
    <t>TX002211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</si>
  <si>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</si>
  <si>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</si>
  <si>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</si>
  <si>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</si>
  <si>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</si>
  <si>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</si>
  <si>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</si>
  <si>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</si>
  <si>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</si>
  <si>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</si>
  <si>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TX002222</t>
  </si>
  <si>
    <t>TX002223</t>
  </si>
  <si>
    <t>TX002224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</si>
  <si>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</si>
  <si>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</si>
  <si>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</si>
  <si>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</si>
  <si>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</si>
  <si>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</si>
  <si>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</si>
  <si>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</si>
  <si>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</si>
  <si>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</si>
  <si>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</si>
  <si>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</si>
  <si>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TX002237</t>
  </si>
  <si>
    <t>TX002238</t>
  </si>
  <si>
    <t>TX002239</t>
  </si>
  <si>
    <t>TX002240</t>
  </si>
  <si>
    <t>TX002241</t>
  </si>
  <si>
    <t>TX002242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</si>
  <si>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</si>
  <si>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</si>
  <si>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</si>
  <si>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</si>
  <si>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</si>
  <si>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</si>
  <si>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</si>
  <si>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</si>
  <si>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</si>
  <si>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</si>
  <si>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</si>
  <si>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</si>
  <si>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</si>
  <si>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</si>
  <si>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</si>
  <si>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</si>
  <si>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</si>
  <si>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</si>
  <si>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</si>
  <si>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</si>
  <si>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</si>
  <si>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</si>
  <si>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</si>
  <si>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</si>
  <si>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</si>
  <si>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TX002268</t>
  </si>
  <si>
    <t>TX002269</t>
  </si>
  <si>
    <t>TX002270</t>
  </si>
  <si>
    <t>TX002271</t>
  </si>
  <si>
    <t>TX002272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</si>
  <si>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</si>
  <si>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</si>
  <si>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</si>
  <si>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</si>
  <si>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</si>
  <si>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</si>
  <si>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</si>
  <si>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</si>
  <si>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</si>
  <si>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</si>
  <si>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TX002283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</si>
  <si>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</si>
  <si>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</si>
  <si>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</si>
  <si>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</si>
  <si>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</si>
  <si>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</si>
  <si>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</si>
  <si>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</si>
  <si>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</si>
  <si>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</si>
  <si>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</si>
  <si>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</si>
  <si>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</si>
  <si>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</si>
  <si>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</si>
  <si>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</si>
  <si>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</si>
  <si>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</si>
  <si>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TX002302</t>
  </si>
  <si>
    <t>TX002303</t>
  </si>
  <si>
    <t>TX002304</t>
  </si>
  <si>
    <t>TX002305</t>
  </si>
  <si>
    <t>TX002306</t>
  </si>
  <si>
    <t>TX002307</t>
  </si>
  <si>
    <t>TX002308</t>
  </si>
  <si>
    <t>TX002309</t>
  </si>
  <si>
    <t>TX002310</t>
  </si>
  <si>
    <t>TX002311</t>
  </si>
  <si>
    <t>TX002312</t>
  </si>
  <si>
    <t>TX002313</t>
  </si>
  <si>
    <t>TX002314</t>
  </si>
  <si>
    <t>TX002315</t>
  </si>
  <si>
    <t>TX002316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</si>
  <si>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</si>
  <si>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</si>
  <si>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</si>
  <si>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</si>
  <si>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</si>
  <si>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</si>
  <si>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</si>
  <si>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</si>
  <si>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</si>
  <si>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</si>
  <si>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</si>
  <si>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TX002328</t>
  </si>
  <si>
    <t>TX002329</t>
  </si>
  <si>
    <t>TX002330</t>
  </si>
  <si>
    <t>TX002331</t>
  </si>
  <si>
    <t>TX002332</t>
  </si>
  <si>
    <t>TX002333</t>
  </si>
  <si>
    <t>TX002334</t>
  </si>
  <si>
    <t>TX002335</t>
  </si>
  <si>
    <t>TX002336</t>
  </si>
  <si>
    <t>TX002337</t>
  </si>
  <si>
    <t>TX002338</t>
  </si>
  <si>
    <t>TX002339</t>
  </si>
  <si>
    <t>TX002340</t>
  </si>
  <si>
    <t>TX002341</t>
  </si>
  <si>
    <t>TX002342</t>
  </si>
  <si>
    <t>TX002343</t>
  </si>
  <si>
    <t>TX002344</t>
  </si>
  <si>
    <t>TX002345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</si>
  <si>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</si>
  <si>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</si>
  <si>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</si>
  <si>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</si>
  <si>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</si>
  <si>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</si>
  <si>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</si>
  <si>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</si>
  <si>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</si>
  <si>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</si>
  <si>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</si>
  <si>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</si>
  <si>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</si>
  <si>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</si>
  <si>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</si>
  <si>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</si>
  <si>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</si>
  <si>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</si>
  <si>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</si>
  <si>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</si>
  <si>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</si>
  <si>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</si>
  <si>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</si>
  <si>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</si>
  <si>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</si>
  <si>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</si>
  <si>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</si>
  <si>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</si>
  <si>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</si>
  <si>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</si>
  <si>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</si>
  <si>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</si>
  <si>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</si>
  <si>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</si>
  <si>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</si>
  <si>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</si>
  <si>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</si>
  <si>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</si>
  <si>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</si>
  <si>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</si>
  <si>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</si>
  <si>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</si>
  <si>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</si>
  <si>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</si>
  <si>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</si>
  <si>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</si>
  <si>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</si>
  <si>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</si>
  <si>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</si>
  <si>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</si>
  <si>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</si>
  <si>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</si>
  <si>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</si>
  <si>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</si>
  <si>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</si>
  <si>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</si>
  <si>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</si>
  <si>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</si>
  <si>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</si>
  <si>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</si>
  <si>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</si>
  <si>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</si>
  <si>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</si>
  <si>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</si>
  <si>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</si>
  <si>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</si>
  <si>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</si>
  <si>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</si>
  <si>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</si>
  <si>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</si>
  <si>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</si>
  <si>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</si>
  <si>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</si>
  <si>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</si>
  <si>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</si>
  <si>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</si>
  <si>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</si>
  <si>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</si>
  <si>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</si>
  <si>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</si>
  <si>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</si>
  <si>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</si>
  <si>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</si>
  <si>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</si>
  <si>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</si>
  <si>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</si>
  <si>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</si>
  <si>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</si>
  <si>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</si>
  <si>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</si>
  <si>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</si>
  <si>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</si>
  <si>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</si>
  <si>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</si>
  <si>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</si>
  <si>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</si>
  <si>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</si>
  <si>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</si>
  <si>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</si>
  <si>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</si>
  <si>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</si>
  <si>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</si>
  <si>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</si>
  <si>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</si>
  <si>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</si>
  <si>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</si>
  <si>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</si>
  <si>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</si>
  <si>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</si>
  <si>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</si>
  <si>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</si>
  <si>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</si>
  <si>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</si>
  <si>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TX002459</t>
  </si>
  <si>
    <t>TX002460</t>
  </si>
  <si>
    <t>TX002461</t>
  </si>
  <si>
    <t>TX002462</t>
  </si>
  <si>
    <t>TX002463</t>
  </si>
  <si>
    <t>TX002464</t>
  </si>
  <si>
    <t>TX002465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</si>
  <si>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</si>
  <si>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</si>
  <si>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</si>
  <si>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</si>
  <si>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</si>
  <si>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</si>
  <si>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</si>
  <si>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</si>
  <si>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</si>
  <si>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</si>
  <si>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</si>
  <si>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</si>
  <si>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TX002478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</si>
  <si>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</si>
  <si>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</si>
  <si>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</si>
  <si>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</si>
  <si>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</si>
  <si>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</si>
  <si>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</si>
  <si>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</si>
  <si>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</si>
  <si>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</si>
  <si>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</si>
  <si>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</si>
  <si>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</si>
  <si>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</si>
  <si>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</si>
  <si>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</si>
  <si>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</si>
  <si>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</si>
  <si>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</si>
  <si>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</si>
  <si>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</si>
  <si>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</si>
  <si>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</si>
  <si>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</si>
  <si>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</si>
  <si>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</si>
  <si>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</si>
  <si>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</si>
  <si>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</si>
  <si>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</si>
  <si>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TX002509</t>
  </si>
  <si>
    <t>TX002510</t>
  </si>
  <si>
    <t>TX002511</t>
  </si>
  <si>
    <t>TX002512</t>
  </si>
  <si>
    <t>TX002513</t>
  </si>
  <si>
    <t>TX002514</t>
  </si>
  <si>
    <t>TX002515</t>
  </si>
  <si>
    <t>TX002516</t>
  </si>
  <si>
    <t>TX002517</t>
  </si>
  <si>
    <t>TX002518</t>
  </si>
  <si>
    <t>TX002519</t>
  </si>
  <si>
    <t>TX002520</t>
  </si>
  <si>
    <t>TX002521</t>
  </si>
  <si>
    <t>TX002522</t>
  </si>
  <si>
    <t>TX002523</t>
  </si>
  <si>
    <t>TX002524</t>
  </si>
  <si>
    <t>TX002525</t>
  </si>
  <si>
    <t>TX002526</t>
  </si>
  <si>
    <t>TX002527</t>
  </si>
  <si>
    <t>TX002528</t>
  </si>
  <si>
    <t>TX002529</t>
  </si>
  <si>
    <t>TX002530</t>
  </si>
  <si>
    <t>TX002531</t>
  </si>
  <si>
    <t>TX002532</t>
  </si>
  <si>
    <t>TX002533</t>
  </si>
  <si>
    <t>TX002534</t>
  </si>
  <si>
    <t>TX002535</t>
  </si>
  <si>
    <t>TX002536</t>
  </si>
  <si>
    <t>TX002537</t>
  </si>
  <si>
    <t>TX002538</t>
  </si>
  <si>
    <t>TX002539</t>
  </si>
  <si>
    <t>TX002540</t>
  </si>
  <si>
    <t>TX002541</t>
  </si>
  <si>
    <t>TX002542</t>
  </si>
  <si>
    <t>TX002543</t>
  </si>
  <si>
    <t>TX002544</t>
  </si>
  <si>
    <t>TX002545</t>
  </si>
  <si>
    <t>TX002546</t>
  </si>
  <si>
    <t>TX002547</t>
  </si>
  <si>
    <t>TX002548</t>
  </si>
  <si>
    <t>TX002549</t>
  </si>
  <si>
    <t>TX002550</t>
  </si>
  <si>
    <t>TX002551</t>
  </si>
  <si>
    <t>TX002552</t>
  </si>
  <si>
    <t>TX002553</t>
  </si>
  <si>
    <t>TX002554</t>
  </si>
  <si>
    <t>TX002555</t>
  </si>
  <si>
    <t>TX002556</t>
  </si>
  <si>
    <t>TX002557</t>
  </si>
  <si>
    <t>TX002558</t>
  </si>
  <si>
    <t>TX002559</t>
  </si>
  <si>
    <t>TX002560</t>
  </si>
  <si>
    <t>TX002561</t>
  </si>
  <si>
    <t>TX002562</t>
  </si>
  <si>
    <t>TX002563</t>
  </si>
  <si>
    <t>TX002564</t>
  </si>
  <si>
    <t>TX002565</t>
  </si>
  <si>
    <t>TX002566</t>
  </si>
  <si>
    <t>TX002567</t>
  </si>
  <si>
    <t>TX002568</t>
  </si>
  <si>
    <t>TX002569</t>
  </si>
  <si>
    <t>TX002570</t>
  </si>
  <si>
    <t>TX002571</t>
  </si>
  <si>
    <t>TX002572</t>
  </si>
  <si>
    <t>TX002573</t>
  </si>
  <si>
    <t>TX002574</t>
  </si>
  <si>
    <t>TX002575</t>
  </si>
  <si>
    <t>TX002576</t>
  </si>
  <si>
    <t>TX002577</t>
  </si>
  <si>
    <t>TX002578</t>
  </si>
  <si>
    <t>TX002579</t>
  </si>
  <si>
    <t>TX002580</t>
  </si>
  <si>
    <t>TX002581</t>
  </si>
  <si>
    <t>TX002582</t>
  </si>
  <si>
    <t>TX002583</t>
  </si>
  <si>
    <t>TX002584</t>
  </si>
  <si>
    <t>TX002585</t>
  </si>
  <si>
    <t>TX002586</t>
  </si>
  <si>
    <t>TX002587</t>
  </si>
  <si>
    <t>TX002588</t>
  </si>
  <si>
    <t>TX002589</t>
  </si>
  <si>
    <t>TX002590</t>
  </si>
  <si>
    <t>TX002591</t>
  </si>
  <si>
    <t>TX002592</t>
  </si>
  <si>
    <t>TX002593</t>
  </si>
  <si>
    <t>TX002594</t>
  </si>
  <si>
    <t>TX002595</t>
  </si>
  <si>
    <t>TX002596</t>
  </si>
  <si>
    <t>TX002597</t>
  </si>
  <si>
    <t>TX002598</t>
  </si>
  <si>
    <t>TX002599</t>
  </si>
  <si>
    <t>TX002600</t>
  </si>
  <si>
    <t>TX002601</t>
  </si>
  <si>
    <t>TX002602</t>
  </si>
  <si>
    <t>TX002603</t>
  </si>
  <si>
    <t>TX002604</t>
  </si>
  <si>
    <t>TX002605</t>
  </si>
  <si>
    <t>TX002606</t>
  </si>
  <si>
    <t>TX002607</t>
  </si>
  <si>
    <t>TX002608</t>
  </si>
  <si>
    <t>TX002609</t>
  </si>
  <si>
    <t>TX002610</t>
  </si>
  <si>
    <t>TX002611</t>
  </si>
  <si>
    <t>TX002612</t>
  </si>
  <si>
    <t>TX002613</t>
  </si>
  <si>
    <t>TX002614</t>
  </si>
  <si>
    <t>TX002615</t>
  </si>
  <si>
    <t>TX002616</t>
  </si>
  <si>
    <t>TX002617</t>
  </si>
  <si>
    <t>TX002618</t>
  </si>
  <si>
    <t>TX002619</t>
  </si>
  <si>
    <t>TX002620</t>
  </si>
  <si>
    <t>TX002621</t>
  </si>
  <si>
    <t>TX002622</t>
  </si>
  <si>
    <t>TX002623</t>
  </si>
  <si>
    <t>TX002624</t>
  </si>
  <si>
    <t>TX002625</t>
  </si>
  <si>
    <t>TX002626</t>
  </si>
  <si>
    <t>TX002627</t>
  </si>
  <si>
    <t>TX002628</t>
  </si>
  <si>
    <t>TX002629</t>
  </si>
  <si>
    <t>TX002630</t>
  </si>
  <si>
    <t>TX002631</t>
  </si>
  <si>
    <t>TX002632</t>
  </si>
  <si>
    <t>TX002633</t>
  </si>
  <si>
    <t>TX002634</t>
  </si>
  <si>
    <t>TX002635</t>
  </si>
  <si>
    <t>TX002636</t>
  </si>
  <si>
    <t>TX002637</t>
  </si>
  <si>
    <t>TX002638</t>
  </si>
  <si>
    <t>TX002639</t>
  </si>
  <si>
    <t>TX002640</t>
  </si>
  <si>
    <t>TX002641</t>
  </si>
  <si>
    <t>TX002642</t>
  </si>
  <si>
    <t>TX002643</t>
  </si>
  <si>
    <t>TX002644</t>
  </si>
  <si>
    <t>TX002645</t>
  </si>
  <si>
    <t>TX002646</t>
  </si>
  <si>
    <t>TX002647</t>
  </si>
  <si>
    <t>TX002648</t>
  </si>
  <si>
    <t>TX002649</t>
  </si>
  <si>
    <t>TX002650</t>
  </si>
  <si>
    <t>TX002651</t>
  </si>
  <si>
    <t>TX002652</t>
  </si>
  <si>
    <t>TX002653</t>
  </si>
  <si>
    <t>TX002654</t>
  </si>
  <si>
    <t>TX002655</t>
  </si>
  <si>
    <t>TX002656</t>
  </si>
  <si>
    <t>TX002657</t>
  </si>
  <si>
    <t>TX002658</t>
  </si>
  <si>
    <t>TX002659</t>
  </si>
  <si>
    <t>TX002660</t>
  </si>
  <si>
    <t>TX002661</t>
  </si>
  <si>
    <t>TX002662</t>
  </si>
  <si>
    <t>TX002663</t>
  </si>
  <si>
    <t>TX002664</t>
  </si>
  <si>
    <t>TX002665</t>
  </si>
  <si>
    <t>TX002666</t>
  </si>
  <si>
    <t>TX002667</t>
  </si>
  <si>
    <t>TX002668</t>
  </si>
  <si>
    <t>TX002669</t>
  </si>
  <si>
    <t>TX002670</t>
  </si>
  <si>
    <t>TX002671</t>
  </si>
  <si>
    <t>TX002672</t>
  </si>
  <si>
    <t>TX002673</t>
  </si>
  <si>
    <t>TX002674</t>
  </si>
  <si>
    <t>TX002675</t>
  </si>
  <si>
    <t>TX002676</t>
  </si>
  <si>
    <t>TX002677</t>
  </si>
  <si>
    <t>TX002678</t>
  </si>
  <si>
    <t>TX002679</t>
  </si>
  <si>
    <t>TX002680</t>
  </si>
  <si>
    <t>TX002681</t>
  </si>
  <si>
    <t>TX002682</t>
  </si>
  <si>
    <t>TX002683</t>
  </si>
  <si>
    <t>TX002684</t>
  </si>
  <si>
    <t>TX002685</t>
  </si>
  <si>
    <t>TX002686</t>
  </si>
  <si>
    <t>TX002687</t>
  </si>
  <si>
    <t>TX002688</t>
  </si>
  <si>
    <t>TX002689</t>
  </si>
  <si>
    <t>TX002690</t>
  </si>
  <si>
    <t>TX002691</t>
  </si>
  <si>
    <t>TX002692</t>
  </si>
  <si>
    <t>TX002693</t>
  </si>
  <si>
    <t>TX002694</t>
  </si>
  <si>
    <t>TX002695</t>
  </si>
  <si>
    <t>TX002696</t>
  </si>
  <si>
    <t>TX002697</t>
  </si>
  <si>
    <t>TX002698</t>
  </si>
  <si>
    <t>TX002699</t>
  </si>
  <si>
    <t>TX002700</t>
  </si>
  <si>
    <t>TX002701</t>
  </si>
  <si>
    <t>TX002702</t>
  </si>
  <si>
    <t>TX002703</t>
  </si>
  <si>
    <t>TX002704</t>
  </si>
  <si>
    <t>TX002705</t>
  </si>
  <si>
    <t>TX002706</t>
  </si>
  <si>
    <t>TX002707</t>
  </si>
  <si>
    <t>TX002708</t>
  </si>
  <si>
    <t>TX002709</t>
  </si>
  <si>
    <t>TX002710</t>
  </si>
  <si>
    <t>TX002711</t>
  </si>
  <si>
    <t>TX002712</t>
  </si>
  <si>
    <t>TX002713</t>
  </si>
  <si>
    <t>TX002714</t>
  </si>
  <si>
    <t>TX002715</t>
  </si>
  <si>
    <t>TX002716</t>
  </si>
  <si>
    <t>TX002717</t>
  </si>
  <si>
    <t>TX002718</t>
  </si>
  <si>
    <t>TX002719</t>
  </si>
  <si>
    <t>TX002720</t>
  </si>
  <si>
    <t>TX002721</t>
  </si>
  <si>
    <t>TX002722</t>
  </si>
  <si>
    <t>TX002723</t>
  </si>
  <si>
    <t>TX002724</t>
  </si>
  <si>
    <t>TX002725</t>
  </si>
  <si>
    <t>TX002726</t>
  </si>
  <si>
    <t>TX002727</t>
  </si>
  <si>
    <t>TX002728</t>
  </si>
  <si>
    <t>TX002729</t>
  </si>
  <si>
    <t>TX002730</t>
  </si>
  <si>
    <t>TX002731</t>
  </si>
  <si>
    <t>TX002732</t>
  </si>
  <si>
    <t>TX002733</t>
  </si>
  <si>
    <t>TX002734</t>
  </si>
  <si>
    <t>TX002735</t>
  </si>
  <si>
    <t>TX002736</t>
  </si>
  <si>
    <t>TX002737</t>
  </si>
  <si>
    <t>TX002738</t>
  </si>
  <si>
    <t>TX002739</t>
  </si>
  <si>
    <t>TX002740</t>
  </si>
  <si>
    <t>TX002741</t>
  </si>
  <si>
    <t>TX002742</t>
  </si>
  <si>
    <t>TX002743</t>
  </si>
  <si>
    <t>TX002744</t>
  </si>
  <si>
    <t>TX002745</t>
  </si>
  <si>
    <t>TX002746</t>
  </si>
  <si>
    <t>TX002747</t>
  </si>
  <si>
    <t>TX002748</t>
  </si>
  <si>
    <t>TX002749</t>
  </si>
  <si>
    <t>TX002750</t>
  </si>
  <si>
    <t>TX002751</t>
  </si>
  <si>
    <t>TX002752</t>
  </si>
  <si>
    <t>TX002753</t>
  </si>
  <si>
    <t>TX002754</t>
  </si>
  <si>
    <t>TX002755</t>
  </si>
  <si>
    <t>TX002756</t>
  </si>
  <si>
    <t>TX002757</t>
  </si>
  <si>
    <t>TX002758</t>
  </si>
  <si>
    <t>TX002759</t>
  </si>
  <si>
    <t>TX002760</t>
  </si>
  <si>
    <t>TX002761</t>
  </si>
  <si>
    <t>TX002762</t>
  </si>
  <si>
    <t>TX002763</t>
  </si>
  <si>
    <t>TX002764</t>
  </si>
  <si>
    <t>TX002765</t>
  </si>
  <si>
    <t>TX002766</t>
  </si>
  <si>
    <t>TX002767</t>
  </si>
  <si>
    <t>TX002768</t>
  </si>
  <si>
    <t>TX002769</t>
  </si>
  <si>
    <t>TX002770</t>
  </si>
  <si>
    <t>TX002771</t>
  </si>
  <si>
    <t>TX002772</t>
  </si>
  <si>
    <t>TX002773</t>
  </si>
  <si>
    <t>TX002774</t>
  </si>
  <si>
    <t>TX002775</t>
  </si>
  <si>
    <t>TX002776</t>
  </si>
  <si>
    <t>TX002777</t>
  </si>
  <si>
    <t>TX002778</t>
  </si>
  <si>
    <t>TX002779</t>
  </si>
  <si>
    <t>TX002780</t>
  </si>
  <si>
    <t>TX002781</t>
  </si>
  <si>
    <t>TX002782</t>
  </si>
  <si>
    <t>TX002783</t>
  </si>
  <si>
    <t>TX002784</t>
  </si>
  <si>
    <t>TX002785</t>
  </si>
  <si>
    <t>TX002786</t>
  </si>
  <si>
    <t>TX002787</t>
  </si>
  <si>
    <t>TX002788</t>
  </si>
  <si>
    <t>TX002789</t>
  </si>
  <si>
    <t>TX002790</t>
  </si>
  <si>
    <t>TX002791</t>
  </si>
  <si>
    <t>TX002792</t>
  </si>
  <si>
    <t>TX002793</t>
  </si>
  <si>
    <t>TX002794</t>
  </si>
  <si>
    <t>TX002795</t>
  </si>
  <si>
    <t>TX002796</t>
  </si>
  <si>
    <t>TX002797</t>
  </si>
  <si>
    <t>TX002798</t>
  </si>
  <si>
    <t>TX002799</t>
  </si>
  <si>
    <t>TX002800</t>
  </si>
  <si>
    <t>TX002801</t>
  </si>
  <si>
    <t>TX002802</t>
  </si>
  <si>
    <t>TX002803</t>
  </si>
  <si>
    <t>TX002804</t>
  </si>
  <si>
    <t>TX002805</t>
  </si>
  <si>
    <t>TX002806</t>
  </si>
  <si>
    <t>TX002807</t>
  </si>
  <si>
    <t>TX002808</t>
  </si>
  <si>
    <t>TX002809</t>
  </si>
  <si>
    <t>TX002810</t>
  </si>
  <si>
    <t>TX002811</t>
  </si>
  <si>
    <t>TX002812</t>
  </si>
  <si>
    <t>TX002813</t>
  </si>
  <si>
    <t>TX002814</t>
  </si>
  <si>
    <t>TX002815</t>
  </si>
  <si>
    <t>TX002816</t>
  </si>
  <si>
    <t>TX002817</t>
  </si>
  <si>
    <t>TX002818</t>
  </si>
  <si>
    <t>TX002819</t>
  </si>
  <si>
    <t>TX002820</t>
  </si>
  <si>
    <t>TX002821</t>
  </si>
  <si>
    <t>TX002822</t>
  </si>
  <si>
    <t>TX002823</t>
  </si>
  <si>
    <t>TX002824</t>
  </si>
  <si>
    <t>TX002825</t>
  </si>
  <si>
    <t>TX002826</t>
  </si>
  <si>
    <t>TX002827</t>
  </si>
  <si>
    <t>TX002828</t>
  </si>
  <si>
    <t>TX002829</t>
  </si>
  <si>
    <t>TX002830</t>
  </si>
  <si>
    <t>TX002831</t>
  </si>
  <si>
    <t>TX002832</t>
  </si>
  <si>
    <t>TX002833</t>
  </si>
  <si>
    <t>TX002834</t>
  </si>
  <si>
    <t>TX002835</t>
  </si>
  <si>
    <t>TX002836</t>
  </si>
  <si>
    <t>TX002837</t>
  </si>
  <si>
    <t>TX002838</t>
  </si>
  <si>
    <t>TX002839</t>
  </si>
  <si>
    <t>TX002840</t>
  </si>
  <si>
    <t>TX002841</t>
  </si>
  <si>
    <t>TX002842</t>
  </si>
  <si>
    <t>TX002843</t>
  </si>
  <si>
    <t>TX002844</t>
  </si>
  <si>
    <t>TX002845</t>
  </si>
  <si>
    <t>TX002846</t>
  </si>
  <si>
    <t>TX002847</t>
  </si>
  <si>
    <t>TX002848</t>
  </si>
  <si>
    <t>TX002849</t>
  </si>
  <si>
    <t>TX002850</t>
  </si>
  <si>
    <t>TX002851</t>
  </si>
  <si>
    <t>TX002852</t>
  </si>
  <si>
    <t>TX002853</t>
  </si>
  <si>
    <t>TX002854</t>
  </si>
  <si>
    <t>TX002855</t>
  </si>
  <si>
    <t>TX002856</t>
  </si>
  <si>
    <t>TX002857</t>
  </si>
  <si>
    <t>TX002858</t>
  </si>
  <si>
    <t>TX002859</t>
  </si>
  <si>
    <t>TX002860</t>
  </si>
  <si>
    <t>TX002861</t>
  </si>
  <si>
    <t>TX002862</t>
  </si>
  <si>
    <t>TX002863</t>
  </si>
  <si>
    <t>TX002864</t>
  </si>
  <si>
    <t>TX002865</t>
  </si>
  <si>
    <t>TX002866</t>
  </si>
  <si>
    <t>TX002867</t>
  </si>
  <si>
    <t>TX002868</t>
  </si>
  <si>
    <t>TX002869</t>
  </si>
  <si>
    <t>TX002870</t>
  </si>
  <si>
    <t>TX002871</t>
  </si>
  <si>
    <t>TX002872</t>
  </si>
  <si>
    <t>TX002873</t>
  </si>
  <si>
    <t>TX002874</t>
  </si>
  <si>
    <t>TX002875</t>
  </si>
  <si>
    <t>TX002876</t>
  </si>
  <si>
    <t>TX002877</t>
  </si>
  <si>
    <t>TX002878</t>
  </si>
  <si>
    <t>TX002879</t>
  </si>
  <si>
    <t>TX002880</t>
  </si>
  <si>
    <t>TX002881</t>
  </si>
  <si>
    <t>TX002882</t>
  </si>
  <si>
    <t>TX002883</t>
  </si>
  <si>
    <t>TX002884</t>
  </si>
  <si>
    <t>TX002885</t>
  </si>
  <si>
    <t>TX002886</t>
  </si>
  <si>
    <t>TX002887</t>
  </si>
  <si>
    <t>TX002888</t>
  </si>
  <si>
    <t>TX002889</t>
  </si>
  <si>
    <t>TX002890</t>
  </si>
  <si>
    <t>TX002891</t>
  </si>
  <si>
    <t>TX002892</t>
  </si>
  <si>
    <t>TX002893</t>
  </si>
  <si>
    <t>TX002894</t>
  </si>
  <si>
    <t>TX002895</t>
  </si>
  <si>
    <t>TX002896</t>
  </si>
  <si>
    <t>TX002897</t>
  </si>
  <si>
    <t>TX002898</t>
  </si>
  <si>
    <t>TX002899</t>
  </si>
  <si>
    <t>TX002900</t>
  </si>
  <si>
    <t>TX002901</t>
  </si>
  <si>
    <t>TX002902</t>
  </si>
  <si>
    <t>TX002903</t>
  </si>
  <si>
    <t>TX002904</t>
  </si>
  <si>
    <t>TX002905</t>
  </si>
  <si>
    <t>TX002906</t>
  </si>
  <si>
    <t>TX002907</t>
  </si>
  <si>
    <t>TX002908</t>
  </si>
  <si>
    <t>TX002909</t>
  </si>
  <si>
    <t>TX002910</t>
  </si>
  <si>
    <t>TX002911</t>
  </si>
  <si>
    <t>TX002912</t>
  </si>
  <si>
    <t>TX002913</t>
  </si>
  <si>
    <t>TX002914</t>
  </si>
  <si>
    <t>TX002915</t>
  </si>
  <si>
    <t>TX002916</t>
  </si>
  <si>
    <t>TX002917</t>
  </si>
  <si>
    <t>TX002918</t>
  </si>
  <si>
    <t>TX002919</t>
  </si>
  <si>
    <t>TX002920</t>
  </si>
  <si>
    <t>TX002921</t>
  </si>
  <si>
    <t>TX002922</t>
  </si>
  <si>
    <t>TX002923</t>
  </si>
  <si>
    <t>TX002924</t>
  </si>
  <si>
    <t>TX002925</t>
  </si>
  <si>
    <t>TX002926</t>
  </si>
  <si>
    <t>TX002927</t>
  </si>
  <si>
    <t>TX002928</t>
  </si>
  <si>
    <t>TX002929</t>
  </si>
  <si>
    <t>TX002930</t>
  </si>
  <si>
    <t>TX002931</t>
  </si>
  <si>
    <t>TX002932</t>
  </si>
  <si>
    <t>TX002933</t>
  </si>
  <si>
    <t>TX002934</t>
  </si>
  <si>
    <t>TX002935</t>
  </si>
  <si>
    <t>TX002936</t>
  </si>
  <si>
    <t>TX002937</t>
  </si>
  <si>
    <t>TX002938</t>
  </si>
  <si>
    <t>TX002939</t>
  </si>
  <si>
    <t>TX002940</t>
  </si>
  <si>
    <t>TX002941</t>
  </si>
  <si>
    <t>TX002942</t>
  </si>
  <si>
    <t>TX002943</t>
  </si>
  <si>
    <t>TX002944</t>
  </si>
  <si>
    <t>TX002945</t>
  </si>
  <si>
    <t>TX002946</t>
  </si>
  <si>
    <t>TX002947</t>
  </si>
  <si>
    <t>TX002948</t>
  </si>
  <si>
    <t>TX002949</t>
  </si>
  <si>
    <t>TX002950</t>
  </si>
  <si>
    <t>TX002951</t>
  </si>
  <si>
    <t>TX002952</t>
  </si>
  <si>
    <t>TX002953</t>
  </si>
  <si>
    <t>TX002954</t>
  </si>
  <si>
    <t>TX002955</t>
  </si>
  <si>
    <t>TX002956</t>
  </si>
  <si>
    <t>TX002957</t>
  </si>
  <si>
    <t>TX002958</t>
  </si>
  <si>
    <t>TX002959</t>
  </si>
  <si>
    <t>TX002960</t>
  </si>
  <si>
    <t>TX002961</t>
  </si>
  <si>
    <t>TX002962</t>
  </si>
  <si>
    <t>TX002963</t>
  </si>
  <si>
    <t>TX002964</t>
  </si>
  <si>
    <t>TX002965</t>
  </si>
  <si>
    <t>TX002966</t>
  </si>
  <si>
    <t>TX002967</t>
  </si>
  <si>
    <t>TX002968</t>
  </si>
  <si>
    <t>TX002969</t>
  </si>
  <si>
    <t>TX002970</t>
  </si>
  <si>
    <t>TX002971</t>
  </si>
  <si>
    <t>TX002972</t>
  </si>
  <si>
    <t>TX002973</t>
  </si>
  <si>
    <t>TX002974</t>
  </si>
  <si>
    <t>TX002975</t>
  </si>
  <si>
    <t>TX002976</t>
  </si>
  <si>
    <t>TX002977</t>
  </si>
  <si>
    <t>TX002978</t>
  </si>
  <si>
    <t>TX002979</t>
  </si>
  <si>
    <t>TX002980</t>
  </si>
  <si>
    <t>TX002981</t>
  </si>
  <si>
    <t>TX002982</t>
  </si>
  <si>
    <t>TX002983</t>
  </si>
  <si>
    <t>TX002984</t>
  </si>
  <si>
    <t>TX002985</t>
  </si>
  <si>
    <t>TX002986</t>
  </si>
  <si>
    <t>TX002987</t>
  </si>
  <si>
    <t>TX002988</t>
  </si>
  <si>
    <t>TX002989</t>
  </si>
  <si>
    <t>TX002990</t>
  </si>
  <si>
    <t>TX002991</t>
  </si>
  <si>
    <t>TX002992</t>
  </si>
  <si>
    <t>TX002993</t>
  </si>
  <si>
    <t>TX002994</t>
  </si>
  <si>
    <t>TX002995</t>
  </si>
  <si>
    <t>TX002996</t>
  </si>
  <si>
    <t>TX002997</t>
  </si>
  <si>
    <t>TX002998</t>
  </si>
  <si>
    <t>TX002999</t>
  </si>
  <si>
    <t>TX003000</t>
  </si>
  <si>
    <t>TX003001</t>
  </si>
  <si>
    <t>TX003002</t>
  </si>
  <si>
    <t>TX003003</t>
  </si>
  <si>
    <t>TX003004</t>
  </si>
  <si>
    <t>TX003005</t>
  </si>
  <si>
    <t>TX003006</t>
  </si>
  <si>
    <t>TX003007</t>
  </si>
  <si>
    <t>TX003008</t>
  </si>
  <si>
    <t>TX003009</t>
  </si>
  <si>
    <t>TX003010</t>
  </si>
  <si>
    <t>TX003011</t>
  </si>
  <si>
    <t>TX003012</t>
  </si>
  <si>
    <t>TX003013</t>
  </si>
  <si>
    <t>TX003014</t>
  </si>
  <si>
    <t>TX003015</t>
  </si>
  <si>
    <t>TX003016</t>
  </si>
  <si>
    <t>TX003017</t>
  </si>
  <si>
    <t>TX003018</t>
  </si>
  <si>
    <t>TX003019</t>
  </si>
  <si>
    <t>TX003020</t>
  </si>
  <si>
    <t>TX003021</t>
  </si>
  <si>
    <t>TX003022</t>
  </si>
  <si>
    <t>TX003023</t>
  </si>
  <si>
    <t>TX003024</t>
  </si>
  <si>
    <t>TX003025</t>
  </si>
  <si>
    <t>TX003026</t>
  </si>
  <si>
    <t>TX003027</t>
  </si>
  <si>
    <t>TX003028</t>
  </si>
  <si>
    <t>TX003029</t>
  </si>
  <si>
    <t>TX003030</t>
  </si>
  <si>
    <t>TX003031</t>
  </si>
  <si>
    <t>TX003032</t>
  </si>
  <si>
    <t>TX003033</t>
  </si>
  <si>
    <t>TX003034</t>
  </si>
  <si>
    <t>TX003035</t>
  </si>
  <si>
    <t>TX003036</t>
  </si>
  <si>
    <t>TX003037</t>
  </si>
  <si>
    <t>TX003038</t>
  </si>
  <si>
    <t>TX003039</t>
  </si>
  <si>
    <t>TX003040</t>
  </si>
  <si>
    <t>TX003041</t>
  </si>
  <si>
    <t>TX003042</t>
  </si>
  <si>
    <t>TX003043</t>
  </si>
  <si>
    <t>TX003044</t>
  </si>
  <si>
    <t>TX003045</t>
  </si>
  <si>
    <t>TX003046</t>
  </si>
  <si>
    <t>TX003047</t>
  </si>
  <si>
    <t>TX003048</t>
  </si>
  <si>
    <t>TX003049</t>
  </si>
  <si>
    <t>TX003050</t>
  </si>
  <si>
    <t>TX003051</t>
  </si>
  <si>
    <t>TX003052</t>
  </si>
  <si>
    <t>TX003053</t>
  </si>
  <si>
    <t>TX003054</t>
  </si>
  <si>
    <t>TX003055</t>
  </si>
  <si>
    <t>TX003056</t>
  </si>
  <si>
    <t>TX003057</t>
  </si>
  <si>
    <t>TX003058</t>
  </si>
  <si>
    <t>TX003059</t>
  </si>
  <si>
    <t>TX003060</t>
  </si>
  <si>
    <t>TX003061</t>
  </si>
  <si>
    <t>TX003062</t>
  </si>
  <si>
    <t>TX003063</t>
  </si>
  <si>
    <t>TX003064</t>
  </si>
  <si>
    <t>TX003065</t>
  </si>
  <si>
    <t>TX003066</t>
  </si>
  <si>
    <t>TX003067</t>
  </si>
  <si>
    <t>TX003068</t>
  </si>
  <si>
    <t>TX003069</t>
  </si>
  <si>
    <t>TX003070</t>
  </si>
  <si>
    <t>TX003071</t>
  </si>
  <si>
    <t>TX003072</t>
  </si>
  <si>
    <t>TX003073</t>
  </si>
  <si>
    <t>TX003074</t>
  </si>
  <si>
    <t>TX003075</t>
  </si>
  <si>
    <t>TX003076</t>
  </si>
  <si>
    <t>TX003077</t>
  </si>
  <si>
    <t>TX003078</t>
  </si>
  <si>
    <t>TX003079</t>
  </si>
  <si>
    <t>TX003080</t>
  </si>
  <si>
    <t>TX003081</t>
  </si>
  <si>
    <t>TX003082</t>
  </si>
  <si>
    <t>TX003083</t>
  </si>
  <si>
    <t>TX003084</t>
  </si>
  <si>
    <t>TX003085</t>
  </si>
  <si>
    <t>TX003086</t>
  </si>
  <si>
    <t>TX003087</t>
  </si>
  <si>
    <t>TX003088</t>
  </si>
  <si>
    <t>TX003089</t>
  </si>
  <si>
    <t>TX003090</t>
  </si>
  <si>
    <t>TX003091</t>
  </si>
  <si>
    <t>TX003092</t>
  </si>
  <si>
    <t>TX003093</t>
  </si>
  <si>
    <t>TX003094</t>
  </si>
  <si>
    <t>TX003095</t>
  </si>
  <si>
    <t>TX003096</t>
  </si>
  <si>
    <t>TX003097</t>
  </si>
  <si>
    <t>TX003098</t>
  </si>
  <si>
    <t>TX003099</t>
  </si>
  <si>
    <t>TX003100</t>
  </si>
  <si>
    <t>TX003101</t>
  </si>
  <si>
    <t>TX003102</t>
  </si>
  <si>
    <t>TX003103</t>
  </si>
  <si>
    <t>TX003104</t>
  </si>
  <si>
    <t>TX003105</t>
  </si>
  <si>
    <t>TX003106</t>
  </si>
  <si>
    <t>TX003107</t>
  </si>
  <si>
    <t>TX003108</t>
  </si>
  <si>
    <t>TX003109</t>
  </si>
  <si>
    <t>TX003110</t>
  </si>
  <si>
    <t>TX003111</t>
  </si>
  <si>
    <t>TX003112</t>
  </si>
  <si>
    <t>TX003113</t>
  </si>
  <si>
    <t>TX003114</t>
  </si>
  <si>
    <t>TX003115</t>
  </si>
  <si>
    <t>TX003116</t>
  </si>
  <si>
    <t>TX003117</t>
  </si>
  <si>
    <t>TX003118</t>
  </si>
  <si>
    <t>TX003119</t>
  </si>
  <si>
    <t>TX003120</t>
  </si>
  <si>
    <t>TX003121</t>
  </si>
  <si>
    <t>TX003122</t>
  </si>
  <si>
    <t>TX003123</t>
  </si>
  <si>
    <t>TX003124</t>
  </si>
  <si>
    <t>TX003125</t>
  </si>
  <si>
    <t>TX003126</t>
  </si>
  <si>
    <t>TX003127</t>
  </si>
  <si>
    <t>TX003128</t>
  </si>
  <si>
    <t>TX003129</t>
  </si>
  <si>
    <t>TX003130</t>
  </si>
  <si>
    <t>TX003131</t>
  </si>
  <si>
    <t>TX003132</t>
  </si>
  <si>
    <t>TX003133</t>
  </si>
  <si>
    <t>TX003134</t>
  </si>
  <si>
    <t>TX003135</t>
  </si>
  <si>
    <t>TX003136</t>
  </si>
  <si>
    <t>TX003137</t>
  </si>
  <si>
    <t>TX003138</t>
  </si>
  <si>
    <t>TX003139</t>
  </si>
  <si>
    <t>TX003140</t>
  </si>
  <si>
    <t>TX003141</t>
  </si>
  <si>
    <t>TX003142</t>
  </si>
  <si>
    <t>TX003143</t>
  </si>
  <si>
    <t>TX003144</t>
  </si>
  <si>
    <t>TX003145</t>
  </si>
  <si>
    <t>TX003146</t>
  </si>
  <si>
    <t>TX003147</t>
  </si>
  <si>
    <t>TX003148</t>
  </si>
  <si>
    <t>TX003149</t>
  </si>
  <si>
    <t>TX003150</t>
  </si>
  <si>
    <t>TX003151</t>
  </si>
  <si>
    <t>TX003152</t>
  </si>
  <si>
    <t>TX003153</t>
  </si>
  <si>
    <t>TX003154</t>
  </si>
  <si>
    <t>TX003155</t>
  </si>
  <si>
    <t>TX003156</t>
  </si>
  <si>
    <t>TX003157</t>
  </si>
  <si>
    <t>TX003158</t>
  </si>
  <si>
    <t>TX003159</t>
  </si>
  <si>
    <t>TX003160</t>
  </si>
  <si>
    <t>TX003161</t>
  </si>
  <si>
    <t>TX003162</t>
  </si>
  <si>
    <t>TX003163</t>
  </si>
  <si>
    <t>TX003164</t>
  </si>
  <si>
    <t>TX003165</t>
  </si>
  <si>
    <t>TX003166</t>
  </si>
  <si>
    <t>TX003167</t>
  </si>
  <si>
    <t>TX003168</t>
  </si>
  <si>
    <t>TX003169</t>
  </si>
  <si>
    <t>TX003170</t>
  </si>
  <si>
    <t>TX003171</t>
  </si>
  <si>
    <t>TX003172</t>
  </si>
  <si>
    <t>TX003173</t>
  </si>
  <si>
    <t>TX003174</t>
  </si>
  <si>
    <t>TX003175</t>
  </si>
  <si>
    <t>TX003176</t>
  </si>
  <si>
    <t>TX003177</t>
  </si>
  <si>
    <t>TX003178</t>
  </si>
  <si>
    <t>TX003179</t>
  </si>
  <si>
    <t>TX003180</t>
  </si>
  <si>
    <t>TX003181</t>
  </si>
  <si>
    <t>TX003182</t>
  </si>
  <si>
    <t>TX003183</t>
  </si>
  <si>
    <t>TX003184</t>
  </si>
  <si>
    <t>TX003185</t>
  </si>
  <si>
    <t>TX003186</t>
  </si>
  <si>
    <t>TX003187</t>
  </si>
  <si>
    <t>TX003188</t>
  </si>
  <si>
    <t>TX003189</t>
  </si>
  <si>
    <t>TX003190</t>
  </si>
  <si>
    <t>TX003191</t>
  </si>
  <si>
    <t>TX003192</t>
  </si>
  <si>
    <t>TX003193</t>
  </si>
  <si>
    <t>TX003194</t>
  </si>
  <si>
    <t>TX003195</t>
  </si>
  <si>
    <t>TX003196</t>
  </si>
  <si>
    <t>TX003197</t>
  </si>
  <si>
    <t>TX003198</t>
  </si>
  <si>
    <t>TX003199</t>
  </si>
  <si>
    <t>TX003200</t>
  </si>
  <si>
    <t>entrance</t>
  </si>
  <si>
    <t>visitors</t>
  </si>
  <si>
    <t>weather</t>
  </si>
  <si>
    <t>campaign_day</t>
  </si>
  <si>
    <t>North Gate</t>
  </si>
  <si>
    <t>Sunny</t>
  </si>
  <si>
    <t>No</t>
  </si>
  <si>
    <t>South Gate</t>
  </si>
  <si>
    <t>Yes</t>
  </si>
  <si>
    <t>Metro Link</t>
  </si>
  <si>
    <t>Cloudy</t>
  </si>
  <si>
    <t>Parking Entry</t>
  </si>
  <si>
    <t>Rainy</t>
  </si>
  <si>
    <t>tenant_name</t>
  </si>
  <si>
    <t>zone</t>
  </si>
  <si>
    <t>category</t>
  </si>
  <si>
    <t>store_size_sqft</t>
  </si>
  <si>
    <t>monthly_rent_inr</t>
  </si>
  <si>
    <t>Store 01</t>
  </si>
  <si>
    <t>Fashion Avenue</t>
  </si>
  <si>
    <t>Clothing</t>
  </si>
  <si>
    <t>Store 02</t>
  </si>
  <si>
    <t>Food Court</t>
  </si>
  <si>
    <t>Quick Service</t>
  </si>
  <si>
    <t>Store 03</t>
  </si>
  <si>
    <t>Entertainment</t>
  </si>
  <si>
    <t>Cinema</t>
  </si>
  <si>
    <t>Store 04</t>
  </si>
  <si>
    <t>Home &amp; Living</t>
  </si>
  <si>
    <t>Home Decor</t>
  </si>
  <si>
    <t>Store 05</t>
  </si>
  <si>
    <t>Beauty &amp; Wellness</t>
  </si>
  <si>
    <t>Wellness</t>
  </si>
  <si>
    <t>Store 06</t>
  </si>
  <si>
    <t>Accessories</t>
  </si>
  <si>
    <t>Store 07</t>
  </si>
  <si>
    <t>Casual Dining</t>
  </si>
  <si>
    <t>Store 08</t>
  </si>
  <si>
    <t>Arcade</t>
  </si>
  <si>
    <t>Store 09</t>
  </si>
  <si>
    <t>Electronics</t>
  </si>
  <si>
    <t>Store 10</t>
  </si>
  <si>
    <t>Store 11</t>
  </si>
  <si>
    <t>Footwear</t>
  </si>
  <si>
    <t>Store 12</t>
  </si>
  <si>
    <t>Store 13</t>
  </si>
  <si>
    <t>Family Entertainment</t>
  </si>
  <si>
    <t>Store 14</t>
  </si>
  <si>
    <t>Store 15</t>
  </si>
  <si>
    <t>Store 16</t>
  </si>
  <si>
    <t>Store 17</t>
  </si>
  <si>
    <t>Store 18</t>
  </si>
  <si>
    <t>Store 19</t>
  </si>
  <si>
    <t>Store 20</t>
  </si>
  <si>
    <t>Beauty</t>
  </si>
  <si>
    <t>Store 21</t>
  </si>
  <si>
    <t>Store 22</t>
  </si>
  <si>
    <t>Store 23</t>
  </si>
  <si>
    <t>Store 24</t>
  </si>
  <si>
    <t>Store 25</t>
  </si>
  <si>
    <t>Store 26</t>
  </si>
  <si>
    <t>Store 27</t>
  </si>
  <si>
    <t>Store 28</t>
  </si>
  <si>
    <t>Store 29</t>
  </si>
  <si>
    <t>Store 30</t>
  </si>
  <si>
    <t>campaign_id</t>
  </si>
  <si>
    <t>campaign_name</t>
  </si>
  <si>
    <t>start_date</t>
  </si>
  <si>
    <t>end_date</t>
  </si>
  <si>
    <t>campaign_type</t>
  </si>
  <si>
    <t>budget_inr</t>
  </si>
  <si>
    <t>C01</t>
  </si>
  <si>
    <t>New Year Reset</t>
  </si>
  <si>
    <t>2025-01-01</t>
  </si>
  <si>
    <t>2025-01-12</t>
  </si>
  <si>
    <t>Seasonal</t>
  </si>
  <si>
    <t>C02</t>
  </si>
  <si>
    <t>Valentine Weekend</t>
  </si>
  <si>
    <t>2025-02-12</t>
  </si>
  <si>
    <t>2025-02-16</t>
  </si>
  <si>
    <t>Event</t>
  </si>
  <si>
    <t>C03</t>
  </si>
  <si>
    <t>Summer Splash</t>
  </si>
  <si>
    <t>2025-04-01</t>
  </si>
  <si>
    <t>2025-04-20</t>
  </si>
  <si>
    <t>C04</t>
  </si>
  <si>
    <t>Monsoon Rewards</t>
  </si>
  <si>
    <t>2025-05-01</t>
  </si>
  <si>
    <t>2025-05-20</t>
  </si>
  <si>
    <t>Loyalty</t>
  </si>
  <si>
    <t>table</t>
  </si>
  <si>
    <t>grain</t>
  </si>
  <si>
    <t>notes</t>
  </si>
  <si>
    <t>transactions</t>
  </si>
  <si>
    <t>One row per purchase</t>
  </si>
  <si>
    <t>transaction_id is unique; net_sales_inr is after discount.</t>
  </si>
  <si>
    <t>footfall</t>
  </si>
  <si>
    <t>One row per date and entrance</t>
  </si>
  <si>
    <t>Sum visitors across entrances for estimated daily footfall.</t>
  </si>
  <si>
    <t>tenants</t>
  </si>
  <si>
    <t>One row per tenant</t>
  </si>
  <si>
    <t>tenant_id joins to transactions; rent is monthly.</t>
  </si>
  <si>
    <t>campaigns</t>
  </si>
  <si>
    <t>One row per campaign</t>
  </si>
  <si>
    <t>Use dates to compare performance before/during campaign periods.</t>
  </si>
  <si>
    <t>Recalc_Net_Sales</t>
  </si>
  <si>
    <t>Sales_Check</t>
  </si>
  <si>
    <t>Month</t>
  </si>
  <si>
    <t>Day_Type</t>
  </si>
  <si>
    <t>Discount_Band</t>
  </si>
  <si>
    <t>Rent_per_sqft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</si>
  <si>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</si>
  <si>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</si>
  <si>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</si>
  <si>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</si>
  <si>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</si>
  <si>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</si>
  <si>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</si>
  <si>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</si>
  <si>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Sum of net_sales_inr</t>
  </si>
  <si>
    <t>Count of transaction_id</t>
  </si>
  <si>
    <t>Net Sales</t>
  </si>
  <si>
    <t>Average of net_sales_inr2</t>
  </si>
  <si>
    <t>Average of net_sales_inr</t>
  </si>
  <si>
    <t>Sum of visitors</t>
  </si>
  <si>
    <t>Metric</t>
  </si>
  <si>
    <t>Result</t>
  </si>
  <si>
    <t>Mean transaction value</t>
  </si>
  <si>
    <t>Median transaction value</t>
  </si>
  <si>
    <t>Standard deviation</t>
  </si>
  <si>
    <t>First quartile (Q1)</t>
  </si>
  <si>
    <t>Third quartile (Q3)</t>
  </si>
  <si>
    <t>IQR</t>
  </si>
  <si>
    <t>Lower fence</t>
  </si>
  <si>
    <t>Upper fence</t>
  </si>
  <si>
    <t>Weekday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</si>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</sst>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7" formatCode="&quot;₹&quot;\ #,##0.00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mbria"/>
      <family val="1"/>
      <scheme val="maj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234E70"/>
      </patternFill>
    </fill>
    <fill>
      <patternFill patternType="solid">
        <fgColor rgb="FF234E7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165" fontId="0" fillId="0" borderId="0" xfId="0" applyNumberFormat="1"/>
    <xf numFmtId="0" fontId="1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167" fontId="1" fillId="2" borderId="2" xfId="0" applyNumberFormat="1" applyFont="1" applyFill="1" applyBorder="1" applyAlignment="1">
      <alignment wrapText="1"/>
    </xf>
    <xf numFmtId="167" fontId="4" fillId="2" borderId="2" xfId="0" applyNumberFormat="1" applyFont="1" applyFill="1" applyBorder="1" applyAlignment="1">
      <alignment wrapText="1"/>
    </xf>
    <xf numFmtId="167" fontId="0" fillId="0" borderId="0" xfId="0" applyNumberFormat="1"/>
    <xf numFmtId="10" fontId="0" fillId="0" borderId="0" xfId="0" applyNumberFormat="1"/>
    <xf numFmtId="9" fontId="1" fillId="2" borderId="2" xfId="1" applyFont="1" applyFill="1" applyBorder="1" applyAlignment="1">
      <alignment wrapText="1"/>
    </xf>
    <xf numFmtId="9" fontId="0" fillId="0" borderId="0" xfId="1" applyFont="1"/>
    <xf numFmtId="0" fontId="4" fillId="3" borderId="2" xfId="0" applyFont="1" applyFill="1" applyBorder="1" applyAlignment="1">
      <alignment wrapText="1"/>
    </xf>
    <xf numFmtId="0" fontId="4" fillId="3" borderId="2" xfId="0" applyNumberFormat="1" applyFont="1" applyFill="1" applyBorder="1" applyAlignment="1">
      <alignment wrapText="1"/>
    </xf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2" fontId="1" fillId="2" borderId="2" xfId="0" applyNumberFormat="1" applyFont="1" applyFill="1" applyBorder="1" applyAlignment="1">
      <alignment wrapText="1"/>
    </xf>
    <xf numFmtId="0" fontId="5" fillId="0" borderId="0" xfId="0" applyFont="1"/>
    <xf numFmtId="0" fontId="5" fillId="5" borderId="1" xfId="0" applyFont="1" applyFill="1" applyBorder="1"/>
    <xf numFmtId="0" fontId="3" fillId="4" borderId="1" xfId="0" applyFont="1" applyFill="1" applyBorder="1"/>
    <xf numFmtId="2" fontId="0" fillId="4" borderId="1" xfId="0" applyNumberFormat="1" applyFill="1" applyBorder="1"/>
    <xf numFmtId="0" fontId="0" fillId="4" borderId="1" xfId="0" applyFill="1" applyBorder="1"/>
    <xf numFmtId="0" fontId="6" fillId="4" borderId="1" xfId="0" applyFont="1" applyFill="1" applyBorder="1"/>
  </cellXfs>
  <cellStyles count="2">
    <cellStyle name="Normal" xfId="0" builtinId="0"/>
    <cellStyle name="Percent" xfId="1" builtinId="5"/>
  </cellStyles>
  <dxfs count="29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&quot;₹&quot;\ #,##0.0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67" formatCode="&quot;₹&quot;\ #,##0.00"/>
    </dxf>
    <dxf>
      <numFmt numFmtId="167" formatCode="&quot;₹&quot;\ #,##0.00"/>
    </dxf>
    <dxf>
      <numFmt numFmtId="167" formatCode="&quot;₹&quot;\ #,##0.00"/>
    </dxf>
    <dxf>
      <numFmt numFmtId="167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34E7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34E7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34E7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34E7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[Mall_Detective_Analysis.xlsx]Monthly Sales!PivotTable1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Net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Net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'Monthly Sales'!$B$4:$B$10</c:f>
              <c:numCache>
                <c:formatCode>"₹"\ #,##0.00</c:formatCode>
                <c:ptCount val="6"/>
                <c:pt idx="0">
                  <c:v>667040.09</c:v>
                </c:pt>
                <c:pt idx="1">
                  <c:v>570934.10999999964</c:v>
                </c:pt>
                <c:pt idx="2">
                  <c:v>628240.27</c:v>
                </c:pt>
                <c:pt idx="3">
                  <c:v>585584.2699999999</c:v>
                </c:pt>
                <c:pt idx="4">
                  <c:v>632080.69000000041</c:v>
                </c:pt>
                <c:pt idx="5">
                  <c:v>585439.12000000046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33-49CF-961A-ABD1B2AF99CE}"/>
            </c:ext>
          </c:extLst>
        </c:ser>
        <c:ser>
          <c:idx val="1"/>
          <c:order val="1"/>
          <c:tx>
            <c:strRef>
              <c:f>'Monthly Sales'!$C$3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'Monthly Sales'!$C$4:$C$10</c:f>
              <c:numCache>
                <c:formatCode>General</c:formatCode>
                <c:ptCount val="6"/>
                <c:pt idx="0">
                  <c:v>574</c:v>
                </c:pt>
                <c:pt idx="1">
                  <c:v>493</c:v>
                </c:pt>
                <c:pt idx="2">
                  <c:v>539</c:v>
                </c:pt>
                <c:pt idx="3">
                  <c:v>520</c:v>
                </c:pt>
                <c:pt idx="4">
                  <c:v>570</c:v>
                </c:pt>
                <c:pt idx="5">
                  <c:v>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33-49CF-961A-ABD1B2AF9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882544"/>
        <c:axId val="985945552"/>
      </c:lineChart>
      <c:catAx>
        <c:axId val="130888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945552"/>
        <c:crosses val="autoZero"/>
        <c:auto val="1"/>
        <c:lblAlgn val="ctr"/>
        <c:lblOffset val="100"/>
        <c:noMultiLvlLbl val="0"/>
      </c:catAx>
      <c:valAx>
        <c:axId val="9859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88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[Mall_Detective_Analysis.xlsx]Zone performance!PivotTable6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</a:t>
            </a:r>
            <a:r>
              <a:rPr lang="en-US" b="1" baseline="0"/>
              <a:t> Sales By Mall Zone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'Zone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'Zone performance'!$A$4:$A$9</c:f>
              <c:strCache>
                <c:ptCount val="5"/>
                <c:pt idx="0">
                  <c:v>Beauty &amp; Wellness</c:v>
                </c:pt>
                <c:pt idx="1">
                  <c:v>Entertainment</c:v>
                </c:pt>
                <c:pt idx="2">
                  <c:v>Fashion Avenue</c:v>
                </c:pt>
                <c:pt idx="3">
                  <c:v>Food Court</c:v>
                </c:pt>
                <c:pt idx="4">
                  <c:v>Home &amp; Living</c:v>
                </c:pt>
              </c:strCache>
            </c:strRef>
          </c:cat>
          <c:val>
            <c:numRef>
              <c:f>'Zone performance'!$B$4:$B$9</c:f>
              <c:numCache>
                <c:formatCode>"₹"\ #,##0.00</c:formatCode>
                <c:ptCount val="5"/>
                <c:pt idx="0">
                  <c:v>733204.76000000036</c:v>
                </c:pt>
                <c:pt idx="1">
                  <c:v>699049.26999999967</c:v>
                </c:pt>
                <c:pt idx="2">
                  <c:v>758427.39000000048</c:v>
                </c:pt>
                <c:pt idx="3">
                  <c:v>791562.05999999889</c:v>
                </c:pt>
                <c:pt idx="4">
                  <c:v>687075.0700000003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B-466C-A970-04FBCA0CB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4005072"/>
        <c:axId val="1136966544"/>
      </c:barChart>
      <c:catAx>
        <c:axId val="1394005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966544"/>
        <c:crosses val="autoZero"/>
        <c:auto val="1"/>
        <c:lblAlgn val="ctr"/>
        <c:lblOffset val="100"/>
        <c:noMultiLvlLbl val="0"/>
      </c:catAx>
      <c:valAx>
        <c:axId val="113696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00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[Mall_Detective_Analysis.xlsx]Entrance Footfall!PivotTable5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Recorded Visitors by Entrance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'Entrance Footfall'!$B$3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'Entrance Footfall'!$A$4:$A$8</c:f>
              <c:strCache>
                <c:ptCount val="4"/>
                <c:pt idx="0">
                  <c:v>Metro Link</c:v>
                </c:pt>
                <c:pt idx="1">
                  <c:v>North Gate</c:v>
                </c:pt>
                <c:pt idx="2">
                  <c:v>Parking Entry</c:v>
                </c:pt>
                <c:pt idx="3">
                  <c:v>South Gate</c:v>
                </c:pt>
              </c:strCache>
            </c:strRef>
          </c:cat>
          <c:val>
            <c:numRef>
              <c:f>'Entrance Footfall'!$B$4:$B$8</c:f>
              <c:numCache>
                <c:formatCode>General</c:formatCode>
                <c:ptCount val="4"/>
                <c:pt idx="0">
                  <c:v>246358</c:v>
                </c:pt>
                <c:pt idx="1">
                  <c:v>342848</c:v>
                </c:pt>
                <c:pt idx="2">
                  <c:v>193911</c:v>
                </c:pt>
                <c:pt idx="3">
                  <c:v>289692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2-4E07-94D5-54983280A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662304"/>
        <c:axId val="1137026544"/>
      </c:barChart>
      <c:catAx>
        <c:axId val="120166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026544"/>
        <c:crosses val="autoZero"/>
        <c:auto val="1"/>
        <c:lblAlgn val="ctr"/>
        <c:lblOffset val="100"/>
        <c:noMultiLvlLbl val="0"/>
      </c:catAx>
      <c:valAx>
        <c:axId val="113702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66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1</xdr:row>
      <xdr:rowOff>152400</xdr:rowOff>
    </xdr:from>
    <xdr:to>
      <xdr:col>12</xdr:col>
      <xdr:colOff>274320</xdr:colOff>
      <xdr:row>18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1084F7-8305-17D3-E223-539C4C6C4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2</xdr:row>
      <xdr:rowOff>76200</xdr:rowOff>
    </xdr:from>
    <xdr:to>
      <xdr:col>10</xdr:col>
      <xdr:colOff>114300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3BD12C-1EFA-EB1E-846F-0E398399F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2</xdr:row>
      <xdr:rowOff>30480</xdr:rowOff>
    </xdr:from>
    <xdr:to>
      <xdr:col>11</xdr:col>
      <xdr:colOff>243840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0BB030-6869-9A3A-DBAE-146C4C879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kulkarni" refreshedDate="46306.84932685185" createdVersion="8" refreshedVersion="8" minRefreshableVersion="3" recordCount="3200" xr:uid="{C17C6165-0507-47DD-8475-A3581262BE50}">
  <cacheSource type="worksheet">
    <worksheetSource name="tblTransactions"/>
  </cacheSource>
  <cacheFields count="19">
    <cacheField name="transaction_id" numFmtId="0">
      <sharedItems count="3200">
        <s v="TX000001"/>
        <s v="TX000002"/>
        <s v="TX000003"/>
        <s v="TX000004"/>
        <s v="TX000005"/>
        <s v="TX000006"/>
        <s v="TX000007"/>
        <s v="TX000008"/>
        <s v="TX000009"/>
        <s v="TX000010"/>
        <s v="TX000011"/>
        <s v="TX000012"/>
        <s v="TX000013"/>
        <s v="TX000014"/>
        <s v="TX000015"/>
        <s v="TX000016"/>
        <s v="TX000017"/>
        <s v="TX000018"/>
        <s v="TX000019"/>
        <s v="TX000020"/>
        <s v="TX000021"/>
        <s v="TX000022"/>
        <s v="TX000023"/>
        <s v="TX000024"/>
        <s v="TX000025"/>
        <s v="TX000026"/>
        <s v="TX000027"/>
        <s v="TX000028"/>
        <s v="TX000029"/>
        <s v="TX000030"/>
        <s v="TX000031"/>
        <s v="TX000032"/>
        <s v="TX000033"/>
        <s v="TX000034"/>
        <s v="TX000035"/>
        <s v="TX000036"/>
        <s v="TX000037"/>
        <s v="TX000038"/>
        <s v="TX000039"/>
        <s v="TX000040"/>
        <s v="TX000041"/>
        <s v="TX000042"/>
        <s v="TX000043"/>
        <s v="TX000044"/>
        <s v="TX000045"/>
        <s v="TX000046"/>
        <s v="TX000047"/>
        <s v="TX000048"/>
        <s v="TX000049"/>
        <s v="TX000050"/>
        <s v="TX000051"/>
        <s v="TX000052"/>
        <s v="TX000053"/>
        <s v="TX000054"/>
        <s v="TX000055"/>
        <s v="TX000056"/>
        <s v="TX000057"/>
        <s v="TX000058"/>
        <s v="TX000059"/>
        <s v="TX000060"/>
        <s v="TX000061"/>
        <s v="TX000062"/>
        <s v="TX000063"/>
        <s v="TX000064"/>
        <s v="TX000065"/>
        <s v="TX000066"/>
        <s v="TX000067"/>
        <s v="TX000068"/>
        <s v="TX000069"/>
        <s v="TX000070"/>
        <s v="TX000071"/>
        <s v="TX000072"/>
        <s v="TX000073"/>
        <s v="TX000074"/>
        <s v="TX000075"/>
        <s v="TX000076"/>
        <s v="TX000077"/>
        <s v="TX000078"/>
        <s v="TX000079"/>
        <s v="TX000080"/>
        <s v="TX000081"/>
        <s v="TX000082"/>
        <s v="TX000083"/>
        <s v="TX000084"/>
        <s v="TX000085"/>
        <s v="TX000086"/>
        <s v="TX000087"/>
        <s v="TX000088"/>
        <s v="TX000089"/>
        <s v="TX000090"/>
        <s v="TX000091"/>
        <s v="TX000092"/>
        <s v="TX000093"/>
        <s v="TX000094"/>
        <s v="TX000095"/>
        <s v="TX000096"/>
        <s v="TX000097"/>
        <s v="TX000098"/>
        <s v="TX000099"/>
        <s v="TX000100"/>
        <s v="TX000101"/>
        <s v="TX000102"/>
        <s v="TX000103"/>
        <s v="TX000104"/>
        <s v="TX000105"/>
        <s v="TX000106"/>
        <s v="TX000107"/>
        <s v="TX000108"/>
        <s v="TX000109"/>
        <s v="TX000110"/>
        <s v="TX000111"/>
        <s v="TX000112"/>
        <s v="TX000113"/>
        <s v="TX000114"/>
        <s v="TX000115"/>
        <s v="TX000116"/>
        <s v="TX000117"/>
        <s v="TX000118"/>
        <s v="TX000119"/>
        <s v="TX000120"/>
        <s v="TX000121"/>
        <s v="TX000122"/>
        <s v="TX000123"/>
        <s v="TX000124"/>
        <s v="TX000125"/>
        <s v="TX000126"/>
        <s v="TX000127"/>
        <s v="TX000128"/>
        <s v="TX000129"/>
        <s v="TX000130"/>
        <s v="TX000131"/>
        <s v="TX000132"/>
        <s v="TX000133"/>
        <s v="TX000134"/>
        <s v="TX000135"/>
        <s v="TX000136"/>
        <s v="TX000137"/>
        <s v="TX000138"/>
        <s v="TX000139"/>
        <s v="TX000140"/>
        <s v="TX000141"/>
        <s v="TX000142"/>
        <s v="TX000143"/>
        <s v="TX000144"/>
        <s v="TX000145"/>
        <s v="TX000146"/>
        <s v="TX000147"/>
        <s v="TX000148"/>
        <s v="TX000149"/>
        <s v="TX000150"/>
        <s v="TX000151"/>
        <s v="TX000152"/>
        <s v="TX000153"/>
        <s v="TX000154"/>
        <s v="TX000155"/>
        <s v="TX000156"/>
        <s v="TX000157"/>
        <s v="TX000158"/>
        <s v="TX000159"/>
        <s v="TX000160"/>
        <s v="TX000161"/>
        <s v="TX000162"/>
        <s v="TX000163"/>
        <s v="TX000164"/>
        <s v="TX000165"/>
        <s v="TX000166"/>
        <s v="TX000167"/>
        <s v="TX000168"/>
        <s v="TX000169"/>
        <s v="TX000170"/>
        <s v="TX000171"/>
        <s v="TX000172"/>
        <s v="TX000173"/>
        <s v="TX000174"/>
        <s v="TX000175"/>
        <s v="TX000176"/>
        <s v="TX000177"/>
        <s v="TX000178"/>
        <s v="TX000179"/>
        <s v="TX000180"/>
        <s v="TX000181"/>
        <s v="TX000182"/>
        <s v="TX000183"/>
        <s v="TX000184"/>
        <s v="TX000185"/>
        <s v="TX000186"/>
        <s v="TX000187"/>
        <s v="TX000188"/>
        <s v="TX000189"/>
        <s v="TX000190"/>
        <s v="TX000191"/>
        <s v="TX000192"/>
        <s v="TX000193"/>
        <s v="TX000194"/>
        <s v="TX000195"/>
        <s v="TX000196"/>
        <s v="TX000197"/>
        <s v="TX000198"/>
        <s v="TX000199"/>
        <s v="TX000200"/>
        <s v="TX000201"/>
        <s v="TX000202"/>
        <s v="TX000203"/>
        <s v="TX000204"/>
        <s v="TX000205"/>
        <s v="TX000206"/>
        <s v="TX000207"/>
        <s v="TX000208"/>
        <s v="TX000209"/>
        <s v="TX000210"/>
        <s v="TX000211"/>
        <s v="TX000212"/>
        <s v="TX000213"/>
        <s v="TX000214"/>
        <s v="TX000215"/>
        <s v="TX000216"/>
        <s v="TX000217"/>
        <s v="TX000218"/>
        <s v="TX000219"/>
        <s v="TX000220"/>
        <s v="TX000221"/>
        <s v="TX000222"/>
        <s v="TX000223"/>
        <s v="TX000224"/>
        <s v="TX000225"/>
        <s v="TX000226"/>
        <s v="TX000227"/>
        <s v="TX000228"/>
        <s v="TX000229"/>
        <s v="TX000230"/>
        <s v="TX000231"/>
        <s v="TX000232"/>
        <s v="TX000233"/>
        <s v="TX000234"/>
        <s v="TX000235"/>
        <s v="TX000236"/>
        <s v="TX000237"/>
        <s v="TX000238"/>
        <s v="TX000239"/>
        <s v="TX000240"/>
        <s v="TX000241"/>
        <s v="TX000242"/>
        <s v="TX000243"/>
        <s v="TX000244"/>
        <s v="TX000245"/>
        <s v="TX000246"/>
        <s v="TX000247"/>
        <s v="TX000248"/>
        <s v="TX000249"/>
        <s v="TX000250"/>
        <s v="TX000251"/>
        <s v="TX000252"/>
        <s v="TX000253"/>
        <s v="TX000254"/>
        <s v="TX000255"/>
        <s v="TX000256"/>
        <s v="TX000257"/>
        <s v="TX000258"/>
        <s v="TX000259"/>
        <s v="TX000260"/>
        <s v="TX000261"/>
        <s v="TX000262"/>
        <s v="TX000263"/>
        <s v="TX000264"/>
        <s v="TX000265"/>
        <s v="TX000266"/>
        <s v="TX000267"/>
        <s v="TX000268"/>
        <s v="TX000269"/>
        <s v="TX000270"/>
        <s v="TX000271"/>
        <s v="TX000272"/>
        <s v="TX000273"/>
        <s v="TX000274"/>
        <s v="TX000275"/>
        <s v="TX000276"/>
        <s v="TX000277"/>
        <s v="TX000278"/>
        <s v="TX000279"/>
        <s v="TX000280"/>
        <s v="TX000281"/>
        <s v="TX000282"/>
        <s v="TX000283"/>
        <s v="TX000284"/>
        <s v="TX000285"/>
        <s v="TX000286"/>
        <s v="TX000287"/>
        <s v="TX000288"/>
        <s v="TX000289"/>
        <s v="TX000290"/>
        <s v="TX000291"/>
        <s v="TX000292"/>
        <s v="TX000293"/>
        <s v="TX000294"/>
        <s v="TX000295"/>
        <s v="TX000296"/>
        <s v="TX000297"/>
        <s v="TX000298"/>
        <s v="TX000299"/>
        <s v="TX000300"/>
        <s v="TX000301"/>
        <s v="TX000302"/>
        <s v="TX000303"/>
        <s v="TX000304"/>
        <s v="TX000305"/>
        <s v="TX000306"/>
        <s v="TX000307"/>
        <s v="TX000308"/>
        <s v="TX000309"/>
        <s v="TX000310"/>
        <s v="TX000311"/>
        <s v="TX000312"/>
        <s v="TX000313"/>
        <s v="TX000314"/>
        <s v="TX000315"/>
        <s v="TX000316"/>
        <s v="TX000317"/>
        <s v="TX000318"/>
        <s v="TX000319"/>
        <s v="TX000320"/>
        <s v="TX000321"/>
        <s v="TX000322"/>
        <s v="TX000323"/>
        <s v="TX000324"/>
        <s v="TX000325"/>
        <s v="TX000326"/>
        <s v="TX000327"/>
        <s v="TX000328"/>
        <s v="TX000329"/>
        <s v="TX000330"/>
        <s v="TX000331"/>
        <s v="TX000332"/>
        <s v="TX000333"/>
        <s v="TX000334"/>
        <s v="TX000335"/>
        <s v="TX000336"/>
        <s v="TX000337"/>
        <s v="TX000338"/>
        <s v="TX000339"/>
        <s v="TX000340"/>
        <s v="TX000341"/>
        <s v="TX000342"/>
        <s v="TX000343"/>
        <s v="TX000344"/>
        <s v="TX000345"/>
        <s v="TX000346"/>
        <s v="TX000347"/>
        <s v="TX000348"/>
        <s v="TX000349"/>
        <s v="TX000350"/>
        <s v="TX000351"/>
        <s v="TX000352"/>
        <s v="TX000353"/>
        <s v="TX000354"/>
        <s v="TX000355"/>
        <s v="TX000356"/>
        <s v="TX000357"/>
        <s v="TX000358"/>
        <s v="TX000359"/>
        <s v="TX000360"/>
        <s v="TX000361"/>
        <s v="TX000362"/>
        <s v="TX000363"/>
        <s v="TX000364"/>
        <s v="TX000365"/>
        <s v="TX000366"/>
        <s v="TX000367"/>
        <s v="TX000368"/>
        <s v="TX000369"/>
        <s v="TX000370"/>
        <s v="TX000371"/>
        <s v="TX000372"/>
        <s v="TX000373"/>
        <s v="TX000374"/>
        <s v="TX000375"/>
        <s v="TX000376"/>
        <s v="TX000377"/>
        <s v="TX000378"/>
        <s v="TX000379"/>
        <s v="TX000380"/>
        <s v="TX000381"/>
        <s v="TX000382"/>
        <s v="TX000383"/>
        <s v="TX000384"/>
        <s v="TX000385"/>
        <s v="TX000386"/>
        <s v="TX000387"/>
        <s v="TX000388"/>
        <s v="TX000389"/>
        <s v="TX000390"/>
        <s v="TX000391"/>
        <s v="TX000392"/>
        <s v="TX000393"/>
        <s v="TX000394"/>
        <s v="TX000395"/>
        <s v="TX000396"/>
        <s v="TX000397"/>
        <s v="TX000398"/>
        <s v="TX000399"/>
        <s v="TX000400"/>
        <s v="TX000401"/>
        <s v="TX000402"/>
        <s v="TX000403"/>
        <s v="TX000404"/>
        <s v="TX000405"/>
        <s v="TX000406"/>
        <s v="TX000407"/>
        <s v="TX000408"/>
        <s v="TX000409"/>
        <s v="TX000410"/>
        <s v="TX000411"/>
        <s v="TX000412"/>
        <s v="TX000413"/>
        <s v="TX000414"/>
        <s v="TX000415"/>
        <s v="TX000416"/>
        <s v="TX000417"/>
        <s v="TX000418"/>
        <s v="TX000419"/>
        <s v="TX000420"/>
        <s v="TX000421"/>
        <s v="TX000422"/>
        <s v="TX000423"/>
        <s v="TX000424"/>
        <s v="TX000425"/>
        <s v="TX000426"/>
        <s v="TX000427"/>
        <s v="TX000428"/>
        <s v="TX000429"/>
        <s v="TX000430"/>
        <s v="TX000431"/>
        <s v="TX000432"/>
        <s v="TX000433"/>
        <s v="TX000434"/>
        <s v="TX000435"/>
        <s v="TX000436"/>
        <s v="TX000437"/>
        <s v="TX000438"/>
        <s v="TX000439"/>
        <s v="TX000440"/>
        <s v="TX000441"/>
        <s v="TX000442"/>
        <s v="TX000443"/>
        <s v="TX000444"/>
        <s v="TX000445"/>
        <s v="TX000446"/>
        <s v="TX000447"/>
        <s v="TX000448"/>
        <s v="TX000449"/>
        <s v="TX000450"/>
        <s v="TX000451"/>
        <s v="TX000452"/>
        <s v="TX000453"/>
        <s v="TX000454"/>
        <s v="TX000455"/>
        <s v="TX000456"/>
        <s v="TX000457"/>
        <s v="TX000458"/>
        <s v="TX000459"/>
        <s v="TX000460"/>
        <s v="TX000461"/>
        <s v="TX000462"/>
        <s v="TX000463"/>
        <s v="TX000464"/>
        <s v="TX000465"/>
        <s v="TX000466"/>
        <s v="TX000467"/>
        <s v="TX000468"/>
        <s v="TX000469"/>
        <s v="TX000470"/>
        <s v="TX000471"/>
        <s v="TX000472"/>
        <s v="TX000473"/>
        <s v="TX000474"/>
        <s v="TX000475"/>
        <s v="TX000476"/>
        <s v="TX000477"/>
        <s v="TX000478"/>
        <s v="TX000479"/>
        <s v="TX000480"/>
        <s v="TX000481"/>
        <s v="TX000482"/>
        <s v="TX000483"/>
        <s v="TX000484"/>
        <s v="TX000485"/>
        <s v="TX000486"/>
        <s v="TX000487"/>
        <s v="TX000488"/>
        <s v="TX000489"/>
        <s v="TX000490"/>
        <s v="TX000491"/>
        <s v="TX000492"/>
        <s v="TX000493"/>
        <s v="TX000494"/>
        <s v="TX000495"/>
        <s v="TX000496"/>
        <s v="TX000497"/>
        <s v="TX000498"/>
        <s v="TX000499"/>
        <s v="TX000500"/>
        <s v="TX000501"/>
        <s v="TX000502"/>
        <s v="TX000503"/>
        <s v="TX000504"/>
        <s v="TX000505"/>
        <s v="TX000506"/>
        <s v="TX000507"/>
        <s v="TX000508"/>
        <s v="TX000509"/>
        <s v="TX000510"/>
        <s v="TX000511"/>
        <s v="TX000512"/>
        <s v="TX000513"/>
        <s v="TX000514"/>
        <s v="TX000515"/>
        <s v="TX000516"/>
        <s v="TX000517"/>
        <s v="TX000518"/>
        <s v="TX000519"/>
        <s v="TX000520"/>
        <s v="TX000521"/>
        <s v="TX000522"/>
        <s v="TX000523"/>
        <s v="TX000524"/>
        <s v="TX000525"/>
        <s v="TX000526"/>
        <s v="TX000527"/>
        <s v="TX000528"/>
        <s v="TX000529"/>
        <s v="TX000530"/>
        <s v="TX000531"/>
        <s v="TX000532"/>
        <s v="TX000533"/>
        <s v="TX000534"/>
        <s v="TX000535"/>
        <s v="TX000536"/>
        <s v="TX000537"/>
        <s v="TX000538"/>
        <s v="TX000539"/>
        <s v="TX000540"/>
        <s v="TX000541"/>
        <s v="TX000542"/>
        <s v="TX000543"/>
        <s v="TX000544"/>
        <s v="TX000545"/>
        <s v="TX000546"/>
        <s v="TX000547"/>
        <s v="TX000548"/>
        <s v="TX000549"/>
        <s v="TX000550"/>
        <s v="TX000551"/>
        <s v="TX000552"/>
        <s v="TX000553"/>
        <s v="TX000554"/>
        <s v="TX000555"/>
        <s v="TX000556"/>
        <s v="TX000557"/>
        <s v="TX000558"/>
        <s v="TX000559"/>
        <s v="TX000560"/>
        <s v="TX000561"/>
        <s v="TX000562"/>
        <s v="TX000563"/>
        <s v="TX000564"/>
        <s v="TX000565"/>
        <s v="TX000566"/>
        <s v="TX000567"/>
        <s v="TX000568"/>
        <s v="TX000569"/>
        <s v="TX000570"/>
        <s v="TX000571"/>
        <s v="TX000572"/>
        <s v="TX000573"/>
        <s v="TX000574"/>
        <s v="TX000575"/>
        <s v="TX000576"/>
        <s v="TX000577"/>
        <s v="TX000578"/>
        <s v="TX000579"/>
        <s v="TX000580"/>
        <s v="TX000581"/>
        <s v="TX000582"/>
        <s v="TX000583"/>
        <s v="TX000584"/>
        <s v="TX000585"/>
        <s v="TX000586"/>
        <s v="TX000587"/>
        <s v="TX000588"/>
        <s v="TX000589"/>
        <s v="TX000590"/>
        <s v="TX000591"/>
        <s v="TX000592"/>
        <s v="TX000593"/>
        <s v="TX000594"/>
        <s v="TX000595"/>
        <s v="TX000596"/>
        <s v="TX000597"/>
        <s v="TX000598"/>
        <s v="TX000599"/>
        <s v="TX000600"/>
        <s v="TX000601"/>
        <s v="TX000602"/>
        <s v="TX000603"/>
        <s v="TX000604"/>
        <s v="TX000605"/>
        <s v="TX000606"/>
        <s v="TX000607"/>
        <s v="TX000608"/>
        <s v="TX000609"/>
        <s v="TX000610"/>
        <s v="TX000611"/>
        <s v="TX000612"/>
        <s v="TX000613"/>
        <s v="TX000614"/>
        <s v="TX000615"/>
        <s v="TX000616"/>
        <s v="TX000617"/>
        <s v="TX000618"/>
        <s v="TX000619"/>
        <s v="TX000620"/>
        <s v="TX000621"/>
        <s v="TX000622"/>
        <s v="TX000623"/>
        <s v="TX000624"/>
        <s v="TX000625"/>
        <s v="TX000626"/>
        <s v="TX000627"/>
        <s v="TX000628"/>
        <s v="TX000629"/>
        <s v="TX000630"/>
        <s v="TX000631"/>
        <s v="TX000632"/>
        <s v="TX000633"/>
        <s v="TX000634"/>
        <s v="TX000635"/>
        <s v="TX000636"/>
        <s v="TX000637"/>
        <s v="TX000638"/>
        <s v="TX000639"/>
        <s v="TX000640"/>
        <s v="TX000641"/>
        <s v="TX000642"/>
        <s v="TX000643"/>
        <s v="TX000644"/>
        <s v="TX000645"/>
        <s v="TX000646"/>
        <s v="TX000647"/>
        <s v="TX000648"/>
        <s v="TX000649"/>
        <s v="TX000650"/>
        <s v="TX000651"/>
        <s v="TX000652"/>
        <s v="TX000653"/>
        <s v="TX000654"/>
        <s v="TX000655"/>
        <s v="TX000656"/>
        <s v="TX000657"/>
        <s v="TX000658"/>
        <s v="TX000659"/>
        <s v="TX000660"/>
        <s v="TX000661"/>
        <s v="TX000662"/>
        <s v="TX000663"/>
        <s v="TX000664"/>
        <s v="TX000665"/>
        <s v="TX000666"/>
        <s v="TX000667"/>
        <s v="TX000668"/>
        <s v="TX000669"/>
        <s v="TX000670"/>
        <s v="TX000671"/>
        <s v="TX000672"/>
        <s v="TX000673"/>
        <s v="TX000674"/>
        <s v="TX000675"/>
        <s v="TX000676"/>
        <s v="TX000677"/>
        <s v="TX000678"/>
        <s v="TX000679"/>
        <s v="TX000680"/>
        <s v="TX000681"/>
        <s v="TX000682"/>
        <s v="TX000683"/>
        <s v="TX000684"/>
        <s v="TX000685"/>
        <s v="TX000686"/>
        <s v="TX000687"/>
        <s v="TX000688"/>
        <s v="TX000689"/>
        <s v="TX000690"/>
        <s v="TX000691"/>
        <s v="TX000692"/>
        <s v="TX000693"/>
        <s v="TX000694"/>
        <s v="TX000695"/>
        <s v="TX000696"/>
        <s v="TX000697"/>
        <s v="TX000698"/>
        <s v="TX000699"/>
        <s v="TX000700"/>
        <s v="TX000701"/>
        <s v="TX000702"/>
        <s v="TX000703"/>
        <s v="TX000704"/>
        <s v="TX000705"/>
        <s v="TX000706"/>
        <s v="TX000707"/>
        <s v="TX000708"/>
        <s v="TX000709"/>
        <s v="TX000710"/>
        <s v="TX000711"/>
        <s v="TX000712"/>
        <s v="TX000713"/>
        <s v="TX000714"/>
        <s v="TX000715"/>
        <s v="TX000716"/>
        <s v="TX000717"/>
        <s v="TX000718"/>
        <s v="TX000719"/>
        <s v="TX000720"/>
        <s v="TX000721"/>
        <s v="TX000722"/>
        <s v="TX000723"/>
        <s v="TX000724"/>
        <s v="TX000725"/>
        <s v="TX000726"/>
        <s v="TX000727"/>
        <s v="TX000728"/>
        <s v="TX000729"/>
        <s v="TX000730"/>
        <s v="TX000731"/>
        <s v="TX000732"/>
        <s v="TX000733"/>
        <s v="TX000734"/>
        <s v="TX000735"/>
        <s v="TX000736"/>
        <s v="TX000737"/>
        <s v="TX000738"/>
        <s v="TX000739"/>
        <s v="TX000740"/>
        <s v="TX000741"/>
        <s v="TX000742"/>
        <s v="TX000743"/>
        <s v="TX000744"/>
        <s v="TX000745"/>
        <s v="TX000746"/>
        <s v="TX000747"/>
        <s v="TX000748"/>
        <s v="TX000749"/>
        <s v="TX000750"/>
        <s v="TX000751"/>
        <s v="TX000752"/>
        <s v="TX000753"/>
        <s v="TX000754"/>
        <s v="TX000755"/>
        <s v="TX000756"/>
        <s v="TX000757"/>
        <s v="TX000758"/>
        <s v="TX000759"/>
        <s v="TX000760"/>
        <s v="TX000761"/>
        <s v="TX000762"/>
        <s v="TX000763"/>
        <s v="TX000764"/>
        <s v="TX000765"/>
        <s v="TX000766"/>
        <s v="TX000767"/>
        <s v="TX000768"/>
        <s v="TX000769"/>
        <s v="TX000770"/>
        <s v="TX000771"/>
        <s v="TX000772"/>
        <s v="TX000773"/>
        <s v="TX000774"/>
        <s v="TX000775"/>
        <s v="TX000776"/>
        <s v="TX000777"/>
        <s v="TX000778"/>
        <s v="TX000779"/>
        <s v="TX000780"/>
        <s v="TX000781"/>
        <s v="TX000782"/>
        <s v="TX000783"/>
        <s v="TX000784"/>
        <s v="TX000785"/>
        <s v="TX000786"/>
        <s v="TX000787"/>
        <s v="TX000788"/>
        <s v="TX000789"/>
        <s v="TX000790"/>
        <s v="TX000791"/>
        <s v="TX000792"/>
        <s v="TX000793"/>
        <s v="TX000794"/>
        <s v="TX000795"/>
        <s v="TX000796"/>
        <s v="TX000797"/>
        <s v="TX000798"/>
        <s v="TX000799"/>
        <s v="TX000800"/>
        <s v="TX000801"/>
        <s v="TX000802"/>
        <s v="TX000803"/>
        <s v="TX000804"/>
        <s v="TX000805"/>
        <s v="TX000806"/>
        <s v="TX000807"/>
        <s v="TX000808"/>
        <s v="TX000809"/>
        <s v="TX000810"/>
        <s v="TX000811"/>
        <s v="TX000812"/>
        <s v="TX000813"/>
        <s v="TX000814"/>
        <s v="TX000815"/>
        <s v="TX000816"/>
        <s v="TX000817"/>
        <s v="TX000818"/>
        <s v="TX000819"/>
        <s v="TX000820"/>
        <s v="TX000821"/>
        <s v="TX000822"/>
        <s v="TX000823"/>
        <s v="TX000824"/>
        <s v="TX000825"/>
        <s v="TX000826"/>
        <s v="TX000827"/>
        <s v="TX000828"/>
        <s v="TX000829"/>
        <s v="TX000830"/>
        <s v="TX000831"/>
        <s v="TX000832"/>
        <s v="TX000833"/>
        <s v="TX000834"/>
        <s v="TX000835"/>
        <s v="TX000836"/>
        <s v="TX000837"/>
        <s v="TX000838"/>
        <s v="TX000839"/>
        <s v="TX000840"/>
        <s v="TX000841"/>
        <s v="TX000842"/>
        <s v="TX000843"/>
        <s v="TX000844"/>
        <s v="TX000845"/>
        <s v="TX000846"/>
        <s v="TX000847"/>
        <s v="TX000848"/>
        <s v="TX000849"/>
        <s v="TX000850"/>
        <s v="TX000851"/>
        <s v="TX000852"/>
        <s v="TX000853"/>
        <s v="TX000854"/>
        <s v="TX000855"/>
        <s v="TX000856"/>
        <s v="TX000857"/>
        <s v="TX000858"/>
        <s v="TX000859"/>
        <s v="TX000860"/>
        <s v="TX000861"/>
        <s v="TX000862"/>
        <s v="TX000863"/>
        <s v="TX000864"/>
        <s v="TX000865"/>
        <s v="TX000866"/>
        <s v="TX000867"/>
        <s v="TX000868"/>
        <s v="TX000869"/>
        <s v="TX000870"/>
        <s v="TX000871"/>
        <s v="TX000872"/>
        <s v="TX000873"/>
        <s v="TX000874"/>
        <s v="TX000875"/>
        <s v="TX000876"/>
        <s v="TX000877"/>
        <s v="TX000878"/>
        <s v="TX000879"/>
        <s v="TX000880"/>
        <s v="TX000881"/>
        <s v="TX000882"/>
        <s v="TX000883"/>
        <s v="TX000884"/>
        <s v="TX000885"/>
        <s v="TX000886"/>
        <s v="TX000887"/>
        <s v="TX000888"/>
        <s v="TX000889"/>
        <s v="TX000890"/>
        <s v="TX000891"/>
        <s v="TX000892"/>
        <s v="TX000893"/>
        <s v="TX000894"/>
        <s v="TX000895"/>
        <s v="TX000896"/>
        <s v="TX000897"/>
        <s v="TX000898"/>
        <s v="TX000899"/>
        <s v="TX000900"/>
        <s v="TX000901"/>
        <s v="TX000902"/>
        <s v="TX000903"/>
        <s v="TX000904"/>
        <s v="TX000905"/>
        <s v="TX000906"/>
        <s v="TX000907"/>
        <s v="TX000908"/>
        <s v="TX000909"/>
        <s v="TX000910"/>
        <s v="TX000911"/>
        <s v="TX000912"/>
        <s v="TX000913"/>
        <s v="TX000914"/>
        <s v="TX000915"/>
        <s v="TX000916"/>
        <s v="TX000917"/>
        <s v="TX000918"/>
        <s v="TX000919"/>
        <s v="TX000920"/>
        <s v="TX000921"/>
        <s v="TX000922"/>
        <s v="TX000923"/>
        <s v="TX000924"/>
        <s v="TX000925"/>
        <s v="TX000926"/>
        <s v="TX000927"/>
        <s v="TX000928"/>
        <s v="TX000929"/>
        <s v="TX000930"/>
        <s v="TX000931"/>
        <s v="TX000932"/>
        <s v="TX000933"/>
        <s v="TX000934"/>
        <s v="TX000935"/>
        <s v="TX000936"/>
        <s v="TX000937"/>
        <s v="TX000938"/>
        <s v="TX000939"/>
        <s v="TX000940"/>
        <s v="TX000941"/>
        <s v="TX000942"/>
        <s v="TX000943"/>
        <s v="TX000944"/>
        <s v="TX000945"/>
        <s v="TX000946"/>
        <s v="TX000947"/>
        <s v="TX000948"/>
        <s v="TX000949"/>
        <s v="TX000950"/>
        <s v="TX000951"/>
        <s v="TX000952"/>
        <s v="TX000953"/>
        <s v="TX000954"/>
        <s v="TX000955"/>
        <s v="TX000956"/>
        <s v="TX000957"/>
        <s v="TX000958"/>
        <s v="TX000959"/>
        <s v="TX000960"/>
        <s v="TX000961"/>
        <s v="TX000962"/>
        <s v="TX000963"/>
        <s v="TX000964"/>
        <s v="TX000965"/>
        <s v="TX000966"/>
        <s v="TX000967"/>
        <s v="TX000968"/>
        <s v="TX000969"/>
        <s v="TX000970"/>
        <s v="TX000971"/>
        <s v="TX000972"/>
        <s v="TX000973"/>
        <s v="TX000974"/>
        <s v="TX000975"/>
        <s v="TX000976"/>
        <s v="TX000977"/>
        <s v="TX000978"/>
        <s v="TX000979"/>
        <s v="TX000980"/>
        <s v="TX000981"/>
        <s v="TX000982"/>
        <s v="TX000983"/>
        <s v="TX000984"/>
        <s v="TX000985"/>
        <s v="TX000986"/>
        <s v="TX000987"/>
        <s v="TX000988"/>
        <s v="TX000989"/>
        <s v="TX000990"/>
        <s v="TX000991"/>
        <s v="TX000992"/>
        <s v="TX000993"/>
        <s v="TX000994"/>
        <s v="TX000995"/>
        <s v="TX000996"/>
        <s v="TX000997"/>
        <s v="TX000998"/>
        <s v="TX000999"/>
        <s v="TX001000"/>
        <s v="TX001001"/>
        <s v="TX001002"/>
        <s v="TX001003"/>
        <s v="TX001004"/>
        <s v="TX001005"/>
        <s v="TX001006"/>
        <s v="TX001007"/>
        <s v="TX001008"/>
        <s v="TX001009"/>
        <s v="TX001010"/>
        <s v="TX001011"/>
        <s v="TX001012"/>
        <s v="TX001013"/>
        <s v="TX001014"/>
        <s v="TX001015"/>
        <s v="TX001016"/>
        <s v="TX001017"/>
        <s v="TX001018"/>
        <s v="TX001019"/>
        <s v="TX001020"/>
        <s v="TX001021"/>
        <s v="TX001022"/>
        <s v="TX001023"/>
        <s v="TX001024"/>
        <s v="TX001025"/>
        <s v="TX001026"/>
        <s v="TX001027"/>
        <s v="TX001028"/>
        <s v="TX001029"/>
        <s v="TX001030"/>
        <s v="TX001031"/>
        <s v="TX001032"/>
        <s v="TX001033"/>
        <s v="TX001034"/>
        <s v="TX001035"/>
        <s v="TX001036"/>
        <s v="TX001037"/>
        <s v="TX001038"/>
        <s v="TX001039"/>
        <s v="TX001040"/>
        <s v="TX001041"/>
        <s v="TX001042"/>
        <s v="TX001043"/>
        <s v="TX001044"/>
        <s v="TX001045"/>
        <s v="TX001046"/>
        <s v="TX001047"/>
        <s v="TX001048"/>
        <s v="TX001049"/>
        <s v="TX001050"/>
        <s v="TX001051"/>
        <s v="TX001052"/>
        <s v="TX001053"/>
        <s v="TX001054"/>
        <s v="TX001055"/>
        <s v="TX001056"/>
        <s v="TX001057"/>
        <s v="TX001058"/>
        <s v="TX001059"/>
        <s v="TX001060"/>
        <s v="TX001061"/>
        <s v="TX001062"/>
        <s v="TX001063"/>
        <s v="TX001064"/>
        <s v="TX001065"/>
        <s v="TX001066"/>
        <s v="TX001067"/>
        <s v="TX001068"/>
        <s v="TX001069"/>
        <s v="TX001070"/>
        <s v="TX001071"/>
        <s v="TX001072"/>
        <s v="TX001073"/>
        <s v="TX001074"/>
        <s v="TX001075"/>
        <s v="TX001076"/>
        <s v="TX001077"/>
        <s v="TX001078"/>
        <s v="TX001079"/>
        <s v="TX001080"/>
        <s v="TX001081"/>
        <s v="TX001082"/>
        <s v="TX001083"/>
        <s v="TX001084"/>
        <s v="TX001085"/>
        <s v="TX001086"/>
        <s v="TX001087"/>
        <s v="TX001088"/>
        <s v="TX001089"/>
        <s v="TX001090"/>
        <s v="TX001091"/>
        <s v="TX001092"/>
        <s v="TX001093"/>
        <s v="TX001094"/>
        <s v="TX001095"/>
        <s v="TX001096"/>
        <s v="TX001097"/>
        <s v="TX001098"/>
        <s v="TX001099"/>
        <s v="TX001100"/>
        <s v="TX001101"/>
        <s v="TX001102"/>
        <s v="TX001103"/>
        <s v="TX001104"/>
        <s v="TX001105"/>
        <s v="TX001106"/>
        <s v="TX001107"/>
        <s v="TX001108"/>
        <s v="TX001109"/>
        <s v="TX001110"/>
        <s v="TX001111"/>
        <s v="TX001112"/>
        <s v="TX001113"/>
        <s v="TX001114"/>
        <s v="TX001115"/>
        <s v="TX001116"/>
        <s v="TX001117"/>
        <s v="TX001118"/>
        <s v="TX001119"/>
        <s v="TX001120"/>
        <s v="TX001121"/>
        <s v="TX001122"/>
        <s v="TX001123"/>
        <s v="TX001124"/>
        <s v="TX001125"/>
        <s v="TX001126"/>
        <s v="TX001127"/>
        <s v="TX001128"/>
        <s v="TX001129"/>
        <s v="TX001130"/>
        <s v="TX001131"/>
        <s v="TX001132"/>
        <s v="TX001133"/>
        <s v="TX001134"/>
        <s v="TX001135"/>
        <s v="TX001136"/>
        <s v="TX001137"/>
        <s v="TX001138"/>
        <s v="TX001139"/>
        <s v="TX001140"/>
        <s v="TX001141"/>
        <s v="TX001142"/>
        <s v="TX001143"/>
        <s v="TX001144"/>
        <s v="TX001145"/>
        <s v="TX001146"/>
        <s v="TX001147"/>
        <s v="TX001148"/>
        <s v="TX001149"/>
        <s v="TX001150"/>
        <s v="TX001151"/>
        <s v="TX001152"/>
        <s v="TX001153"/>
        <s v="TX001154"/>
        <s v="TX001155"/>
        <s v="TX001156"/>
        <s v="TX001157"/>
        <s v="TX001158"/>
        <s v="TX001159"/>
        <s v="TX001160"/>
        <s v="TX001161"/>
        <s v="TX001162"/>
        <s v="TX001163"/>
        <s v="TX001164"/>
        <s v="TX001165"/>
        <s v="TX001166"/>
        <s v="TX001167"/>
        <s v="TX001168"/>
        <s v="TX001169"/>
        <s v="TX001170"/>
        <s v="TX001171"/>
        <s v="TX001172"/>
        <s v="TX001173"/>
        <s v="TX001174"/>
        <s v="TX001175"/>
        <s v="TX001176"/>
        <s v="TX001177"/>
        <s v="TX001178"/>
        <s v="TX001179"/>
        <s v="TX001180"/>
        <s v="TX001181"/>
        <s v="TX001182"/>
        <s v="TX001183"/>
        <s v="TX001184"/>
        <s v="TX001185"/>
        <s v="TX001186"/>
        <s v="TX001187"/>
        <s v="TX001188"/>
        <s v="TX001189"/>
        <s v="TX001190"/>
        <s v="TX001191"/>
        <s v="TX001192"/>
        <s v="TX001193"/>
        <s v="TX001194"/>
        <s v="TX001195"/>
        <s v="TX001196"/>
        <s v="TX001197"/>
        <s v="TX001198"/>
        <s v="TX001199"/>
        <s v="TX001200"/>
        <s v="TX001201"/>
        <s v="TX001202"/>
        <s v="TX001203"/>
        <s v="TX001204"/>
        <s v="TX001205"/>
        <s v="TX001206"/>
        <s v="TX001207"/>
        <s v="TX001208"/>
        <s v="TX001209"/>
        <s v="TX001210"/>
        <s v="TX001211"/>
        <s v="TX001212"/>
        <s v="TX001213"/>
        <s v="TX001214"/>
        <s v="TX001215"/>
        <s v="TX001216"/>
        <s v="TX001217"/>
        <s v="TX001218"/>
        <s v="TX001219"/>
        <s v="TX001220"/>
        <s v="TX001221"/>
        <s v="TX001222"/>
        <s v="TX001223"/>
        <s v="TX001224"/>
        <s v="TX001225"/>
        <s v="TX001226"/>
        <s v="TX001227"/>
        <s v="TX001228"/>
        <s v="TX001229"/>
        <s v="TX001230"/>
        <s v="TX001231"/>
        <s v="TX001232"/>
        <s v="TX001233"/>
        <s v="TX001234"/>
        <s v="TX001235"/>
        <s v="TX001236"/>
        <s v="TX001237"/>
        <s v="TX001238"/>
        <s v="TX001239"/>
        <s v="TX001240"/>
        <s v="TX001241"/>
        <s v="TX001242"/>
        <s v="TX001243"/>
        <s v="TX001244"/>
        <s v="TX001245"/>
        <s v="TX001246"/>
        <s v="TX001247"/>
        <s v="TX001248"/>
        <s v="TX001249"/>
        <s v="TX001250"/>
        <s v="TX001251"/>
        <s v="TX001252"/>
        <s v="TX001253"/>
        <s v="TX001254"/>
        <s v="TX001255"/>
        <s v="TX001256"/>
        <s v="TX001257"/>
        <s v="TX001258"/>
        <s v="TX001259"/>
        <s v="TX001260"/>
        <s v="TX001261"/>
        <s v="TX001262"/>
        <s v="TX001263"/>
        <s v="TX001264"/>
        <s v="TX001265"/>
        <s v="TX001266"/>
        <s v="TX001267"/>
        <s v="TX001268"/>
        <s v="TX001269"/>
        <s v="TX001270"/>
        <s v="TX001271"/>
        <s v="TX001272"/>
        <s v="TX001273"/>
        <s v="TX001274"/>
        <s v="TX001275"/>
        <s v="TX001276"/>
        <s v="TX001277"/>
        <s v="TX001278"/>
        <s v="TX001279"/>
        <s v="TX001280"/>
        <s v="TX001281"/>
        <s v="TX001282"/>
        <s v="TX001283"/>
        <s v="TX001284"/>
        <s v="TX001285"/>
        <s v="TX001286"/>
        <s v="TX001287"/>
        <s v="TX001288"/>
        <s v="TX001289"/>
        <s v="TX001290"/>
        <s v="TX001291"/>
        <s v="TX001292"/>
        <s v="TX001293"/>
        <s v="TX001294"/>
        <s v="TX001295"/>
        <s v="TX001296"/>
        <s v="TX001297"/>
        <s v="TX001298"/>
        <s v="TX001299"/>
        <s v="TX001300"/>
        <s v="TX001301"/>
        <s v="TX001302"/>
        <s v="TX001303"/>
        <s v="TX001304"/>
        <s v="TX001305"/>
        <s v="TX001306"/>
        <s v="TX001307"/>
        <s v="TX001308"/>
        <s v="TX001309"/>
        <s v="TX001310"/>
        <s v="TX001311"/>
        <s v="TX001312"/>
        <s v="TX001313"/>
        <s v="TX001314"/>
        <s v="TX001315"/>
        <s v="TX001316"/>
        <s v="TX001317"/>
        <s v="TX001318"/>
        <s v="TX001319"/>
        <s v="TX001320"/>
        <s v="TX001321"/>
        <s v="TX001322"/>
        <s v="TX001323"/>
        <s v="TX001324"/>
        <s v="TX001325"/>
        <s v="TX001326"/>
        <s v="TX001327"/>
        <s v="TX001328"/>
        <s v="TX001329"/>
        <s v="TX001330"/>
        <s v="TX001331"/>
        <s v="TX001332"/>
        <s v="TX001333"/>
        <s v="TX001334"/>
        <s v="TX001335"/>
        <s v="TX001336"/>
        <s v="TX001337"/>
        <s v="TX001338"/>
        <s v="TX001339"/>
        <s v="TX001340"/>
        <s v="TX001341"/>
        <s v="TX001342"/>
        <s v="TX001343"/>
        <s v="TX001344"/>
        <s v="TX001345"/>
        <s v="TX001346"/>
        <s v="TX001347"/>
        <s v="TX001348"/>
        <s v="TX001349"/>
        <s v="TX001350"/>
        <s v="TX001351"/>
        <s v="TX001352"/>
        <s v="TX001353"/>
        <s v="TX001354"/>
        <s v="TX001355"/>
        <s v="TX001356"/>
        <s v="TX001357"/>
        <s v="TX001358"/>
        <s v="TX001359"/>
        <s v="TX001360"/>
        <s v="TX001361"/>
        <s v="TX001362"/>
        <s v="TX001363"/>
        <s v="TX001364"/>
        <s v="TX001365"/>
        <s v="TX001366"/>
        <s v="TX001367"/>
        <s v="TX001368"/>
        <s v="TX001369"/>
        <s v="TX001370"/>
        <s v="TX001371"/>
        <s v="TX001372"/>
        <s v="TX001373"/>
        <s v="TX001374"/>
        <s v="TX001375"/>
        <s v="TX001376"/>
        <s v="TX001377"/>
        <s v="TX001378"/>
        <s v="TX001379"/>
        <s v="TX001380"/>
        <s v="TX001381"/>
        <s v="TX001382"/>
        <s v="TX001383"/>
        <s v="TX001384"/>
        <s v="TX001385"/>
        <s v="TX001386"/>
        <s v="TX001387"/>
        <s v="TX001388"/>
        <s v="TX001389"/>
        <s v="TX001390"/>
        <s v="TX001391"/>
        <s v="TX001392"/>
        <s v="TX001393"/>
        <s v="TX001394"/>
        <s v="TX001395"/>
        <s v="TX001396"/>
        <s v="TX001397"/>
        <s v="TX001398"/>
        <s v="TX001399"/>
        <s v="TX001400"/>
        <s v="TX001401"/>
        <s v="TX001402"/>
        <s v="TX001403"/>
        <s v="TX001404"/>
        <s v="TX001405"/>
        <s v="TX001406"/>
        <s v="TX001407"/>
        <s v="TX001408"/>
        <s v="TX001409"/>
        <s v="TX001410"/>
        <s v="TX001411"/>
        <s v="TX001412"/>
        <s v="TX001413"/>
        <s v="TX001414"/>
        <s v="TX001415"/>
        <s v="TX001416"/>
        <s v="TX001417"/>
        <s v="TX001418"/>
        <s v="TX001419"/>
        <s v="TX001420"/>
        <s v="TX001421"/>
        <s v="TX001422"/>
        <s v="TX001423"/>
        <s v="TX001424"/>
        <s v="TX001425"/>
        <s v="TX001426"/>
        <s v="TX001427"/>
        <s v="TX001428"/>
        <s v="TX001429"/>
        <s v="TX001430"/>
        <s v="TX001431"/>
        <s v="TX001432"/>
        <s v="TX001433"/>
        <s v="TX001434"/>
        <s v="TX001435"/>
        <s v="TX001436"/>
        <s v="TX001437"/>
        <s v="TX001438"/>
        <s v="TX001439"/>
        <s v="TX001440"/>
        <s v="TX001441"/>
        <s v="TX001442"/>
        <s v="TX001443"/>
        <s v="TX001444"/>
        <s v="TX001445"/>
        <s v="TX001446"/>
        <s v="TX001447"/>
        <s v="TX001448"/>
        <s v="TX001449"/>
        <s v="TX001450"/>
        <s v="TX001451"/>
        <s v="TX001452"/>
        <s v="TX001453"/>
        <s v="TX001454"/>
        <s v="TX001455"/>
        <s v="TX001456"/>
        <s v="TX001457"/>
        <s v="TX001458"/>
        <s v="TX001459"/>
        <s v="TX001460"/>
        <s v="TX001461"/>
        <s v="TX001462"/>
        <s v="TX001463"/>
        <s v="TX001464"/>
        <s v="TX001465"/>
        <s v="TX001466"/>
        <s v="TX001467"/>
        <s v="TX001468"/>
        <s v="TX001469"/>
        <s v="TX001470"/>
        <s v="TX001471"/>
        <s v="TX001472"/>
        <s v="TX001473"/>
        <s v="TX001474"/>
        <s v="TX001475"/>
        <s v="TX001476"/>
        <s v="TX001477"/>
        <s v="TX001478"/>
        <s v="TX001479"/>
        <s v="TX001480"/>
        <s v="TX001481"/>
        <s v="TX001482"/>
        <s v="TX001483"/>
        <s v="TX001484"/>
        <s v="TX001485"/>
        <s v="TX001486"/>
        <s v="TX001487"/>
        <s v="TX001488"/>
        <s v="TX001489"/>
        <s v="TX001490"/>
        <s v="TX001491"/>
        <s v="TX001492"/>
        <s v="TX001493"/>
        <s v="TX001494"/>
        <s v="TX001495"/>
        <s v="TX001496"/>
        <s v="TX001497"/>
        <s v="TX001498"/>
        <s v="TX001499"/>
        <s v="TX001500"/>
        <s v="TX001501"/>
        <s v="TX001502"/>
        <s v="TX001503"/>
        <s v="TX001504"/>
        <s v="TX001505"/>
        <s v="TX001506"/>
        <s v="TX001507"/>
        <s v="TX001508"/>
        <s v="TX001509"/>
        <s v="TX001510"/>
        <s v="TX001511"/>
        <s v="TX001512"/>
        <s v="TX001513"/>
        <s v="TX001514"/>
        <s v="TX001515"/>
        <s v="TX001516"/>
        <s v="TX001517"/>
        <s v="TX001518"/>
        <s v="TX001519"/>
        <s v="TX001520"/>
        <s v="TX001521"/>
        <s v="TX001522"/>
        <s v="TX001523"/>
        <s v="TX001524"/>
        <s v="TX001525"/>
        <s v="TX001526"/>
        <s v="TX001527"/>
        <s v="TX001528"/>
        <s v="TX001529"/>
        <s v="TX001530"/>
        <s v="TX001531"/>
        <s v="TX001532"/>
        <s v="TX001533"/>
        <s v="TX001534"/>
        <s v="TX001535"/>
        <s v="TX001536"/>
        <s v="TX001537"/>
        <s v="TX001538"/>
        <s v="TX001539"/>
        <s v="TX001540"/>
        <s v="TX001541"/>
        <s v="TX001542"/>
        <s v="TX001543"/>
        <s v="TX001544"/>
        <s v="TX001545"/>
        <s v="TX001546"/>
        <s v="TX001547"/>
        <s v="TX001548"/>
        <s v="TX001549"/>
        <s v="TX001550"/>
        <s v="TX001551"/>
        <s v="TX001552"/>
        <s v="TX001553"/>
        <s v="TX001554"/>
        <s v="TX001555"/>
        <s v="TX001556"/>
        <s v="TX001557"/>
        <s v="TX001558"/>
        <s v="TX001559"/>
        <s v="TX001560"/>
        <s v="TX001561"/>
        <s v="TX001562"/>
        <s v="TX001563"/>
        <s v="TX001564"/>
        <s v="TX001565"/>
        <s v="TX001566"/>
        <s v="TX001567"/>
        <s v="TX001568"/>
        <s v="TX001569"/>
        <s v="TX001570"/>
        <s v="TX001571"/>
        <s v="TX001572"/>
        <s v="TX001573"/>
        <s v="TX001574"/>
        <s v="TX001575"/>
        <s v="TX001576"/>
        <s v="TX001577"/>
        <s v="TX001578"/>
        <s v="TX001579"/>
        <s v="TX001580"/>
        <s v="TX001581"/>
        <s v="TX001582"/>
        <s v="TX001583"/>
        <s v="TX001584"/>
        <s v="TX001585"/>
        <s v="TX001586"/>
        <s v="TX001587"/>
        <s v="TX001588"/>
        <s v="TX001589"/>
        <s v="TX001590"/>
        <s v="TX001591"/>
        <s v="TX001592"/>
        <s v="TX001593"/>
        <s v="TX001594"/>
        <s v="TX001595"/>
        <s v="TX001596"/>
        <s v="TX001597"/>
        <s v="TX001598"/>
        <s v="TX001599"/>
        <s v="TX001600"/>
        <s v="TX001601"/>
        <s v="TX001602"/>
        <s v="TX001603"/>
        <s v="TX001604"/>
        <s v="TX001605"/>
        <s v="TX001606"/>
        <s v="TX001607"/>
        <s v="TX001608"/>
        <s v="TX001609"/>
        <s v="TX001610"/>
        <s v="TX001611"/>
        <s v="TX001612"/>
        <s v="TX001613"/>
        <s v="TX001614"/>
        <s v="TX001615"/>
        <s v="TX001616"/>
        <s v="TX001617"/>
        <s v="TX001618"/>
        <s v="TX001619"/>
        <s v="TX001620"/>
        <s v="TX001621"/>
        <s v="TX001622"/>
        <s v="TX001623"/>
        <s v="TX001624"/>
        <s v="TX001625"/>
        <s v="TX001626"/>
        <s v="TX001627"/>
        <s v="TX001628"/>
        <s v="TX001629"/>
        <s v="TX001630"/>
        <s v="TX001631"/>
        <s v="TX001632"/>
        <s v="TX001633"/>
        <s v="TX001634"/>
        <s v="TX001635"/>
        <s v="TX001636"/>
        <s v="TX001637"/>
        <s v="TX001638"/>
        <s v="TX001639"/>
        <s v="TX001640"/>
        <s v="TX001641"/>
        <s v="TX001642"/>
        <s v="TX001643"/>
        <s v="TX001644"/>
        <s v="TX001645"/>
        <s v="TX001646"/>
        <s v="TX001647"/>
        <s v="TX001648"/>
        <s v="TX001649"/>
        <s v="TX001650"/>
        <s v="TX001651"/>
        <s v="TX001652"/>
        <s v="TX001653"/>
        <s v="TX001654"/>
        <s v="TX001655"/>
        <s v="TX001656"/>
        <s v="TX001657"/>
        <s v="TX001658"/>
        <s v="TX001659"/>
        <s v="TX001660"/>
        <s v="TX001661"/>
        <s v="TX001662"/>
        <s v="TX001663"/>
        <s v="TX001664"/>
        <s v="TX001665"/>
        <s v="TX001666"/>
        <s v="TX001667"/>
        <s v="TX001668"/>
        <s v="TX001669"/>
        <s v="TX001670"/>
        <s v="TX001671"/>
        <s v="TX001672"/>
        <s v="TX001673"/>
        <s v="TX001674"/>
        <s v="TX001675"/>
        <s v="TX001676"/>
        <s v="TX001677"/>
        <s v="TX001678"/>
        <s v="TX001679"/>
        <s v="TX001680"/>
        <s v="TX001681"/>
        <s v="TX001682"/>
        <s v="TX001683"/>
        <s v="TX001684"/>
        <s v="TX001685"/>
        <s v="TX001686"/>
        <s v="TX001687"/>
        <s v="TX001688"/>
        <s v="TX001689"/>
        <s v="TX001690"/>
        <s v="TX001691"/>
        <s v="TX001692"/>
        <s v="TX001693"/>
        <s v="TX001694"/>
        <s v="TX001695"/>
        <s v="TX001696"/>
        <s v="TX001697"/>
        <s v="TX001698"/>
        <s v="TX001699"/>
        <s v="TX001700"/>
        <s v="TX001701"/>
        <s v="TX001702"/>
        <s v="TX001703"/>
        <s v="TX001704"/>
        <s v="TX001705"/>
        <s v="TX001706"/>
        <s v="TX001707"/>
        <s v="TX001708"/>
        <s v="TX001709"/>
        <s v="TX001710"/>
        <s v="TX001711"/>
        <s v="TX001712"/>
        <s v="TX001713"/>
        <s v="TX001714"/>
        <s v="TX001715"/>
        <s v="TX001716"/>
        <s v="TX001717"/>
        <s v="TX001718"/>
        <s v="TX001719"/>
        <s v="TX001720"/>
        <s v="TX001721"/>
        <s v="TX001722"/>
        <s v="TX001723"/>
        <s v="TX001724"/>
        <s v="TX001725"/>
        <s v="TX001726"/>
        <s v="TX001727"/>
        <s v="TX001728"/>
        <s v="TX001729"/>
        <s v="TX001730"/>
        <s v="TX001731"/>
        <s v="TX001732"/>
        <s v="TX001733"/>
        <s v="TX001734"/>
        <s v="TX001735"/>
        <s v="TX001736"/>
        <s v="TX001737"/>
        <s v="TX001738"/>
        <s v="TX001739"/>
        <s v="TX001740"/>
        <s v="TX001741"/>
        <s v="TX001742"/>
        <s v="TX001743"/>
        <s v="TX001744"/>
        <s v="TX001745"/>
        <s v="TX001746"/>
        <s v="TX001747"/>
        <s v="TX001748"/>
        <s v="TX001749"/>
        <s v="TX001750"/>
        <s v="TX001751"/>
        <s v="TX001752"/>
        <s v="TX001753"/>
        <s v="TX001754"/>
        <s v="TX001755"/>
        <s v="TX001756"/>
        <s v="TX001757"/>
        <s v="TX001758"/>
        <s v="TX001759"/>
        <s v="TX001760"/>
        <s v="TX001761"/>
        <s v="TX001762"/>
        <s v="TX001763"/>
        <s v="TX001764"/>
        <s v="TX001765"/>
        <s v="TX001766"/>
        <s v="TX001767"/>
        <s v="TX001768"/>
        <s v="TX001769"/>
        <s v="TX001770"/>
        <s v="TX001771"/>
        <s v="TX001772"/>
        <s v="TX001773"/>
        <s v="TX001774"/>
        <s v="TX001775"/>
        <s v="TX001776"/>
        <s v="TX001777"/>
        <s v="TX001778"/>
        <s v="TX001779"/>
        <s v="TX001780"/>
        <s v="TX001781"/>
        <s v="TX001782"/>
        <s v="TX001783"/>
        <s v="TX001784"/>
        <s v="TX001785"/>
        <s v="TX001786"/>
        <s v="TX001787"/>
        <s v="TX001788"/>
        <s v="TX001789"/>
        <s v="TX001790"/>
        <s v="TX001791"/>
        <s v="TX001792"/>
        <s v="TX001793"/>
        <s v="TX001794"/>
        <s v="TX001795"/>
        <s v="TX001796"/>
        <s v="TX001797"/>
        <s v="TX001798"/>
        <s v="TX001799"/>
        <s v="TX001800"/>
        <s v="TX001801"/>
        <s v="TX001802"/>
        <s v="TX001803"/>
        <s v="TX001804"/>
        <s v="TX001805"/>
        <s v="TX001806"/>
        <s v="TX001807"/>
        <s v="TX001808"/>
        <s v="TX001809"/>
        <s v="TX001810"/>
        <s v="TX001811"/>
        <s v="TX001812"/>
        <s v="TX001813"/>
        <s v="TX001814"/>
        <s v="TX001815"/>
        <s v="TX001816"/>
        <s v="TX001817"/>
        <s v="TX001818"/>
        <s v="TX001819"/>
        <s v="TX001820"/>
        <s v="TX001821"/>
        <s v="TX001822"/>
        <s v="TX001823"/>
        <s v="TX001824"/>
        <s v="TX001825"/>
        <s v="TX001826"/>
        <s v="TX001827"/>
        <s v="TX001828"/>
        <s v="TX001829"/>
        <s v="TX001830"/>
        <s v="TX001831"/>
        <s v="TX001832"/>
        <s v="TX001833"/>
        <s v="TX001834"/>
        <s v="TX001835"/>
        <s v="TX001836"/>
        <s v="TX001837"/>
        <s v="TX001838"/>
        <s v="TX001839"/>
        <s v="TX001840"/>
        <s v="TX001841"/>
        <s v="TX001842"/>
        <s v="TX001843"/>
        <s v="TX001844"/>
        <s v="TX001845"/>
        <s v="TX001846"/>
        <s v="TX001847"/>
        <s v="TX001848"/>
        <s v="TX001849"/>
        <s v="TX001850"/>
        <s v="TX001851"/>
        <s v="TX001852"/>
        <s v="TX001853"/>
        <s v="TX001854"/>
        <s v="TX001855"/>
        <s v="TX001856"/>
        <s v="TX001857"/>
        <s v="TX001858"/>
        <s v="TX001859"/>
        <s v="TX001860"/>
        <s v="TX001861"/>
        <s v="TX001862"/>
        <s v="TX001863"/>
        <s v="TX001864"/>
        <s v="TX001865"/>
        <s v="TX001866"/>
        <s v="TX001867"/>
        <s v="TX001868"/>
        <s v="TX001869"/>
        <s v="TX001870"/>
        <s v="TX001871"/>
        <s v="TX001872"/>
        <s v="TX001873"/>
        <s v="TX001874"/>
        <s v="TX001875"/>
        <s v="TX001876"/>
        <s v="TX001877"/>
        <s v="TX001878"/>
        <s v="TX001879"/>
        <s v="TX001880"/>
        <s v="TX001881"/>
        <s v="TX001882"/>
        <s v="TX001883"/>
        <s v="TX001884"/>
        <s v="TX001885"/>
        <s v="TX001886"/>
        <s v="TX001887"/>
        <s v="TX001888"/>
        <s v="TX001889"/>
        <s v="TX001890"/>
        <s v="TX001891"/>
        <s v="TX001892"/>
        <s v="TX001893"/>
        <s v="TX001894"/>
        <s v="TX001895"/>
        <s v="TX001896"/>
        <s v="TX001897"/>
        <s v="TX001898"/>
        <s v="TX001899"/>
        <s v="TX001900"/>
        <s v="TX001901"/>
        <s v="TX001902"/>
        <s v="TX001903"/>
        <s v="TX001904"/>
        <s v="TX001905"/>
        <s v="TX001906"/>
        <s v="TX001907"/>
        <s v="TX001908"/>
        <s v="TX001909"/>
        <s v="TX001910"/>
        <s v="TX001911"/>
        <s v="TX001912"/>
        <s v="TX001913"/>
        <s v="TX001914"/>
        <s v="TX001915"/>
        <s v="TX001916"/>
        <s v="TX001917"/>
        <s v="TX001918"/>
        <s v="TX001919"/>
        <s v="TX001920"/>
        <s v="TX001921"/>
        <s v="TX001922"/>
        <s v="TX001923"/>
        <s v="TX001924"/>
        <s v="TX001925"/>
        <s v="TX001926"/>
        <s v="TX001927"/>
        <s v="TX001928"/>
        <s v="TX001929"/>
        <s v="TX001930"/>
        <s v="TX001931"/>
        <s v="TX001932"/>
        <s v="TX001933"/>
        <s v="TX001934"/>
        <s v="TX001935"/>
        <s v="TX001936"/>
        <s v="TX001937"/>
        <s v="TX001938"/>
        <s v="TX001939"/>
        <s v="TX001940"/>
        <s v="TX001941"/>
        <s v="TX001942"/>
        <s v="TX001943"/>
        <s v="TX001944"/>
        <s v="TX001945"/>
        <s v="TX001946"/>
        <s v="TX001947"/>
        <s v="TX001948"/>
        <s v="TX001949"/>
        <s v="TX001950"/>
        <s v="TX001951"/>
        <s v="TX001952"/>
        <s v="TX001953"/>
        <s v="TX001954"/>
        <s v="TX001955"/>
        <s v="TX001956"/>
        <s v="TX001957"/>
        <s v="TX001958"/>
        <s v="TX001959"/>
        <s v="TX001960"/>
        <s v="TX001961"/>
        <s v="TX001962"/>
        <s v="TX001963"/>
        <s v="TX001964"/>
        <s v="TX001965"/>
        <s v="TX001966"/>
        <s v="TX001967"/>
        <s v="TX001968"/>
        <s v="TX001969"/>
        <s v="TX001970"/>
        <s v="TX001971"/>
        <s v="TX001972"/>
        <s v="TX001973"/>
        <s v="TX001974"/>
        <s v="TX001975"/>
        <s v="TX001976"/>
        <s v="TX001977"/>
        <s v="TX001978"/>
        <s v="TX001979"/>
        <s v="TX001980"/>
        <s v="TX001981"/>
        <s v="TX001982"/>
        <s v="TX001983"/>
        <s v="TX001984"/>
        <s v="TX001985"/>
        <s v="TX001986"/>
        <s v="TX001987"/>
        <s v="TX001988"/>
        <s v="TX001989"/>
        <s v="TX001990"/>
        <s v="TX001991"/>
        <s v="TX001992"/>
        <s v="TX001993"/>
        <s v="TX001994"/>
        <s v="TX001995"/>
        <s v="TX001996"/>
        <s v="TX001997"/>
        <s v="TX001998"/>
        <s v="TX001999"/>
        <s v="TX002000"/>
        <s v="TX002001"/>
        <s v="TX002002"/>
        <s v="TX002003"/>
        <s v="TX002004"/>
        <s v="TX002005"/>
        <s v="TX002006"/>
        <s v="TX002007"/>
        <s v="TX002008"/>
        <s v="TX002009"/>
        <s v="TX002010"/>
        <s v="TX002011"/>
        <s v="TX002012"/>
        <s v="TX002013"/>
        <s v="TX002014"/>
        <s v="TX002015"/>
        <s v="TX002016"/>
        <s v="TX002017"/>
        <s v="TX002018"/>
        <s v="TX002019"/>
        <s v="TX002020"/>
        <s v="TX002021"/>
        <s v="TX002022"/>
        <s v="TX002023"/>
        <s v="TX002024"/>
        <s v="TX002025"/>
        <s v="TX002026"/>
        <s v="TX002027"/>
        <s v="TX002028"/>
        <s v="TX002029"/>
        <s v="TX002030"/>
        <s v="TX002031"/>
        <s v="TX002032"/>
        <s v="TX002033"/>
        <s v="TX002034"/>
        <s v="TX002035"/>
        <s v="TX002036"/>
        <s v="TX002037"/>
        <s v="TX002038"/>
        <s v="TX002039"/>
        <s v="TX002040"/>
        <s v="TX002041"/>
        <s v="TX002042"/>
        <s v="TX002043"/>
        <s v="TX002044"/>
        <s v="TX002045"/>
        <s v="TX002046"/>
        <s v="TX002047"/>
        <s v="TX002048"/>
        <s v="TX002049"/>
        <s v="TX002050"/>
        <s v="TX002051"/>
        <s v="TX002052"/>
        <s v="TX002053"/>
        <s v="TX002054"/>
        <s v="TX002055"/>
        <s v="TX002056"/>
        <s v="TX002057"/>
        <s v="TX002058"/>
        <s v="TX002059"/>
        <s v="TX002060"/>
        <s v="TX002061"/>
        <s v="TX002062"/>
        <s v="TX002063"/>
        <s v="TX002064"/>
        <s v="TX002065"/>
        <s v="TX002066"/>
        <s v="TX002067"/>
        <s v="TX002068"/>
        <s v="TX002069"/>
        <s v="TX002070"/>
        <s v="TX002071"/>
        <s v="TX002072"/>
        <s v="TX002073"/>
        <s v="TX002074"/>
        <s v="TX002075"/>
        <s v="TX002076"/>
        <s v="TX002077"/>
        <s v="TX002078"/>
        <s v="TX002079"/>
        <s v="TX002080"/>
        <s v="TX002081"/>
        <s v="TX002082"/>
        <s v="TX002083"/>
        <s v="TX002084"/>
        <s v="TX002085"/>
        <s v="TX002086"/>
        <s v="TX002087"/>
        <s v="TX002088"/>
        <s v="TX002089"/>
        <s v="TX002090"/>
        <s v="TX002091"/>
        <s v="TX002092"/>
        <s v="TX002093"/>
        <s v="TX002094"/>
        <s v="TX002095"/>
        <s v="TX002096"/>
        <s v="TX002097"/>
        <s v="TX002098"/>
        <s v="TX002099"/>
        <s v="TX002100"/>
        <s v="TX002101"/>
        <s v="TX002102"/>
        <s v="TX002103"/>
        <s v="TX002104"/>
        <s v="TX002105"/>
        <s v="TX002106"/>
        <s v="TX002107"/>
        <s v="TX002108"/>
        <s v="TX002109"/>
        <s v="TX002110"/>
        <s v="TX002111"/>
        <s v="TX002112"/>
        <s v="TX002113"/>
        <s v="TX002114"/>
        <s v="TX002115"/>
        <s v="TX002116"/>
        <s v="TX002117"/>
        <s v="TX002118"/>
        <s v="TX002119"/>
        <s v="TX002120"/>
        <s v="TX002121"/>
        <s v="TX002122"/>
        <s v="TX002123"/>
        <s v="TX002124"/>
        <s v="TX002125"/>
        <s v="TX002126"/>
        <s v="TX002127"/>
        <s v="TX002128"/>
        <s v="TX002129"/>
        <s v="TX002130"/>
        <s v="TX002131"/>
        <s v="TX002132"/>
        <s v="TX002133"/>
        <s v="TX002134"/>
        <s v="TX002135"/>
        <s v="TX002136"/>
        <s v="TX002137"/>
        <s v="TX002138"/>
        <s v="TX002139"/>
        <s v="TX002140"/>
        <s v="TX002141"/>
        <s v="TX002142"/>
        <s v="TX002143"/>
        <s v="TX002144"/>
        <s v="TX002145"/>
        <s v="TX002146"/>
        <s v="TX002147"/>
        <s v="TX002148"/>
        <s v="TX002149"/>
        <s v="TX002150"/>
        <s v="TX002151"/>
        <s v="TX002152"/>
        <s v="TX002153"/>
        <s v="TX002154"/>
        <s v="TX002155"/>
        <s v="TX002156"/>
        <s v="TX002157"/>
        <s v="TX002158"/>
        <s v="TX002159"/>
        <s v="TX002160"/>
        <s v="TX002161"/>
        <s v="TX002162"/>
        <s v="TX002163"/>
        <s v="TX002164"/>
        <s v="TX002165"/>
        <s v="TX002166"/>
        <s v="TX002167"/>
        <s v="TX002168"/>
        <s v="TX002169"/>
        <s v="TX002170"/>
        <s v="TX002171"/>
        <s v="TX002172"/>
        <s v="TX002173"/>
        <s v="TX002174"/>
        <s v="TX002175"/>
        <s v="TX002176"/>
        <s v="TX002177"/>
        <s v="TX002178"/>
        <s v="TX002179"/>
        <s v="TX002180"/>
        <s v="TX002181"/>
        <s v="TX002182"/>
        <s v="TX002183"/>
        <s v="TX002184"/>
        <s v="TX002185"/>
        <s v="TX002186"/>
        <s v="TX002187"/>
        <s v="TX002188"/>
        <s v="TX002189"/>
        <s v="TX002190"/>
        <s v="TX002191"/>
        <s v="TX002192"/>
        <s v="TX002193"/>
        <s v="TX002194"/>
        <s v="TX002195"/>
        <s v="TX002196"/>
        <s v="TX002197"/>
        <s v="TX002198"/>
        <s v="TX002199"/>
        <s v="TX002200"/>
        <s v="TX002201"/>
        <s v="TX002202"/>
        <s v="TX002203"/>
        <s v="TX002204"/>
        <s v="TX002205"/>
        <s v="TX002206"/>
        <s v="TX002207"/>
        <s v="TX002208"/>
        <s v="TX002209"/>
        <s v="TX002210"/>
        <s v="TX002211"/>
        <s v="TX002212"/>
        <s v="TX002213"/>
        <s v="TX002214"/>
        <s v="TX002215"/>
        <s v="TX002216"/>
        <s v="TX002217"/>
        <s v="TX002218"/>
        <s v="TX002219"/>
        <s v="TX002220"/>
        <s v="TX002221"/>
        <s v="TX002222"/>
        <s v="TX002223"/>
        <s v="TX002224"/>
        <s v="TX002225"/>
        <s v="TX002226"/>
        <s v="TX002227"/>
        <s v="TX002228"/>
        <s v="TX002229"/>
        <s v="TX002230"/>
        <s v="TX002231"/>
        <s v="TX002232"/>
        <s v="TX002233"/>
        <s v="TX002234"/>
        <s v="TX002235"/>
        <s v="TX002236"/>
        <s v="TX002237"/>
        <s v="TX002238"/>
        <s v="TX002239"/>
        <s v="TX002240"/>
        <s v="TX002241"/>
        <s v="TX002242"/>
        <s v="TX002243"/>
        <s v="TX002244"/>
        <s v="TX002245"/>
        <s v="TX002246"/>
        <s v="TX002247"/>
        <s v="TX002248"/>
        <s v="TX002249"/>
        <s v="TX002250"/>
        <s v="TX002251"/>
        <s v="TX002252"/>
        <s v="TX002253"/>
        <s v="TX002254"/>
        <s v="TX002255"/>
        <s v="TX002256"/>
        <s v="TX002257"/>
        <s v="TX002258"/>
        <s v="TX002259"/>
        <s v="TX002260"/>
        <s v="TX002261"/>
        <s v="TX002262"/>
        <s v="TX002263"/>
        <s v="TX002264"/>
        <s v="TX002265"/>
        <s v="TX002266"/>
        <s v="TX002267"/>
        <s v="TX002268"/>
        <s v="TX002269"/>
        <s v="TX002270"/>
        <s v="TX002271"/>
        <s v="TX002272"/>
        <s v="TX002273"/>
        <s v="TX002274"/>
        <s v="TX002275"/>
        <s v="TX002276"/>
        <s v="TX002277"/>
        <s v="TX002278"/>
        <s v="TX002279"/>
        <s v="TX002280"/>
        <s v="TX002281"/>
        <s v="TX002282"/>
        <s v="TX002283"/>
        <s v="TX002284"/>
        <s v="TX002285"/>
        <s v="TX002286"/>
        <s v="TX002287"/>
        <s v="TX002288"/>
        <s v="TX002289"/>
        <s v="TX002290"/>
        <s v="TX002291"/>
        <s v="TX002292"/>
        <s v="TX002293"/>
        <s v="TX002294"/>
        <s v="TX002295"/>
        <s v="TX002296"/>
        <s v="TX002297"/>
        <s v="TX002298"/>
        <s v="TX002299"/>
        <s v="TX002300"/>
        <s v="TX002301"/>
        <s v="TX002302"/>
        <s v="TX002303"/>
        <s v="TX002304"/>
        <s v="TX002305"/>
        <s v="TX002306"/>
        <s v="TX002307"/>
        <s v="TX002308"/>
        <s v="TX002309"/>
        <s v="TX002310"/>
        <s v="TX002311"/>
        <s v="TX002312"/>
        <s v="TX002313"/>
        <s v="TX002314"/>
        <s v="TX002315"/>
        <s v="TX002316"/>
        <s v="TX002317"/>
        <s v="TX002318"/>
        <s v="TX002319"/>
        <s v="TX002320"/>
        <s v="TX002321"/>
        <s v="TX002322"/>
        <s v="TX002323"/>
        <s v="TX002324"/>
        <s v="TX002325"/>
        <s v="TX002326"/>
        <s v="TX002327"/>
        <s v="TX002328"/>
        <s v="TX002329"/>
        <s v="TX002330"/>
        <s v="TX002331"/>
        <s v="TX002332"/>
        <s v="TX002333"/>
        <s v="TX002334"/>
        <s v="TX002335"/>
        <s v="TX002336"/>
        <s v="TX002337"/>
        <s v="TX002338"/>
        <s v="TX002339"/>
        <s v="TX002340"/>
        <s v="TX002341"/>
        <s v="TX002342"/>
        <s v="TX002343"/>
        <s v="TX002344"/>
        <s v="TX002345"/>
        <s v="TX002346"/>
        <s v="TX002347"/>
        <s v="TX002348"/>
        <s v="TX002349"/>
        <s v="TX002350"/>
        <s v="TX002351"/>
        <s v="TX002352"/>
        <s v="TX002353"/>
        <s v="TX002354"/>
        <s v="TX002355"/>
        <s v="TX002356"/>
        <s v="TX002357"/>
        <s v="TX002358"/>
        <s v="TX002359"/>
        <s v="TX002360"/>
        <s v="TX002361"/>
        <s v="TX002362"/>
        <s v="TX002363"/>
        <s v="TX002364"/>
        <s v="TX002365"/>
        <s v="TX002366"/>
        <s v="TX002367"/>
        <s v="TX002368"/>
        <s v="TX002369"/>
        <s v="TX002370"/>
        <s v="TX002371"/>
        <s v="TX002372"/>
        <s v="TX002373"/>
        <s v="TX002374"/>
        <s v="TX002375"/>
        <s v="TX002376"/>
        <s v="TX002377"/>
        <s v="TX002378"/>
        <s v="TX002379"/>
        <s v="TX002380"/>
        <s v="TX002381"/>
        <s v="TX002382"/>
        <s v="TX002383"/>
        <s v="TX002384"/>
        <s v="TX002385"/>
        <s v="TX002386"/>
        <s v="TX002387"/>
        <s v="TX002388"/>
        <s v="TX002389"/>
        <s v="TX002390"/>
        <s v="TX002391"/>
        <s v="TX002392"/>
        <s v="TX002393"/>
        <s v="TX002394"/>
        <s v="TX002395"/>
        <s v="TX002396"/>
        <s v="TX002397"/>
        <s v="TX002398"/>
        <s v="TX002399"/>
        <s v="TX002400"/>
        <s v="TX002401"/>
        <s v="TX002402"/>
        <s v="TX002403"/>
        <s v="TX002404"/>
        <s v="TX002405"/>
        <s v="TX002406"/>
        <s v="TX002407"/>
        <s v="TX002408"/>
        <s v="TX002409"/>
        <s v="TX002410"/>
        <s v="TX002411"/>
        <s v="TX002412"/>
        <s v="TX002413"/>
        <s v="TX002414"/>
        <s v="TX002415"/>
        <s v="TX002416"/>
        <s v="TX002417"/>
        <s v="TX002418"/>
        <s v="TX002419"/>
        <s v="TX002420"/>
        <s v="TX002421"/>
        <s v="TX002422"/>
        <s v="TX002423"/>
        <s v="TX002424"/>
        <s v="TX002425"/>
        <s v="TX002426"/>
        <s v="TX002427"/>
        <s v="TX002428"/>
        <s v="TX002429"/>
        <s v="TX002430"/>
        <s v="TX002431"/>
        <s v="TX002432"/>
        <s v="TX002433"/>
        <s v="TX002434"/>
        <s v="TX002435"/>
        <s v="TX002436"/>
        <s v="TX002437"/>
        <s v="TX002438"/>
        <s v="TX002439"/>
        <s v="TX002440"/>
        <s v="TX002441"/>
        <s v="TX002442"/>
        <s v="TX002443"/>
        <s v="TX002444"/>
        <s v="TX002445"/>
        <s v="TX002446"/>
        <s v="TX002447"/>
        <s v="TX002448"/>
        <s v="TX002449"/>
        <s v="TX002450"/>
        <s v="TX002451"/>
        <s v="TX002452"/>
        <s v="TX002453"/>
        <s v="TX002454"/>
        <s v="TX002455"/>
        <s v="TX002456"/>
        <s v="TX002457"/>
        <s v="TX002458"/>
        <s v="TX002459"/>
        <s v="TX002460"/>
        <s v="TX002461"/>
        <s v="TX002462"/>
        <s v="TX002463"/>
        <s v="TX002464"/>
        <s v="TX002465"/>
        <s v="TX002466"/>
        <s v="TX002467"/>
        <s v="TX002468"/>
        <s v="TX002469"/>
        <s v="TX002470"/>
        <s v="TX002471"/>
        <s v="TX002472"/>
        <s v="TX002473"/>
        <s v="TX002474"/>
        <s v="TX002475"/>
        <s v="TX002476"/>
        <s v="TX002477"/>
        <s v="TX002478"/>
        <s v="TX002479"/>
        <s v="TX002480"/>
        <s v="TX002481"/>
        <s v="TX002482"/>
        <s v="TX002483"/>
        <s v="TX002484"/>
        <s v="TX002485"/>
        <s v="TX002486"/>
        <s v="TX002487"/>
        <s v="TX002488"/>
        <s v="TX002489"/>
        <s v="TX002490"/>
        <s v="TX002491"/>
        <s v="TX002492"/>
        <s v="TX002493"/>
        <s v="TX002494"/>
        <s v="TX002495"/>
        <s v="TX002496"/>
        <s v="TX002497"/>
        <s v="TX002498"/>
        <s v="TX002499"/>
        <s v="TX002500"/>
        <s v="TX002501"/>
        <s v="TX002502"/>
        <s v="TX002503"/>
        <s v="TX002504"/>
        <s v="TX002505"/>
        <s v="TX002506"/>
        <s v="TX002507"/>
        <s v="TX002508"/>
        <s v="TX002509"/>
        <s v="TX002510"/>
        <s v="TX002511"/>
        <s v="TX002512"/>
        <s v="TX002513"/>
        <s v="TX002514"/>
        <s v="TX002515"/>
        <s v="TX002516"/>
        <s v="TX002517"/>
        <s v="TX002518"/>
        <s v="TX002519"/>
        <s v="TX002520"/>
        <s v="TX002521"/>
        <s v="TX002522"/>
        <s v="TX002523"/>
        <s v="TX002524"/>
        <s v="TX002525"/>
        <s v="TX002526"/>
        <s v="TX002527"/>
        <s v="TX002528"/>
        <s v="TX002529"/>
        <s v="TX002530"/>
        <s v="TX002531"/>
        <s v="TX002532"/>
        <s v="TX002533"/>
        <s v="TX002534"/>
        <s v="TX002535"/>
        <s v="TX002536"/>
        <s v="TX002537"/>
        <s v="TX002538"/>
        <s v="TX002539"/>
        <s v="TX002540"/>
        <s v="TX002541"/>
        <s v="TX002542"/>
        <s v="TX002543"/>
        <s v="TX002544"/>
        <s v="TX002545"/>
        <s v="TX002546"/>
        <s v="TX002547"/>
        <s v="TX002548"/>
        <s v="TX002549"/>
        <s v="TX002550"/>
        <s v="TX002551"/>
        <s v="TX002552"/>
        <s v="TX002553"/>
        <s v="TX002554"/>
        <s v="TX002555"/>
        <s v="TX002556"/>
        <s v="TX002557"/>
        <s v="TX002558"/>
        <s v="TX002559"/>
        <s v="TX002560"/>
        <s v="TX002561"/>
        <s v="TX002562"/>
        <s v="TX002563"/>
        <s v="TX002564"/>
        <s v="TX002565"/>
        <s v="TX002566"/>
        <s v="TX002567"/>
        <s v="TX002568"/>
        <s v="TX002569"/>
        <s v="TX002570"/>
        <s v="TX002571"/>
        <s v="TX002572"/>
        <s v="TX002573"/>
        <s v="TX002574"/>
        <s v="TX002575"/>
        <s v="TX002576"/>
        <s v="TX002577"/>
        <s v="TX002578"/>
        <s v="TX002579"/>
        <s v="TX002580"/>
        <s v="TX002581"/>
        <s v="TX002582"/>
        <s v="TX002583"/>
        <s v="TX002584"/>
        <s v="TX002585"/>
        <s v="TX002586"/>
        <s v="TX002587"/>
        <s v="TX002588"/>
        <s v="TX002589"/>
        <s v="TX002590"/>
        <s v="TX002591"/>
        <s v="TX002592"/>
        <s v="TX002593"/>
        <s v="TX002594"/>
        <s v="TX002595"/>
        <s v="TX002596"/>
        <s v="TX002597"/>
        <s v="TX002598"/>
        <s v="TX002599"/>
        <s v="TX002600"/>
        <s v="TX002601"/>
        <s v="TX002602"/>
        <s v="TX002603"/>
        <s v="TX002604"/>
        <s v="TX002605"/>
        <s v="TX002606"/>
        <s v="TX002607"/>
        <s v="TX002608"/>
        <s v="TX002609"/>
        <s v="TX002610"/>
        <s v="TX002611"/>
        <s v="TX002612"/>
        <s v="TX002613"/>
        <s v="TX002614"/>
        <s v="TX002615"/>
        <s v="TX002616"/>
        <s v="TX002617"/>
        <s v="TX002618"/>
        <s v="TX002619"/>
        <s v="TX002620"/>
        <s v="TX002621"/>
        <s v="TX002622"/>
        <s v="TX002623"/>
        <s v="TX002624"/>
        <s v="TX002625"/>
        <s v="TX002626"/>
        <s v="TX002627"/>
        <s v="TX002628"/>
        <s v="TX002629"/>
        <s v="TX002630"/>
        <s v="TX002631"/>
        <s v="TX002632"/>
        <s v="TX002633"/>
        <s v="TX002634"/>
        <s v="TX002635"/>
        <s v="TX002636"/>
        <s v="TX002637"/>
        <s v="TX002638"/>
        <s v="TX002639"/>
        <s v="TX002640"/>
        <s v="TX002641"/>
        <s v="TX002642"/>
        <s v="TX002643"/>
        <s v="TX002644"/>
        <s v="TX002645"/>
        <s v="TX002646"/>
        <s v="TX002647"/>
        <s v="TX002648"/>
        <s v="TX002649"/>
        <s v="TX002650"/>
        <s v="TX002651"/>
        <s v="TX002652"/>
        <s v="TX002653"/>
        <s v="TX002654"/>
        <s v="TX002655"/>
        <s v="TX002656"/>
        <s v="TX002657"/>
        <s v="TX002658"/>
        <s v="TX002659"/>
        <s v="TX002660"/>
        <s v="TX002661"/>
        <s v="TX002662"/>
        <s v="TX002663"/>
        <s v="TX002664"/>
        <s v="TX002665"/>
        <s v="TX002666"/>
        <s v="TX002667"/>
        <s v="TX002668"/>
        <s v="TX002669"/>
        <s v="TX002670"/>
        <s v="TX002671"/>
        <s v="TX002672"/>
        <s v="TX002673"/>
        <s v="TX002674"/>
        <s v="TX002675"/>
        <s v="TX002676"/>
        <s v="TX002677"/>
        <s v="TX002678"/>
        <s v="TX002679"/>
        <s v="TX002680"/>
        <s v="TX002681"/>
        <s v="TX002682"/>
        <s v="TX002683"/>
        <s v="TX002684"/>
        <s v="TX002685"/>
        <s v="TX002686"/>
        <s v="TX002687"/>
        <s v="TX002688"/>
        <s v="TX002689"/>
        <s v="TX002690"/>
        <s v="TX002691"/>
        <s v="TX002692"/>
        <s v="TX002693"/>
        <s v="TX002694"/>
        <s v="TX002695"/>
        <s v="TX002696"/>
        <s v="TX002697"/>
        <s v="TX002698"/>
        <s v="TX002699"/>
        <s v="TX002700"/>
        <s v="TX002701"/>
        <s v="TX002702"/>
        <s v="TX002703"/>
        <s v="TX002704"/>
        <s v="TX002705"/>
        <s v="TX002706"/>
        <s v="TX002707"/>
        <s v="TX002708"/>
        <s v="TX002709"/>
        <s v="TX002710"/>
        <s v="TX002711"/>
        <s v="TX002712"/>
        <s v="TX002713"/>
        <s v="TX002714"/>
        <s v="TX002715"/>
        <s v="TX002716"/>
        <s v="TX002717"/>
        <s v="TX002718"/>
        <s v="TX002719"/>
        <s v="TX002720"/>
        <s v="TX002721"/>
        <s v="TX002722"/>
        <s v="TX002723"/>
        <s v="TX002724"/>
        <s v="TX002725"/>
        <s v="TX002726"/>
        <s v="TX002727"/>
        <s v="TX002728"/>
        <s v="TX002729"/>
        <s v="TX002730"/>
        <s v="TX002731"/>
        <s v="TX002732"/>
        <s v="TX002733"/>
        <s v="TX002734"/>
        <s v="TX002735"/>
        <s v="TX002736"/>
        <s v="TX002737"/>
        <s v="TX002738"/>
        <s v="TX002739"/>
        <s v="TX002740"/>
        <s v="TX002741"/>
        <s v="TX002742"/>
        <s v="TX002743"/>
        <s v="TX002744"/>
        <s v="TX002745"/>
        <s v="TX002746"/>
        <s v="TX002747"/>
        <s v="TX002748"/>
        <s v="TX002749"/>
        <s v="TX002750"/>
        <s v="TX002751"/>
        <s v="TX002752"/>
        <s v="TX002753"/>
        <s v="TX002754"/>
        <s v="TX002755"/>
        <s v="TX002756"/>
        <s v="TX002757"/>
        <s v="TX002758"/>
        <s v="TX002759"/>
        <s v="TX002760"/>
        <s v="TX002761"/>
        <s v="TX002762"/>
        <s v="TX002763"/>
        <s v="TX002764"/>
        <s v="TX002765"/>
        <s v="TX002766"/>
        <s v="TX002767"/>
        <s v="TX002768"/>
        <s v="TX002769"/>
        <s v="TX002770"/>
        <s v="TX002771"/>
        <s v="TX002772"/>
        <s v="TX002773"/>
        <s v="TX002774"/>
        <s v="TX002775"/>
        <s v="TX002776"/>
        <s v="TX002777"/>
        <s v="TX002778"/>
        <s v="TX002779"/>
        <s v="TX002780"/>
        <s v="TX002781"/>
        <s v="TX002782"/>
        <s v="TX002783"/>
        <s v="TX002784"/>
        <s v="TX002785"/>
        <s v="TX002786"/>
        <s v="TX002787"/>
        <s v="TX002788"/>
        <s v="TX002789"/>
        <s v="TX002790"/>
        <s v="TX002791"/>
        <s v="TX002792"/>
        <s v="TX002793"/>
        <s v="TX002794"/>
        <s v="TX002795"/>
        <s v="TX002796"/>
        <s v="TX002797"/>
        <s v="TX002798"/>
        <s v="TX002799"/>
        <s v="TX002800"/>
        <s v="TX002801"/>
        <s v="TX002802"/>
        <s v="TX002803"/>
        <s v="TX002804"/>
        <s v="TX002805"/>
        <s v="TX002806"/>
        <s v="TX002807"/>
        <s v="TX002808"/>
        <s v="TX002809"/>
        <s v="TX002810"/>
        <s v="TX002811"/>
        <s v="TX002812"/>
        <s v="TX002813"/>
        <s v="TX002814"/>
        <s v="TX002815"/>
        <s v="TX002816"/>
        <s v="TX002817"/>
        <s v="TX002818"/>
        <s v="TX002819"/>
        <s v="TX002820"/>
        <s v="TX002821"/>
        <s v="TX002822"/>
        <s v="TX002823"/>
        <s v="TX002824"/>
        <s v="TX002825"/>
        <s v="TX002826"/>
        <s v="TX002827"/>
        <s v="TX002828"/>
        <s v="TX002829"/>
        <s v="TX002830"/>
        <s v="TX002831"/>
        <s v="TX002832"/>
        <s v="TX002833"/>
        <s v="TX002834"/>
        <s v="TX002835"/>
        <s v="TX002836"/>
        <s v="TX002837"/>
        <s v="TX002838"/>
        <s v="TX002839"/>
        <s v="TX002840"/>
        <s v="TX002841"/>
        <s v="TX002842"/>
        <s v="TX002843"/>
        <s v="TX002844"/>
        <s v="TX002845"/>
        <s v="TX002846"/>
        <s v="TX002847"/>
        <s v="TX002848"/>
        <s v="TX002849"/>
        <s v="TX002850"/>
        <s v="TX002851"/>
        <s v="TX002852"/>
        <s v="TX002853"/>
        <s v="TX002854"/>
        <s v="TX002855"/>
        <s v="TX002856"/>
        <s v="TX002857"/>
        <s v="TX002858"/>
        <s v="TX002859"/>
        <s v="TX002860"/>
        <s v="TX002861"/>
        <s v="TX002862"/>
        <s v="TX002863"/>
        <s v="TX002864"/>
        <s v="TX002865"/>
        <s v="TX002866"/>
        <s v="TX002867"/>
        <s v="TX002868"/>
        <s v="TX002869"/>
        <s v="TX002870"/>
        <s v="TX002871"/>
        <s v="TX002872"/>
        <s v="TX002873"/>
        <s v="TX002874"/>
        <s v="TX002875"/>
        <s v="TX002876"/>
        <s v="TX002877"/>
        <s v="TX002878"/>
        <s v="TX002879"/>
        <s v="TX002880"/>
        <s v="TX002881"/>
        <s v="TX002882"/>
        <s v="TX002883"/>
        <s v="TX002884"/>
        <s v="TX002885"/>
        <s v="TX002886"/>
        <s v="TX002887"/>
        <s v="TX002888"/>
        <s v="TX002889"/>
        <s v="TX002890"/>
        <s v="TX002891"/>
        <s v="TX002892"/>
        <s v="TX002893"/>
        <s v="TX002894"/>
        <s v="TX002895"/>
        <s v="TX002896"/>
        <s v="TX002897"/>
        <s v="TX002898"/>
        <s v="TX002899"/>
        <s v="TX002900"/>
        <s v="TX002901"/>
        <s v="TX002902"/>
        <s v="TX002903"/>
        <s v="TX002904"/>
        <s v="TX002905"/>
        <s v="TX002906"/>
        <s v="TX002907"/>
        <s v="TX002908"/>
        <s v="TX002909"/>
        <s v="TX002910"/>
        <s v="TX002911"/>
        <s v="TX002912"/>
        <s v="TX002913"/>
        <s v="TX002914"/>
        <s v="TX002915"/>
        <s v="TX002916"/>
        <s v="TX002917"/>
        <s v="TX002918"/>
        <s v="TX002919"/>
        <s v="TX002920"/>
        <s v="TX002921"/>
        <s v="TX002922"/>
        <s v="TX002923"/>
        <s v="TX002924"/>
        <s v="TX002925"/>
        <s v="TX002926"/>
        <s v="TX002927"/>
        <s v="TX002928"/>
        <s v="TX002929"/>
        <s v="TX002930"/>
        <s v="TX002931"/>
        <s v="TX002932"/>
        <s v="TX002933"/>
        <s v="TX002934"/>
        <s v="TX002935"/>
        <s v="TX002936"/>
        <s v="TX002937"/>
        <s v="TX002938"/>
        <s v="TX002939"/>
        <s v="TX002940"/>
        <s v="TX002941"/>
        <s v="TX002942"/>
        <s v="TX002943"/>
        <s v="TX002944"/>
        <s v="TX002945"/>
        <s v="TX002946"/>
        <s v="TX002947"/>
        <s v="TX002948"/>
        <s v="TX002949"/>
        <s v="TX002950"/>
        <s v="TX002951"/>
        <s v="TX002952"/>
        <s v="TX002953"/>
        <s v="TX002954"/>
        <s v="TX002955"/>
        <s v="TX002956"/>
        <s v="TX002957"/>
        <s v="TX002958"/>
        <s v="TX002959"/>
        <s v="TX002960"/>
        <s v="TX002961"/>
        <s v="TX002962"/>
        <s v="TX002963"/>
        <s v="TX002964"/>
        <s v="TX002965"/>
        <s v="TX002966"/>
        <s v="TX002967"/>
        <s v="TX002968"/>
        <s v="TX002969"/>
        <s v="TX002970"/>
        <s v="TX002971"/>
        <s v="TX002972"/>
        <s v="TX002973"/>
        <s v="TX002974"/>
        <s v="TX002975"/>
        <s v="TX002976"/>
        <s v="TX002977"/>
        <s v="TX002978"/>
        <s v="TX002979"/>
        <s v="TX002980"/>
        <s v="TX002981"/>
        <s v="TX002982"/>
        <s v="TX002983"/>
        <s v="TX002984"/>
        <s v="TX002985"/>
        <s v="TX002986"/>
        <s v="TX002987"/>
        <s v="TX002988"/>
        <s v="TX002989"/>
        <s v="TX002990"/>
        <s v="TX002991"/>
        <s v="TX002992"/>
        <s v="TX002993"/>
        <s v="TX002994"/>
        <s v="TX002995"/>
        <s v="TX002996"/>
        <s v="TX002997"/>
        <s v="TX002998"/>
        <s v="TX002999"/>
        <s v="TX003000"/>
        <s v="TX003001"/>
        <s v="TX003002"/>
        <s v="TX003003"/>
        <s v="TX003004"/>
        <s v="TX003005"/>
        <s v="TX003006"/>
        <s v="TX003007"/>
        <s v="TX003008"/>
        <s v="TX003009"/>
        <s v="TX003010"/>
        <s v="TX003011"/>
        <s v="TX003012"/>
        <s v="TX003013"/>
        <s v="TX003014"/>
        <s v="TX003015"/>
        <s v="TX003016"/>
        <s v="TX003017"/>
        <s v="TX003018"/>
        <s v="TX003019"/>
        <s v="TX003020"/>
        <s v="TX003021"/>
        <s v="TX003022"/>
        <s v="TX003023"/>
        <s v="TX003024"/>
        <s v="TX003025"/>
        <s v="TX003026"/>
        <s v="TX003027"/>
        <s v="TX003028"/>
        <s v="TX003029"/>
        <s v="TX003030"/>
        <s v="TX003031"/>
        <s v="TX003032"/>
        <s v="TX003033"/>
        <s v="TX003034"/>
        <s v="TX003035"/>
        <s v="TX003036"/>
        <s v="TX003037"/>
        <s v="TX003038"/>
        <s v="TX003039"/>
        <s v="TX003040"/>
        <s v="TX003041"/>
        <s v="TX003042"/>
        <s v="TX003043"/>
        <s v="TX003044"/>
        <s v="TX003045"/>
        <s v="TX003046"/>
        <s v="TX003047"/>
        <s v="TX003048"/>
        <s v="TX003049"/>
        <s v="TX003050"/>
        <s v="TX003051"/>
        <s v="TX003052"/>
        <s v="TX003053"/>
        <s v="TX003054"/>
        <s v="TX003055"/>
        <s v="TX003056"/>
        <s v="TX003057"/>
        <s v="TX003058"/>
        <s v="TX003059"/>
        <s v="TX003060"/>
        <s v="TX003061"/>
        <s v="TX003062"/>
        <s v="TX003063"/>
        <s v="TX003064"/>
        <s v="TX003065"/>
        <s v="TX003066"/>
        <s v="TX003067"/>
        <s v="TX003068"/>
        <s v="TX003069"/>
        <s v="TX003070"/>
        <s v="TX003071"/>
        <s v="TX003072"/>
        <s v="TX003073"/>
        <s v="TX003074"/>
        <s v="TX003075"/>
        <s v="TX003076"/>
        <s v="TX003077"/>
        <s v="TX003078"/>
        <s v="TX003079"/>
        <s v="TX003080"/>
        <s v="TX003081"/>
        <s v="TX003082"/>
        <s v="TX003083"/>
        <s v="TX003084"/>
        <s v="TX003085"/>
        <s v="TX003086"/>
        <s v="TX003087"/>
        <s v="TX003088"/>
        <s v="TX003089"/>
        <s v="TX003090"/>
        <s v="TX003091"/>
        <s v="TX003092"/>
        <s v="TX003093"/>
        <s v="TX003094"/>
        <s v="TX003095"/>
        <s v="TX003096"/>
        <s v="TX003097"/>
        <s v="TX003098"/>
        <s v="TX003099"/>
        <s v="TX003100"/>
        <s v="TX003101"/>
        <s v="TX003102"/>
        <s v="TX003103"/>
        <s v="TX003104"/>
        <s v="TX003105"/>
        <s v="TX003106"/>
        <s v="TX003107"/>
        <s v="TX003108"/>
        <s v="TX003109"/>
        <s v="TX003110"/>
        <s v="TX003111"/>
        <s v="TX003112"/>
        <s v="TX003113"/>
        <s v="TX003114"/>
        <s v="TX003115"/>
        <s v="TX003116"/>
        <s v="TX003117"/>
        <s v="TX003118"/>
        <s v="TX003119"/>
        <s v="TX003120"/>
        <s v="TX003121"/>
        <s v="TX003122"/>
        <s v="TX003123"/>
        <s v="TX003124"/>
        <s v="TX003125"/>
        <s v="TX003126"/>
        <s v="TX003127"/>
        <s v="TX003128"/>
        <s v="TX003129"/>
        <s v="TX003130"/>
        <s v="TX003131"/>
        <s v="TX003132"/>
        <s v="TX003133"/>
        <s v="TX003134"/>
        <s v="TX003135"/>
        <s v="TX003136"/>
        <s v="TX003137"/>
        <s v="TX003138"/>
        <s v="TX003139"/>
        <s v="TX003140"/>
        <s v="TX003141"/>
        <s v="TX003142"/>
        <s v="TX003143"/>
        <s v="TX003144"/>
        <s v="TX003145"/>
        <s v="TX003146"/>
        <s v="TX003147"/>
        <s v="TX003148"/>
        <s v="TX003149"/>
        <s v="TX003150"/>
        <s v="TX003151"/>
        <s v="TX003152"/>
        <s v="TX003153"/>
        <s v="TX003154"/>
        <s v="TX003155"/>
        <s v="TX003156"/>
        <s v="TX003157"/>
        <s v="TX003158"/>
        <s v="TX003159"/>
        <s v="TX003160"/>
        <s v="TX003161"/>
        <s v="TX003162"/>
        <s v="TX003163"/>
        <s v="TX003164"/>
        <s v="TX003165"/>
        <s v="TX003166"/>
        <s v="TX003167"/>
        <s v="TX003168"/>
        <s v="TX003169"/>
        <s v="TX003170"/>
        <s v="TX003171"/>
        <s v="TX003172"/>
        <s v="TX003173"/>
        <s v="TX003174"/>
        <s v="TX003175"/>
        <s v="TX003176"/>
        <s v="TX003177"/>
        <s v="TX003178"/>
        <s v="TX003179"/>
        <s v="TX003180"/>
        <s v="TX003181"/>
        <s v="TX003182"/>
        <s v="TX003183"/>
        <s v="TX003184"/>
        <s v="TX003185"/>
        <s v="TX003186"/>
        <s v="TX003187"/>
        <s v="TX003188"/>
        <s v="TX003189"/>
        <s v="TX003190"/>
        <s v="TX003191"/>
        <s v="TX003192"/>
        <s v="TX003193"/>
        <s v="TX003194"/>
        <s v="TX003195"/>
        <s v="TX003196"/>
        <s v="TX003197"/>
        <s v="TX003198"/>
        <s v="TX003199"/>
        <s v="TX003200"/>
      </sharedItems>
    </cacheField>
    <cacheField name="date" numFmtId="165">
      <sharedItems containsSemiMixedTypes="0" containsNonDate="0" containsDate="1" containsString="0" minDate="2025-01-01T00:00:00" maxDate="2025-06-30T00:00:00"/>
    </cacheField>
    <cacheField name="hour" numFmtId="0">
      <sharedItems containsSemiMixedTypes="0" containsString="0" containsNumber="1" containsInteger="1" minValue="10" maxValue="22"/>
    </cacheField>
    <cacheField name="tenant_id" numFmtId="0">
      <sharedItems/>
    </cacheField>
    <cacheField name="payment_method" numFmtId="0">
      <sharedItems count="4">
        <s v="UPI"/>
        <s v="Cash"/>
        <s v="Card"/>
        <s v="Wallet"/>
      </sharedItems>
    </cacheField>
    <cacheField name="gross_sales_inr" numFmtId="167">
      <sharedItems containsSemiMixedTypes="0" containsString="0" containsNumber="1" minValue="131.87" maxValue="14020.94"/>
    </cacheField>
    <cacheField name="discount_pct" numFmtId="9">
      <sharedItems containsSemiMixedTypes="0" containsString="0" containsNumber="1" minValue="0" maxValue="0.3" count="6">
        <n v="0.15"/>
        <n v="0"/>
        <n v="0.3"/>
        <n v="0.1"/>
        <n v="0.2"/>
        <n v="0.05"/>
      </sharedItems>
    </cacheField>
    <cacheField name="net_sales_inr" numFmtId="167">
      <sharedItems containsSemiMixedTypes="0" containsString="0" containsNumber="1" minValue="115.2" maxValue="14020.94"/>
    </cacheField>
    <cacheField name="items_count" numFmtId="0">
      <sharedItems containsSemiMixedTypes="0" containsString="0" containsNumber="1" containsInteger="1" minValue="1" maxValue="6"/>
    </cacheField>
    <cacheField name="customer_type" numFmtId="0">
      <sharedItems/>
    </cacheField>
    <cacheField name="Recalc_Net_Sales" numFmtId="0">
      <sharedItems containsSemiMixedTypes="0" containsString="0" containsNumber="1" minValue="115.2" maxValue="14020.94"/>
    </cacheField>
    <cacheField name="Sales_Check" numFmtId="0">
      <sharedItems/>
    </cacheField>
    <cacheField name="Month" numFmtId="14">
      <sharedItems containsSemiMixedTypes="0" containsNonDate="0" containsDate="1" containsString="0" minDate="2025-01-01T00:00:00" maxDate="2025-06-02T00:00:00" count="6">
        <d v="2025-02-01T00:00:00"/>
        <d v="2025-05-01T00:00:00"/>
        <d v="2025-01-01T00:00:00"/>
        <d v="2025-06-01T00:00:00"/>
        <d v="2025-04-01T00:00:00"/>
        <d v="2025-03-01T00:00:00"/>
      </sharedItems>
      <fieldGroup par="18"/>
    </cacheField>
    <cacheField name="Day_Type" numFmtId="0">
      <sharedItems count="2">
        <s v="Weekday"/>
        <s v="Weekend"/>
      </sharedItems>
    </cacheField>
    <cacheField name="Discount_Band" numFmtId="0">
      <sharedItems/>
    </cacheField>
    <cacheField name="zone" numFmtId="0">
      <sharedItems count="5">
        <s v="Home &amp; Living"/>
        <s v="Fashion Avenue"/>
        <s v="Beauty &amp; Wellness"/>
        <s v="Entertainment"/>
        <s v="Food Court"/>
      </sharedItems>
    </cacheField>
    <cacheField name="category" numFmtId="0">
      <sharedItems count="12">
        <s v="Home Decor"/>
        <s v="Accessories"/>
        <s v="Beauty"/>
        <s v="Cinema"/>
        <s v="Wellness"/>
        <s v="Arcade"/>
        <s v="Electronics"/>
        <s v="Clothing"/>
        <s v="Casual Dining"/>
        <s v="Quick Service"/>
        <s v="Footwear"/>
        <s v="Family Entertainment"/>
      </sharedItems>
    </cacheField>
    <cacheField name="Days (Month)" numFmtId="0" databaseField="0">
      <fieldGroup base="12">
        <rangePr groupBy="days" startDate="2025-01-01T00:00:00" endDate="2025-06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6-2025"/>
        </groupItems>
      </fieldGroup>
    </cacheField>
    <cacheField name="Months (Month)" numFmtId="0" databaseField="0">
      <fieldGroup base="12">
        <rangePr groupBy="months" startDate="2025-01-01T00:00:00" endDate="2025-06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6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kulkarni" refreshedDate="46306.865439583336" createdVersion="8" refreshedVersion="8" minRefreshableVersion="3" recordCount="720" xr:uid="{34BEBE2D-9BC7-49F4-90C1-305366C70FEC}">
  <cacheSource type="worksheet">
    <worksheetSource name="tblFootfall"/>
  </cacheSource>
  <cacheFields count="5">
    <cacheField name="date" numFmtId="165">
      <sharedItems containsSemiMixedTypes="0" containsNonDate="0" containsDate="1" containsString="0" minDate="2025-01-01T00:00:00" maxDate="2025-06-30T00:00:00"/>
    </cacheField>
    <cacheField name="entrance" numFmtId="0">
      <sharedItems count="4">
        <s v="North Gate"/>
        <s v="South Gate"/>
        <s v="Metro Link"/>
        <s v="Parking Entry"/>
      </sharedItems>
    </cacheField>
    <cacheField name="visitors" numFmtId="0">
      <sharedItems containsSemiMixedTypes="0" containsString="0" containsNumber="1" containsInteger="1" minValue="636" maxValue="3651"/>
    </cacheField>
    <cacheField name="weather" numFmtId="0">
      <sharedItems/>
    </cacheField>
    <cacheField name="campaign_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0">
  <r>
    <x v="0"/>
    <d v="2025-02-14T00:00:00"/>
    <n v="12"/>
    <s v="T019"/>
    <x v="0"/>
    <n v="1074.6600000000001"/>
    <x v="0"/>
    <n v="913.46"/>
    <n v="2"/>
    <s v="Walk-in"/>
    <n v="913.46"/>
    <s v="OK"/>
    <x v="0"/>
    <x v="0"/>
    <s v="11–20%"/>
    <x v="0"/>
    <x v="0"/>
  </r>
  <r>
    <x v="1"/>
    <d v="2025-05-09T00:00:00"/>
    <n v="13"/>
    <s v="T021"/>
    <x v="0"/>
    <n v="793.8"/>
    <x v="1"/>
    <n v="793.8"/>
    <n v="2"/>
    <s v="Member"/>
    <n v="793.8"/>
    <s v="OK"/>
    <x v="1"/>
    <x v="0"/>
    <s v="0%"/>
    <x v="1"/>
    <x v="1"/>
  </r>
  <r>
    <x v="2"/>
    <d v="2025-01-26T00:00:00"/>
    <n v="17"/>
    <s v="T025"/>
    <x v="0"/>
    <n v="764.73"/>
    <x v="1"/>
    <n v="764.73"/>
    <n v="5"/>
    <s v="Walk-in"/>
    <n v="764.73"/>
    <s v="OK"/>
    <x v="2"/>
    <x v="1"/>
    <s v="0%"/>
    <x v="2"/>
    <x v="2"/>
  </r>
  <r>
    <x v="3"/>
    <d v="2025-06-17T00:00:00"/>
    <n v="10"/>
    <s v="T016"/>
    <x v="1"/>
    <n v="1038.74"/>
    <x v="2"/>
    <n v="727.12"/>
    <n v="6"/>
    <s v="Walk-in"/>
    <n v="727.12"/>
    <s v="OK"/>
    <x v="3"/>
    <x v="0"/>
    <s v="&gt;20%"/>
    <x v="1"/>
    <x v="1"/>
  </r>
  <r>
    <x v="4"/>
    <d v="2025-05-23T00:00:00"/>
    <n v="22"/>
    <s v="T003"/>
    <x v="0"/>
    <n v="141.72"/>
    <x v="3"/>
    <n v="127.55"/>
    <n v="2"/>
    <s v="Member"/>
    <n v="127.55"/>
    <s v="OK"/>
    <x v="1"/>
    <x v="0"/>
    <s v="1–_x000a_10%"/>
    <x v="3"/>
    <x v="3"/>
  </r>
  <r>
    <x v="5"/>
    <d v="2025-04-21T00:00:00"/>
    <n v="19"/>
    <s v="T020"/>
    <x v="1"/>
    <n v="463.62"/>
    <x v="3"/>
    <n v="417.26"/>
    <n v="2"/>
    <s v="Walk-in"/>
    <n v="417.26"/>
    <s v="OK"/>
    <x v="4"/>
    <x v="0"/>
    <s v="1–_x000a_10%"/>
    <x v="2"/>
    <x v="2"/>
  </r>
  <r>
    <x v="6"/>
    <d v="2025-04-09T00:00:00"/>
    <n v="10"/>
    <s v="T010"/>
    <x v="0"/>
    <n v="646.11"/>
    <x v="0"/>
    <n v="549.19000000000005"/>
    <n v="1"/>
    <s v="Walk-in"/>
    <n v="549.19000000000005"/>
    <s v="OK"/>
    <x v="4"/>
    <x v="0"/>
    <s v="11–20%"/>
    <x v="2"/>
    <x v="4"/>
  </r>
  <r>
    <x v="7"/>
    <d v="2025-03-08T00:00:00"/>
    <n v="22"/>
    <s v="T018"/>
    <x v="1"/>
    <n v="2542.19"/>
    <x v="1"/>
    <n v="2542.19"/>
    <n v="2"/>
    <s v="Walk-in"/>
    <n v="2542.19"/>
    <s v="OK"/>
    <x v="5"/>
    <x v="1"/>
    <s v="0%"/>
    <x v="3"/>
    <x v="3"/>
  </r>
  <r>
    <x v="8"/>
    <d v="2025-05-22T00:00:00"/>
    <n v="11"/>
    <s v="T008"/>
    <x v="2"/>
    <n v="560.57000000000005"/>
    <x v="4"/>
    <n v="448.46"/>
    <n v="6"/>
    <s v="Member"/>
    <n v="448.46"/>
    <s v="OK"/>
    <x v="1"/>
    <x v="0"/>
    <s v="11–20%"/>
    <x v="3"/>
    <x v="5"/>
  </r>
  <r>
    <x v="9"/>
    <d v="2025-02-16T00:00:00"/>
    <n v="11"/>
    <s v="T014"/>
    <x v="0"/>
    <n v="672.56"/>
    <x v="1"/>
    <n v="672.56"/>
    <n v="2"/>
    <s v="Walk-in"/>
    <n v="672.56"/>
    <s v="OK"/>
    <x v="0"/>
    <x v="1"/>
    <s v="0%"/>
    <x v="0"/>
    <x v="6"/>
  </r>
  <r>
    <x v="10"/>
    <d v="2025-01-26T00:00:00"/>
    <n v="19"/>
    <s v="T009"/>
    <x v="1"/>
    <n v="345.62"/>
    <x v="0"/>
    <n v="293.77999999999997"/>
    <n v="2"/>
    <s v="Walk-in"/>
    <n v="293.77999999999997"/>
    <s v="OK"/>
    <x v="2"/>
    <x v="1"/>
    <s v="11–20%"/>
    <x v="0"/>
    <x v="6"/>
  </r>
  <r>
    <x v="11"/>
    <d v="2025-04-04T00:00:00"/>
    <n v="18"/>
    <s v="T008"/>
    <x v="2"/>
    <n v="644.88"/>
    <x v="4"/>
    <n v="515.9"/>
    <n v="1"/>
    <s v="Member"/>
    <n v="515.9"/>
    <s v="OK"/>
    <x v="4"/>
    <x v="0"/>
    <s v="11–20%"/>
    <x v="3"/>
    <x v="5"/>
  </r>
  <r>
    <x v="12"/>
    <d v="2025-02-03T00:00:00"/>
    <n v="15"/>
    <s v="T021"/>
    <x v="0"/>
    <n v="1293.76"/>
    <x v="1"/>
    <n v="1293.76"/>
    <n v="2"/>
    <s v="Walk-in"/>
    <n v="1293.76"/>
    <s v="OK"/>
    <x v="0"/>
    <x v="0"/>
    <s v="0%"/>
    <x v="1"/>
    <x v="1"/>
  </r>
  <r>
    <x v="13"/>
    <d v="2025-01-26T00:00:00"/>
    <n v="13"/>
    <s v="T009"/>
    <x v="0"/>
    <n v="1173.8599999999999"/>
    <x v="3"/>
    <n v="1056.47"/>
    <n v="3"/>
    <s v="Member"/>
    <n v="1056.47"/>
    <s v="OK"/>
    <x v="2"/>
    <x v="1"/>
    <s v="1–_x000a_10%"/>
    <x v="0"/>
    <x v="6"/>
  </r>
  <r>
    <x v="14"/>
    <d v="2025-03-16T00:00:00"/>
    <n v="14"/>
    <s v="T001"/>
    <x v="1"/>
    <n v="3052.77"/>
    <x v="5"/>
    <n v="2900.13"/>
    <n v="2"/>
    <s v="Walk-in"/>
    <n v="2900.13"/>
    <s v="OK"/>
    <x v="5"/>
    <x v="1"/>
    <s v="1–_x000a_10%"/>
    <x v="1"/>
    <x v="7"/>
  </r>
  <r>
    <x v="15"/>
    <d v="2025-03-12T00:00:00"/>
    <n v="17"/>
    <s v="T007"/>
    <x v="0"/>
    <n v="781.79"/>
    <x v="5"/>
    <n v="742.7"/>
    <n v="2"/>
    <s v="Member"/>
    <n v="742.7"/>
    <s v="OK"/>
    <x v="5"/>
    <x v="0"/>
    <s v="1–_x000a_10%"/>
    <x v="4"/>
    <x v="8"/>
  </r>
  <r>
    <x v="16"/>
    <d v="2025-01-18T00:00:00"/>
    <n v="22"/>
    <s v="T024"/>
    <x v="2"/>
    <n v="1563.15"/>
    <x v="1"/>
    <n v="1563.15"/>
    <n v="1"/>
    <s v="Walk-in"/>
    <n v="1563.15"/>
    <s v="OK"/>
    <x v="2"/>
    <x v="1"/>
    <s v="0%"/>
    <x v="0"/>
    <x v="0"/>
  </r>
  <r>
    <x v="17"/>
    <d v="2025-04-19T00:00:00"/>
    <n v="18"/>
    <s v="T016"/>
    <x v="0"/>
    <n v="776.63"/>
    <x v="2"/>
    <n v="543.64"/>
    <n v="2"/>
    <s v="Walk-in"/>
    <n v="543.64"/>
    <s v="OK"/>
    <x v="4"/>
    <x v="1"/>
    <s v="&gt;20%"/>
    <x v="1"/>
    <x v="1"/>
  </r>
  <r>
    <x v="18"/>
    <d v="2025-04-07T00:00:00"/>
    <n v="12"/>
    <s v="T005"/>
    <x v="0"/>
    <n v="378.75"/>
    <x v="2"/>
    <n v="265.12"/>
    <n v="4"/>
    <s v="Member"/>
    <n v="265.13"/>
    <s v="OK"/>
    <x v="4"/>
    <x v="0"/>
    <s v="&gt;20%"/>
    <x v="2"/>
    <x v="4"/>
  </r>
  <r>
    <x v="19"/>
    <d v="2025-01-03T00:00:00"/>
    <n v="16"/>
    <s v="T001"/>
    <x v="0"/>
    <n v="2996.41"/>
    <x v="5"/>
    <n v="2846.59"/>
    <n v="1"/>
    <s v="Walk-in"/>
    <n v="2846.59"/>
    <s v="OK"/>
    <x v="2"/>
    <x v="0"/>
    <s v="1–_x000a_10%"/>
    <x v="1"/>
    <x v="7"/>
  </r>
  <r>
    <x v="20"/>
    <d v="2025-06-27T00:00:00"/>
    <n v="17"/>
    <s v="T008"/>
    <x v="3"/>
    <n v="926.81"/>
    <x v="1"/>
    <n v="926.81"/>
    <n v="2"/>
    <s v="Walk-in"/>
    <n v="926.81"/>
    <s v="OK"/>
    <x v="3"/>
    <x v="0"/>
    <s v="0%"/>
    <x v="3"/>
    <x v="5"/>
  </r>
  <r>
    <x v="21"/>
    <d v="2025-03-18T00:00:00"/>
    <n v="13"/>
    <s v="T030"/>
    <x v="0"/>
    <n v="902.01"/>
    <x v="4"/>
    <n v="721.61"/>
    <n v="1"/>
    <s v="Walk-in"/>
    <n v="721.61"/>
    <s v="OK"/>
    <x v="5"/>
    <x v="0"/>
    <s v="11–20%"/>
    <x v="2"/>
    <x v="2"/>
  </r>
  <r>
    <x v="22"/>
    <d v="2025-06-05T00:00:00"/>
    <n v="12"/>
    <s v="T012"/>
    <x v="0"/>
    <n v="691.76"/>
    <x v="2"/>
    <n v="484.23"/>
    <n v="1"/>
    <s v="Walk-in"/>
    <n v="484.23"/>
    <s v="OK"/>
    <x v="3"/>
    <x v="0"/>
    <s v="&gt;20%"/>
    <x v="4"/>
    <x v="9"/>
  </r>
  <r>
    <x v="23"/>
    <d v="2025-02-03T00:00:00"/>
    <n v="12"/>
    <s v="T017"/>
    <x v="2"/>
    <n v="698.78"/>
    <x v="1"/>
    <n v="698.78"/>
    <n v="1"/>
    <s v="Member"/>
    <n v="698.78"/>
    <s v="OK"/>
    <x v="0"/>
    <x v="0"/>
    <s v="0%"/>
    <x v="4"/>
    <x v="8"/>
  </r>
  <r>
    <x v="24"/>
    <d v="2025-03-14T00:00:00"/>
    <n v="18"/>
    <s v="T011"/>
    <x v="1"/>
    <n v="3280.3"/>
    <x v="5"/>
    <n v="3116.28"/>
    <n v="2"/>
    <s v="Member"/>
    <n v="3116.29"/>
    <s v="OK"/>
    <x v="5"/>
    <x v="0"/>
    <s v="1–_x000a_10%"/>
    <x v="1"/>
    <x v="10"/>
  </r>
  <r>
    <x v="25"/>
    <d v="2025-03-07T00:00:00"/>
    <n v="21"/>
    <s v="T002"/>
    <x v="2"/>
    <n v="454.9"/>
    <x v="1"/>
    <n v="454.9"/>
    <n v="1"/>
    <s v="Member"/>
    <n v="454.9"/>
    <s v="OK"/>
    <x v="5"/>
    <x v="0"/>
    <s v="0%"/>
    <x v="4"/>
    <x v="9"/>
  </r>
  <r>
    <x v="26"/>
    <d v="2025-05-03T00:00:00"/>
    <n v="21"/>
    <s v="T023"/>
    <x v="2"/>
    <n v="1135.6500000000001"/>
    <x v="0"/>
    <n v="965.3"/>
    <n v="3"/>
    <s v="Walk-in"/>
    <n v="965.3"/>
    <s v="OK"/>
    <x v="1"/>
    <x v="1"/>
    <s v="11–20%"/>
    <x v="3"/>
    <x v="11"/>
  </r>
  <r>
    <x v="27"/>
    <d v="2025-06-18T00:00:00"/>
    <n v="22"/>
    <s v="T021"/>
    <x v="2"/>
    <n v="2891.51"/>
    <x v="1"/>
    <n v="2891.51"/>
    <n v="2"/>
    <s v="Member"/>
    <n v="2891.51"/>
    <s v="OK"/>
    <x v="3"/>
    <x v="0"/>
    <s v="0%"/>
    <x v="1"/>
    <x v="1"/>
  </r>
  <r>
    <x v="28"/>
    <d v="2025-03-22T00:00:00"/>
    <n v="17"/>
    <s v="T019"/>
    <x v="0"/>
    <n v="1073.82"/>
    <x v="4"/>
    <n v="859.06"/>
    <n v="1"/>
    <s v="Member"/>
    <n v="859.06"/>
    <s v="OK"/>
    <x v="5"/>
    <x v="1"/>
    <s v="11–20%"/>
    <x v="0"/>
    <x v="0"/>
  </r>
  <r>
    <x v="29"/>
    <d v="2025-02-17T00:00:00"/>
    <n v="13"/>
    <s v="T011"/>
    <x v="0"/>
    <n v="979.19"/>
    <x v="1"/>
    <n v="979.19"/>
    <n v="2"/>
    <s v="Member"/>
    <n v="979.19"/>
    <s v="OK"/>
    <x v="0"/>
    <x v="0"/>
    <s v="0%"/>
    <x v="1"/>
    <x v="10"/>
  </r>
  <r>
    <x v="30"/>
    <d v="2025-03-03T00:00:00"/>
    <n v="12"/>
    <s v="T010"/>
    <x v="2"/>
    <n v="1229.94"/>
    <x v="1"/>
    <n v="1229.94"/>
    <n v="6"/>
    <s v="Walk-in"/>
    <n v="1229.94"/>
    <s v="OK"/>
    <x v="5"/>
    <x v="0"/>
    <s v="0%"/>
    <x v="2"/>
    <x v="4"/>
  </r>
  <r>
    <x v="31"/>
    <d v="2025-02-06T00:00:00"/>
    <n v="16"/>
    <s v="T002"/>
    <x v="2"/>
    <n v="696.32"/>
    <x v="1"/>
    <n v="696.32"/>
    <n v="3"/>
    <s v="Walk-in"/>
    <n v="696.32"/>
    <s v="OK"/>
    <x v="0"/>
    <x v="0"/>
    <s v="0%"/>
    <x v="4"/>
    <x v="9"/>
  </r>
  <r>
    <x v="32"/>
    <d v="2025-03-28T00:00:00"/>
    <n v="19"/>
    <s v="T027"/>
    <x v="0"/>
    <n v="1607.12"/>
    <x v="0"/>
    <n v="1366.05"/>
    <n v="5"/>
    <s v="Member"/>
    <n v="1366.05"/>
    <s v="OK"/>
    <x v="5"/>
    <x v="0"/>
    <s v="11–20%"/>
    <x v="4"/>
    <x v="9"/>
  </r>
  <r>
    <x v="33"/>
    <d v="2025-05-26T00:00:00"/>
    <n v="22"/>
    <s v="T028"/>
    <x v="2"/>
    <n v="1115.24"/>
    <x v="1"/>
    <n v="1115.24"/>
    <n v="1"/>
    <s v="Walk-in"/>
    <n v="1115.24"/>
    <s v="OK"/>
    <x v="1"/>
    <x v="0"/>
    <s v="0%"/>
    <x v="3"/>
    <x v="5"/>
  </r>
  <r>
    <x v="34"/>
    <d v="2025-05-14T00:00:00"/>
    <n v="14"/>
    <s v="T024"/>
    <x v="0"/>
    <n v="2346.25"/>
    <x v="4"/>
    <n v="1877"/>
    <n v="2"/>
    <s v="Member"/>
    <n v="1877"/>
    <s v="OK"/>
    <x v="1"/>
    <x v="0"/>
    <s v="11–20%"/>
    <x v="0"/>
    <x v="0"/>
  </r>
  <r>
    <x v="35"/>
    <d v="2025-01-18T00:00:00"/>
    <n v="15"/>
    <s v="T020"/>
    <x v="0"/>
    <n v="1247.72"/>
    <x v="1"/>
    <n v="1247.72"/>
    <n v="4"/>
    <s v="Member"/>
    <n v="1247.72"/>
    <s v="OK"/>
    <x v="2"/>
    <x v="1"/>
    <s v="0%"/>
    <x v="2"/>
    <x v="2"/>
  </r>
  <r>
    <x v="36"/>
    <d v="2025-06-04T00:00:00"/>
    <n v="19"/>
    <s v="T027"/>
    <x v="0"/>
    <n v="1559.55"/>
    <x v="1"/>
    <n v="1559.55"/>
    <n v="1"/>
    <s v="Walk-in"/>
    <n v="1559.55"/>
    <s v="OK"/>
    <x v="3"/>
    <x v="0"/>
    <s v="0%"/>
    <x v="4"/>
    <x v="9"/>
  </r>
  <r>
    <x v="37"/>
    <d v="2025-04-01T00:00:00"/>
    <n v="11"/>
    <s v="T002"/>
    <x v="0"/>
    <n v="3960.96"/>
    <x v="3"/>
    <n v="3564.86"/>
    <n v="4"/>
    <s v="Member"/>
    <n v="3564.86"/>
    <s v="OK"/>
    <x v="4"/>
    <x v="0"/>
    <s v="1–_x000a_10%"/>
    <x v="4"/>
    <x v="9"/>
  </r>
  <r>
    <x v="38"/>
    <d v="2025-05-01T00:00:00"/>
    <n v="17"/>
    <s v="T030"/>
    <x v="0"/>
    <n v="738.24"/>
    <x v="2"/>
    <n v="516.77"/>
    <n v="2"/>
    <s v="Member"/>
    <n v="516.77"/>
    <s v="OK"/>
    <x v="1"/>
    <x v="0"/>
    <s v="&gt;20%"/>
    <x v="2"/>
    <x v="2"/>
  </r>
  <r>
    <x v="39"/>
    <d v="2025-05-31T00:00:00"/>
    <n v="20"/>
    <s v="T007"/>
    <x v="3"/>
    <n v="2485.9899999999998"/>
    <x v="1"/>
    <n v="2485.9899999999998"/>
    <n v="1"/>
    <s v="Walk-in"/>
    <n v="2485.9899999999998"/>
    <s v="OK"/>
    <x v="1"/>
    <x v="1"/>
    <s v="0%"/>
    <x v="4"/>
    <x v="8"/>
  </r>
  <r>
    <x v="40"/>
    <d v="2025-03-10T00:00:00"/>
    <n v="12"/>
    <s v="T022"/>
    <x v="0"/>
    <n v="601.08000000000004"/>
    <x v="3"/>
    <n v="540.97"/>
    <n v="2"/>
    <s v="Member"/>
    <n v="540.97"/>
    <s v="OK"/>
    <x v="5"/>
    <x v="0"/>
    <s v="1–_x000a_10%"/>
    <x v="4"/>
    <x v="8"/>
  </r>
  <r>
    <x v="41"/>
    <d v="2025-05-27T00:00:00"/>
    <n v="18"/>
    <s v="T003"/>
    <x v="1"/>
    <n v="544.36"/>
    <x v="4"/>
    <n v="435.49"/>
    <n v="1"/>
    <s v="Member"/>
    <n v="435.49"/>
    <s v="OK"/>
    <x v="1"/>
    <x v="0"/>
    <s v="11–20%"/>
    <x v="3"/>
    <x v="3"/>
  </r>
  <r>
    <x v="42"/>
    <d v="2025-01-22T00:00:00"/>
    <n v="16"/>
    <s v="T018"/>
    <x v="0"/>
    <n v="1466.11"/>
    <x v="1"/>
    <n v="1466.11"/>
    <n v="6"/>
    <s v="Walk-in"/>
    <n v="1466.11"/>
    <s v="OK"/>
    <x v="2"/>
    <x v="0"/>
    <s v="0%"/>
    <x v="3"/>
    <x v="3"/>
  </r>
  <r>
    <x v="43"/>
    <d v="2025-01-29T00:00:00"/>
    <n v="21"/>
    <s v="T010"/>
    <x v="0"/>
    <n v="1424.71"/>
    <x v="4"/>
    <n v="1139.77"/>
    <n v="1"/>
    <s v="Walk-in"/>
    <n v="1139.77"/>
    <s v="OK"/>
    <x v="2"/>
    <x v="0"/>
    <s v="11–20%"/>
    <x v="2"/>
    <x v="4"/>
  </r>
  <r>
    <x v="44"/>
    <d v="2025-04-28T00:00:00"/>
    <n v="18"/>
    <s v="T029"/>
    <x v="0"/>
    <n v="632.38"/>
    <x v="1"/>
    <n v="632.38"/>
    <n v="1"/>
    <s v="Walk-in"/>
    <n v="632.38"/>
    <s v="OK"/>
    <x v="4"/>
    <x v="0"/>
    <s v="0%"/>
    <x v="0"/>
    <x v="6"/>
  </r>
  <r>
    <x v="45"/>
    <d v="2025-03-23T00:00:00"/>
    <n v="13"/>
    <s v="T026"/>
    <x v="0"/>
    <n v="1499.17"/>
    <x v="1"/>
    <n v="1499.17"/>
    <n v="3"/>
    <s v="Member"/>
    <n v="1499.17"/>
    <s v="OK"/>
    <x v="5"/>
    <x v="1"/>
    <s v="0%"/>
    <x v="1"/>
    <x v="10"/>
  </r>
  <r>
    <x v="46"/>
    <d v="2025-04-16T00:00:00"/>
    <n v="21"/>
    <s v="T020"/>
    <x v="1"/>
    <n v="281.29000000000002"/>
    <x v="4"/>
    <n v="225.03"/>
    <n v="1"/>
    <s v="Member"/>
    <n v="225.03"/>
    <s v="OK"/>
    <x v="4"/>
    <x v="0"/>
    <s v="11–20%"/>
    <x v="2"/>
    <x v="2"/>
  </r>
  <r>
    <x v="47"/>
    <d v="2025-05-15T00:00:00"/>
    <n v="14"/>
    <s v="T029"/>
    <x v="0"/>
    <n v="1348.62"/>
    <x v="1"/>
    <n v="1348.62"/>
    <n v="2"/>
    <s v="Member"/>
    <n v="1348.62"/>
    <s v="OK"/>
    <x v="1"/>
    <x v="0"/>
    <s v="0%"/>
    <x v="0"/>
    <x v="6"/>
  </r>
  <r>
    <x v="48"/>
    <d v="2025-04-30T00:00:00"/>
    <n v="13"/>
    <s v="T012"/>
    <x v="0"/>
    <n v="282.42"/>
    <x v="1"/>
    <n v="282.42"/>
    <n v="2"/>
    <s v="Walk-in"/>
    <n v="282.42"/>
    <s v="OK"/>
    <x v="4"/>
    <x v="0"/>
    <s v="0%"/>
    <x v="4"/>
    <x v="9"/>
  </r>
  <r>
    <x v="49"/>
    <d v="2025-04-23T00:00:00"/>
    <n v="20"/>
    <s v="T030"/>
    <x v="3"/>
    <n v="1001.27"/>
    <x v="3"/>
    <n v="901.14"/>
    <n v="2"/>
    <s v="Walk-in"/>
    <n v="901.14"/>
    <s v="OK"/>
    <x v="4"/>
    <x v="0"/>
    <s v="1–_x000a_10%"/>
    <x v="2"/>
    <x v="2"/>
  </r>
  <r>
    <x v="50"/>
    <d v="2025-06-14T00:00:00"/>
    <n v="22"/>
    <s v="T024"/>
    <x v="3"/>
    <n v="1631.16"/>
    <x v="1"/>
    <n v="1631.16"/>
    <n v="2"/>
    <s v="Member"/>
    <n v="1631.16"/>
    <s v="OK"/>
    <x v="3"/>
    <x v="1"/>
    <s v="0%"/>
    <x v="0"/>
    <x v="0"/>
  </r>
  <r>
    <x v="51"/>
    <d v="2025-05-06T00:00:00"/>
    <n v="17"/>
    <s v="T014"/>
    <x v="2"/>
    <n v="952.45"/>
    <x v="0"/>
    <n v="809.58"/>
    <n v="3"/>
    <s v="Walk-in"/>
    <n v="809.58"/>
    <s v="OK"/>
    <x v="1"/>
    <x v="0"/>
    <s v="11–20%"/>
    <x v="0"/>
    <x v="6"/>
  </r>
  <r>
    <x v="52"/>
    <d v="2025-04-18T00:00:00"/>
    <n v="17"/>
    <s v="T019"/>
    <x v="1"/>
    <n v="572.82000000000005"/>
    <x v="0"/>
    <n v="486.9"/>
    <n v="1"/>
    <s v="Walk-in"/>
    <n v="486.9"/>
    <s v="OK"/>
    <x v="4"/>
    <x v="0"/>
    <s v="11–20%"/>
    <x v="0"/>
    <x v="0"/>
  </r>
  <r>
    <x v="53"/>
    <d v="2025-06-01T00:00:00"/>
    <n v="12"/>
    <s v="T022"/>
    <x v="0"/>
    <n v="4540.59"/>
    <x v="3"/>
    <n v="4086.53"/>
    <n v="1"/>
    <s v="Member"/>
    <n v="4086.53"/>
    <s v="OK"/>
    <x v="3"/>
    <x v="1"/>
    <s v="1–_x000a_10%"/>
    <x v="4"/>
    <x v="8"/>
  </r>
  <r>
    <x v="54"/>
    <d v="2025-05-07T00:00:00"/>
    <n v="16"/>
    <s v="T022"/>
    <x v="2"/>
    <n v="517.88"/>
    <x v="1"/>
    <n v="517.88"/>
    <n v="1"/>
    <s v="Member"/>
    <n v="517.88"/>
    <s v="OK"/>
    <x v="1"/>
    <x v="0"/>
    <s v="0%"/>
    <x v="4"/>
    <x v="8"/>
  </r>
  <r>
    <x v="55"/>
    <d v="2025-06-09T00:00:00"/>
    <n v="22"/>
    <s v="T006"/>
    <x v="0"/>
    <n v="558.97"/>
    <x v="3"/>
    <n v="503.07"/>
    <n v="1"/>
    <s v="Member"/>
    <n v="503.07"/>
    <s v="OK"/>
    <x v="3"/>
    <x v="0"/>
    <s v="1–_x000a_10%"/>
    <x v="1"/>
    <x v="1"/>
  </r>
  <r>
    <x v="56"/>
    <d v="2025-01-14T00:00:00"/>
    <n v="22"/>
    <s v="T022"/>
    <x v="3"/>
    <n v="581.72"/>
    <x v="1"/>
    <n v="581.72"/>
    <n v="3"/>
    <s v="Walk-in"/>
    <n v="581.72"/>
    <s v="OK"/>
    <x v="2"/>
    <x v="0"/>
    <s v="0%"/>
    <x v="4"/>
    <x v="8"/>
  </r>
  <r>
    <x v="57"/>
    <d v="2025-05-12T00:00:00"/>
    <n v="16"/>
    <s v="T008"/>
    <x v="2"/>
    <n v="1848.19"/>
    <x v="1"/>
    <n v="1848.19"/>
    <n v="2"/>
    <s v="Walk-in"/>
    <n v="1848.19"/>
    <s v="OK"/>
    <x v="1"/>
    <x v="0"/>
    <s v="0%"/>
    <x v="3"/>
    <x v="5"/>
  </r>
  <r>
    <x v="58"/>
    <d v="2025-04-24T00:00:00"/>
    <n v="15"/>
    <s v="T027"/>
    <x v="0"/>
    <n v="201.29"/>
    <x v="1"/>
    <n v="201.29"/>
    <n v="2"/>
    <s v="Member"/>
    <n v="201.29"/>
    <s v="OK"/>
    <x v="4"/>
    <x v="0"/>
    <s v="0%"/>
    <x v="4"/>
    <x v="9"/>
  </r>
  <r>
    <x v="59"/>
    <d v="2025-03-11T00:00:00"/>
    <n v="12"/>
    <s v="T009"/>
    <x v="1"/>
    <n v="821.16"/>
    <x v="5"/>
    <n v="780.1"/>
    <n v="1"/>
    <s v="Member"/>
    <n v="780.1"/>
    <s v="OK"/>
    <x v="5"/>
    <x v="0"/>
    <s v="1–_x000a_10%"/>
    <x v="0"/>
    <x v="6"/>
  </r>
  <r>
    <x v="60"/>
    <d v="2025-01-05T00:00:00"/>
    <n v="15"/>
    <s v="T013"/>
    <x v="0"/>
    <n v="1979.22"/>
    <x v="1"/>
    <n v="1979.22"/>
    <n v="1"/>
    <s v="Walk-in"/>
    <n v="1979.22"/>
    <s v="OK"/>
    <x v="2"/>
    <x v="1"/>
    <s v="0%"/>
    <x v="3"/>
    <x v="11"/>
  </r>
  <r>
    <x v="61"/>
    <d v="2025-06-27T00:00:00"/>
    <n v="16"/>
    <s v="T013"/>
    <x v="1"/>
    <n v="2106.77"/>
    <x v="1"/>
    <n v="2106.77"/>
    <n v="1"/>
    <s v="Walk-in"/>
    <n v="2106.77"/>
    <s v="OK"/>
    <x v="3"/>
    <x v="0"/>
    <s v="0%"/>
    <x v="3"/>
    <x v="11"/>
  </r>
  <r>
    <x v="62"/>
    <d v="2025-01-18T00:00:00"/>
    <n v="17"/>
    <s v="T021"/>
    <x v="0"/>
    <n v="1725.66"/>
    <x v="1"/>
    <n v="1725.66"/>
    <n v="1"/>
    <s v="Member"/>
    <n v="1725.66"/>
    <s v="OK"/>
    <x v="2"/>
    <x v="1"/>
    <s v="0%"/>
    <x v="1"/>
    <x v="1"/>
  </r>
  <r>
    <x v="63"/>
    <d v="2025-04-13T00:00:00"/>
    <n v="19"/>
    <s v="T016"/>
    <x v="0"/>
    <n v="831.06"/>
    <x v="3"/>
    <n v="747.95"/>
    <n v="4"/>
    <s v="Walk-in"/>
    <n v="747.95"/>
    <s v="OK"/>
    <x v="4"/>
    <x v="1"/>
    <s v="1–_x000a_10%"/>
    <x v="1"/>
    <x v="1"/>
  </r>
  <r>
    <x v="64"/>
    <d v="2025-01-14T00:00:00"/>
    <n v="17"/>
    <s v="T003"/>
    <x v="0"/>
    <n v="773.57"/>
    <x v="1"/>
    <n v="773.57"/>
    <n v="2"/>
    <s v="Walk-in"/>
    <n v="773.57"/>
    <s v="OK"/>
    <x v="2"/>
    <x v="0"/>
    <s v="0%"/>
    <x v="3"/>
    <x v="3"/>
  </r>
  <r>
    <x v="65"/>
    <d v="2025-06-03T00:00:00"/>
    <n v="20"/>
    <s v="T009"/>
    <x v="3"/>
    <n v="3320.92"/>
    <x v="5"/>
    <n v="3154.87"/>
    <n v="1"/>
    <s v="Walk-in"/>
    <n v="3154.87"/>
    <s v="OK"/>
    <x v="3"/>
    <x v="0"/>
    <s v="1–_x000a_10%"/>
    <x v="0"/>
    <x v="6"/>
  </r>
  <r>
    <x v="66"/>
    <d v="2025-06-20T00:00:00"/>
    <n v="11"/>
    <s v="T002"/>
    <x v="2"/>
    <n v="2297.81"/>
    <x v="4"/>
    <n v="1838.25"/>
    <n v="1"/>
    <s v="Walk-in"/>
    <n v="1838.25"/>
    <s v="OK"/>
    <x v="3"/>
    <x v="0"/>
    <s v="11–20%"/>
    <x v="4"/>
    <x v="9"/>
  </r>
  <r>
    <x v="67"/>
    <d v="2025-04-30T00:00:00"/>
    <n v="14"/>
    <s v="T002"/>
    <x v="0"/>
    <n v="791.75"/>
    <x v="5"/>
    <n v="752.16"/>
    <n v="1"/>
    <s v="Member"/>
    <n v="752.16"/>
    <s v="OK"/>
    <x v="4"/>
    <x v="0"/>
    <s v="1–_x000a_10%"/>
    <x v="4"/>
    <x v="9"/>
  </r>
  <r>
    <x v="68"/>
    <d v="2025-06-05T00:00:00"/>
    <n v="12"/>
    <s v="T011"/>
    <x v="0"/>
    <n v="1320.62"/>
    <x v="4"/>
    <n v="1056.5"/>
    <n v="3"/>
    <s v="Walk-in"/>
    <n v="1056.5"/>
    <s v="OK"/>
    <x v="3"/>
    <x v="0"/>
    <s v="11–20%"/>
    <x v="1"/>
    <x v="10"/>
  </r>
  <r>
    <x v="69"/>
    <d v="2025-04-19T00:00:00"/>
    <n v="13"/>
    <s v="T003"/>
    <x v="0"/>
    <n v="1299.18"/>
    <x v="1"/>
    <n v="1299.18"/>
    <n v="3"/>
    <s v="Walk-in"/>
    <n v="1299.18"/>
    <s v="OK"/>
    <x v="4"/>
    <x v="1"/>
    <s v="0%"/>
    <x v="3"/>
    <x v="3"/>
  </r>
  <r>
    <x v="70"/>
    <d v="2025-02-18T00:00:00"/>
    <n v="21"/>
    <s v="T002"/>
    <x v="2"/>
    <n v="1867.16"/>
    <x v="1"/>
    <n v="1867.16"/>
    <n v="2"/>
    <s v="Member"/>
    <n v="1867.16"/>
    <s v="OK"/>
    <x v="0"/>
    <x v="0"/>
    <s v="0%"/>
    <x v="4"/>
    <x v="9"/>
  </r>
  <r>
    <x v="71"/>
    <d v="2025-04-17T00:00:00"/>
    <n v="17"/>
    <s v="T010"/>
    <x v="0"/>
    <n v="502.52"/>
    <x v="1"/>
    <n v="502.52"/>
    <n v="1"/>
    <s v="Walk-in"/>
    <n v="502.52"/>
    <s v="OK"/>
    <x v="4"/>
    <x v="0"/>
    <s v="0%"/>
    <x v="2"/>
    <x v="4"/>
  </r>
  <r>
    <x v="72"/>
    <d v="2025-04-21T00:00:00"/>
    <n v="16"/>
    <s v="T018"/>
    <x v="1"/>
    <n v="1413.81"/>
    <x v="0"/>
    <n v="1201.74"/>
    <n v="1"/>
    <s v="Walk-in"/>
    <n v="1201.74"/>
    <s v="OK"/>
    <x v="4"/>
    <x v="0"/>
    <s v="11–20%"/>
    <x v="3"/>
    <x v="3"/>
  </r>
  <r>
    <x v="73"/>
    <d v="2025-06-10T00:00:00"/>
    <n v="13"/>
    <s v="T023"/>
    <x v="2"/>
    <n v="2071.4899999999998"/>
    <x v="4"/>
    <n v="1657.19"/>
    <n v="6"/>
    <s v="Walk-in"/>
    <n v="1657.19"/>
    <s v="OK"/>
    <x v="3"/>
    <x v="0"/>
    <s v="11–20%"/>
    <x v="3"/>
    <x v="11"/>
  </r>
  <r>
    <x v="74"/>
    <d v="2025-02-05T00:00:00"/>
    <n v="15"/>
    <s v="T017"/>
    <x v="2"/>
    <n v="4893.87"/>
    <x v="1"/>
    <n v="4893.87"/>
    <n v="1"/>
    <s v="Walk-in"/>
    <n v="4893.87"/>
    <s v="OK"/>
    <x v="0"/>
    <x v="0"/>
    <s v="0%"/>
    <x v="4"/>
    <x v="8"/>
  </r>
  <r>
    <x v="75"/>
    <d v="2025-02-12T00:00:00"/>
    <n v="11"/>
    <s v="T023"/>
    <x v="0"/>
    <n v="808.37"/>
    <x v="0"/>
    <n v="687.11"/>
    <n v="5"/>
    <s v="Walk-in"/>
    <n v="687.11"/>
    <s v="OK"/>
    <x v="0"/>
    <x v="0"/>
    <s v="11–20%"/>
    <x v="3"/>
    <x v="11"/>
  </r>
  <r>
    <x v="76"/>
    <d v="2025-01-20T00:00:00"/>
    <n v="13"/>
    <s v="T003"/>
    <x v="1"/>
    <n v="599.22"/>
    <x v="3"/>
    <n v="539.29999999999995"/>
    <n v="3"/>
    <s v="Walk-in"/>
    <n v="539.29999999999995"/>
    <s v="OK"/>
    <x v="2"/>
    <x v="0"/>
    <s v="1–_x000a_10%"/>
    <x v="3"/>
    <x v="3"/>
  </r>
  <r>
    <x v="77"/>
    <d v="2025-05-17T00:00:00"/>
    <n v="14"/>
    <s v="T015"/>
    <x v="2"/>
    <n v="1710.64"/>
    <x v="2"/>
    <n v="1197.45"/>
    <n v="3"/>
    <s v="Walk-in"/>
    <n v="1197.45"/>
    <s v="OK"/>
    <x v="1"/>
    <x v="1"/>
    <s v="&gt;20%"/>
    <x v="2"/>
    <x v="4"/>
  </r>
  <r>
    <x v="78"/>
    <d v="2025-05-01T00:00:00"/>
    <n v="10"/>
    <s v="T023"/>
    <x v="2"/>
    <n v="263.87"/>
    <x v="1"/>
    <n v="263.87"/>
    <n v="2"/>
    <s v="Walk-in"/>
    <n v="263.87"/>
    <s v="OK"/>
    <x v="1"/>
    <x v="0"/>
    <s v="0%"/>
    <x v="3"/>
    <x v="11"/>
  </r>
  <r>
    <x v="79"/>
    <d v="2025-02-06T00:00:00"/>
    <n v="10"/>
    <s v="T002"/>
    <x v="2"/>
    <n v="837.86"/>
    <x v="3"/>
    <n v="754.07"/>
    <n v="3"/>
    <s v="Walk-in"/>
    <n v="754.07"/>
    <s v="OK"/>
    <x v="0"/>
    <x v="0"/>
    <s v="1–_x000a_10%"/>
    <x v="4"/>
    <x v="9"/>
  </r>
  <r>
    <x v="80"/>
    <d v="2025-02-04T00:00:00"/>
    <n v="22"/>
    <s v="T020"/>
    <x v="2"/>
    <n v="599.79"/>
    <x v="3"/>
    <n v="539.80999999999995"/>
    <n v="1"/>
    <s v="Member"/>
    <n v="539.80999999999995"/>
    <s v="OK"/>
    <x v="0"/>
    <x v="0"/>
    <s v="1–_x000a_10%"/>
    <x v="2"/>
    <x v="2"/>
  </r>
  <r>
    <x v="81"/>
    <d v="2025-04-07T00:00:00"/>
    <n v="16"/>
    <s v="T026"/>
    <x v="0"/>
    <n v="201.96"/>
    <x v="3"/>
    <n v="181.76"/>
    <n v="3"/>
    <s v="Member"/>
    <n v="181.76"/>
    <s v="OK"/>
    <x v="4"/>
    <x v="0"/>
    <s v="1–_x000a_10%"/>
    <x v="1"/>
    <x v="10"/>
  </r>
  <r>
    <x v="82"/>
    <d v="2025-01-03T00:00:00"/>
    <n v="22"/>
    <s v="T023"/>
    <x v="0"/>
    <n v="1942.01"/>
    <x v="3"/>
    <n v="1747.81"/>
    <n v="2"/>
    <s v="Walk-in"/>
    <n v="1747.81"/>
    <s v="OK"/>
    <x v="2"/>
    <x v="0"/>
    <s v="1–_x000a_10%"/>
    <x v="3"/>
    <x v="11"/>
  </r>
  <r>
    <x v="83"/>
    <d v="2025-04-17T00:00:00"/>
    <n v="19"/>
    <s v="T002"/>
    <x v="0"/>
    <n v="786.45"/>
    <x v="1"/>
    <n v="786.45"/>
    <n v="1"/>
    <s v="Member"/>
    <n v="786.45"/>
    <s v="OK"/>
    <x v="4"/>
    <x v="0"/>
    <s v="0%"/>
    <x v="4"/>
    <x v="9"/>
  </r>
  <r>
    <x v="84"/>
    <d v="2025-01-29T00:00:00"/>
    <n v="22"/>
    <s v="T012"/>
    <x v="0"/>
    <n v="648.75"/>
    <x v="5"/>
    <n v="616.30999999999995"/>
    <n v="2"/>
    <s v="Walk-in"/>
    <n v="616.30999999999995"/>
    <s v="OK"/>
    <x v="2"/>
    <x v="0"/>
    <s v="1–_x000a_10%"/>
    <x v="4"/>
    <x v="9"/>
  </r>
  <r>
    <x v="85"/>
    <d v="2025-02-12T00:00:00"/>
    <n v="14"/>
    <s v="T026"/>
    <x v="0"/>
    <n v="806.17"/>
    <x v="0"/>
    <n v="685.24"/>
    <n v="3"/>
    <s v="Walk-in"/>
    <n v="685.24"/>
    <s v="OK"/>
    <x v="0"/>
    <x v="0"/>
    <s v="11–20%"/>
    <x v="1"/>
    <x v="10"/>
  </r>
  <r>
    <x v="86"/>
    <d v="2025-02-03T00:00:00"/>
    <n v="22"/>
    <s v="T013"/>
    <x v="2"/>
    <n v="1802.81"/>
    <x v="4"/>
    <n v="1442.25"/>
    <n v="2"/>
    <s v="Member"/>
    <n v="1442.25"/>
    <s v="OK"/>
    <x v="0"/>
    <x v="0"/>
    <s v="11–20%"/>
    <x v="3"/>
    <x v="11"/>
  </r>
  <r>
    <x v="87"/>
    <d v="2025-06-09T00:00:00"/>
    <n v="20"/>
    <s v="T023"/>
    <x v="2"/>
    <n v="5127.42"/>
    <x v="1"/>
    <n v="5127.42"/>
    <n v="5"/>
    <s v="Walk-in"/>
    <n v="5127.42"/>
    <s v="OK"/>
    <x v="3"/>
    <x v="0"/>
    <s v="0%"/>
    <x v="3"/>
    <x v="11"/>
  </r>
  <r>
    <x v="88"/>
    <d v="2025-05-09T00:00:00"/>
    <n v="18"/>
    <s v="T009"/>
    <x v="2"/>
    <n v="726.29"/>
    <x v="4"/>
    <n v="581.03"/>
    <n v="3"/>
    <s v="Walk-in"/>
    <n v="581.03"/>
    <s v="OK"/>
    <x v="1"/>
    <x v="0"/>
    <s v="11–20%"/>
    <x v="0"/>
    <x v="6"/>
  </r>
  <r>
    <x v="89"/>
    <d v="2025-06-18T00:00:00"/>
    <n v="15"/>
    <s v="T021"/>
    <x v="0"/>
    <n v="284.99"/>
    <x v="1"/>
    <n v="284.99"/>
    <n v="4"/>
    <s v="Member"/>
    <n v="284.99"/>
    <s v="OK"/>
    <x v="3"/>
    <x v="0"/>
    <s v="0%"/>
    <x v="1"/>
    <x v="1"/>
  </r>
  <r>
    <x v="90"/>
    <d v="2025-01-04T00:00:00"/>
    <n v="14"/>
    <s v="T007"/>
    <x v="2"/>
    <n v="694.51"/>
    <x v="1"/>
    <n v="694.51"/>
    <n v="2"/>
    <s v="Walk-in"/>
    <n v="694.51"/>
    <s v="OK"/>
    <x v="2"/>
    <x v="1"/>
    <s v="0%"/>
    <x v="4"/>
    <x v="8"/>
  </r>
  <r>
    <x v="91"/>
    <d v="2025-01-30T00:00:00"/>
    <n v="21"/>
    <s v="T009"/>
    <x v="1"/>
    <n v="712.23"/>
    <x v="4"/>
    <n v="569.78"/>
    <n v="4"/>
    <s v="Walk-in"/>
    <n v="569.78"/>
    <s v="OK"/>
    <x v="2"/>
    <x v="0"/>
    <s v="11–20%"/>
    <x v="0"/>
    <x v="6"/>
  </r>
  <r>
    <x v="92"/>
    <d v="2025-04-07T00:00:00"/>
    <n v="16"/>
    <s v="T019"/>
    <x v="3"/>
    <n v="1083.1300000000001"/>
    <x v="3"/>
    <n v="974.82"/>
    <n v="2"/>
    <s v="Walk-in"/>
    <n v="974.82"/>
    <s v="OK"/>
    <x v="4"/>
    <x v="0"/>
    <s v="1–_x000a_10%"/>
    <x v="0"/>
    <x v="0"/>
  </r>
  <r>
    <x v="93"/>
    <d v="2025-01-03T00:00:00"/>
    <n v="14"/>
    <s v="T005"/>
    <x v="2"/>
    <n v="884.31"/>
    <x v="5"/>
    <n v="840.09"/>
    <n v="2"/>
    <s v="Member"/>
    <n v="840.09"/>
    <s v="OK"/>
    <x v="2"/>
    <x v="0"/>
    <s v="1–_x000a_10%"/>
    <x v="2"/>
    <x v="4"/>
  </r>
  <r>
    <x v="94"/>
    <d v="2025-05-30T00:00:00"/>
    <n v="10"/>
    <s v="T008"/>
    <x v="0"/>
    <n v="1095.94"/>
    <x v="1"/>
    <n v="1095.94"/>
    <n v="1"/>
    <s v="Member"/>
    <n v="1095.94"/>
    <s v="OK"/>
    <x v="1"/>
    <x v="0"/>
    <s v="0%"/>
    <x v="3"/>
    <x v="5"/>
  </r>
  <r>
    <x v="95"/>
    <d v="2025-06-24T00:00:00"/>
    <n v="17"/>
    <s v="T017"/>
    <x v="3"/>
    <n v="3971.57"/>
    <x v="3"/>
    <n v="3574.41"/>
    <n v="1"/>
    <s v="Walk-in"/>
    <n v="3574.41"/>
    <s v="OK"/>
    <x v="3"/>
    <x v="0"/>
    <s v="1–_x000a_10%"/>
    <x v="4"/>
    <x v="8"/>
  </r>
  <r>
    <x v="96"/>
    <d v="2025-06-28T00:00:00"/>
    <n v="21"/>
    <s v="T001"/>
    <x v="2"/>
    <n v="1289.22"/>
    <x v="5"/>
    <n v="1224.76"/>
    <n v="3"/>
    <s v="Walk-in"/>
    <n v="1224.76"/>
    <s v="OK"/>
    <x v="3"/>
    <x v="1"/>
    <s v="1–_x000a_10%"/>
    <x v="1"/>
    <x v="7"/>
  </r>
  <r>
    <x v="97"/>
    <d v="2025-01-06T00:00:00"/>
    <n v="16"/>
    <s v="T008"/>
    <x v="0"/>
    <n v="1700.06"/>
    <x v="1"/>
    <n v="1700.06"/>
    <n v="1"/>
    <s v="Walk-in"/>
    <n v="1700.06"/>
    <s v="OK"/>
    <x v="2"/>
    <x v="0"/>
    <s v="0%"/>
    <x v="3"/>
    <x v="5"/>
  </r>
  <r>
    <x v="98"/>
    <d v="2025-01-15T00:00:00"/>
    <n v="18"/>
    <s v="T030"/>
    <x v="1"/>
    <n v="1022.93"/>
    <x v="3"/>
    <n v="920.64"/>
    <n v="2"/>
    <s v="Walk-in"/>
    <n v="920.64"/>
    <s v="OK"/>
    <x v="2"/>
    <x v="0"/>
    <s v="1–_x000a_10%"/>
    <x v="2"/>
    <x v="2"/>
  </r>
  <r>
    <x v="99"/>
    <d v="2025-05-16T00:00:00"/>
    <n v="19"/>
    <s v="T008"/>
    <x v="3"/>
    <n v="3006.38"/>
    <x v="1"/>
    <n v="3006.38"/>
    <n v="1"/>
    <s v="Walk-in"/>
    <n v="3006.38"/>
    <s v="OK"/>
    <x v="1"/>
    <x v="0"/>
    <s v="0%"/>
    <x v="3"/>
    <x v="5"/>
  </r>
  <r>
    <x v="100"/>
    <d v="2025-03-05T00:00:00"/>
    <n v="17"/>
    <s v="T003"/>
    <x v="0"/>
    <n v="1470.79"/>
    <x v="1"/>
    <n v="1470.79"/>
    <n v="1"/>
    <s v="Walk-in"/>
    <n v="1470.79"/>
    <s v="OK"/>
    <x v="5"/>
    <x v="0"/>
    <s v="0%"/>
    <x v="3"/>
    <x v="3"/>
  </r>
  <r>
    <x v="101"/>
    <d v="2025-03-22T00:00:00"/>
    <n v="15"/>
    <s v="T003"/>
    <x v="2"/>
    <n v="1285.68"/>
    <x v="4"/>
    <n v="1028.54"/>
    <n v="1"/>
    <s v="Member"/>
    <n v="1028.54"/>
    <s v="OK"/>
    <x v="5"/>
    <x v="1"/>
    <s v="11–20%"/>
    <x v="3"/>
    <x v="3"/>
  </r>
  <r>
    <x v="102"/>
    <d v="2025-05-12T00:00:00"/>
    <n v="22"/>
    <s v="T028"/>
    <x v="3"/>
    <n v="328.9"/>
    <x v="1"/>
    <n v="328.9"/>
    <n v="2"/>
    <s v="Walk-in"/>
    <n v="328.9"/>
    <s v="OK"/>
    <x v="1"/>
    <x v="0"/>
    <s v="0%"/>
    <x v="3"/>
    <x v="5"/>
  </r>
  <r>
    <x v="103"/>
    <d v="2025-06-19T00:00:00"/>
    <n v="15"/>
    <s v="T016"/>
    <x v="0"/>
    <n v="916.34"/>
    <x v="1"/>
    <n v="916.34"/>
    <n v="3"/>
    <s v="Member"/>
    <n v="916.34"/>
    <s v="OK"/>
    <x v="3"/>
    <x v="0"/>
    <s v="0%"/>
    <x v="1"/>
    <x v="1"/>
  </r>
  <r>
    <x v="104"/>
    <d v="2025-05-22T00:00:00"/>
    <n v="21"/>
    <s v="T020"/>
    <x v="2"/>
    <n v="316.89999999999998"/>
    <x v="4"/>
    <n v="253.52"/>
    <n v="4"/>
    <s v="Member"/>
    <n v="253.52"/>
    <s v="OK"/>
    <x v="1"/>
    <x v="0"/>
    <s v="11–20%"/>
    <x v="2"/>
    <x v="2"/>
  </r>
  <r>
    <x v="105"/>
    <d v="2025-05-28T00:00:00"/>
    <n v="16"/>
    <s v="T005"/>
    <x v="1"/>
    <n v="1629"/>
    <x v="4"/>
    <n v="1303.2"/>
    <n v="5"/>
    <s v="Walk-in"/>
    <n v="1303.2"/>
    <s v="OK"/>
    <x v="1"/>
    <x v="0"/>
    <s v="11–20%"/>
    <x v="2"/>
    <x v="4"/>
  </r>
  <r>
    <x v="106"/>
    <d v="2025-06-13T00:00:00"/>
    <n v="21"/>
    <s v="T029"/>
    <x v="0"/>
    <n v="2817.34"/>
    <x v="4"/>
    <n v="2253.87"/>
    <n v="2"/>
    <s v="Member"/>
    <n v="2253.87"/>
    <s v="OK"/>
    <x v="3"/>
    <x v="0"/>
    <s v="11–20%"/>
    <x v="0"/>
    <x v="6"/>
  </r>
  <r>
    <x v="107"/>
    <d v="2025-04-13T00:00:00"/>
    <n v="13"/>
    <s v="T002"/>
    <x v="2"/>
    <n v="4805.16"/>
    <x v="1"/>
    <n v="4805.16"/>
    <n v="4"/>
    <s v="Walk-in"/>
    <n v="4805.16"/>
    <s v="OK"/>
    <x v="4"/>
    <x v="1"/>
    <s v="0%"/>
    <x v="4"/>
    <x v="9"/>
  </r>
  <r>
    <x v="108"/>
    <d v="2025-05-06T00:00:00"/>
    <n v="17"/>
    <s v="T016"/>
    <x v="1"/>
    <n v="555.41"/>
    <x v="5"/>
    <n v="527.64"/>
    <n v="1"/>
    <s v="Walk-in"/>
    <n v="527.64"/>
    <s v="OK"/>
    <x v="1"/>
    <x v="0"/>
    <s v="1–_x000a_10%"/>
    <x v="1"/>
    <x v="1"/>
  </r>
  <r>
    <x v="109"/>
    <d v="2025-02-07T00:00:00"/>
    <n v="19"/>
    <s v="T025"/>
    <x v="0"/>
    <n v="1177.18"/>
    <x v="4"/>
    <n v="941.74"/>
    <n v="4"/>
    <s v="Walk-in"/>
    <n v="941.74"/>
    <s v="OK"/>
    <x v="0"/>
    <x v="0"/>
    <s v="11–20%"/>
    <x v="2"/>
    <x v="2"/>
  </r>
  <r>
    <x v="110"/>
    <d v="2025-06-16T00:00:00"/>
    <n v="10"/>
    <s v="T024"/>
    <x v="0"/>
    <n v="1416.18"/>
    <x v="0"/>
    <n v="1203.75"/>
    <n v="4"/>
    <s v="Walk-in"/>
    <n v="1203.75"/>
    <s v="OK"/>
    <x v="3"/>
    <x v="0"/>
    <s v="11–20%"/>
    <x v="0"/>
    <x v="0"/>
  </r>
  <r>
    <x v="111"/>
    <d v="2025-06-28T00:00:00"/>
    <n v="15"/>
    <s v="T003"/>
    <x v="2"/>
    <n v="2451.91"/>
    <x v="1"/>
    <n v="2451.91"/>
    <n v="1"/>
    <s v="Member"/>
    <n v="2451.91"/>
    <s v="OK"/>
    <x v="3"/>
    <x v="1"/>
    <s v="0%"/>
    <x v="3"/>
    <x v="3"/>
  </r>
  <r>
    <x v="112"/>
    <d v="2025-02-26T00:00:00"/>
    <n v="17"/>
    <s v="T026"/>
    <x v="2"/>
    <n v="891.5"/>
    <x v="1"/>
    <n v="891.5"/>
    <n v="4"/>
    <s v="Walk-in"/>
    <n v="891.5"/>
    <s v="OK"/>
    <x v="0"/>
    <x v="0"/>
    <s v="0%"/>
    <x v="1"/>
    <x v="10"/>
  </r>
  <r>
    <x v="113"/>
    <d v="2025-02-14T00:00:00"/>
    <n v="10"/>
    <s v="T019"/>
    <x v="2"/>
    <n v="397.39"/>
    <x v="5"/>
    <n v="377.52"/>
    <n v="2"/>
    <s v="Walk-in"/>
    <n v="377.52"/>
    <s v="OK"/>
    <x v="0"/>
    <x v="0"/>
    <s v="1–_x000a_10%"/>
    <x v="0"/>
    <x v="0"/>
  </r>
  <r>
    <x v="114"/>
    <d v="2025-03-31T00:00:00"/>
    <n v="11"/>
    <s v="T015"/>
    <x v="1"/>
    <n v="607.08000000000004"/>
    <x v="5"/>
    <n v="576.73"/>
    <n v="3"/>
    <s v="Member"/>
    <n v="576.73"/>
    <s v="OK"/>
    <x v="5"/>
    <x v="0"/>
    <s v="1–_x000a_10%"/>
    <x v="2"/>
    <x v="4"/>
  </r>
  <r>
    <x v="115"/>
    <d v="2025-03-26T00:00:00"/>
    <n v="20"/>
    <s v="T020"/>
    <x v="2"/>
    <n v="2563.89"/>
    <x v="1"/>
    <n v="2563.89"/>
    <n v="1"/>
    <s v="Walk-in"/>
    <n v="2563.89"/>
    <s v="OK"/>
    <x v="5"/>
    <x v="0"/>
    <s v="0%"/>
    <x v="2"/>
    <x v="2"/>
  </r>
  <r>
    <x v="116"/>
    <d v="2025-03-06T00:00:00"/>
    <n v="16"/>
    <s v="T008"/>
    <x v="3"/>
    <n v="555.05999999999995"/>
    <x v="1"/>
    <n v="555.05999999999995"/>
    <n v="2"/>
    <s v="Walk-in"/>
    <n v="555.05999999999995"/>
    <s v="OK"/>
    <x v="5"/>
    <x v="0"/>
    <s v="0%"/>
    <x v="3"/>
    <x v="5"/>
  </r>
  <r>
    <x v="117"/>
    <d v="2025-04-03T00:00:00"/>
    <n v="22"/>
    <s v="T008"/>
    <x v="0"/>
    <n v="2069.0100000000002"/>
    <x v="1"/>
    <n v="2069.0100000000002"/>
    <n v="4"/>
    <s v="Walk-in"/>
    <n v="2069.0100000000002"/>
    <s v="OK"/>
    <x v="4"/>
    <x v="0"/>
    <s v="0%"/>
    <x v="3"/>
    <x v="5"/>
  </r>
  <r>
    <x v="118"/>
    <d v="2025-05-02T00:00:00"/>
    <n v="17"/>
    <s v="T016"/>
    <x v="0"/>
    <n v="891.46"/>
    <x v="0"/>
    <n v="757.74"/>
    <n v="5"/>
    <s v="Member"/>
    <n v="757.74"/>
    <s v="OK"/>
    <x v="1"/>
    <x v="0"/>
    <s v="11–20%"/>
    <x v="1"/>
    <x v="1"/>
  </r>
  <r>
    <x v="119"/>
    <d v="2025-05-08T00:00:00"/>
    <n v="12"/>
    <s v="T011"/>
    <x v="0"/>
    <n v="1140.57"/>
    <x v="2"/>
    <n v="798.4"/>
    <n v="1"/>
    <s v="Member"/>
    <n v="798.4"/>
    <s v="OK"/>
    <x v="1"/>
    <x v="0"/>
    <s v="&gt;20%"/>
    <x v="1"/>
    <x v="10"/>
  </r>
  <r>
    <x v="120"/>
    <d v="2025-01-06T00:00:00"/>
    <n v="16"/>
    <s v="T026"/>
    <x v="0"/>
    <n v="551.46"/>
    <x v="5"/>
    <n v="523.89"/>
    <n v="2"/>
    <s v="Walk-in"/>
    <n v="523.89"/>
    <s v="OK"/>
    <x v="2"/>
    <x v="0"/>
    <s v="1–_x000a_10%"/>
    <x v="1"/>
    <x v="10"/>
  </r>
  <r>
    <x v="121"/>
    <d v="2025-06-28T00:00:00"/>
    <n v="20"/>
    <s v="T028"/>
    <x v="0"/>
    <n v="569.41"/>
    <x v="1"/>
    <n v="569.41"/>
    <n v="3"/>
    <s v="Walk-in"/>
    <n v="569.41"/>
    <s v="OK"/>
    <x v="3"/>
    <x v="1"/>
    <s v="0%"/>
    <x v="3"/>
    <x v="5"/>
  </r>
  <r>
    <x v="122"/>
    <d v="2025-02-25T00:00:00"/>
    <n v="21"/>
    <s v="T005"/>
    <x v="0"/>
    <n v="727.99"/>
    <x v="4"/>
    <n v="582.39"/>
    <n v="2"/>
    <s v="Member"/>
    <n v="582.39"/>
    <s v="OK"/>
    <x v="0"/>
    <x v="0"/>
    <s v="11–20%"/>
    <x v="2"/>
    <x v="4"/>
  </r>
  <r>
    <x v="123"/>
    <d v="2025-01-01T00:00:00"/>
    <n v="13"/>
    <s v="T017"/>
    <x v="2"/>
    <n v="1293.8499999999999"/>
    <x v="1"/>
    <n v="1293.8499999999999"/>
    <n v="3"/>
    <s v="Walk-in"/>
    <n v="1293.8499999999999"/>
    <s v="OK"/>
    <x v="2"/>
    <x v="0"/>
    <s v="0%"/>
    <x v="4"/>
    <x v="8"/>
  </r>
  <r>
    <x v="124"/>
    <d v="2025-06-28T00:00:00"/>
    <n v="12"/>
    <s v="T003"/>
    <x v="0"/>
    <n v="1473.06"/>
    <x v="1"/>
    <n v="1473.06"/>
    <n v="4"/>
    <s v="Member"/>
    <n v="1473.06"/>
    <s v="OK"/>
    <x v="3"/>
    <x v="1"/>
    <s v="0%"/>
    <x v="3"/>
    <x v="3"/>
  </r>
  <r>
    <x v="125"/>
    <d v="2025-05-18T00:00:00"/>
    <n v="12"/>
    <s v="T024"/>
    <x v="0"/>
    <n v="350.12"/>
    <x v="1"/>
    <n v="350.12"/>
    <n v="3"/>
    <s v="Walk-in"/>
    <n v="350.12"/>
    <s v="OK"/>
    <x v="1"/>
    <x v="1"/>
    <s v="0%"/>
    <x v="0"/>
    <x v="0"/>
  </r>
  <r>
    <x v="126"/>
    <d v="2025-01-20T00:00:00"/>
    <n v="21"/>
    <s v="T003"/>
    <x v="2"/>
    <n v="905.82"/>
    <x v="0"/>
    <n v="769.95"/>
    <n v="3"/>
    <s v="Walk-in"/>
    <n v="769.95"/>
    <s v="OK"/>
    <x v="2"/>
    <x v="0"/>
    <s v="11–20%"/>
    <x v="3"/>
    <x v="3"/>
  </r>
  <r>
    <x v="127"/>
    <d v="2025-06-06T00:00:00"/>
    <n v="18"/>
    <s v="T014"/>
    <x v="0"/>
    <n v="539"/>
    <x v="1"/>
    <n v="539"/>
    <n v="1"/>
    <s v="Walk-in"/>
    <n v="539"/>
    <s v="OK"/>
    <x v="3"/>
    <x v="0"/>
    <s v="0%"/>
    <x v="0"/>
    <x v="6"/>
  </r>
  <r>
    <x v="128"/>
    <d v="2025-04-02T00:00:00"/>
    <n v="20"/>
    <s v="T014"/>
    <x v="0"/>
    <n v="841.73"/>
    <x v="0"/>
    <n v="715.47"/>
    <n v="4"/>
    <s v="Walk-in"/>
    <n v="715.47"/>
    <s v="OK"/>
    <x v="4"/>
    <x v="0"/>
    <s v="11–20%"/>
    <x v="0"/>
    <x v="6"/>
  </r>
  <r>
    <x v="129"/>
    <d v="2025-06-28T00:00:00"/>
    <n v="10"/>
    <s v="T005"/>
    <x v="2"/>
    <n v="1044.6099999999999"/>
    <x v="1"/>
    <n v="1044.6099999999999"/>
    <n v="2"/>
    <s v="Member"/>
    <n v="1044.6099999999999"/>
    <s v="OK"/>
    <x v="3"/>
    <x v="1"/>
    <s v="0%"/>
    <x v="2"/>
    <x v="4"/>
  </r>
  <r>
    <x v="130"/>
    <d v="2025-04-05T00:00:00"/>
    <n v="11"/>
    <s v="T005"/>
    <x v="0"/>
    <n v="2155.09"/>
    <x v="1"/>
    <n v="2155.09"/>
    <n v="1"/>
    <s v="Walk-in"/>
    <n v="2155.09"/>
    <s v="OK"/>
    <x v="4"/>
    <x v="1"/>
    <s v="0%"/>
    <x v="2"/>
    <x v="4"/>
  </r>
  <r>
    <x v="131"/>
    <d v="2025-04-25T00:00:00"/>
    <n v="18"/>
    <s v="T008"/>
    <x v="0"/>
    <n v="741.77"/>
    <x v="4"/>
    <n v="593.41999999999996"/>
    <n v="4"/>
    <s v="Member"/>
    <n v="593.41999999999996"/>
    <s v="OK"/>
    <x v="4"/>
    <x v="0"/>
    <s v="11–20%"/>
    <x v="3"/>
    <x v="5"/>
  </r>
  <r>
    <x v="132"/>
    <d v="2025-03-24T00:00:00"/>
    <n v="11"/>
    <s v="T023"/>
    <x v="2"/>
    <n v="404.94"/>
    <x v="0"/>
    <n v="344.2"/>
    <n v="2"/>
    <s v="Walk-in"/>
    <n v="344.2"/>
    <s v="OK"/>
    <x v="5"/>
    <x v="0"/>
    <s v="11–20%"/>
    <x v="3"/>
    <x v="11"/>
  </r>
  <r>
    <x v="133"/>
    <d v="2025-04-15T00:00:00"/>
    <n v="20"/>
    <s v="T023"/>
    <x v="0"/>
    <n v="4665.07"/>
    <x v="5"/>
    <n v="4431.82"/>
    <n v="3"/>
    <s v="Member"/>
    <n v="4431.82"/>
    <s v="OK"/>
    <x v="4"/>
    <x v="0"/>
    <s v="1–_x000a_10%"/>
    <x v="3"/>
    <x v="11"/>
  </r>
  <r>
    <x v="134"/>
    <d v="2025-02-19T00:00:00"/>
    <n v="20"/>
    <s v="T008"/>
    <x v="0"/>
    <n v="1831.12"/>
    <x v="0"/>
    <n v="1556.45"/>
    <n v="1"/>
    <s v="Walk-in"/>
    <n v="1556.45"/>
    <s v="OK"/>
    <x v="0"/>
    <x v="0"/>
    <s v="11–20%"/>
    <x v="3"/>
    <x v="5"/>
  </r>
  <r>
    <x v="135"/>
    <d v="2025-02-03T00:00:00"/>
    <n v="19"/>
    <s v="T007"/>
    <x v="2"/>
    <n v="1217.4000000000001"/>
    <x v="1"/>
    <n v="1217.4000000000001"/>
    <n v="1"/>
    <s v="Walk-in"/>
    <n v="1217.4000000000001"/>
    <s v="OK"/>
    <x v="0"/>
    <x v="0"/>
    <s v="0%"/>
    <x v="4"/>
    <x v="8"/>
  </r>
  <r>
    <x v="136"/>
    <d v="2025-02-15T00:00:00"/>
    <n v="18"/>
    <s v="T014"/>
    <x v="0"/>
    <n v="1661.03"/>
    <x v="1"/>
    <n v="1661.03"/>
    <n v="5"/>
    <s v="Walk-in"/>
    <n v="1661.03"/>
    <s v="OK"/>
    <x v="0"/>
    <x v="1"/>
    <s v="0%"/>
    <x v="0"/>
    <x v="6"/>
  </r>
  <r>
    <x v="137"/>
    <d v="2025-05-03T00:00:00"/>
    <n v="19"/>
    <s v="T028"/>
    <x v="1"/>
    <n v="1954.58"/>
    <x v="1"/>
    <n v="1954.58"/>
    <n v="3"/>
    <s v="Member"/>
    <n v="1954.58"/>
    <s v="OK"/>
    <x v="1"/>
    <x v="1"/>
    <s v="0%"/>
    <x v="3"/>
    <x v="5"/>
  </r>
  <r>
    <x v="138"/>
    <d v="2025-06-04T00:00:00"/>
    <n v="19"/>
    <s v="T014"/>
    <x v="2"/>
    <n v="1556.87"/>
    <x v="0"/>
    <n v="1323.34"/>
    <n v="3"/>
    <s v="Member"/>
    <n v="1323.34"/>
    <s v="OK"/>
    <x v="3"/>
    <x v="0"/>
    <s v="11–20%"/>
    <x v="0"/>
    <x v="6"/>
  </r>
  <r>
    <x v="139"/>
    <d v="2025-05-04T00:00:00"/>
    <n v="14"/>
    <s v="T016"/>
    <x v="0"/>
    <n v="1573.95"/>
    <x v="0"/>
    <n v="1337.86"/>
    <n v="2"/>
    <s v="Member"/>
    <n v="1337.86"/>
    <s v="OK"/>
    <x v="1"/>
    <x v="1"/>
    <s v="11–20%"/>
    <x v="1"/>
    <x v="1"/>
  </r>
  <r>
    <x v="140"/>
    <d v="2025-05-17T00:00:00"/>
    <n v="17"/>
    <s v="T007"/>
    <x v="2"/>
    <n v="1518.85"/>
    <x v="1"/>
    <n v="1518.85"/>
    <n v="2"/>
    <s v="Walk-in"/>
    <n v="1518.85"/>
    <s v="OK"/>
    <x v="1"/>
    <x v="1"/>
    <s v="0%"/>
    <x v="4"/>
    <x v="8"/>
  </r>
  <r>
    <x v="141"/>
    <d v="2025-01-12T00:00:00"/>
    <n v="15"/>
    <s v="T009"/>
    <x v="2"/>
    <n v="818.8"/>
    <x v="1"/>
    <n v="818.8"/>
    <n v="5"/>
    <s v="Walk-in"/>
    <n v="818.8"/>
    <s v="OK"/>
    <x v="2"/>
    <x v="1"/>
    <s v="0%"/>
    <x v="0"/>
    <x v="6"/>
  </r>
  <r>
    <x v="142"/>
    <d v="2025-06-22T00:00:00"/>
    <n v="18"/>
    <s v="T013"/>
    <x v="0"/>
    <n v="1701.29"/>
    <x v="1"/>
    <n v="1701.29"/>
    <n v="1"/>
    <s v="Walk-in"/>
    <n v="1701.29"/>
    <s v="OK"/>
    <x v="3"/>
    <x v="1"/>
    <s v="0%"/>
    <x v="3"/>
    <x v="11"/>
  </r>
  <r>
    <x v="143"/>
    <d v="2025-04-05T00:00:00"/>
    <n v="11"/>
    <s v="T026"/>
    <x v="3"/>
    <n v="1935.81"/>
    <x v="3"/>
    <n v="1742.23"/>
    <n v="1"/>
    <s v="Walk-in"/>
    <n v="1742.23"/>
    <s v="OK"/>
    <x v="4"/>
    <x v="1"/>
    <s v="1–_x000a_10%"/>
    <x v="1"/>
    <x v="10"/>
  </r>
  <r>
    <x v="144"/>
    <d v="2025-06-10T00:00:00"/>
    <n v="21"/>
    <s v="T014"/>
    <x v="0"/>
    <n v="1131.07"/>
    <x v="1"/>
    <n v="1131.07"/>
    <n v="1"/>
    <s v="Walk-in"/>
    <n v="1131.07"/>
    <s v="OK"/>
    <x v="3"/>
    <x v="0"/>
    <s v="0%"/>
    <x v="0"/>
    <x v="6"/>
  </r>
  <r>
    <x v="145"/>
    <d v="2025-01-22T00:00:00"/>
    <n v="16"/>
    <s v="T010"/>
    <x v="0"/>
    <n v="948.31"/>
    <x v="1"/>
    <n v="948.31"/>
    <n v="2"/>
    <s v="Member"/>
    <n v="948.31"/>
    <s v="OK"/>
    <x v="2"/>
    <x v="0"/>
    <s v="0%"/>
    <x v="2"/>
    <x v="4"/>
  </r>
  <r>
    <x v="146"/>
    <d v="2025-03-26T00:00:00"/>
    <n v="16"/>
    <s v="T017"/>
    <x v="0"/>
    <n v="346.72"/>
    <x v="1"/>
    <n v="346.72"/>
    <n v="1"/>
    <s v="Member"/>
    <n v="346.72"/>
    <s v="OK"/>
    <x v="5"/>
    <x v="0"/>
    <s v="0%"/>
    <x v="4"/>
    <x v="8"/>
  </r>
  <r>
    <x v="147"/>
    <d v="2025-06-19T00:00:00"/>
    <n v="22"/>
    <s v="T027"/>
    <x v="3"/>
    <n v="3297.51"/>
    <x v="3"/>
    <n v="2967.76"/>
    <n v="1"/>
    <s v="Walk-in"/>
    <n v="2967.76"/>
    <s v="OK"/>
    <x v="3"/>
    <x v="0"/>
    <s v="1–_x000a_10%"/>
    <x v="4"/>
    <x v="9"/>
  </r>
  <r>
    <x v="148"/>
    <d v="2025-03-14T00:00:00"/>
    <n v="11"/>
    <s v="T007"/>
    <x v="3"/>
    <n v="494.13"/>
    <x v="1"/>
    <n v="494.13"/>
    <n v="1"/>
    <s v="Walk-in"/>
    <n v="494.13"/>
    <s v="OK"/>
    <x v="5"/>
    <x v="0"/>
    <s v="0%"/>
    <x v="4"/>
    <x v="8"/>
  </r>
  <r>
    <x v="149"/>
    <d v="2025-03-11T00:00:00"/>
    <n v="14"/>
    <s v="T015"/>
    <x v="0"/>
    <n v="846.31"/>
    <x v="2"/>
    <n v="592.41999999999996"/>
    <n v="5"/>
    <s v="Walk-in"/>
    <n v="592.41999999999996"/>
    <s v="OK"/>
    <x v="5"/>
    <x v="0"/>
    <s v="&gt;20%"/>
    <x v="2"/>
    <x v="4"/>
  </r>
  <r>
    <x v="150"/>
    <d v="2025-04-21T00:00:00"/>
    <n v="11"/>
    <s v="T022"/>
    <x v="0"/>
    <n v="652.61"/>
    <x v="5"/>
    <n v="619.98"/>
    <n v="1"/>
    <s v="Member"/>
    <n v="619.98"/>
    <s v="OK"/>
    <x v="4"/>
    <x v="0"/>
    <s v="1–_x000a_10%"/>
    <x v="4"/>
    <x v="8"/>
  </r>
  <r>
    <x v="151"/>
    <d v="2025-05-02T00:00:00"/>
    <n v="21"/>
    <s v="T008"/>
    <x v="3"/>
    <n v="1105.67"/>
    <x v="3"/>
    <n v="995.1"/>
    <n v="1"/>
    <s v="Member"/>
    <n v="995.1"/>
    <s v="OK"/>
    <x v="1"/>
    <x v="0"/>
    <s v="1–_x000a_10%"/>
    <x v="3"/>
    <x v="5"/>
  </r>
  <r>
    <x v="152"/>
    <d v="2025-01-22T00:00:00"/>
    <n v="13"/>
    <s v="T021"/>
    <x v="2"/>
    <n v="529.34"/>
    <x v="3"/>
    <n v="476.41"/>
    <n v="2"/>
    <s v="Walk-in"/>
    <n v="476.41"/>
    <s v="OK"/>
    <x v="2"/>
    <x v="0"/>
    <s v="1–_x000a_10%"/>
    <x v="1"/>
    <x v="1"/>
  </r>
  <r>
    <x v="153"/>
    <d v="2025-05-04T00:00:00"/>
    <n v="17"/>
    <s v="T016"/>
    <x v="1"/>
    <n v="1527.81"/>
    <x v="3"/>
    <n v="1375.03"/>
    <n v="3"/>
    <s v="Walk-in"/>
    <n v="1375.03"/>
    <s v="OK"/>
    <x v="1"/>
    <x v="1"/>
    <s v="1–_x000a_10%"/>
    <x v="1"/>
    <x v="1"/>
  </r>
  <r>
    <x v="154"/>
    <d v="2025-05-13T00:00:00"/>
    <n v="18"/>
    <s v="T010"/>
    <x v="3"/>
    <n v="469.73"/>
    <x v="1"/>
    <n v="469.73"/>
    <n v="1"/>
    <s v="Walk-in"/>
    <n v="469.73"/>
    <s v="OK"/>
    <x v="1"/>
    <x v="0"/>
    <s v="0%"/>
    <x v="2"/>
    <x v="4"/>
  </r>
  <r>
    <x v="155"/>
    <d v="2025-01-03T00:00:00"/>
    <n v="12"/>
    <s v="T030"/>
    <x v="0"/>
    <n v="1221.29"/>
    <x v="1"/>
    <n v="1221.29"/>
    <n v="4"/>
    <s v="Walk-in"/>
    <n v="1221.29"/>
    <s v="OK"/>
    <x v="2"/>
    <x v="0"/>
    <s v="0%"/>
    <x v="2"/>
    <x v="2"/>
  </r>
  <r>
    <x v="156"/>
    <d v="2025-04-27T00:00:00"/>
    <n v="12"/>
    <s v="T027"/>
    <x v="1"/>
    <n v="1335.76"/>
    <x v="0"/>
    <n v="1135.4000000000001"/>
    <n v="2"/>
    <s v="Member"/>
    <n v="1135.4000000000001"/>
    <s v="OK"/>
    <x v="4"/>
    <x v="1"/>
    <s v="11–20%"/>
    <x v="4"/>
    <x v="9"/>
  </r>
  <r>
    <x v="157"/>
    <d v="2025-01-27T00:00:00"/>
    <n v="12"/>
    <s v="T021"/>
    <x v="1"/>
    <n v="887.93"/>
    <x v="1"/>
    <n v="887.93"/>
    <n v="4"/>
    <s v="Walk-in"/>
    <n v="887.93"/>
    <s v="OK"/>
    <x v="2"/>
    <x v="0"/>
    <s v="0%"/>
    <x v="1"/>
    <x v="1"/>
  </r>
  <r>
    <x v="158"/>
    <d v="2025-06-14T00:00:00"/>
    <n v="22"/>
    <s v="T004"/>
    <x v="0"/>
    <n v="2071.9499999999998"/>
    <x v="1"/>
    <n v="2071.9499999999998"/>
    <n v="1"/>
    <s v="Walk-in"/>
    <n v="2071.9499999999998"/>
    <s v="OK"/>
    <x v="3"/>
    <x v="1"/>
    <s v="0%"/>
    <x v="0"/>
    <x v="0"/>
  </r>
  <r>
    <x v="159"/>
    <d v="2025-04-08T00:00:00"/>
    <n v="12"/>
    <s v="T030"/>
    <x v="0"/>
    <n v="665.73"/>
    <x v="3"/>
    <n v="599.16"/>
    <n v="5"/>
    <s v="Walk-in"/>
    <n v="599.16"/>
    <s v="OK"/>
    <x v="4"/>
    <x v="0"/>
    <s v="1–_x000a_10%"/>
    <x v="2"/>
    <x v="2"/>
  </r>
  <r>
    <x v="160"/>
    <d v="2025-03-14T00:00:00"/>
    <n v="12"/>
    <s v="T025"/>
    <x v="1"/>
    <n v="1344.15"/>
    <x v="3"/>
    <n v="1209.74"/>
    <n v="3"/>
    <s v="Member"/>
    <n v="1209.74"/>
    <s v="OK"/>
    <x v="5"/>
    <x v="0"/>
    <s v="1–_x000a_10%"/>
    <x v="2"/>
    <x v="2"/>
  </r>
  <r>
    <x v="161"/>
    <d v="2025-05-09T00:00:00"/>
    <n v="11"/>
    <s v="T023"/>
    <x v="0"/>
    <n v="2628.97"/>
    <x v="1"/>
    <n v="2628.97"/>
    <n v="1"/>
    <s v="Walk-in"/>
    <n v="2628.97"/>
    <s v="OK"/>
    <x v="1"/>
    <x v="0"/>
    <s v="0%"/>
    <x v="3"/>
    <x v="11"/>
  </r>
  <r>
    <x v="162"/>
    <d v="2025-06-17T00:00:00"/>
    <n v="22"/>
    <s v="T005"/>
    <x v="0"/>
    <n v="412.64"/>
    <x v="0"/>
    <n v="350.74"/>
    <n v="2"/>
    <s v="Walk-in"/>
    <n v="350.74"/>
    <s v="OK"/>
    <x v="3"/>
    <x v="0"/>
    <s v="11–20%"/>
    <x v="2"/>
    <x v="4"/>
  </r>
  <r>
    <x v="163"/>
    <d v="2025-05-28T00:00:00"/>
    <n v="16"/>
    <s v="T002"/>
    <x v="3"/>
    <n v="770.8"/>
    <x v="1"/>
    <n v="770.8"/>
    <n v="1"/>
    <s v="Walk-in"/>
    <n v="770.8"/>
    <s v="OK"/>
    <x v="1"/>
    <x v="0"/>
    <s v="0%"/>
    <x v="4"/>
    <x v="9"/>
  </r>
  <r>
    <x v="164"/>
    <d v="2025-04-26T00:00:00"/>
    <n v="10"/>
    <s v="T018"/>
    <x v="2"/>
    <n v="184.81"/>
    <x v="0"/>
    <n v="157.09"/>
    <n v="2"/>
    <s v="Member"/>
    <n v="157.09"/>
    <s v="OK"/>
    <x v="4"/>
    <x v="1"/>
    <s v="11–20%"/>
    <x v="3"/>
    <x v="3"/>
  </r>
  <r>
    <x v="165"/>
    <d v="2025-01-16T00:00:00"/>
    <n v="11"/>
    <s v="T010"/>
    <x v="1"/>
    <n v="959"/>
    <x v="1"/>
    <n v="959"/>
    <n v="3"/>
    <s v="Walk-in"/>
    <n v="959"/>
    <s v="OK"/>
    <x v="2"/>
    <x v="0"/>
    <s v="0%"/>
    <x v="2"/>
    <x v="4"/>
  </r>
  <r>
    <x v="166"/>
    <d v="2025-04-06T00:00:00"/>
    <n v="13"/>
    <s v="T009"/>
    <x v="0"/>
    <n v="1757.98"/>
    <x v="4"/>
    <n v="1406.38"/>
    <n v="1"/>
    <s v="Walk-in"/>
    <n v="1406.38"/>
    <s v="OK"/>
    <x v="4"/>
    <x v="1"/>
    <s v="11–20%"/>
    <x v="0"/>
    <x v="6"/>
  </r>
  <r>
    <x v="167"/>
    <d v="2025-01-17T00:00:00"/>
    <n v="19"/>
    <s v="T011"/>
    <x v="0"/>
    <n v="236.68"/>
    <x v="3"/>
    <n v="213.01"/>
    <n v="1"/>
    <s v="Member"/>
    <n v="213.01"/>
    <s v="OK"/>
    <x v="2"/>
    <x v="0"/>
    <s v="1–_x000a_10%"/>
    <x v="1"/>
    <x v="10"/>
  </r>
  <r>
    <x v="168"/>
    <d v="2025-06-02T00:00:00"/>
    <n v="16"/>
    <s v="T026"/>
    <x v="0"/>
    <n v="413.68"/>
    <x v="1"/>
    <n v="413.68"/>
    <n v="1"/>
    <s v="Member"/>
    <n v="413.68"/>
    <s v="OK"/>
    <x v="3"/>
    <x v="0"/>
    <s v="0%"/>
    <x v="1"/>
    <x v="10"/>
  </r>
  <r>
    <x v="169"/>
    <d v="2025-05-23T00:00:00"/>
    <n v="22"/>
    <s v="T005"/>
    <x v="0"/>
    <n v="606.04"/>
    <x v="3"/>
    <n v="545.44000000000005"/>
    <n v="1"/>
    <s v="Walk-in"/>
    <n v="545.44000000000005"/>
    <s v="OK"/>
    <x v="1"/>
    <x v="0"/>
    <s v="1–_x000a_10%"/>
    <x v="2"/>
    <x v="4"/>
  </r>
  <r>
    <x v="170"/>
    <d v="2025-06-11T00:00:00"/>
    <n v="15"/>
    <s v="T012"/>
    <x v="2"/>
    <n v="645.73"/>
    <x v="0"/>
    <n v="548.87"/>
    <n v="6"/>
    <s v="Walk-in"/>
    <n v="548.87"/>
    <s v="OK"/>
    <x v="3"/>
    <x v="0"/>
    <s v="11–20%"/>
    <x v="4"/>
    <x v="9"/>
  </r>
  <r>
    <x v="171"/>
    <d v="2025-03-22T00:00:00"/>
    <n v="18"/>
    <s v="T010"/>
    <x v="1"/>
    <n v="737.63"/>
    <x v="1"/>
    <n v="737.63"/>
    <n v="1"/>
    <s v="Walk-in"/>
    <n v="737.63"/>
    <s v="OK"/>
    <x v="5"/>
    <x v="1"/>
    <s v="0%"/>
    <x v="2"/>
    <x v="4"/>
  </r>
  <r>
    <x v="172"/>
    <d v="2025-01-05T00:00:00"/>
    <n v="15"/>
    <s v="T024"/>
    <x v="0"/>
    <n v="464.57"/>
    <x v="5"/>
    <n v="441.34"/>
    <n v="1"/>
    <s v="Member"/>
    <n v="441.34"/>
    <s v="OK"/>
    <x v="2"/>
    <x v="1"/>
    <s v="1–_x000a_10%"/>
    <x v="0"/>
    <x v="0"/>
  </r>
  <r>
    <x v="173"/>
    <d v="2025-04-22T00:00:00"/>
    <n v="17"/>
    <s v="T007"/>
    <x v="1"/>
    <n v="1431.49"/>
    <x v="1"/>
    <n v="1431.49"/>
    <n v="2"/>
    <s v="Walk-in"/>
    <n v="1431.49"/>
    <s v="OK"/>
    <x v="4"/>
    <x v="0"/>
    <s v="0%"/>
    <x v="4"/>
    <x v="8"/>
  </r>
  <r>
    <x v="174"/>
    <d v="2025-06-14T00:00:00"/>
    <n v="10"/>
    <s v="T013"/>
    <x v="0"/>
    <n v="499.43"/>
    <x v="0"/>
    <n v="424.52"/>
    <n v="6"/>
    <s v="Walk-in"/>
    <n v="424.52"/>
    <s v="OK"/>
    <x v="3"/>
    <x v="1"/>
    <s v="11–20%"/>
    <x v="3"/>
    <x v="11"/>
  </r>
  <r>
    <x v="175"/>
    <d v="2025-03-22T00:00:00"/>
    <n v="19"/>
    <s v="T017"/>
    <x v="0"/>
    <n v="400.98"/>
    <x v="4"/>
    <n v="320.77999999999997"/>
    <n v="3"/>
    <s v="Walk-in"/>
    <n v="320.77999999999997"/>
    <s v="OK"/>
    <x v="5"/>
    <x v="1"/>
    <s v="11–20%"/>
    <x v="4"/>
    <x v="8"/>
  </r>
  <r>
    <x v="176"/>
    <d v="2025-05-20T00:00:00"/>
    <n v="13"/>
    <s v="T009"/>
    <x v="2"/>
    <n v="1526.54"/>
    <x v="1"/>
    <n v="1526.54"/>
    <n v="3"/>
    <s v="Member"/>
    <n v="1526.54"/>
    <s v="OK"/>
    <x v="1"/>
    <x v="0"/>
    <s v="0%"/>
    <x v="0"/>
    <x v="6"/>
  </r>
  <r>
    <x v="177"/>
    <d v="2025-04-29T00:00:00"/>
    <n v="12"/>
    <s v="T028"/>
    <x v="1"/>
    <n v="626.33000000000004"/>
    <x v="5"/>
    <n v="595.01"/>
    <n v="4"/>
    <s v="Walk-in"/>
    <n v="595.01"/>
    <s v="OK"/>
    <x v="4"/>
    <x v="0"/>
    <s v="1–_x000a_10%"/>
    <x v="3"/>
    <x v="5"/>
  </r>
  <r>
    <x v="178"/>
    <d v="2025-02-02T00:00:00"/>
    <n v="21"/>
    <s v="T026"/>
    <x v="0"/>
    <n v="494.47"/>
    <x v="5"/>
    <n v="469.75"/>
    <n v="2"/>
    <s v="Member"/>
    <n v="469.75"/>
    <s v="OK"/>
    <x v="0"/>
    <x v="1"/>
    <s v="1–_x000a_10%"/>
    <x v="1"/>
    <x v="10"/>
  </r>
  <r>
    <x v="179"/>
    <d v="2025-01-09T00:00:00"/>
    <n v="12"/>
    <s v="T005"/>
    <x v="3"/>
    <n v="1522.68"/>
    <x v="1"/>
    <n v="1522.68"/>
    <n v="3"/>
    <s v="Walk-in"/>
    <n v="1522.68"/>
    <s v="OK"/>
    <x v="2"/>
    <x v="0"/>
    <s v="0%"/>
    <x v="2"/>
    <x v="4"/>
  </r>
  <r>
    <x v="180"/>
    <d v="2025-01-11T00:00:00"/>
    <n v="15"/>
    <s v="T021"/>
    <x v="3"/>
    <n v="493.15"/>
    <x v="3"/>
    <n v="443.83"/>
    <n v="1"/>
    <s v="Member"/>
    <n v="443.84"/>
    <s v="OK"/>
    <x v="2"/>
    <x v="1"/>
    <s v="1–_x000a_10%"/>
    <x v="1"/>
    <x v="1"/>
  </r>
  <r>
    <x v="181"/>
    <d v="2025-02-03T00:00:00"/>
    <n v="19"/>
    <s v="T012"/>
    <x v="2"/>
    <n v="900.73"/>
    <x v="5"/>
    <n v="855.69"/>
    <n v="1"/>
    <s v="Walk-in"/>
    <n v="855.69"/>
    <s v="OK"/>
    <x v="0"/>
    <x v="0"/>
    <s v="1–_x000a_10%"/>
    <x v="4"/>
    <x v="9"/>
  </r>
  <r>
    <x v="182"/>
    <d v="2025-05-27T00:00:00"/>
    <n v="21"/>
    <s v="T009"/>
    <x v="0"/>
    <n v="740.42"/>
    <x v="1"/>
    <n v="740.42"/>
    <n v="2"/>
    <s v="Member"/>
    <n v="740.42"/>
    <s v="OK"/>
    <x v="1"/>
    <x v="0"/>
    <s v="0%"/>
    <x v="0"/>
    <x v="6"/>
  </r>
  <r>
    <x v="183"/>
    <d v="2025-03-01T00:00:00"/>
    <n v="12"/>
    <s v="T021"/>
    <x v="2"/>
    <n v="609.54"/>
    <x v="1"/>
    <n v="609.54"/>
    <n v="5"/>
    <s v="Walk-in"/>
    <n v="609.54"/>
    <s v="OK"/>
    <x v="5"/>
    <x v="1"/>
    <s v="0%"/>
    <x v="1"/>
    <x v="1"/>
  </r>
  <r>
    <x v="184"/>
    <d v="2025-02-12T00:00:00"/>
    <n v="13"/>
    <s v="T028"/>
    <x v="2"/>
    <n v="609.9"/>
    <x v="1"/>
    <n v="609.9"/>
    <n v="4"/>
    <s v="Member"/>
    <n v="609.9"/>
    <s v="OK"/>
    <x v="0"/>
    <x v="0"/>
    <s v="0%"/>
    <x v="3"/>
    <x v="5"/>
  </r>
  <r>
    <x v="185"/>
    <d v="2025-05-10T00:00:00"/>
    <n v="20"/>
    <s v="T003"/>
    <x v="0"/>
    <n v="1099.58"/>
    <x v="1"/>
    <n v="1099.58"/>
    <n v="6"/>
    <s v="Member"/>
    <n v="1099.58"/>
    <s v="OK"/>
    <x v="1"/>
    <x v="1"/>
    <s v="0%"/>
    <x v="3"/>
    <x v="3"/>
  </r>
  <r>
    <x v="186"/>
    <d v="2025-02-18T00:00:00"/>
    <n v="10"/>
    <s v="T025"/>
    <x v="1"/>
    <n v="1080.3499999999999"/>
    <x v="0"/>
    <n v="918.3"/>
    <n v="1"/>
    <s v="Member"/>
    <n v="918.3"/>
    <s v="OK"/>
    <x v="0"/>
    <x v="0"/>
    <s v="11–20%"/>
    <x v="2"/>
    <x v="2"/>
  </r>
  <r>
    <x v="187"/>
    <d v="2025-05-09T00:00:00"/>
    <n v="17"/>
    <s v="T005"/>
    <x v="0"/>
    <n v="416.45"/>
    <x v="1"/>
    <n v="416.45"/>
    <n v="2"/>
    <s v="Member"/>
    <n v="416.45"/>
    <s v="OK"/>
    <x v="1"/>
    <x v="0"/>
    <s v="0%"/>
    <x v="2"/>
    <x v="4"/>
  </r>
  <r>
    <x v="188"/>
    <d v="2025-06-03T00:00:00"/>
    <n v="20"/>
    <s v="T002"/>
    <x v="3"/>
    <n v="695.04"/>
    <x v="1"/>
    <n v="695.04"/>
    <n v="1"/>
    <s v="Walk-in"/>
    <n v="695.04"/>
    <s v="OK"/>
    <x v="3"/>
    <x v="0"/>
    <s v="0%"/>
    <x v="4"/>
    <x v="9"/>
  </r>
  <r>
    <x v="189"/>
    <d v="2025-06-26T00:00:00"/>
    <n v="17"/>
    <s v="T003"/>
    <x v="0"/>
    <n v="612.6"/>
    <x v="1"/>
    <n v="612.6"/>
    <n v="1"/>
    <s v="Walk-in"/>
    <n v="612.6"/>
    <s v="OK"/>
    <x v="3"/>
    <x v="0"/>
    <s v="0%"/>
    <x v="3"/>
    <x v="3"/>
  </r>
  <r>
    <x v="190"/>
    <d v="2025-02-23T00:00:00"/>
    <n v="17"/>
    <s v="T030"/>
    <x v="2"/>
    <n v="715.72"/>
    <x v="3"/>
    <n v="644.15"/>
    <n v="1"/>
    <s v="Walk-in"/>
    <n v="644.15"/>
    <s v="OK"/>
    <x v="0"/>
    <x v="1"/>
    <s v="1–_x000a_10%"/>
    <x v="2"/>
    <x v="2"/>
  </r>
  <r>
    <x v="191"/>
    <d v="2025-06-27T00:00:00"/>
    <n v="14"/>
    <s v="T023"/>
    <x v="3"/>
    <n v="901.48"/>
    <x v="5"/>
    <n v="856.41"/>
    <n v="1"/>
    <s v="Walk-in"/>
    <n v="856.41"/>
    <s v="OK"/>
    <x v="3"/>
    <x v="0"/>
    <s v="1–_x000a_10%"/>
    <x v="3"/>
    <x v="11"/>
  </r>
  <r>
    <x v="192"/>
    <d v="2025-05-29T00:00:00"/>
    <n v="22"/>
    <s v="T006"/>
    <x v="1"/>
    <n v="1099.74"/>
    <x v="1"/>
    <n v="1099.74"/>
    <n v="1"/>
    <s v="Member"/>
    <n v="1099.74"/>
    <s v="OK"/>
    <x v="1"/>
    <x v="0"/>
    <s v="0%"/>
    <x v="1"/>
    <x v="1"/>
  </r>
  <r>
    <x v="193"/>
    <d v="2025-05-11T00:00:00"/>
    <n v="12"/>
    <s v="T009"/>
    <x v="2"/>
    <n v="992.67"/>
    <x v="3"/>
    <n v="893.4"/>
    <n v="3"/>
    <s v="Walk-in"/>
    <n v="893.4"/>
    <s v="OK"/>
    <x v="1"/>
    <x v="1"/>
    <s v="1–_x000a_10%"/>
    <x v="0"/>
    <x v="6"/>
  </r>
  <r>
    <x v="194"/>
    <d v="2025-02-16T00:00:00"/>
    <n v="17"/>
    <s v="T017"/>
    <x v="2"/>
    <n v="1563.95"/>
    <x v="1"/>
    <n v="1563.95"/>
    <n v="5"/>
    <s v="Walk-in"/>
    <n v="1563.95"/>
    <s v="OK"/>
    <x v="0"/>
    <x v="1"/>
    <s v="0%"/>
    <x v="4"/>
    <x v="8"/>
  </r>
  <r>
    <x v="195"/>
    <d v="2025-06-17T00:00:00"/>
    <n v="18"/>
    <s v="T023"/>
    <x v="0"/>
    <n v="1457.49"/>
    <x v="1"/>
    <n v="1457.49"/>
    <n v="1"/>
    <s v="Member"/>
    <n v="1457.49"/>
    <s v="OK"/>
    <x v="3"/>
    <x v="0"/>
    <s v="0%"/>
    <x v="3"/>
    <x v="11"/>
  </r>
  <r>
    <x v="196"/>
    <d v="2025-06-26T00:00:00"/>
    <n v="22"/>
    <s v="T003"/>
    <x v="2"/>
    <n v="2148.9899999999998"/>
    <x v="3"/>
    <n v="1934.09"/>
    <n v="1"/>
    <s v="Walk-in"/>
    <n v="1934.09"/>
    <s v="OK"/>
    <x v="3"/>
    <x v="0"/>
    <s v="1–_x000a_10%"/>
    <x v="3"/>
    <x v="3"/>
  </r>
  <r>
    <x v="197"/>
    <d v="2025-05-23T00:00:00"/>
    <n v="14"/>
    <s v="T008"/>
    <x v="0"/>
    <n v="814.12"/>
    <x v="1"/>
    <n v="814.12"/>
    <n v="1"/>
    <s v="Walk-in"/>
    <n v="814.12"/>
    <s v="OK"/>
    <x v="1"/>
    <x v="0"/>
    <s v="0%"/>
    <x v="3"/>
    <x v="5"/>
  </r>
  <r>
    <x v="198"/>
    <d v="2025-01-07T00:00:00"/>
    <n v="20"/>
    <s v="T023"/>
    <x v="2"/>
    <n v="2995.5"/>
    <x v="1"/>
    <n v="2995.5"/>
    <n v="1"/>
    <s v="Walk-in"/>
    <n v="2995.5"/>
    <s v="OK"/>
    <x v="2"/>
    <x v="0"/>
    <s v="0%"/>
    <x v="3"/>
    <x v="11"/>
  </r>
  <r>
    <x v="199"/>
    <d v="2025-05-26T00:00:00"/>
    <n v="16"/>
    <s v="T011"/>
    <x v="2"/>
    <n v="569.79999999999995"/>
    <x v="1"/>
    <n v="569.79999999999995"/>
    <n v="1"/>
    <s v="Member"/>
    <n v="569.79999999999995"/>
    <s v="OK"/>
    <x v="1"/>
    <x v="0"/>
    <s v="0%"/>
    <x v="1"/>
    <x v="10"/>
  </r>
  <r>
    <x v="200"/>
    <d v="2025-01-03T00:00:00"/>
    <n v="13"/>
    <s v="T004"/>
    <x v="0"/>
    <n v="1346.59"/>
    <x v="1"/>
    <n v="1346.59"/>
    <n v="5"/>
    <s v="Walk-in"/>
    <n v="1346.59"/>
    <s v="OK"/>
    <x v="2"/>
    <x v="0"/>
    <s v="0%"/>
    <x v="0"/>
    <x v="0"/>
  </r>
  <r>
    <x v="201"/>
    <d v="2025-03-05T00:00:00"/>
    <n v="21"/>
    <s v="T022"/>
    <x v="2"/>
    <n v="519.82000000000005"/>
    <x v="1"/>
    <n v="519.82000000000005"/>
    <n v="2"/>
    <s v="Walk-in"/>
    <n v="519.82000000000005"/>
    <s v="OK"/>
    <x v="5"/>
    <x v="0"/>
    <s v="0%"/>
    <x v="4"/>
    <x v="8"/>
  </r>
  <r>
    <x v="202"/>
    <d v="2025-04-21T00:00:00"/>
    <n v="16"/>
    <s v="T027"/>
    <x v="0"/>
    <n v="1563.88"/>
    <x v="2"/>
    <n v="1094.72"/>
    <n v="2"/>
    <s v="Member"/>
    <n v="1094.72"/>
    <s v="OK"/>
    <x v="4"/>
    <x v="0"/>
    <s v="&gt;20%"/>
    <x v="4"/>
    <x v="9"/>
  </r>
  <r>
    <x v="203"/>
    <d v="2025-04-10T00:00:00"/>
    <n v="20"/>
    <s v="T009"/>
    <x v="2"/>
    <n v="356.48"/>
    <x v="1"/>
    <n v="356.48"/>
    <n v="1"/>
    <s v="Member"/>
    <n v="356.48"/>
    <s v="OK"/>
    <x v="4"/>
    <x v="0"/>
    <s v="0%"/>
    <x v="0"/>
    <x v="6"/>
  </r>
  <r>
    <x v="204"/>
    <d v="2025-01-29T00:00:00"/>
    <n v="20"/>
    <s v="T021"/>
    <x v="0"/>
    <n v="589.87"/>
    <x v="5"/>
    <n v="560.38"/>
    <n v="1"/>
    <s v="Walk-in"/>
    <n v="560.38"/>
    <s v="OK"/>
    <x v="2"/>
    <x v="0"/>
    <s v="1–_x000a_10%"/>
    <x v="1"/>
    <x v="1"/>
  </r>
  <r>
    <x v="205"/>
    <d v="2025-03-02T00:00:00"/>
    <n v="22"/>
    <s v="T011"/>
    <x v="2"/>
    <n v="1017.12"/>
    <x v="2"/>
    <n v="711.98"/>
    <n v="3"/>
    <s v="Walk-in"/>
    <n v="711.98"/>
    <s v="OK"/>
    <x v="5"/>
    <x v="1"/>
    <s v="&gt;20%"/>
    <x v="1"/>
    <x v="10"/>
  </r>
  <r>
    <x v="206"/>
    <d v="2025-04-13T00:00:00"/>
    <n v="15"/>
    <s v="T022"/>
    <x v="0"/>
    <n v="755.3"/>
    <x v="5"/>
    <n v="717.53"/>
    <n v="1"/>
    <s v="Walk-in"/>
    <n v="717.54"/>
    <s v="OK"/>
    <x v="4"/>
    <x v="1"/>
    <s v="1–_x000a_10%"/>
    <x v="4"/>
    <x v="8"/>
  </r>
  <r>
    <x v="207"/>
    <d v="2025-04-07T00:00:00"/>
    <n v="10"/>
    <s v="T015"/>
    <x v="0"/>
    <n v="1162.46"/>
    <x v="1"/>
    <n v="1162.46"/>
    <n v="3"/>
    <s v="Walk-in"/>
    <n v="1162.46"/>
    <s v="OK"/>
    <x v="4"/>
    <x v="0"/>
    <s v="0%"/>
    <x v="2"/>
    <x v="4"/>
  </r>
  <r>
    <x v="208"/>
    <d v="2025-01-25T00:00:00"/>
    <n v="16"/>
    <s v="T013"/>
    <x v="2"/>
    <n v="563.20000000000005"/>
    <x v="1"/>
    <n v="563.20000000000005"/>
    <n v="2"/>
    <s v="Walk-in"/>
    <n v="563.20000000000005"/>
    <s v="OK"/>
    <x v="2"/>
    <x v="1"/>
    <s v="0%"/>
    <x v="3"/>
    <x v="11"/>
  </r>
  <r>
    <x v="209"/>
    <d v="2025-03-05T00:00:00"/>
    <n v="16"/>
    <s v="T008"/>
    <x v="2"/>
    <n v="2386.4"/>
    <x v="0"/>
    <n v="2028.44"/>
    <n v="2"/>
    <s v="Member"/>
    <n v="2028.44"/>
    <s v="OK"/>
    <x v="5"/>
    <x v="0"/>
    <s v="11–20%"/>
    <x v="3"/>
    <x v="5"/>
  </r>
  <r>
    <x v="210"/>
    <d v="2025-01-25T00:00:00"/>
    <n v="21"/>
    <s v="T029"/>
    <x v="2"/>
    <n v="605.17999999999995"/>
    <x v="1"/>
    <n v="605.17999999999995"/>
    <n v="1"/>
    <s v="Member"/>
    <n v="605.17999999999995"/>
    <s v="OK"/>
    <x v="2"/>
    <x v="1"/>
    <s v="0%"/>
    <x v="0"/>
    <x v="6"/>
  </r>
  <r>
    <x v="211"/>
    <d v="2025-06-29T00:00:00"/>
    <n v="10"/>
    <s v="T007"/>
    <x v="3"/>
    <n v="2926.07"/>
    <x v="1"/>
    <n v="2926.07"/>
    <n v="5"/>
    <s v="Walk-in"/>
    <n v="2926.07"/>
    <s v="OK"/>
    <x v="3"/>
    <x v="1"/>
    <s v="0%"/>
    <x v="4"/>
    <x v="8"/>
  </r>
  <r>
    <x v="212"/>
    <d v="2025-05-22T00:00:00"/>
    <n v="12"/>
    <s v="T019"/>
    <x v="0"/>
    <n v="1528.18"/>
    <x v="1"/>
    <n v="1528.18"/>
    <n v="1"/>
    <s v="Member"/>
    <n v="1528.18"/>
    <s v="OK"/>
    <x v="1"/>
    <x v="0"/>
    <s v="0%"/>
    <x v="0"/>
    <x v="0"/>
  </r>
  <r>
    <x v="213"/>
    <d v="2025-05-13T00:00:00"/>
    <n v="10"/>
    <s v="T010"/>
    <x v="1"/>
    <n v="1293.79"/>
    <x v="3"/>
    <n v="1164.4100000000001"/>
    <n v="3"/>
    <s v="Walk-in"/>
    <n v="1164.4100000000001"/>
    <s v="OK"/>
    <x v="1"/>
    <x v="0"/>
    <s v="1–_x000a_10%"/>
    <x v="2"/>
    <x v="4"/>
  </r>
  <r>
    <x v="214"/>
    <d v="2025-06-17T00:00:00"/>
    <n v="17"/>
    <s v="T013"/>
    <x v="3"/>
    <n v="1992.4"/>
    <x v="5"/>
    <n v="1892.78"/>
    <n v="1"/>
    <s v="Member"/>
    <n v="1892.78"/>
    <s v="OK"/>
    <x v="3"/>
    <x v="0"/>
    <s v="1–_x000a_10%"/>
    <x v="3"/>
    <x v="11"/>
  </r>
  <r>
    <x v="215"/>
    <d v="2025-02-10T00:00:00"/>
    <n v="13"/>
    <s v="T003"/>
    <x v="2"/>
    <n v="2748.46"/>
    <x v="1"/>
    <n v="2748.46"/>
    <n v="4"/>
    <s v="Member"/>
    <n v="2748.46"/>
    <s v="OK"/>
    <x v="0"/>
    <x v="0"/>
    <s v="0%"/>
    <x v="3"/>
    <x v="3"/>
  </r>
  <r>
    <x v="216"/>
    <d v="2025-06-12T00:00:00"/>
    <n v="14"/>
    <s v="T016"/>
    <x v="0"/>
    <n v="2691.2"/>
    <x v="0"/>
    <n v="2287.52"/>
    <n v="2"/>
    <s v="Walk-in"/>
    <n v="2287.52"/>
    <s v="OK"/>
    <x v="3"/>
    <x v="0"/>
    <s v="11–20%"/>
    <x v="1"/>
    <x v="1"/>
  </r>
  <r>
    <x v="217"/>
    <d v="2025-01-29T00:00:00"/>
    <n v="20"/>
    <s v="T025"/>
    <x v="0"/>
    <n v="1906.34"/>
    <x v="0"/>
    <n v="1620.39"/>
    <n v="1"/>
    <s v="Member"/>
    <n v="1620.39"/>
    <s v="OK"/>
    <x v="2"/>
    <x v="0"/>
    <s v="11–20%"/>
    <x v="2"/>
    <x v="2"/>
  </r>
  <r>
    <x v="218"/>
    <d v="2025-06-11T00:00:00"/>
    <n v="13"/>
    <s v="T002"/>
    <x v="2"/>
    <n v="1762.89"/>
    <x v="5"/>
    <n v="1674.75"/>
    <n v="2"/>
    <s v="Walk-in"/>
    <n v="1674.75"/>
    <s v="OK"/>
    <x v="3"/>
    <x v="0"/>
    <s v="1–_x000a_10%"/>
    <x v="4"/>
    <x v="9"/>
  </r>
  <r>
    <x v="219"/>
    <d v="2025-03-06T00:00:00"/>
    <n v="18"/>
    <s v="T006"/>
    <x v="2"/>
    <n v="2203.79"/>
    <x v="1"/>
    <n v="2203.79"/>
    <n v="3"/>
    <s v="Member"/>
    <n v="2203.79"/>
    <s v="OK"/>
    <x v="5"/>
    <x v="0"/>
    <s v="0%"/>
    <x v="1"/>
    <x v="1"/>
  </r>
  <r>
    <x v="220"/>
    <d v="2025-05-05T00:00:00"/>
    <n v="15"/>
    <s v="T010"/>
    <x v="0"/>
    <n v="483.7"/>
    <x v="3"/>
    <n v="435.33"/>
    <n v="5"/>
    <s v="Member"/>
    <n v="435.33"/>
    <s v="OK"/>
    <x v="1"/>
    <x v="0"/>
    <s v="1–_x000a_10%"/>
    <x v="2"/>
    <x v="4"/>
  </r>
  <r>
    <x v="221"/>
    <d v="2025-01-25T00:00:00"/>
    <n v="21"/>
    <s v="T027"/>
    <x v="0"/>
    <n v="1461.83"/>
    <x v="5"/>
    <n v="1388.74"/>
    <n v="1"/>
    <s v="Walk-in"/>
    <n v="1388.74"/>
    <s v="OK"/>
    <x v="2"/>
    <x v="1"/>
    <s v="1–_x000a_10%"/>
    <x v="4"/>
    <x v="9"/>
  </r>
  <r>
    <x v="222"/>
    <d v="2025-04-05T00:00:00"/>
    <n v="11"/>
    <s v="T014"/>
    <x v="3"/>
    <n v="2019.54"/>
    <x v="1"/>
    <n v="2019.54"/>
    <n v="2"/>
    <s v="Member"/>
    <n v="2019.54"/>
    <s v="OK"/>
    <x v="4"/>
    <x v="1"/>
    <s v="0%"/>
    <x v="0"/>
    <x v="6"/>
  </r>
  <r>
    <x v="223"/>
    <d v="2025-06-05T00:00:00"/>
    <n v="18"/>
    <s v="T017"/>
    <x v="0"/>
    <n v="707.31"/>
    <x v="4"/>
    <n v="565.85"/>
    <n v="1"/>
    <s v="Member"/>
    <n v="565.85"/>
    <s v="OK"/>
    <x v="3"/>
    <x v="0"/>
    <s v="11–20%"/>
    <x v="4"/>
    <x v="8"/>
  </r>
  <r>
    <x v="224"/>
    <d v="2025-03-13T00:00:00"/>
    <n v="13"/>
    <s v="T021"/>
    <x v="3"/>
    <n v="1654.16"/>
    <x v="1"/>
    <n v="1654.16"/>
    <n v="1"/>
    <s v="Member"/>
    <n v="1654.16"/>
    <s v="OK"/>
    <x v="5"/>
    <x v="0"/>
    <s v="0%"/>
    <x v="1"/>
    <x v="1"/>
  </r>
  <r>
    <x v="225"/>
    <d v="2025-05-14T00:00:00"/>
    <n v="18"/>
    <s v="T003"/>
    <x v="1"/>
    <n v="1051.0899999999999"/>
    <x v="1"/>
    <n v="1051.0899999999999"/>
    <n v="2"/>
    <s v="Walk-in"/>
    <n v="1051.0899999999999"/>
    <s v="OK"/>
    <x v="1"/>
    <x v="0"/>
    <s v="0%"/>
    <x v="3"/>
    <x v="3"/>
  </r>
  <r>
    <x v="226"/>
    <d v="2025-01-09T00:00:00"/>
    <n v="14"/>
    <s v="T027"/>
    <x v="2"/>
    <n v="609.11"/>
    <x v="5"/>
    <n v="578.65"/>
    <n v="1"/>
    <s v="Walk-in"/>
    <n v="578.65"/>
    <s v="OK"/>
    <x v="2"/>
    <x v="0"/>
    <s v="1–_x000a_10%"/>
    <x v="4"/>
    <x v="9"/>
  </r>
  <r>
    <x v="227"/>
    <d v="2025-02-15T00:00:00"/>
    <n v="11"/>
    <s v="T030"/>
    <x v="0"/>
    <n v="913.34"/>
    <x v="1"/>
    <n v="913.34"/>
    <n v="1"/>
    <s v="Walk-in"/>
    <n v="913.34"/>
    <s v="OK"/>
    <x v="0"/>
    <x v="1"/>
    <s v="0%"/>
    <x v="2"/>
    <x v="2"/>
  </r>
  <r>
    <x v="228"/>
    <d v="2025-01-12T00:00:00"/>
    <n v="13"/>
    <s v="T024"/>
    <x v="0"/>
    <n v="1802.04"/>
    <x v="4"/>
    <n v="1441.63"/>
    <n v="3"/>
    <s v="Walk-in"/>
    <n v="1441.63"/>
    <s v="OK"/>
    <x v="2"/>
    <x v="1"/>
    <s v="11–20%"/>
    <x v="0"/>
    <x v="0"/>
  </r>
  <r>
    <x v="229"/>
    <d v="2025-06-04T00:00:00"/>
    <n v="12"/>
    <s v="T011"/>
    <x v="1"/>
    <n v="1340.16"/>
    <x v="1"/>
    <n v="1340.16"/>
    <n v="5"/>
    <s v="Walk-in"/>
    <n v="1340.16"/>
    <s v="OK"/>
    <x v="3"/>
    <x v="0"/>
    <s v="0%"/>
    <x v="1"/>
    <x v="10"/>
  </r>
  <r>
    <x v="230"/>
    <d v="2025-05-11T00:00:00"/>
    <n v="15"/>
    <s v="T017"/>
    <x v="0"/>
    <n v="876.25"/>
    <x v="2"/>
    <n v="613.38"/>
    <n v="2"/>
    <s v="Member"/>
    <n v="613.38"/>
    <s v="OK"/>
    <x v="1"/>
    <x v="1"/>
    <s v="&gt;20%"/>
    <x v="4"/>
    <x v="8"/>
  </r>
  <r>
    <x v="231"/>
    <d v="2025-02-14T00:00:00"/>
    <n v="14"/>
    <s v="T014"/>
    <x v="0"/>
    <n v="910.17"/>
    <x v="3"/>
    <n v="819.15"/>
    <n v="1"/>
    <s v="Member"/>
    <n v="819.15"/>
    <s v="OK"/>
    <x v="0"/>
    <x v="0"/>
    <s v="1–_x000a_10%"/>
    <x v="0"/>
    <x v="6"/>
  </r>
  <r>
    <x v="232"/>
    <d v="2025-06-08T00:00:00"/>
    <n v="10"/>
    <s v="T011"/>
    <x v="2"/>
    <n v="1118.23"/>
    <x v="1"/>
    <n v="1118.23"/>
    <n v="2"/>
    <s v="Walk-in"/>
    <n v="1118.23"/>
    <s v="OK"/>
    <x v="3"/>
    <x v="1"/>
    <s v="0%"/>
    <x v="1"/>
    <x v="10"/>
  </r>
  <r>
    <x v="233"/>
    <d v="2025-05-03T00:00:00"/>
    <n v="18"/>
    <s v="T002"/>
    <x v="0"/>
    <n v="750.3"/>
    <x v="1"/>
    <n v="750.3"/>
    <n v="6"/>
    <s v="Walk-in"/>
    <n v="750.3"/>
    <s v="OK"/>
    <x v="1"/>
    <x v="1"/>
    <s v="0%"/>
    <x v="4"/>
    <x v="9"/>
  </r>
  <r>
    <x v="234"/>
    <d v="2025-02-23T00:00:00"/>
    <n v="11"/>
    <s v="T029"/>
    <x v="0"/>
    <n v="915.29"/>
    <x v="1"/>
    <n v="915.29"/>
    <n v="4"/>
    <s v="Member"/>
    <n v="915.29"/>
    <s v="OK"/>
    <x v="0"/>
    <x v="1"/>
    <s v="0%"/>
    <x v="0"/>
    <x v="6"/>
  </r>
  <r>
    <x v="235"/>
    <d v="2025-05-23T00:00:00"/>
    <n v="13"/>
    <s v="T012"/>
    <x v="2"/>
    <n v="929.62"/>
    <x v="0"/>
    <n v="790.18"/>
    <n v="1"/>
    <s v="Member"/>
    <n v="790.18"/>
    <s v="OK"/>
    <x v="1"/>
    <x v="0"/>
    <s v="11–20%"/>
    <x v="4"/>
    <x v="9"/>
  </r>
  <r>
    <x v="236"/>
    <d v="2025-05-23T00:00:00"/>
    <n v="20"/>
    <s v="T030"/>
    <x v="0"/>
    <n v="562.73"/>
    <x v="1"/>
    <n v="562.73"/>
    <n v="2"/>
    <s v="Walk-in"/>
    <n v="562.73"/>
    <s v="OK"/>
    <x v="1"/>
    <x v="0"/>
    <s v="0%"/>
    <x v="2"/>
    <x v="2"/>
  </r>
  <r>
    <x v="237"/>
    <d v="2025-04-10T00:00:00"/>
    <n v="20"/>
    <s v="T025"/>
    <x v="2"/>
    <n v="684.49"/>
    <x v="4"/>
    <n v="547.59"/>
    <n v="2"/>
    <s v="Walk-in"/>
    <n v="547.59"/>
    <s v="OK"/>
    <x v="4"/>
    <x v="0"/>
    <s v="11–20%"/>
    <x v="2"/>
    <x v="2"/>
  </r>
  <r>
    <x v="238"/>
    <d v="2025-01-15T00:00:00"/>
    <n v="12"/>
    <s v="T026"/>
    <x v="2"/>
    <n v="419.49"/>
    <x v="3"/>
    <n v="377.54"/>
    <n v="3"/>
    <s v="Member"/>
    <n v="377.54"/>
    <s v="OK"/>
    <x v="2"/>
    <x v="0"/>
    <s v="1–_x000a_10%"/>
    <x v="1"/>
    <x v="10"/>
  </r>
  <r>
    <x v="239"/>
    <d v="2025-05-15T00:00:00"/>
    <n v="16"/>
    <s v="T019"/>
    <x v="1"/>
    <n v="345.61"/>
    <x v="1"/>
    <n v="345.61"/>
    <n v="3"/>
    <s v="Member"/>
    <n v="345.61"/>
    <s v="OK"/>
    <x v="1"/>
    <x v="0"/>
    <s v="0%"/>
    <x v="0"/>
    <x v="0"/>
  </r>
  <r>
    <x v="240"/>
    <d v="2025-04-13T00:00:00"/>
    <n v="14"/>
    <s v="T025"/>
    <x v="1"/>
    <n v="534.42999999999995"/>
    <x v="0"/>
    <n v="454.27"/>
    <n v="2"/>
    <s v="Walk-in"/>
    <n v="454.27"/>
    <s v="OK"/>
    <x v="4"/>
    <x v="1"/>
    <s v="11–20%"/>
    <x v="2"/>
    <x v="2"/>
  </r>
  <r>
    <x v="241"/>
    <d v="2025-03-12T00:00:00"/>
    <n v="10"/>
    <s v="T012"/>
    <x v="2"/>
    <n v="875.71"/>
    <x v="3"/>
    <n v="788.14"/>
    <n v="2"/>
    <s v="Walk-in"/>
    <n v="788.14"/>
    <s v="OK"/>
    <x v="5"/>
    <x v="0"/>
    <s v="1–_x000a_10%"/>
    <x v="4"/>
    <x v="9"/>
  </r>
  <r>
    <x v="242"/>
    <d v="2025-04-21T00:00:00"/>
    <n v="17"/>
    <s v="T021"/>
    <x v="3"/>
    <n v="1327.84"/>
    <x v="2"/>
    <n v="929.49"/>
    <n v="6"/>
    <s v="Walk-in"/>
    <n v="929.49"/>
    <s v="OK"/>
    <x v="4"/>
    <x v="0"/>
    <s v="&gt;20%"/>
    <x v="1"/>
    <x v="1"/>
  </r>
  <r>
    <x v="243"/>
    <d v="2025-05-08T00:00:00"/>
    <n v="19"/>
    <s v="T027"/>
    <x v="2"/>
    <n v="410.96"/>
    <x v="1"/>
    <n v="410.96"/>
    <n v="3"/>
    <s v="Walk-in"/>
    <n v="410.96"/>
    <s v="OK"/>
    <x v="1"/>
    <x v="0"/>
    <s v="0%"/>
    <x v="4"/>
    <x v="9"/>
  </r>
  <r>
    <x v="244"/>
    <d v="2025-04-20T00:00:00"/>
    <n v="20"/>
    <s v="T027"/>
    <x v="0"/>
    <n v="3977.74"/>
    <x v="1"/>
    <n v="3977.74"/>
    <n v="1"/>
    <s v="Member"/>
    <n v="3977.74"/>
    <s v="OK"/>
    <x v="4"/>
    <x v="1"/>
    <s v="0%"/>
    <x v="4"/>
    <x v="9"/>
  </r>
  <r>
    <x v="245"/>
    <d v="2025-04-02T00:00:00"/>
    <n v="20"/>
    <s v="T012"/>
    <x v="0"/>
    <n v="1783.06"/>
    <x v="1"/>
    <n v="1783.06"/>
    <n v="2"/>
    <s v="Member"/>
    <n v="1783.06"/>
    <s v="OK"/>
    <x v="4"/>
    <x v="0"/>
    <s v="0%"/>
    <x v="4"/>
    <x v="9"/>
  </r>
  <r>
    <x v="246"/>
    <d v="2025-04-23T00:00:00"/>
    <n v="19"/>
    <s v="T022"/>
    <x v="0"/>
    <n v="1508.39"/>
    <x v="1"/>
    <n v="1508.39"/>
    <n v="1"/>
    <s v="Walk-in"/>
    <n v="1508.39"/>
    <s v="OK"/>
    <x v="4"/>
    <x v="0"/>
    <s v="0%"/>
    <x v="4"/>
    <x v="8"/>
  </r>
  <r>
    <x v="247"/>
    <d v="2025-04-17T00:00:00"/>
    <n v="17"/>
    <s v="T022"/>
    <x v="0"/>
    <n v="1008.46"/>
    <x v="1"/>
    <n v="1008.46"/>
    <n v="2"/>
    <s v="Walk-in"/>
    <n v="1008.46"/>
    <s v="OK"/>
    <x v="4"/>
    <x v="0"/>
    <s v="0%"/>
    <x v="4"/>
    <x v="8"/>
  </r>
  <r>
    <x v="248"/>
    <d v="2025-06-25T00:00:00"/>
    <n v="15"/>
    <s v="T030"/>
    <x v="2"/>
    <n v="2288.38"/>
    <x v="4"/>
    <n v="1830.7"/>
    <n v="2"/>
    <s v="Walk-in"/>
    <n v="1830.7"/>
    <s v="OK"/>
    <x v="3"/>
    <x v="0"/>
    <s v="11–20%"/>
    <x v="2"/>
    <x v="2"/>
  </r>
  <r>
    <x v="249"/>
    <d v="2025-06-05T00:00:00"/>
    <n v="13"/>
    <s v="T009"/>
    <x v="3"/>
    <n v="1349.89"/>
    <x v="5"/>
    <n v="1282.4000000000001"/>
    <n v="3"/>
    <s v="Walk-in"/>
    <n v="1282.4000000000001"/>
    <s v="OK"/>
    <x v="3"/>
    <x v="0"/>
    <s v="1–_x000a_10%"/>
    <x v="0"/>
    <x v="6"/>
  </r>
  <r>
    <x v="250"/>
    <d v="2025-04-04T00:00:00"/>
    <n v="21"/>
    <s v="T022"/>
    <x v="3"/>
    <n v="955.23"/>
    <x v="4"/>
    <n v="764.18"/>
    <n v="4"/>
    <s v="Walk-in"/>
    <n v="764.18"/>
    <s v="OK"/>
    <x v="4"/>
    <x v="0"/>
    <s v="11–20%"/>
    <x v="4"/>
    <x v="8"/>
  </r>
  <r>
    <x v="251"/>
    <d v="2025-02-03T00:00:00"/>
    <n v="16"/>
    <s v="T001"/>
    <x v="2"/>
    <n v="1519.89"/>
    <x v="1"/>
    <n v="1519.89"/>
    <n v="1"/>
    <s v="Member"/>
    <n v="1519.89"/>
    <s v="OK"/>
    <x v="0"/>
    <x v="0"/>
    <s v="0%"/>
    <x v="1"/>
    <x v="7"/>
  </r>
  <r>
    <x v="252"/>
    <d v="2025-06-10T00:00:00"/>
    <n v="11"/>
    <s v="T014"/>
    <x v="0"/>
    <n v="785.79"/>
    <x v="1"/>
    <n v="785.79"/>
    <n v="3"/>
    <s v="Member"/>
    <n v="785.79"/>
    <s v="OK"/>
    <x v="3"/>
    <x v="0"/>
    <s v="0%"/>
    <x v="0"/>
    <x v="6"/>
  </r>
  <r>
    <x v="253"/>
    <d v="2025-05-28T00:00:00"/>
    <n v="19"/>
    <s v="T002"/>
    <x v="2"/>
    <n v="1389.29"/>
    <x v="1"/>
    <n v="1389.29"/>
    <n v="5"/>
    <s v="Walk-in"/>
    <n v="1389.29"/>
    <s v="OK"/>
    <x v="1"/>
    <x v="0"/>
    <s v="0%"/>
    <x v="4"/>
    <x v="9"/>
  </r>
  <r>
    <x v="254"/>
    <d v="2025-06-28T00:00:00"/>
    <n v="15"/>
    <s v="T012"/>
    <x v="1"/>
    <n v="3201.17"/>
    <x v="0"/>
    <n v="2720.99"/>
    <n v="2"/>
    <s v="Walk-in"/>
    <n v="2720.99"/>
    <s v="OK"/>
    <x v="3"/>
    <x v="1"/>
    <s v="11–20%"/>
    <x v="4"/>
    <x v="9"/>
  </r>
  <r>
    <x v="255"/>
    <d v="2025-02-22T00:00:00"/>
    <n v="11"/>
    <s v="T015"/>
    <x v="1"/>
    <n v="730.22"/>
    <x v="2"/>
    <n v="511.15"/>
    <n v="4"/>
    <s v="Walk-in"/>
    <n v="511.15"/>
    <s v="OK"/>
    <x v="0"/>
    <x v="1"/>
    <s v="&gt;20%"/>
    <x v="2"/>
    <x v="4"/>
  </r>
  <r>
    <x v="256"/>
    <d v="2025-02-12T00:00:00"/>
    <n v="10"/>
    <s v="T014"/>
    <x v="0"/>
    <n v="1261.68"/>
    <x v="1"/>
    <n v="1261.68"/>
    <n v="5"/>
    <s v="Member"/>
    <n v="1261.68"/>
    <s v="OK"/>
    <x v="0"/>
    <x v="0"/>
    <s v="0%"/>
    <x v="0"/>
    <x v="6"/>
  </r>
  <r>
    <x v="257"/>
    <d v="2025-04-01T00:00:00"/>
    <n v="11"/>
    <s v="T016"/>
    <x v="0"/>
    <n v="336.76"/>
    <x v="1"/>
    <n v="336.76"/>
    <n v="3"/>
    <s v="Member"/>
    <n v="336.76"/>
    <s v="OK"/>
    <x v="4"/>
    <x v="0"/>
    <s v="0%"/>
    <x v="1"/>
    <x v="1"/>
  </r>
  <r>
    <x v="258"/>
    <d v="2025-04-04T00:00:00"/>
    <n v="17"/>
    <s v="T019"/>
    <x v="0"/>
    <n v="877.51"/>
    <x v="3"/>
    <n v="789.76"/>
    <n v="1"/>
    <s v="Member"/>
    <n v="789.76"/>
    <s v="OK"/>
    <x v="4"/>
    <x v="0"/>
    <s v="1–_x000a_10%"/>
    <x v="0"/>
    <x v="0"/>
  </r>
  <r>
    <x v="259"/>
    <d v="2025-05-06T00:00:00"/>
    <n v="22"/>
    <s v="T009"/>
    <x v="0"/>
    <n v="1736.09"/>
    <x v="1"/>
    <n v="1736.09"/>
    <n v="4"/>
    <s v="Walk-in"/>
    <n v="1736.09"/>
    <s v="OK"/>
    <x v="1"/>
    <x v="0"/>
    <s v="0%"/>
    <x v="0"/>
    <x v="6"/>
  </r>
  <r>
    <x v="260"/>
    <d v="2025-03-03T00:00:00"/>
    <n v="21"/>
    <s v="T017"/>
    <x v="0"/>
    <n v="853.95"/>
    <x v="3"/>
    <n v="768.56"/>
    <n v="1"/>
    <s v="Walk-in"/>
    <n v="768.56"/>
    <s v="OK"/>
    <x v="5"/>
    <x v="0"/>
    <s v="1–_x000a_10%"/>
    <x v="4"/>
    <x v="8"/>
  </r>
  <r>
    <x v="261"/>
    <d v="2025-04-26T00:00:00"/>
    <n v="17"/>
    <s v="T016"/>
    <x v="0"/>
    <n v="1586.82"/>
    <x v="3"/>
    <n v="1428.14"/>
    <n v="4"/>
    <s v="Member"/>
    <n v="1428.14"/>
    <s v="OK"/>
    <x v="4"/>
    <x v="1"/>
    <s v="1–_x000a_10%"/>
    <x v="1"/>
    <x v="1"/>
  </r>
  <r>
    <x v="262"/>
    <d v="2025-02-17T00:00:00"/>
    <n v="19"/>
    <s v="T025"/>
    <x v="1"/>
    <n v="800.9"/>
    <x v="1"/>
    <n v="800.9"/>
    <n v="1"/>
    <s v="Member"/>
    <n v="800.9"/>
    <s v="OK"/>
    <x v="0"/>
    <x v="0"/>
    <s v="0%"/>
    <x v="2"/>
    <x v="2"/>
  </r>
  <r>
    <x v="263"/>
    <d v="2025-01-06T00:00:00"/>
    <n v="19"/>
    <s v="T021"/>
    <x v="0"/>
    <n v="417.2"/>
    <x v="1"/>
    <n v="417.2"/>
    <n v="4"/>
    <s v="Member"/>
    <n v="417.2"/>
    <s v="OK"/>
    <x v="2"/>
    <x v="0"/>
    <s v="0%"/>
    <x v="1"/>
    <x v="1"/>
  </r>
  <r>
    <x v="264"/>
    <d v="2025-06-19T00:00:00"/>
    <n v="19"/>
    <s v="T007"/>
    <x v="0"/>
    <n v="1298.4100000000001"/>
    <x v="1"/>
    <n v="1298.4100000000001"/>
    <n v="1"/>
    <s v="Walk-in"/>
    <n v="1298.4100000000001"/>
    <s v="OK"/>
    <x v="3"/>
    <x v="0"/>
    <s v="0%"/>
    <x v="4"/>
    <x v="8"/>
  </r>
  <r>
    <x v="265"/>
    <d v="2025-02-27T00:00:00"/>
    <n v="21"/>
    <s v="T021"/>
    <x v="1"/>
    <n v="635.59"/>
    <x v="1"/>
    <n v="635.59"/>
    <n v="5"/>
    <s v="Walk-in"/>
    <n v="635.59"/>
    <s v="OK"/>
    <x v="0"/>
    <x v="0"/>
    <s v="0%"/>
    <x v="1"/>
    <x v="1"/>
  </r>
  <r>
    <x v="266"/>
    <d v="2025-03-12T00:00:00"/>
    <n v="14"/>
    <s v="T008"/>
    <x v="0"/>
    <n v="1435.49"/>
    <x v="1"/>
    <n v="1435.49"/>
    <n v="2"/>
    <s v="Member"/>
    <n v="1435.49"/>
    <s v="OK"/>
    <x v="5"/>
    <x v="0"/>
    <s v="0%"/>
    <x v="3"/>
    <x v="5"/>
  </r>
  <r>
    <x v="267"/>
    <d v="2025-01-24T00:00:00"/>
    <n v="17"/>
    <s v="T026"/>
    <x v="2"/>
    <n v="1077.1600000000001"/>
    <x v="1"/>
    <n v="1077.1600000000001"/>
    <n v="4"/>
    <s v="Member"/>
    <n v="1077.1600000000001"/>
    <s v="OK"/>
    <x v="2"/>
    <x v="0"/>
    <s v="0%"/>
    <x v="1"/>
    <x v="10"/>
  </r>
  <r>
    <x v="268"/>
    <d v="2025-06-16T00:00:00"/>
    <n v="10"/>
    <s v="T018"/>
    <x v="0"/>
    <n v="1263.06"/>
    <x v="1"/>
    <n v="1263.06"/>
    <n v="2"/>
    <s v="Walk-in"/>
    <n v="1263.06"/>
    <s v="OK"/>
    <x v="3"/>
    <x v="0"/>
    <s v="0%"/>
    <x v="3"/>
    <x v="3"/>
  </r>
  <r>
    <x v="269"/>
    <d v="2025-05-13T00:00:00"/>
    <n v="12"/>
    <s v="T003"/>
    <x v="3"/>
    <n v="1771.11"/>
    <x v="1"/>
    <n v="1771.11"/>
    <n v="3"/>
    <s v="Walk-in"/>
    <n v="1771.11"/>
    <s v="OK"/>
    <x v="1"/>
    <x v="0"/>
    <s v="0%"/>
    <x v="3"/>
    <x v="3"/>
  </r>
  <r>
    <x v="270"/>
    <d v="2025-05-04T00:00:00"/>
    <n v="20"/>
    <s v="T002"/>
    <x v="2"/>
    <n v="375.76"/>
    <x v="1"/>
    <n v="375.76"/>
    <n v="2"/>
    <s v="Member"/>
    <n v="375.76"/>
    <s v="OK"/>
    <x v="1"/>
    <x v="1"/>
    <s v="0%"/>
    <x v="4"/>
    <x v="9"/>
  </r>
  <r>
    <x v="271"/>
    <d v="2025-04-08T00:00:00"/>
    <n v="10"/>
    <s v="T018"/>
    <x v="1"/>
    <n v="698.38"/>
    <x v="1"/>
    <n v="698.38"/>
    <n v="1"/>
    <s v="Walk-in"/>
    <n v="698.38"/>
    <s v="OK"/>
    <x v="4"/>
    <x v="0"/>
    <s v="0%"/>
    <x v="3"/>
    <x v="3"/>
  </r>
  <r>
    <x v="272"/>
    <d v="2025-06-27T00:00:00"/>
    <n v="18"/>
    <s v="T021"/>
    <x v="2"/>
    <n v="598.32000000000005"/>
    <x v="1"/>
    <n v="598.32000000000005"/>
    <n v="2"/>
    <s v="Walk-in"/>
    <n v="598.32000000000005"/>
    <s v="OK"/>
    <x v="3"/>
    <x v="0"/>
    <s v="0%"/>
    <x v="1"/>
    <x v="1"/>
  </r>
  <r>
    <x v="273"/>
    <d v="2025-03-01T00:00:00"/>
    <n v="21"/>
    <s v="T022"/>
    <x v="2"/>
    <n v="1052.04"/>
    <x v="2"/>
    <n v="736.43"/>
    <n v="4"/>
    <s v="Walk-in"/>
    <n v="736.43"/>
    <s v="OK"/>
    <x v="5"/>
    <x v="1"/>
    <s v="&gt;20%"/>
    <x v="4"/>
    <x v="8"/>
  </r>
  <r>
    <x v="274"/>
    <d v="2025-03-10T00:00:00"/>
    <n v="17"/>
    <s v="T022"/>
    <x v="2"/>
    <n v="1513.93"/>
    <x v="4"/>
    <n v="1211.1400000000001"/>
    <n v="2"/>
    <s v="Walk-in"/>
    <n v="1211.1400000000001"/>
    <s v="OK"/>
    <x v="5"/>
    <x v="0"/>
    <s v="11–20%"/>
    <x v="4"/>
    <x v="8"/>
  </r>
  <r>
    <x v="275"/>
    <d v="2025-03-27T00:00:00"/>
    <n v="15"/>
    <s v="T005"/>
    <x v="3"/>
    <n v="2249.91"/>
    <x v="0"/>
    <n v="1912.42"/>
    <n v="1"/>
    <s v="Walk-in"/>
    <n v="1912.42"/>
    <s v="OK"/>
    <x v="5"/>
    <x v="0"/>
    <s v="11–20%"/>
    <x v="2"/>
    <x v="4"/>
  </r>
  <r>
    <x v="276"/>
    <d v="2025-01-19T00:00:00"/>
    <n v="15"/>
    <s v="T023"/>
    <x v="2"/>
    <n v="719.95"/>
    <x v="4"/>
    <n v="575.96"/>
    <n v="1"/>
    <s v="Walk-in"/>
    <n v="575.96"/>
    <s v="OK"/>
    <x v="2"/>
    <x v="1"/>
    <s v="11–20%"/>
    <x v="3"/>
    <x v="11"/>
  </r>
  <r>
    <x v="277"/>
    <d v="2025-04-14T00:00:00"/>
    <n v="13"/>
    <s v="T007"/>
    <x v="0"/>
    <n v="2390.35"/>
    <x v="0"/>
    <n v="2031.8"/>
    <n v="1"/>
    <s v="Member"/>
    <n v="2031.8"/>
    <s v="OK"/>
    <x v="4"/>
    <x v="0"/>
    <s v="11–20%"/>
    <x v="4"/>
    <x v="8"/>
  </r>
  <r>
    <x v="278"/>
    <d v="2025-01-05T00:00:00"/>
    <n v="11"/>
    <s v="T026"/>
    <x v="0"/>
    <n v="942.6"/>
    <x v="1"/>
    <n v="942.6"/>
    <n v="4"/>
    <s v="Member"/>
    <n v="942.6"/>
    <s v="OK"/>
    <x v="2"/>
    <x v="1"/>
    <s v="0%"/>
    <x v="1"/>
    <x v="10"/>
  </r>
  <r>
    <x v="279"/>
    <d v="2025-05-10T00:00:00"/>
    <n v="12"/>
    <s v="T018"/>
    <x v="0"/>
    <n v="1345.59"/>
    <x v="5"/>
    <n v="1278.31"/>
    <n v="3"/>
    <s v="Walk-in"/>
    <n v="1278.31"/>
    <s v="OK"/>
    <x v="1"/>
    <x v="1"/>
    <s v="1–_x000a_10%"/>
    <x v="3"/>
    <x v="3"/>
  </r>
  <r>
    <x v="280"/>
    <d v="2025-03-09T00:00:00"/>
    <n v="10"/>
    <s v="T011"/>
    <x v="0"/>
    <n v="1198.67"/>
    <x v="1"/>
    <n v="1198.67"/>
    <n v="6"/>
    <s v="Member"/>
    <n v="1198.67"/>
    <s v="OK"/>
    <x v="5"/>
    <x v="1"/>
    <s v="0%"/>
    <x v="1"/>
    <x v="10"/>
  </r>
  <r>
    <x v="281"/>
    <d v="2025-06-17T00:00:00"/>
    <n v="11"/>
    <s v="T013"/>
    <x v="2"/>
    <n v="477.86"/>
    <x v="1"/>
    <n v="477.86"/>
    <n v="2"/>
    <s v="Member"/>
    <n v="477.86"/>
    <s v="OK"/>
    <x v="3"/>
    <x v="0"/>
    <s v="0%"/>
    <x v="3"/>
    <x v="11"/>
  </r>
  <r>
    <x v="282"/>
    <d v="2025-02-10T00:00:00"/>
    <n v="14"/>
    <s v="T020"/>
    <x v="2"/>
    <n v="1031.6400000000001"/>
    <x v="4"/>
    <n v="825.31"/>
    <n v="4"/>
    <s v="Walk-in"/>
    <n v="825.31"/>
    <s v="OK"/>
    <x v="0"/>
    <x v="0"/>
    <s v="11–20%"/>
    <x v="2"/>
    <x v="2"/>
  </r>
  <r>
    <x v="283"/>
    <d v="2025-06-23T00:00:00"/>
    <n v="16"/>
    <s v="T011"/>
    <x v="2"/>
    <n v="2270.17"/>
    <x v="1"/>
    <n v="2270.17"/>
    <n v="6"/>
    <s v="Member"/>
    <n v="2270.17"/>
    <s v="OK"/>
    <x v="3"/>
    <x v="0"/>
    <s v="0%"/>
    <x v="1"/>
    <x v="10"/>
  </r>
  <r>
    <x v="284"/>
    <d v="2025-03-30T00:00:00"/>
    <n v="14"/>
    <s v="T026"/>
    <x v="3"/>
    <n v="656.33"/>
    <x v="1"/>
    <n v="656.33"/>
    <n v="6"/>
    <s v="Member"/>
    <n v="656.33"/>
    <s v="OK"/>
    <x v="5"/>
    <x v="1"/>
    <s v="0%"/>
    <x v="1"/>
    <x v="10"/>
  </r>
  <r>
    <x v="285"/>
    <d v="2025-04-05T00:00:00"/>
    <n v="14"/>
    <s v="T028"/>
    <x v="0"/>
    <n v="677.45"/>
    <x v="1"/>
    <n v="677.45"/>
    <n v="1"/>
    <s v="Member"/>
    <n v="677.45"/>
    <s v="OK"/>
    <x v="4"/>
    <x v="1"/>
    <s v="0%"/>
    <x v="3"/>
    <x v="5"/>
  </r>
  <r>
    <x v="286"/>
    <d v="2025-01-19T00:00:00"/>
    <n v="16"/>
    <s v="T017"/>
    <x v="0"/>
    <n v="999.92"/>
    <x v="3"/>
    <n v="899.93"/>
    <n v="1"/>
    <s v="Member"/>
    <n v="899.93"/>
    <s v="OK"/>
    <x v="2"/>
    <x v="1"/>
    <s v="1–_x000a_10%"/>
    <x v="4"/>
    <x v="8"/>
  </r>
  <r>
    <x v="287"/>
    <d v="2025-05-21T00:00:00"/>
    <n v="12"/>
    <s v="T009"/>
    <x v="0"/>
    <n v="539.45000000000005"/>
    <x v="1"/>
    <n v="539.45000000000005"/>
    <n v="1"/>
    <s v="Walk-in"/>
    <n v="539.45000000000005"/>
    <s v="OK"/>
    <x v="1"/>
    <x v="0"/>
    <s v="0%"/>
    <x v="0"/>
    <x v="6"/>
  </r>
  <r>
    <x v="288"/>
    <d v="2025-05-22T00:00:00"/>
    <n v="22"/>
    <s v="T019"/>
    <x v="0"/>
    <n v="1484.25"/>
    <x v="0"/>
    <n v="1261.6099999999999"/>
    <n v="2"/>
    <s v="Member"/>
    <n v="1261.6099999999999"/>
    <s v="OK"/>
    <x v="1"/>
    <x v="0"/>
    <s v="11–20%"/>
    <x v="0"/>
    <x v="0"/>
  </r>
  <r>
    <x v="289"/>
    <d v="2025-04-13T00:00:00"/>
    <n v="15"/>
    <s v="T022"/>
    <x v="0"/>
    <n v="1317.32"/>
    <x v="1"/>
    <n v="1317.32"/>
    <n v="3"/>
    <s v="Walk-in"/>
    <n v="1317.32"/>
    <s v="OK"/>
    <x v="4"/>
    <x v="1"/>
    <s v="0%"/>
    <x v="4"/>
    <x v="8"/>
  </r>
  <r>
    <x v="290"/>
    <d v="2025-04-24T00:00:00"/>
    <n v="17"/>
    <s v="T024"/>
    <x v="2"/>
    <n v="988.46"/>
    <x v="5"/>
    <n v="939.04"/>
    <n v="2"/>
    <s v="Member"/>
    <n v="939.04"/>
    <s v="OK"/>
    <x v="4"/>
    <x v="0"/>
    <s v="1–_x000a_10%"/>
    <x v="0"/>
    <x v="0"/>
  </r>
  <r>
    <x v="291"/>
    <d v="2025-01-06T00:00:00"/>
    <n v="14"/>
    <s v="T004"/>
    <x v="0"/>
    <n v="576.83000000000004"/>
    <x v="3"/>
    <n v="519.15"/>
    <n v="3"/>
    <s v="Walk-in"/>
    <n v="519.15"/>
    <s v="OK"/>
    <x v="2"/>
    <x v="0"/>
    <s v="1–_x000a_10%"/>
    <x v="0"/>
    <x v="0"/>
  </r>
  <r>
    <x v="292"/>
    <d v="2025-04-12T00:00:00"/>
    <n v="19"/>
    <s v="T015"/>
    <x v="0"/>
    <n v="1968.45"/>
    <x v="1"/>
    <n v="1968.45"/>
    <n v="4"/>
    <s v="Member"/>
    <n v="1968.45"/>
    <s v="OK"/>
    <x v="4"/>
    <x v="1"/>
    <s v="0%"/>
    <x v="2"/>
    <x v="4"/>
  </r>
  <r>
    <x v="293"/>
    <d v="2025-05-04T00:00:00"/>
    <n v="18"/>
    <s v="T011"/>
    <x v="2"/>
    <n v="945.94"/>
    <x v="3"/>
    <n v="851.35"/>
    <n v="5"/>
    <s v="Walk-in"/>
    <n v="851.35"/>
    <s v="OK"/>
    <x v="1"/>
    <x v="1"/>
    <s v="1–_x000a_10%"/>
    <x v="1"/>
    <x v="10"/>
  </r>
  <r>
    <x v="294"/>
    <d v="2025-03-09T00:00:00"/>
    <n v="10"/>
    <s v="T022"/>
    <x v="0"/>
    <n v="1419.51"/>
    <x v="1"/>
    <n v="1419.51"/>
    <n v="1"/>
    <s v="Member"/>
    <n v="1419.51"/>
    <s v="OK"/>
    <x v="5"/>
    <x v="1"/>
    <s v="0%"/>
    <x v="4"/>
    <x v="8"/>
  </r>
  <r>
    <x v="295"/>
    <d v="2025-02-20T00:00:00"/>
    <n v="15"/>
    <s v="T026"/>
    <x v="1"/>
    <n v="2018.95"/>
    <x v="1"/>
    <n v="2018.95"/>
    <n v="2"/>
    <s v="Walk-in"/>
    <n v="2018.95"/>
    <s v="OK"/>
    <x v="0"/>
    <x v="0"/>
    <s v="0%"/>
    <x v="1"/>
    <x v="10"/>
  </r>
  <r>
    <x v="296"/>
    <d v="2025-03-20T00:00:00"/>
    <n v="21"/>
    <s v="T003"/>
    <x v="0"/>
    <n v="394.05"/>
    <x v="1"/>
    <n v="394.05"/>
    <n v="5"/>
    <s v="Member"/>
    <n v="394.05"/>
    <s v="OK"/>
    <x v="5"/>
    <x v="0"/>
    <s v="0%"/>
    <x v="3"/>
    <x v="3"/>
  </r>
  <r>
    <x v="297"/>
    <d v="2025-05-02T00:00:00"/>
    <n v="17"/>
    <s v="T009"/>
    <x v="0"/>
    <n v="901.21"/>
    <x v="3"/>
    <n v="811.09"/>
    <n v="2"/>
    <s v="Member"/>
    <n v="811.09"/>
    <s v="OK"/>
    <x v="1"/>
    <x v="0"/>
    <s v="1–_x000a_10%"/>
    <x v="0"/>
    <x v="6"/>
  </r>
  <r>
    <x v="298"/>
    <d v="2025-01-30T00:00:00"/>
    <n v="18"/>
    <s v="T004"/>
    <x v="0"/>
    <n v="3090.76"/>
    <x v="2"/>
    <n v="2163.5300000000002"/>
    <n v="5"/>
    <s v="Member"/>
    <n v="2163.5300000000002"/>
    <s v="OK"/>
    <x v="2"/>
    <x v="0"/>
    <s v="&gt;20%"/>
    <x v="0"/>
    <x v="0"/>
  </r>
  <r>
    <x v="299"/>
    <d v="2025-03-16T00:00:00"/>
    <n v="15"/>
    <s v="T025"/>
    <x v="2"/>
    <n v="3000.91"/>
    <x v="4"/>
    <n v="2400.73"/>
    <n v="2"/>
    <s v="Walk-in"/>
    <n v="2400.73"/>
    <s v="OK"/>
    <x v="5"/>
    <x v="1"/>
    <s v="11–20%"/>
    <x v="2"/>
    <x v="2"/>
  </r>
  <r>
    <x v="300"/>
    <d v="2025-02-10T00:00:00"/>
    <n v="20"/>
    <s v="T002"/>
    <x v="0"/>
    <n v="320.94"/>
    <x v="0"/>
    <n v="272.8"/>
    <n v="1"/>
    <s v="Walk-in"/>
    <n v="272.8"/>
    <s v="OK"/>
    <x v="0"/>
    <x v="0"/>
    <s v="11–20%"/>
    <x v="4"/>
    <x v="9"/>
  </r>
  <r>
    <x v="301"/>
    <d v="2025-06-17T00:00:00"/>
    <n v="16"/>
    <s v="T015"/>
    <x v="2"/>
    <n v="1147.94"/>
    <x v="4"/>
    <n v="918.35"/>
    <n v="1"/>
    <s v="Walk-in"/>
    <n v="918.35"/>
    <s v="OK"/>
    <x v="3"/>
    <x v="0"/>
    <s v="11–20%"/>
    <x v="2"/>
    <x v="4"/>
  </r>
  <r>
    <x v="302"/>
    <d v="2025-06-06T00:00:00"/>
    <n v="19"/>
    <s v="T005"/>
    <x v="2"/>
    <n v="1226.8399999999999"/>
    <x v="1"/>
    <n v="1226.8399999999999"/>
    <n v="2"/>
    <s v="Member"/>
    <n v="1226.8399999999999"/>
    <s v="OK"/>
    <x v="3"/>
    <x v="0"/>
    <s v="0%"/>
    <x v="2"/>
    <x v="4"/>
  </r>
  <r>
    <x v="303"/>
    <d v="2025-05-26T00:00:00"/>
    <n v="18"/>
    <s v="T016"/>
    <x v="2"/>
    <n v="586.51"/>
    <x v="4"/>
    <n v="469.21"/>
    <n v="4"/>
    <s v="Walk-in"/>
    <n v="469.21"/>
    <s v="OK"/>
    <x v="1"/>
    <x v="0"/>
    <s v="11–20%"/>
    <x v="1"/>
    <x v="1"/>
  </r>
  <r>
    <x v="304"/>
    <d v="2025-01-06T00:00:00"/>
    <n v="17"/>
    <s v="T015"/>
    <x v="0"/>
    <n v="2102.3000000000002"/>
    <x v="1"/>
    <n v="2102.3000000000002"/>
    <n v="2"/>
    <s v="Walk-in"/>
    <n v="2102.3000000000002"/>
    <s v="OK"/>
    <x v="2"/>
    <x v="0"/>
    <s v="0%"/>
    <x v="2"/>
    <x v="4"/>
  </r>
  <r>
    <x v="305"/>
    <d v="2025-03-13T00:00:00"/>
    <n v="18"/>
    <s v="T012"/>
    <x v="1"/>
    <n v="1099.8599999999999"/>
    <x v="1"/>
    <n v="1099.8599999999999"/>
    <n v="2"/>
    <s v="Walk-in"/>
    <n v="1099.8599999999999"/>
    <s v="OK"/>
    <x v="5"/>
    <x v="0"/>
    <s v="0%"/>
    <x v="4"/>
    <x v="9"/>
  </r>
  <r>
    <x v="306"/>
    <d v="2025-01-12T00:00:00"/>
    <n v="19"/>
    <s v="T007"/>
    <x v="0"/>
    <n v="2780.02"/>
    <x v="5"/>
    <n v="2641.02"/>
    <n v="5"/>
    <s v="Walk-in"/>
    <n v="2641.02"/>
    <s v="OK"/>
    <x v="2"/>
    <x v="1"/>
    <s v="1–_x000a_10%"/>
    <x v="4"/>
    <x v="8"/>
  </r>
  <r>
    <x v="307"/>
    <d v="2025-05-30T00:00:00"/>
    <n v="17"/>
    <s v="T024"/>
    <x v="2"/>
    <n v="891.45"/>
    <x v="1"/>
    <n v="891.45"/>
    <n v="1"/>
    <s v="Member"/>
    <n v="891.45"/>
    <s v="OK"/>
    <x v="1"/>
    <x v="0"/>
    <s v="0%"/>
    <x v="0"/>
    <x v="0"/>
  </r>
  <r>
    <x v="308"/>
    <d v="2025-02-22T00:00:00"/>
    <n v="14"/>
    <s v="T020"/>
    <x v="0"/>
    <n v="6507.29"/>
    <x v="1"/>
    <n v="6507.29"/>
    <n v="1"/>
    <s v="Walk-in"/>
    <n v="6507.29"/>
    <s v="OK"/>
    <x v="0"/>
    <x v="1"/>
    <s v="0%"/>
    <x v="2"/>
    <x v="2"/>
  </r>
  <r>
    <x v="309"/>
    <d v="2025-01-14T00:00:00"/>
    <n v="12"/>
    <s v="T025"/>
    <x v="0"/>
    <n v="1001.74"/>
    <x v="1"/>
    <n v="1001.74"/>
    <n v="4"/>
    <s v="Member"/>
    <n v="1001.74"/>
    <s v="OK"/>
    <x v="2"/>
    <x v="0"/>
    <s v="0%"/>
    <x v="2"/>
    <x v="2"/>
  </r>
  <r>
    <x v="310"/>
    <d v="2025-01-21T00:00:00"/>
    <n v="19"/>
    <s v="T013"/>
    <x v="0"/>
    <n v="428.57"/>
    <x v="4"/>
    <n v="342.86"/>
    <n v="3"/>
    <s v="Walk-in"/>
    <n v="342.86"/>
    <s v="OK"/>
    <x v="2"/>
    <x v="0"/>
    <s v="11–20%"/>
    <x v="3"/>
    <x v="11"/>
  </r>
  <r>
    <x v="311"/>
    <d v="2025-05-09T00:00:00"/>
    <n v="22"/>
    <s v="T004"/>
    <x v="0"/>
    <n v="2784.3"/>
    <x v="1"/>
    <n v="2784.3"/>
    <n v="1"/>
    <s v="Walk-in"/>
    <n v="2784.3"/>
    <s v="OK"/>
    <x v="1"/>
    <x v="0"/>
    <s v="0%"/>
    <x v="0"/>
    <x v="0"/>
  </r>
  <r>
    <x v="312"/>
    <d v="2025-06-28T00:00:00"/>
    <n v="15"/>
    <s v="T009"/>
    <x v="0"/>
    <n v="498.83"/>
    <x v="1"/>
    <n v="498.83"/>
    <n v="2"/>
    <s v="Member"/>
    <n v="498.83"/>
    <s v="OK"/>
    <x v="3"/>
    <x v="1"/>
    <s v="0%"/>
    <x v="0"/>
    <x v="6"/>
  </r>
  <r>
    <x v="313"/>
    <d v="2025-03-31T00:00:00"/>
    <n v="22"/>
    <s v="T019"/>
    <x v="0"/>
    <n v="1144.42"/>
    <x v="5"/>
    <n v="1087.2"/>
    <n v="1"/>
    <s v="Member"/>
    <n v="1087.2"/>
    <s v="OK"/>
    <x v="5"/>
    <x v="0"/>
    <s v="1–_x000a_10%"/>
    <x v="0"/>
    <x v="0"/>
  </r>
  <r>
    <x v="314"/>
    <d v="2025-06-13T00:00:00"/>
    <n v="22"/>
    <s v="T002"/>
    <x v="0"/>
    <n v="978.96"/>
    <x v="5"/>
    <n v="930.01"/>
    <n v="2"/>
    <s v="Walk-in"/>
    <n v="930.01"/>
    <s v="OK"/>
    <x v="3"/>
    <x v="0"/>
    <s v="1–_x000a_10%"/>
    <x v="4"/>
    <x v="9"/>
  </r>
  <r>
    <x v="315"/>
    <d v="2025-04-28T00:00:00"/>
    <n v="13"/>
    <s v="T007"/>
    <x v="0"/>
    <n v="206.27"/>
    <x v="1"/>
    <n v="206.27"/>
    <n v="2"/>
    <s v="Walk-in"/>
    <n v="206.27"/>
    <s v="OK"/>
    <x v="4"/>
    <x v="0"/>
    <s v="0%"/>
    <x v="4"/>
    <x v="8"/>
  </r>
  <r>
    <x v="316"/>
    <d v="2025-03-26T00:00:00"/>
    <n v="19"/>
    <s v="T030"/>
    <x v="0"/>
    <n v="624.08000000000004"/>
    <x v="1"/>
    <n v="624.08000000000004"/>
    <n v="1"/>
    <s v="Member"/>
    <n v="624.08000000000004"/>
    <s v="OK"/>
    <x v="5"/>
    <x v="0"/>
    <s v="0%"/>
    <x v="2"/>
    <x v="2"/>
  </r>
  <r>
    <x v="317"/>
    <d v="2025-01-15T00:00:00"/>
    <n v="11"/>
    <s v="T021"/>
    <x v="0"/>
    <n v="4629.05"/>
    <x v="1"/>
    <n v="4629.05"/>
    <n v="3"/>
    <s v="Member"/>
    <n v="4629.05"/>
    <s v="OK"/>
    <x v="2"/>
    <x v="0"/>
    <s v="0%"/>
    <x v="1"/>
    <x v="1"/>
  </r>
  <r>
    <x v="318"/>
    <d v="2025-06-20T00:00:00"/>
    <n v="17"/>
    <s v="T026"/>
    <x v="2"/>
    <n v="4557.78"/>
    <x v="5"/>
    <n v="4329.8900000000003"/>
    <n v="1"/>
    <s v="Member"/>
    <n v="4329.8900000000003"/>
    <s v="OK"/>
    <x v="3"/>
    <x v="0"/>
    <s v="1–_x000a_10%"/>
    <x v="1"/>
    <x v="10"/>
  </r>
  <r>
    <x v="319"/>
    <d v="2025-02-03T00:00:00"/>
    <n v="17"/>
    <s v="T008"/>
    <x v="3"/>
    <n v="1089.96"/>
    <x v="1"/>
    <n v="1089.96"/>
    <n v="1"/>
    <s v="Walk-in"/>
    <n v="1089.96"/>
    <s v="OK"/>
    <x v="0"/>
    <x v="0"/>
    <s v="0%"/>
    <x v="3"/>
    <x v="5"/>
  </r>
  <r>
    <x v="320"/>
    <d v="2025-02-15T00:00:00"/>
    <n v="22"/>
    <s v="T017"/>
    <x v="2"/>
    <n v="1105.5899999999999"/>
    <x v="5"/>
    <n v="1050.31"/>
    <n v="1"/>
    <s v="Member"/>
    <n v="1050.31"/>
    <s v="OK"/>
    <x v="0"/>
    <x v="1"/>
    <s v="1–_x000a_10%"/>
    <x v="4"/>
    <x v="8"/>
  </r>
  <r>
    <x v="321"/>
    <d v="2025-01-16T00:00:00"/>
    <n v="14"/>
    <s v="T013"/>
    <x v="3"/>
    <n v="1542.12"/>
    <x v="0"/>
    <n v="1310.8"/>
    <n v="3"/>
    <s v="Walk-in"/>
    <n v="1310.8"/>
    <s v="OK"/>
    <x v="2"/>
    <x v="0"/>
    <s v="11–20%"/>
    <x v="3"/>
    <x v="11"/>
  </r>
  <r>
    <x v="322"/>
    <d v="2025-04-19T00:00:00"/>
    <n v="12"/>
    <s v="T015"/>
    <x v="2"/>
    <n v="1488.2"/>
    <x v="5"/>
    <n v="1413.79"/>
    <n v="2"/>
    <s v="Member"/>
    <n v="1413.79"/>
    <s v="OK"/>
    <x v="4"/>
    <x v="1"/>
    <s v="1–_x000a_10%"/>
    <x v="2"/>
    <x v="4"/>
  </r>
  <r>
    <x v="323"/>
    <d v="2025-03-05T00:00:00"/>
    <n v="15"/>
    <s v="T002"/>
    <x v="0"/>
    <n v="1490.65"/>
    <x v="0"/>
    <n v="1267.05"/>
    <n v="4"/>
    <s v="Walk-in"/>
    <n v="1267.05"/>
    <s v="OK"/>
    <x v="5"/>
    <x v="0"/>
    <s v="11–20%"/>
    <x v="4"/>
    <x v="9"/>
  </r>
  <r>
    <x v="324"/>
    <d v="2025-04-03T00:00:00"/>
    <n v="19"/>
    <s v="T023"/>
    <x v="0"/>
    <n v="919.6"/>
    <x v="4"/>
    <n v="735.68"/>
    <n v="1"/>
    <s v="Member"/>
    <n v="735.68"/>
    <s v="OK"/>
    <x v="4"/>
    <x v="0"/>
    <s v="11–20%"/>
    <x v="3"/>
    <x v="11"/>
  </r>
  <r>
    <x v="325"/>
    <d v="2025-03-28T00:00:00"/>
    <n v="14"/>
    <s v="T011"/>
    <x v="2"/>
    <n v="256.77"/>
    <x v="4"/>
    <n v="205.42"/>
    <n v="2"/>
    <s v="Walk-in"/>
    <n v="205.42"/>
    <s v="OK"/>
    <x v="5"/>
    <x v="0"/>
    <s v="11–20%"/>
    <x v="1"/>
    <x v="10"/>
  </r>
  <r>
    <x v="326"/>
    <d v="2025-04-28T00:00:00"/>
    <n v="14"/>
    <s v="T025"/>
    <x v="0"/>
    <n v="2255.59"/>
    <x v="1"/>
    <n v="2255.59"/>
    <n v="4"/>
    <s v="Walk-in"/>
    <n v="2255.59"/>
    <s v="OK"/>
    <x v="4"/>
    <x v="0"/>
    <s v="0%"/>
    <x v="2"/>
    <x v="2"/>
  </r>
  <r>
    <x v="327"/>
    <d v="2025-06-21T00:00:00"/>
    <n v="19"/>
    <s v="T023"/>
    <x v="0"/>
    <n v="733.82"/>
    <x v="3"/>
    <n v="660.44"/>
    <n v="4"/>
    <s v="Member"/>
    <n v="660.44"/>
    <s v="OK"/>
    <x v="3"/>
    <x v="1"/>
    <s v="1–_x000a_10%"/>
    <x v="3"/>
    <x v="11"/>
  </r>
  <r>
    <x v="328"/>
    <d v="2025-05-13T00:00:00"/>
    <n v="20"/>
    <s v="T021"/>
    <x v="2"/>
    <n v="611.29999999999995"/>
    <x v="1"/>
    <n v="611.29999999999995"/>
    <n v="2"/>
    <s v="Member"/>
    <n v="611.29999999999995"/>
    <s v="OK"/>
    <x v="1"/>
    <x v="0"/>
    <s v="0%"/>
    <x v="1"/>
    <x v="1"/>
  </r>
  <r>
    <x v="329"/>
    <d v="2025-03-12T00:00:00"/>
    <n v="10"/>
    <s v="T003"/>
    <x v="2"/>
    <n v="799.38"/>
    <x v="3"/>
    <n v="719.44"/>
    <n v="1"/>
    <s v="Walk-in"/>
    <n v="719.44"/>
    <s v="OK"/>
    <x v="5"/>
    <x v="0"/>
    <s v="1–_x000a_10%"/>
    <x v="3"/>
    <x v="3"/>
  </r>
  <r>
    <x v="330"/>
    <d v="2025-01-31T00:00:00"/>
    <n v="11"/>
    <s v="T012"/>
    <x v="2"/>
    <n v="1256.33"/>
    <x v="3"/>
    <n v="1130.7"/>
    <n v="5"/>
    <s v="Walk-in"/>
    <n v="1130.7"/>
    <s v="OK"/>
    <x v="2"/>
    <x v="0"/>
    <s v="1–_x000a_10%"/>
    <x v="4"/>
    <x v="9"/>
  </r>
  <r>
    <x v="331"/>
    <d v="2025-02-25T00:00:00"/>
    <n v="18"/>
    <s v="T001"/>
    <x v="0"/>
    <n v="1395.81"/>
    <x v="1"/>
    <n v="1395.81"/>
    <n v="3"/>
    <s v="Walk-in"/>
    <n v="1395.81"/>
    <s v="OK"/>
    <x v="0"/>
    <x v="0"/>
    <s v="0%"/>
    <x v="1"/>
    <x v="7"/>
  </r>
  <r>
    <x v="332"/>
    <d v="2025-03-20T00:00:00"/>
    <n v="12"/>
    <s v="T006"/>
    <x v="2"/>
    <n v="1112.74"/>
    <x v="1"/>
    <n v="1112.74"/>
    <n v="3"/>
    <s v="Walk-in"/>
    <n v="1112.74"/>
    <s v="OK"/>
    <x v="5"/>
    <x v="0"/>
    <s v="0%"/>
    <x v="1"/>
    <x v="1"/>
  </r>
  <r>
    <x v="333"/>
    <d v="2025-04-17T00:00:00"/>
    <n v="13"/>
    <s v="T014"/>
    <x v="0"/>
    <n v="1280.8800000000001"/>
    <x v="3"/>
    <n v="1152.79"/>
    <n v="5"/>
    <s v="Member"/>
    <n v="1152.79"/>
    <s v="OK"/>
    <x v="4"/>
    <x v="0"/>
    <s v="1–_x000a_10%"/>
    <x v="0"/>
    <x v="6"/>
  </r>
  <r>
    <x v="334"/>
    <d v="2025-06-23T00:00:00"/>
    <n v="16"/>
    <s v="T022"/>
    <x v="0"/>
    <n v="2892.39"/>
    <x v="4"/>
    <n v="2313.91"/>
    <n v="4"/>
    <s v="Walk-in"/>
    <n v="2313.91"/>
    <s v="OK"/>
    <x v="3"/>
    <x v="0"/>
    <s v="11–20%"/>
    <x v="4"/>
    <x v="8"/>
  </r>
  <r>
    <x v="335"/>
    <d v="2025-04-04T00:00:00"/>
    <n v="16"/>
    <s v="T019"/>
    <x v="2"/>
    <n v="1071.7"/>
    <x v="1"/>
    <n v="1071.7"/>
    <n v="4"/>
    <s v="Member"/>
    <n v="1071.7"/>
    <s v="OK"/>
    <x v="4"/>
    <x v="0"/>
    <s v="0%"/>
    <x v="0"/>
    <x v="0"/>
  </r>
  <r>
    <x v="336"/>
    <d v="2025-04-04T00:00:00"/>
    <n v="17"/>
    <s v="T015"/>
    <x v="0"/>
    <n v="621.11"/>
    <x v="0"/>
    <n v="527.94000000000005"/>
    <n v="6"/>
    <s v="Member"/>
    <n v="527.94000000000005"/>
    <s v="OK"/>
    <x v="4"/>
    <x v="0"/>
    <s v="11–20%"/>
    <x v="2"/>
    <x v="4"/>
  </r>
  <r>
    <x v="337"/>
    <d v="2025-06-09T00:00:00"/>
    <n v="16"/>
    <s v="T002"/>
    <x v="1"/>
    <n v="1389.53"/>
    <x v="0"/>
    <n v="1181.0999999999999"/>
    <n v="3"/>
    <s v="Walk-in"/>
    <n v="1181.0999999999999"/>
    <s v="OK"/>
    <x v="3"/>
    <x v="0"/>
    <s v="11–20%"/>
    <x v="4"/>
    <x v="9"/>
  </r>
  <r>
    <x v="338"/>
    <d v="2025-01-10T00:00:00"/>
    <n v="14"/>
    <s v="T013"/>
    <x v="2"/>
    <n v="843.07"/>
    <x v="5"/>
    <n v="800.92"/>
    <n v="4"/>
    <s v="Walk-in"/>
    <n v="800.92"/>
    <s v="OK"/>
    <x v="2"/>
    <x v="0"/>
    <s v="1–_x000a_10%"/>
    <x v="3"/>
    <x v="11"/>
  </r>
  <r>
    <x v="339"/>
    <d v="2025-01-04T00:00:00"/>
    <n v="20"/>
    <s v="T006"/>
    <x v="0"/>
    <n v="984.94"/>
    <x v="5"/>
    <n v="935.69"/>
    <n v="2"/>
    <s v="Walk-in"/>
    <n v="935.69"/>
    <s v="OK"/>
    <x v="2"/>
    <x v="1"/>
    <s v="1–_x000a_10%"/>
    <x v="1"/>
    <x v="1"/>
  </r>
  <r>
    <x v="340"/>
    <d v="2025-03-18T00:00:00"/>
    <n v="20"/>
    <s v="T008"/>
    <x v="0"/>
    <n v="1223.43"/>
    <x v="3"/>
    <n v="1101.0899999999999"/>
    <n v="1"/>
    <s v="Walk-in"/>
    <n v="1101.0899999999999"/>
    <s v="OK"/>
    <x v="5"/>
    <x v="0"/>
    <s v="1–_x000a_10%"/>
    <x v="3"/>
    <x v="5"/>
  </r>
  <r>
    <x v="341"/>
    <d v="2025-03-20T00:00:00"/>
    <n v="15"/>
    <s v="T010"/>
    <x v="0"/>
    <n v="1500.79"/>
    <x v="3"/>
    <n v="1350.71"/>
    <n v="5"/>
    <s v="Member"/>
    <n v="1350.71"/>
    <s v="OK"/>
    <x v="5"/>
    <x v="0"/>
    <s v="1–_x000a_10%"/>
    <x v="2"/>
    <x v="4"/>
  </r>
  <r>
    <x v="342"/>
    <d v="2025-05-03T00:00:00"/>
    <n v="18"/>
    <s v="T014"/>
    <x v="1"/>
    <n v="728.9"/>
    <x v="5"/>
    <n v="692.45"/>
    <n v="2"/>
    <s v="Walk-in"/>
    <n v="692.46"/>
    <s v="OK"/>
    <x v="1"/>
    <x v="1"/>
    <s v="1–_x000a_10%"/>
    <x v="0"/>
    <x v="6"/>
  </r>
  <r>
    <x v="343"/>
    <d v="2025-02-20T00:00:00"/>
    <n v="13"/>
    <s v="T001"/>
    <x v="2"/>
    <n v="818.33"/>
    <x v="1"/>
    <n v="818.33"/>
    <n v="2"/>
    <s v="Walk-in"/>
    <n v="818.33"/>
    <s v="OK"/>
    <x v="0"/>
    <x v="0"/>
    <s v="0%"/>
    <x v="1"/>
    <x v="7"/>
  </r>
  <r>
    <x v="344"/>
    <d v="2025-02-06T00:00:00"/>
    <n v="19"/>
    <s v="T022"/>
    <x v="2"/>
    <n v="172.79"/>
    <x v="1"/>
    <n v="172.79"/>
    <n v="3"/>
    <s v="Walk-in"/>
    <n v="172.79"/>
    <s v="OK"/>
    <x v="0"/>
    <x v="0"/>
    <s v="0%"/>
    <x v="4"/>
    <x v="8"/>
  </r>
  <r>
    <x v="345"/>
    <d v="2025-05-23T00:00:00"/>
    <n v="18"/>
    <s v="T029"/>
    <x v="0"/>
    <n v="741.82"/>
    <x v="3"/>
    <n v="667.64"/>
    <n v="3"/>
    <s v="Walk-in"/>
    <n v="667.64"/>
    <s v="OK"/>
    <x v="1"/>
    <x v="0"/>
    <s v="1–_x000a_10%"/>
    <x v="0"/>
    <x v="6"/>
  </r>
  <r>
    <x v="346"/>
    <d v="2025-03-30T00:00:00"/>
    <n v="21"/>
    <s v="T028"/>
    <x v="0"/>
    <n v="1790.98"/>
    <x v="1"/>
    <n v="1790.98"/>
    <n v="2"/>
    <s v="Member"/>
    <n v="1790.98"/>
    <s v="OK"/>
    <x v="5"/>
    <x v="1"/>
    <s v="0%"/>
    <x v="3"/>
    <x v="5"/>
  </r>
  <r>
    <x v="347"/>
    <d v="2025-01-25T00:00:00"/>
    <n v="19"/>
    <s v="T013"/>
    <x v="0"/>
    <n v="1568.26"/>
    <x v="0"/>
    <n v="1333.02"/>
    <n v="2"/>
    <s v="Member"/>
    <n v="1333.02"/>
    <s v="OK"/>
    <x v="2"/>
    <x v="1"/>
    <s v="11–20%"/>
    <x v="3"/>
    <x v="11"/>
  </r>
  <r>
    <x v="348"/>
    <d v="2025-01-18T00:00:00"/>
    <n v="18"/>
    <s v="T027"/>
    <x v="1"/>
    <n v="661.31"/>
    <x v="1"/>
    <n v="661.31"/>
    <n v="1"/>
    <s v="Walk-in"/>
    <n v="661.31"/>
    <s v="OK"/>
    <x v="2"/>
    <x v="1"/>
    <s v="0%"/>
    <x v="4"/>
    <x v="9"/>
  </r>
  <r>
    <x v="349"/>
    <d v="2025-02-06T00:00:00"/>
    <n v="19"/>
    <s v="T001"/>
    <x v="0"/>
    <n v="962.36"/>
    <x v="1"/>
    <n v="962.36"/>
    <n v="2"/>
    <s v="Member"/>
    <n v="962.36"/>
    <s v="OK"/>
    <x v="0"/>
    <x v="0"/>
    <s v="0%"/>
    <x v="1"/>
    <x v="7"/>
  </r>
  <r>
    <x v="350"/>
    <d v="2025-05-18T00:00:00"/>
    <n v="13"/>
    <s v="T021"/>
    <x v="2"/>
    <n v="738.27"/>
    <x v="1"/>
    <n v="738.27"/>
    <n v="1"/>
    <s v="Walk-in"/>
    <n v="738.27"/>
    <s v="OK"/>
    <x v="1"/>
    <x v="1"/>
    <s v="0%"/>
    <x v="1"/>
    <x v="1"/>
  </r>
  <r>
    <x v="351"/>
    <d v="2025-01-21T00:00:00"/>
    <n v="10"/>
    <s v="T011"/>
    <x v="0"/>
    <n v="492.75"/>
    <x v="3"/>
    <n v="443.48"/>
    <n v="1"/>
    <s v="Member"/>
    <n v="443.48"/>
    <s v="OK"/>
    <x v="2"/>
    <x v="0"/>
    <s v="1–_x000a_10%"/>
    <x v="1"/>
    <x v="10"/>
  </r>
  <r>
    <x v="352"/>
    <d v="2025-03-31T00:00:00"/>
    <n v="19"/>
    <s v="T005"/>
    <x v="0"/>
    <n v="821.39"/>
    <x v="4"/>
    <n v="657.11"/>
    <n v="2"/>
    <s v="Member"/>
    <n v="657.11"/>
    <s v="OK"/>
    <x v="5"/>
    <x v="0"/>
    <s v="11–20%"/>
    <x v="2"/>
    <x v="4"/>
  </r>
  <r>
    <x v="353"/>
    <d v="2025-04-19T00:00:00"/>
    <n v="22"/>
    <s v="T023"/>
    <x v="2"/>
    <n v="738.1"/>
    <x v="0"/>
    <n v="627.38"/>
    <n v="1"/>
    <s v="Member"/>
    <n v="627.39"/>
    <s v="OK"/>
    <x v="4"/>
    <x v="1"/>
    <s v="11–20%"/>
    <x v="3"/>
    <x v="11"/>
  </r>
  <r>
    <x v="354"/>
    <d v="2025-03-29T00:00:00"/>
    <n v="18"/>
    <s v="T012"/>
    <x v="1"/>
    <n v="10354.02"/>
    <x v="3"/>
    <n v="9318.6200000000008"/>
    <n v="2"/>
    <s v="Walk-in"/>
    <n v="9318.6200000000008"/>
    <s v="OK"/>
    <x v="5"/>
    <x v="1"/>
    <s v="1–_x000a_10%"/>
    <x v="4"/>
    <x v="9"/>
  </r>
  <r>
    <x v="355"/>
    <d v="2025-05-21T00:00:00"/>
    <n v="19"/>
    <s v="T016"/>
    <x v="0"/>
    <n v="875.22"/>
    <x v="4"/>
    <n v="700.18"/>
    <n v="1"/>
    <s v="Walk-in"/>
    <n v="700.18"/>
    <s v="OK"/>
    <x v="1"/>
    <x v="0"/>
    <s v="11–20%"/>
    <x v="1"/>
    <x v="1"/>
  </r>
  <r>
    <x v="356"/>
    <d v="2025-02-19T00:00:00"/>
    <n v="15"/>
    <s v="T011"/>
    <x v="1"/>
    <n v="604.62"/>
    <x v="1"/>
    <n v="604.62"/>
    <n v="1"/>
    <s v="Member"/>
    <n v="604.62"/>
    <s v="OK"/>
    <x v="0"/>
    <x v="0"/>
    <s v="0%"/>
    <x v="1"/>
    <x v="10"/>
  </r>
  <r>
    <x v="357"/>
    <d v="2025-04-06T00:00:00"/>
    <n v="16"/>
    <s v="T017"/>
    <x v="3"/>
    <n v="462.59"/>
    <x v="1"/>
    <n v="462.59"/>
    <n v="4"/>
    <s v="Member"/>
    <n v="462.59"/>
    <s v="OK"/>
    <x v="4"/>
    <x v="1"/>
    <s v="0%"/>
    <x v="4"/>
    <x v="8"/>
  </r>
  <r>
    <x v="358"/>
    <d v="2025-04-02T00:00:00"/>
    <n v="14"/>
    <s v="T025"/>
    <x v="1"/>
    <n v="485.04"/>
    <x v="5"/>
    <n v="460.79"/>
    <n v="4"/>
    <s v="Walk-in"/>
    <n v="460.79"/>
    <s v="OK"/>
    <x v="4"/>
    <x v="0"/>
    <s v="1–_x000a_10%"/>
    <x v="2"/>
    <x v="2"/>
  </r>
  <r>
    <x v="359"/>
    <d v="2025-03-18T00:00:00"/>
    <n v="22"/>
    <s v="T016"/>
    <x v="1"/>
    <n v="531.78"/>
    <x v="0"/>
    <n v="452.01"/>
    <n v="1"/>
    <s v="Member"/>
    <n v="452.01"/>
    <s v="OK"/>
    <x v="5"/>
    <x v="0"/>
    <s v="11–20%"/>
    <x v="1"/>
    <x v="1"/>
  </r>
  <r>
    <x v="360"/>
    <d v="2025-04-02T00:00:00"/>
    <n v="17"/>
    <s v="T013"/>
    <x v="0"/>
    <n v="241.06"/>
    <x v="1"/>
    <n v="241.06"/>
    <n v="2"/>
    <s v="Walk-in"/>
    <n v="241.06"/>
    <s v="OK"/>
    <x v="4"/>
    <x v="0"/>
    <s v="0%"/>
    <x v="3"/>
    <x v="11"/>
  </r>
  <r>
    <x v="361"/>
    <d v="2025-05-07T00:00:00"/>
    <n v="11"/>
    <s v="T024"/>
    <x v="1"/>
    <n v="1211.75"/>
    <x v="1"/>
    <n v="1211.75"/>
    <n v="1"/>
    <s v="Walk-in"/>
    <n v="1211.75"/>
    <s v="OK"/>
    <x v="1"/>
    <x v="0"/>
    <s v="0%"/>
    <x v="0"/>
    <x v="0"/>
  </r>
  <r>
    <x v="362"/>
    <d v="2025-06-12T00:00:00"/>
    <n v="12"/>
    <s v="T019"/>
    <x v="2"/>
    <n v="1610.43"/>
    <x v="1"/>
    <n v="1610.43"/>
    <n v="4"/>
    <s v="Walk-in"/>
    <n v="1610.43"/>
    <s v="OK"/>
    <x v="3"/>
    <x v="0"/>
    <s v="0%"/>
    <x v="0"/>
    <x v="0"/>
  </r>
  <r>
    <x v="363"/>
    <d v="2025-01-14T00:00:00"/>
    <n v="15"/>
    <s v="T007"/>
    <x v="2"/>
    <n v="250.5"/>
    <x v="5"/>
    <n v="237.97"/>
    <n v="2"/>
    <s v="Walk-in"/>
    <n v="237.98"/>
    <s v="OK"/>
    <x v="2"/>
    <x v="0"/>
    <s v="1–_x000a_10%"/>
    <x v="4"/>
    <x v="8"/>
  </r>
  <r>
    <x v="364"/>
    <d v="2025-02-03T00:00:00"/>
    <n v="12"/>
    <s v="T030"/>
    <x v="2"/>
    <n v="2329.0500000000002"/>
    <x v="1"/>
    <n v="2329.0500000000002"/>
    <n v="2"/>
    <s v="Walk-in"/>
    <n v="2329.0500000000002"/>
    <s v="OK"/>
    <x v="0"/>
    <x v="0"/>
    <s v="0%"/>
    <x v="2"/>
    <x v="2"/>
  </r>
  <r>
    <x v="365"/>
    <d v="2025-01-23T00:00:00"/>
    <n v="18"/>
    <s v="T001"/>
    <x v="0"/>
    <n v="1147.57"/>
    <x v="0"/>
    <n v="975.43"/>
    <n v="4"/>
    <s v="Member"/>
    <n v="975.43"/>
    <s v="OK"/>
    <x v="2"/>
    <x v="0"/>
    <s v="11–20%"/>
    <x v="1"/>
    <x v="7"/>
  </r>
  <r>
    <x v="366"/>
    <d v="2025-03-22T00:00:00"/>
    <n v="10"/>
    <s v="T019"/>
    <x v="0"/>
    <n v="2407.13"/>
    <x v="0"/>
    <n v="2046.06"/>
    <n v="4"/>
    <s v="Walk-in"/>
    <n v="2046.06"/>
    <s v="OK"/>
    <x v="5"/>
    <x v="1"/>
    <s v="11–20%"/>
    <x v="0"/>
    <x v="0"/>
  </r>
  <r>
    <x v="367"/>
    <d v="2025-06-03T00:00:00"/>
    <n v="18"/>
    <s v="T002"/>
    <x v="2"/>
    <n v="434.8"/>
    <x v="1"/>
    <n v="434.8"/>
    <n v="1"/>
    <s v="Walk-in"/>
    <n v="434.8"/>
    <s v="OK"/>
    <x v="3"/>
    <x v="0"/>
    <s v="0%"/>
    <x v="4"/>
    <x v="9"/>
  </r>
  <r>
    <x v="368"/>
    <d v="2025-03-09T00:00:00"/>
    <n v="18"/>
    <s v="T026"/>
    <x v="0"/>
    <n v="1974.75"/>
    <x v="1"/>
    <n v="1974.75"/>
    <n v="2"/>
    <s v="Walk-in"/>
    <n v="1974.75"/>
    <s v="OK"/>
    <x v="5"/>
    <x v="1"/>
    <s v="0%"/>
    <x v="1"/>
    <x v="10"/>
  </r>
  <r>
    <x v="369"/>
    <d v="2025-06-19T00:00:00"/>
    <n v="10"/>
    <s v="T021"/>
    <x v="2"/>
    <n v="1077.96"/>
    <x v="1"/>
    <n v="1077.96"/>
    <n v="4"/>
    <s v="Member"/>
    <n v="1077.96"/>
    <s v="OK"/>
    <x v="3"/>
    <x v="0"/>
    <s v="0%"/>
    <x v="1"/>
    <x v="1"/>
  </r>
  <r>
    <x v="370"/>
    <d v="2025-01-04T00:00:00"/>
    <n v="16"/>
    <s v="T004"/>
    <x v="3"/>
    <n v="529.13"/>
    <x v="1"/>
    <n v="529.13"/>
    <n v="3"/>
    <s v="Walk-in"/>
    <n v="529.13"/>
    <s v="OK"/>
    <x v="2"/>
    <x v="1"/>
    <s v="0%"/>
    <x v="0"/>
    <x v="0"/>
  </r>
  <r>
    <x v="371"/>
    <d v="2025-05-12T00:00:00"/>
    <n v="16"/>
    <s v="T022"/>
    <x v="0"/>
    <n v="1307.05"/>
    <x v="1"/>
    <n v="1307.05"/>
    <n v="3"/>
    <s v="Member"/>
    <n v="1307.05"/>
    <s v="OK"/>
    <x v="1"/>
    <x v="0"/>
    <s v="0%"/>
    <x v="4"/>
    <x v="8"/>
  </r>
  <r>
    <x v="372"/>
    <d v="2025-03-30T00:00:00"/>
    <n v="16"/>
    <s v="T027"/>
    <x v="2"/>
    <n v="332.38"/>
    <x v="2"/>
    <n v="232.67"/>
    <n v="3"/>
    <s v="Member"/>
    <n v="232.67"/>
    <s v="OK"/>
    <x v="5"/>
    <x v="1"/>
    <s v="&gt;20%"/>
    <x v="4"/>
    <x v="9"/>
  </r>
  <r>
    <x v="373"/>
    <d v="2025-02-26T00:00:00"/>
    <n v="17"/>
    <s v="T023"/>
    <x v="2"/>
    <n v="1141.02"/>
    <x v="2"/>
    <n v="798.71"/>
    <n v="1"/>
    <s v="Walk-in"/>
    <n v="798.71"/>
    <s v="OK"/>
    <x v="0"/>
    <x v="0"/>
    <s v="&gt;20%"/>
    <x v="3"/>
    <x v="11"/>
  </r>
  <r>
    <x v="374"/>
    <d v="2025-05-21T00:00:00"/>
    <n v="10"/>
    <s v="T018"/>
    <x v="0"/>
    <n v="691.98"/>
    <x v="1"/>
    <n v="691.98"/>
    <n v="2"/>
    <s v="Member"/>
    <n v="691.98"/>
    <s v="OK"/>
    <x v="1"/>
    <x v="0"/>
    <s v="0%"/>
    <x v="3"/>
    <x v="3"/>
  </r>
  <r>
    <x v="375"/>
    <d v="2025-02-21T00:00:00"/>
    <n v="17"/>
    <s v="T029"/>
    <x v="0"/>
    <n v="1219.8599999999999"/>
    <x v="3"/>
    <n v="1097.8699999999999"/>
    <n v="5"/>
    <s v="Member"/>
    <n v="1097.8699999999999"/>
    <s v="OK"/>
    <x v="0"/>
    <x v="0"/>
    <s v="1–_x000a_10%"/>
    <x v="0"/>
    <x v="6"/>
  </r>
  <r>
    <x v="376"/>
    <d v="2025-06-22T00:00:00"/>
    <n v="12"/>
    <s v="T016"/>
    <x v="1"/>
    <n v="857.58"/>
    <x v="1"/>
    <n v="857.58"/>
    <n v="5"/>
    <s v="Member"/>
    <n v="857.58"/>
    <s v="OK"/>
    <x v="3"/>
    <x v="1"/>
    <s v="0%"/>
    <x v="1"/>
    <x v="1"/>
  </r>
  <r>
    <x v="377"/>
    <d v="2025-03-26T00:00:00"/>
    <n v="12"/>
    <s v="T016"/>
    <x v="0"/>
    <n v="2835.59"/>
    <x v="3"/>
    <n v="2552.0300000000002"/>
    <n v="3"/>
    <s v="Walk-in"/>
    <n v="2552.0300000000002"/>
    <s v="OK"/>
    <x v="5"/>
    <x v="0"/>
    <s v="1–_x000a_10%"/>
    <x v="1"/>
    <x v="1"/>
  </r>
  <r>
    <x v="378"/>
    <d v="2025-02-14T00:00:00"/>
    <n v="17"/>
    <s v="T020"/>
    <x v="2"/>
    <n v="339.34"/>
    <x v="1"/>
    <n v="339.34"/>
    <n v="1"/>
    <s v="Walk-in"/>
    <n v="339.34"/>
    <s v="OK"/>
    <x v="0"/>
    <x v="0"/>
    <s v="0%"/>
    <x v="2"/>
    <x v="2"/>
  </r>
  <r>
    <x v="379"/>
    <d v="2025-02-02T00:00:00"/>
    <n v="20"/>
    <s v="T021"/>
    <x v="0"/>
    <n v="3263.06"/>
    <x v="1"/>
    <n v="3263.06"/>
    <n v="2"/>
    <s v="Walk-in"/>
    <n v="3263.06"/>
    <s v="OK"/>
    <x v="0"/>
    <x v="1"/>
    <s v="0%"/>
    <x v="1"/>
    <x v="1"/>
  </r>
  <r>
    <x v="380"/>
    <d v="2025-04-10T00:00:00"/>
    <n v="19"/>
    <s v="T028"/>
    <x v="0"/>
    <n v="950.19"/>
    <x v="4"/>
    <n v="760.15"/>
    <n v="1"/>
    <s v="Walk-in"/>
    <n v="760.15"/>
    <s v="OK"/>
    <x v="4"/>
    <x v="0"/>
    <s v="11–20%"/>
    <x v="3"/>
    <x v="5"/>
  </r>
  <r>
    <x v="381"/>
    <d v="2025-01-30T00:00:00"/>
    <n v="11"/>
    <s v="T007"/>
    <x v="2"/>
    <n v="967.41"/>
    <x v="0"/>
    <n v="822.3"/>
    <n v="1"/>
    <s v="Member"/>
    <n v="822.3"/>
    <s v="OK"/>
    <x v="2"/>
    <x v="0"/>
    <s v="11–20%"/>
    <x v="4"/>
    <x v="8"/>
  </r>
  <r>
    <x v="382"/>
    <d v="2025-05-02T00:00:00"/>
    <n v="16"/>
    <s v="T016"/>
    <x v="0"/>
    <n v="1405.96"/>
    <x v="1"/>
    <n v="1405.96"/>
    <n v="3"/>
    <s v="Member"/>
    <n v="1405.96"/>
    <s v="OK"/>
    <x v="1"/>
    <x v="0"/>
    <s v="0%"/>
    <x v="1"/>
    <x v="1"/>
  </r>
  <r>
    <x v="383"/>
    <d v="2025-04-21T00:00:00"/>
    <n v="12"/>
    <s v="T017"/>
    <x v="0"/>
    <n v="1018.11"/>
    <x v="1"/>
    <n v="1018.11"/>
    <n v="1"/>
    <s v="Walk-in"/>
    <n v="1018.11"/>
    <s v="OK"/>
    <x v="4"/>
    <x v="0"/>
    <s v="0%"/>
    <x v="4"/>
    <x v="8"/>
  </r>
  <r>
    <x v="384"/>
    <d v="2025-05-25T00:00:00"/>
    <n v="10"/>
    <s v="T025"/>
    <x v="1"/>
    <n v="346.79"/>
    <x v="3"/>
    <n v="312.11"/>
    <n v="1"/>
    <s v="Member"/>
    <n v="312.11"/>
    <s v="OK"/>
    <x v="1"/>
    <x v="1"/>
    <s v="1–_x000a_10%"/>
    <x v="2"/>
    <x v="2"/>
  </r>
  <r>
    <x v="385"/>
    <d v="2025-04-13T00:00:00"/>
    <n v="13"/>
    <s v="T011"/>
    <x v="1"/>
    <n v="1210.19"/>
    <x v="1"/>
    <n v="1210.19"/>
    <n v="5"/>
    <s v="Member"/>
    <n v="1210.19"/>
    <s v="OK"/>
    <x v="4"/>
    <x v="1"/>
    <s v="0%"/>
    <x v="1"/>
    <x v="10"/>
  </r>
  <r>
    <x v="386"/>
    <d v="2025-06-12T00:00:00"/>
    <n v="13"/>
    <s v="T014"/>
    <x v="0"/>
    <n v="895.41"/>
    <x v="5"/>
    <n v="850.64"/>
    <n v="4"/>
    <s v="Walk-in"/>
    <n v="850.64"/>
    <s v="OK"/>
    <x v="3"/>
    <x v="0"/>
    <s v="1–_x000a_10%"/>
    <x v="0"/>
    <x v="6"/>
  </r>
  <r>
    <x v="387"/>
    <d v="2025-04-10T00:00:00"/>
    <n v="18"/>
    <s v="T019"/>
    <x v="0"/>
    <n v="1322.68"/>
    <x v="5"/>
    <n v="1256.55"/>
    <n v="1"/>
    <s v="Walk-in"/>
    <n v="1256.55"/>
    <s v="OK"/>
    <x v="4"/>
    <x v="0"/>
    <s v="1–_x000a_10%"/>
    <x v="0"/>
    <x v="0"/>
  </r>
  <r>
    <x v="388"/>
    <d v="2025-02-25T00:00:00"/>
    <n v="18"/>
    <s v="T002"/>
    <x v="0"/>
    <n v="579.42999999999995"/>
    <x v="1"/>
    <n v="579.42999999999995"/>
    <n v="6"/>
    <s v="Member"/>
    <n v="579.42999999999995"/>
    <s v="OK"/>
    <x v="0"/>
    <x v="0"/>
    <s v="0%"/>
    <x v="4"/>
    <x v="9"/>
  </r>
  <r>
    <x v="389"/>
    <d v="2025-03-16T00:00:00"/>
    <n v="11"/>
    <s v="T026"/>
    <x v="3"/>
    <n v="862.38"/>
    <x v="3"/>
    <n v="776.14"/>
    <n v="1"/>
    <s v="Walk-in"/>
    <n v="776.14"/>
    <s v="OK"/>
    <x v="5"/>
    <x v="1"/>
    <s v="1–_x000a_10%"/>
    <x v="1"/>
    <x v="10"/>
  </r>
  <r>
    <x v="390"/>
    <d v="2025-06-16T00:00:00"/>
    <n v="22"/>
    <s v="T009"/>
    <x v="2"/>
    <n v="863.33"/>
    <x v="1"/>
    <n v="863.33"/>
    <n v="2"/>
    <s v="Member"/>
    <n v="863.33"/>
    <s v="OK"/>
    <x v="3"/>
    <x v="0"/>
    <s v="0%"/>
    <x v="0"/>
    <x v="6"/>
  </r>
  <r>
    <x v="391"/>
    <d v="2025-03-31T00:00:00"/>
    <n v="20"/>
    <s v="T020"/>
    <x v="2"/>
    <n v="225.48"/>
    <x v="5"/>
    <n v="214.21"/>
    <n v="4"/>
    <s v="Member"/>
    <n v="214.21"/>
    <s v="OK"/>
    <x v="5"/>
    <x v="0"/>
    <s v="1–_x000a_10%"/>
    <x v="2"/>
    <x v="2"/>
  </r>
  <r>
    <x v="392"/>
    <d v="2025-03-13T00:00:00"/>
    <n v="12"/>
    <s v="T026"/>
    <x v="0"/>
    <n v="1156.5"/>
    <x v="0"/>
    <n v="983.02"/>
    <n v="2"/>
    <s v="Walk-in"/>
    <n v="983.03"/>
    <s v="OK"/>
    <x v="5"/>
    <x v="0"/>
    <s v="11–20%"/>
    <x v="1"/>
    <x v="10"/>
  </r>
  <r>
    <x v="393"/>
    <d v="2025-01-21T00:00:00"/>
    <n v="21"/>
    <s v="T027"/>
    <x v="0"/>
    <n v="327.39"/>
    <x v="1"/>
    <n v="327.39"/>
    <n v="2"/>
    <s v="Walk-in"/>
    <n v="327.39"/>
    <s v="OK"/>
    <x v="2"/>
    <x v="0"/>
    <s v="0%"/>
    <x v="4"/>
    <x v="9"/>
  </r>
  <r>
    <x v="394"/>
    <d v="2025-01-05T00:00:00"/>
    <n v="15"/>
    <s v="T015"/>
    <x v="0"/>
    <n v="515.30999999999995"/>
    <x v="0"/>
    <n v="438.01"/>
    <n v="3"/>
    <s v="Walk-in"/>
    <n v="438.01"/>
    <s v="OK"/>
    <x v="2"/>
    <x v="1"/>
    <s v="11–20%"/>
    <x v="2"/>
    <x v="4"/>
  </r>
  <r>
    <x v="395"/>
    <d v="2025-01-04T00:00:00"/>
    <n v="11"/>
    <s v="T001"/>
    <x v="0"/>
    <n v="810.27"/>
    <x v="1"/>
    <n v="810.27"/>
    <n v="3"/>
    <s v="Member"/>
    <n v="810.27"/>
    <s v="OK"/>
    <x v="2"/>
    <x v="1"/>
    <s v="0%"/>
    <x v="1"/>
    <x v="7"/>
  </r>
  <r>
    <x v="396"/>
    <d v="2025-05-16T00:00:00"/>
    <n v="22"/>
    <s v="T018"/>
    <x v="0"/>
    <n v="1106.6600000000001"/>
    <x v="4"/>
    <n v="885.33"/>
    <n v="1"/>
    <s v="Walk-in"/>
    <n v="885.33"/>
    <s v="OK"/>
    <x v="1"/>
    <x v="0"/>
    <s v="11–20%"/>
    <x v="3"/>
    <x v="3"/>
  </r>
  <r>
    <x v="397"/>
    <d v="2025-01-22T00:00:00"/>
    <n v="13"/>
    <s v="T026"/>
    <x v="0"/>
    <n v="847.97"/>
    <x v="1"/>
    <n v="847.97"/>
    <n v="2"/>
    <s v="Walk-in"/>
    <n v="847.97"/>
    <s v="OK"/>
    <x v="2"/>
    <x v="0"/>
    <s v="0%"/>
    <x v="1"/>
    <x v="10"/>
  </r>
  <r>
    <x v="398"/>
    <d v="2025-06-16T00:00:00"/>
    <n v="10"/>
    <s v="T026"/>
    <x v="2"/>
    <n v="2001.44"/>
    <x v="3"/>
    <n v="1801.3"/>
    <n v="1"/>
    <s v="Walk-in"/>
    <n v="1801.3"/>
    <s v="OK"/>
    <x v="3"/>
    <x v="0"/>
    <s v="1–_x000a_10%"/>
    <x v="1"/>
    <x v="10"/>
  </r>
  <r>
    <x v="399"/>
    <d v="2025-05-11T00:00:00"/>
    <n v="20"/>
    <s v="T021"/>
    <x v="2"/>
    <n v="444.15"/>
    <x v="3"/>
    <n v="399.74"/>
    <n v="2"/>
    <s v="Member"/>
    <n v="399.74"/>
    <s v="OK"/>
    <x v="1"/>
    <x v="1"/>
    <s v="1–_x000a_10%"/>
    <x v="1"/>
    <x v="1"/>
  </r>
  <r>
    <x v="400"/>
    <d v="2025-01-04T00:00:00"/>
    <n v="21"/>
    <s v="T020"/>
    <x v="0"/>
    <n v="1402.03"/>
    <x v="1"/>
    <n v="1402.03"/>
    <n v="6"/>
    <s v="Walk-in"/>
    <n v="1402.03"/>
    <s v="OK"/>
    <x v="2"/>
    <x v="1"/>
    <s v="0%"/>
    <x v="2"/>
    <x v="2"/>
  </r>
  <r>
    <x v="401"/>
    <d v="2025-01-09T00:00:00"/>
    <n v="14"/>
    <s v="T005"/>
    <x v="0"/>
    <n v="1172.0899999999999"/>
    <x v="2"/>
    <n v="820.46"/>
    <n v="3"/>
    <s v="Member"/>
    <n v="820.46"/>
    <s v="OK"/>
    <x v="2"/>
    <x v="0"/>
    <s v="&gt;20%"/>
    <x v="2"/>
    <x v="4"/>
  </r>
  <r>
    <x v="402"/>
    <d v="2025-02-09T00:00:00"/>
    <n v="16"/>
    <s v="T003"/>
    <x v="0"/>
    <n v="1444.85"/>
    <x v="1"/>
    <n v="1444.85"/>
    <n v="3"/>
    <s v="Walk-in"/>
    <n v="1444.85"/>
    <s v="OK"/>
    <x v="0"/>
    <x v="1"/>
    <s v="0%"/>
    <x v="3"/>
    <x v="3"/>
  </r>
  <r>
    <x v="403"/>
    <d v="2025-05-02T00:00:00"/>
    <n v="19"/>
    <s v="T016"/>
    <x v="3"/>
    <n v="1229.04"/>
    <x v="3"/>
    <n v="1106.1400000000001"/>
    <n v="1"/>
    <s v="Member"/>
    <n v="1106.1400000000001"/>
    <s v="OK"/>
    <x v="1"/>
    <x v="0"/>
    <s v="1–_x000a_10%"/>
    <x v="1"/>
    <x v="1"/>
  </r>
  <r>
    <x v="404"/>
    <d v="2025-06-07T00:00:00"/>
    <n v="22"/>
    <s v="T025"/>
    <x v="0"/>
    <n v="1258.75"/>
    <x v="3"/>
    <n v="1132.8800000000001"/>
    <n v="2"/>
    <s v="Walk-in"/>
    <n v="1132.8800000000001"/>
    <s v="OK"/>
    <x v="3"/>
    <x v="1"/>
    <s v="1–_x000a_10%"/>
    <x v="2"/>
    <x v="2"/>
  </r>
  <r>
    <x v="405"/>
    <d v="2025-05-16T00:00:00"/>
    <n v="13"/>
    <s v="T016"/>
    <x v="0"/>
    <n v="936.53"/>
    <x v="1"/>
    <n v="936.53"/>
    <n v="4"/>
    <s v="Member"/>
    <n v="936.53"/>
    <s v="OK"/>
    <x v="1"/>
    <x v="0"/>
    <s v="0%"/>
    <x v="1"/>
    <x v="1"/>
  </r>
  <r>
    <x v="406"/>
    <d v="2025-02-25T00:00:00"/>
    <n v="17"/>
    <s v="T025"/>
    <x v="2"/>
    <n v="3012.89"/>
    <x v="5"/>
    <n v="2862.25"/>
    <n v="4"/>
    <s v="Walk-in"/>
    <n v="2862.25"/>
    <s v="OK"/>
    <x v="0"/>
    <x v="0"/>
    <s v="1–_x000a_10%"/>
    <x v="2"/>
    <x v="2"/>
  </r>
  <r>
    <x v="407"/>
    <d v="2025-01-14T00:00:00"/>
    <n v="22"/>
    <s v="T023"/>
    <x v="2"/>
    <n v="1215.67"/>
    <x v="0"/>
    <n v="1033.32"/>
    <n v="5"/>
    <s v="Walk-in"/>
    <n v="1033.32"/>
    <s v="OK"/>
    <x v="2"/>
    <x v="0"/>
    <s v="11–20%"/>
    <x v="3"/>
    <x v="11"/>
  </r>
  <r>
    <x v="408"/>
    <d v="2025-02-03T00:00:00"/>
    <n v="22"/>
    <s v="T027"/>
    <x v="0"/>
    <n v="622.25"/>
    <x v="5"/>
    <n v="591.14"/>
    <n v="1"/>
    <s v="Walk-in"/>
    <n v="591.14"/>
    <s v="OK"/>
    <x v="0"/>
    <x v="0"/>
    <s v="1–_x000a_10%"/>
    <x v="4"/>
    <x v="9"/>
  </r>
  <r>
    <x v="409"/>
    <d v="2025-05-12T00:00:00"/>
    <n v="15"/>
    <s v="T027"/>
    <x v="0"/>
    <n v="585.27"/>
    <x v="1"/>
    <n v="585.27"/>
    <n v="3"/>
    <s v="Walk-in"/>
    <n v="585.27"/>
    <s v="OK"/>
    <x v="1"/>
    <x v="0"/>
    <s v="0%"/>
    <x v="4"/>
    <x v="9"/>
  </r>
  <r>
    <x v="410"/>
    <d v="2025-04-26T00:00:00"/>
    <n v="19"/>
    <s v="T030"/>
    <x v="1"/>
    <n v="1282.1199999999999"/>
    <x v="3"/>
    <n v="1153.9100000000001"/>
    <n v="1"/>
    <s v="Member"/>
    <n v="1153.9100000000001"/>
    <s v="OK"/>
    <x v="4"/>
    <x v="1"/>
    <s v="1–_x000a_10%"/>
    <x v="2"/>
    <x v="2"/>
  </r>
  <r>
    <x v="411"/>
    <d v="2025-02-27T00:00:00"/>
    <n v="22"/>
    <s v="T004"/>
    <x v="2"/>
    <n v="2673.17"/>
    <x v="1"/>
    <n v="2673.17"/>
    <n v="2"/>
    <s v="Member"/>
    <n v="2673.17"/>
    <s v="OK"/>
    <x v="0"/>
    <x v="0"/>
    <s v="0%"/>
    <x v="0"/>
    <x v="0"/>
  </r>
  <r>
    <x v="412"/>
    <d v="2025-04-10T00:00:00"/>
    <n v="17"/>
    <s v="T009"/>
    <x v="2"/>
    <n v="845.5"/>
    <x v="5"/>
    <n v="803.22"/>
    <n v="1"/>
    <s v="Walk-in"/>
    <n v="803.23"/>
    <s v="OK"/>
    <x v="4"/>
    <x v="0"/>
    <s v="1–_x000a_10%"/>
    <x v="0"/>
    <x v="6"/>
  </r>
  <r>
    <x v="413"/>
    <d v="2025-03-22T00:00:00"/>
    <n v="18"/>
    <s v="T023"/>
    <x v="2"/>
    <n v="908.88"/>
    <x v="1"/>
    <n v="908.88"/>
    <n v="4"/>
    <s v="Member"/>
    <n v="908.88"/>
    <s v="OK"/>
    <x v="5"/>
    <x v="1"/>
    <s v="0%"/>
    <x v="3"/>
    <x v="11"/>
  </r>
  <r>
    <x v="414"/>
    <d v="2025-03-27T00:00:00"/>
    <n v="11"/>
    <s v="T006"/>
    <x v="0"/>
    <n v="862.97"/>
    <x v="1"/>
    <n v="862.97"/>
    <n v="1"/>
    <s v="Walk-in"/>
    <n v="862.97"/>
    <s v="OK"/>
    <x v="5"/>
    <x v="0"/>
    <s v="0%"/>
    <x v="1"/>
    <x v="1"/>
  </r>
  <r>
    <x v="415"/>
    <d v="2025-03-22T00:00:00"/>
    <n v="10"/>
    <s v="T029"/>
    <x v="0"/>
    <n v="2780.71"/>
    <x v="3"/>
    <n v="2502.64"/>
    <n v="1"/>
    <s v="Member"/>
    <n v="2502.64"/>
    <s v="OK"/>
    <x v="5"/>
    <x v="1"/>
    <s v="1–_x000a_10%"/>
    <x v="0"/>
    <x v="6"/>
  </r>
  <r>
    <x v="416"/>
    <d v="2025-01-23T00:00:00"/>
    <n v="14"/>
    <s v="T001"/>
    <x v="3"/>
    <n v="1197.6500000000001"/>
    <x v="1"/>
    <n v="1197.6500000000001"/>
    <n v="5"/>
    <s v="Member"/>
    <n v="1197.6500000000001"/>
    <s v="OK"/>
    <x v="2"/>
    <x v="0"/>
    <s v="0%"/>
    <x v="1"/>
    <x v="7"/>
  </r>
  <r>
    <x v="417"/>
    <d v="2025-02-19T00:00:00"/>
    <n v="14"/>
    <s v="T023"/>
    <x v="1"/>
    <n v="283.07"/>
    <x v="0"/>
    <n v="240.61"/>
    <n v="1"/>
    <s v="Member"/>
    <n v="240.61"/>
    <s v="OK"/>
    <x v="0"/>
    <x v="0"/>
    <s v="11–20%"/>
    <x v="3"/>
    <x v="11"/>
  </r>
  <r>
    <x v="418"/>
    <d v="2025-04-30T00:00:00"/>
    <n v="11"/>
    <s v="T013"/>
    <x v="2"/>
    <n v="2117.1799999999998"/>
    <x v="4"/>
    <n v="1693.74"/>
    <n v="1"/>
    <s v="Walk-in"/>
    <n v="1693.74"/>
    <s v="OK"/>
    <x v="4"/>
    <x v="0"/>
    <s v="11–20%"/>
    <x v="3"/>
    <x v="11"/>
  </r>
  <r>
    <x v="419"/>
    <d v="2025-01-20T00:00:00"/>
    <n v="21"/>
    <s v="T025"/>
    <x v="2"/>
    <n v="3003.92"/>
    <x v="1"/>
    <n v="3003.92"/>
    <n v="2"/>
    <s v="Walk-in"/>
    <n v="3003.92"/>
    <s v="OK"/>
    <x v="2"/>
    <x v="0"/>
    <s v="0%"/>
    <x v="2"/>
    <x v="2"/>
  </r>
  <r>
    <x v="420"/>
    <d v="2025-06-18T00:00:00"/>
    <n v="22"/>
    <s v="T011"/>
    <x v="0"/>
    <n v="1434.68"/>
    <x v="1"/>
    <n v="1434.68"/>
    <n v="3"/>
    <s v="Member"/>
    <n v="1434.68"/>
    <s v="OK"/>
    <x v="3"/>
    <x v="0"/>
    <s v="0%"/>
    <x v="1"/>
    <x v="10"/>
  </r>
  <r>
    <x v="421"/>
    <d v="2025-01-07T00:00:00"/>
    <n v="11"/>
    <s v="T002"/>
    <x v="1"/>
    <n v="1060.27"/>
    <x v="1"/>
    <n v="1060.27"/>
    <n v="5"/>
    <s v="Member"/>
    <n v="1060.27"/>
    <s v="OK"/>
    <x v="2"/>
    <x v="0"/>
    <s v="0%"/>
    <x v="4"/>
    <x v="9"/>
  </r>
  <r>
    <x v="422"/>
    <d v="2025-03-03T00:00:00"/>
    <n v="14"/>
    <s v="T023"/>
    <x v="0"/>
    <n v="2744.64"/>
    <x v="2"/>
    <n v="1921.25"/>
    <n v="2"/>
    <s v="Walk-in"/>
    <n v="1921.25"/>
    <s v="OK"/>
    <x v="5"/>
    <x v="0"/>
    <s v="&gt;20%"/>
    <x v="3"/>
    <x v="11"/>
  </r>
  <r>
    <x v="423"/>
    <d v="2025-03-04T00:00:00"/>
    <n v="19"/>
    <s v="T024"/>
    <x v="2"/>
    <n v="526.52"/>
    <x v="1"/>
    <n v="526.52"/>
    <n v="4"/>
    <s v="Walk-in"/>
    <n v="526.52"/>
    <s v="OK"/>
    <x v="5"/>
    <x v="0"/>
    <s v="0%"/>
    <x v="0"/>
    <x v="0"/>
  </r>
  <r>
    <x v="424"/>
    <d v="2025-03-10T00:00:00"/>
    <n v="13"/>
    <s v="T021"/>
    <x v="2"/>
    <n v="1039.69"/>
    <x v="5"/>
    <n v="987.71"/>
    <n v="6"/>
    <s v="Walk-in"/>
    <n v="987.71"/>
    <s v="OK"/>
    <x v="5"/>
    <x v="0"/>
    <s v="1–_x000a_10%"/>
    <x v="1"/>
    <x v="1"/>
  </r>
  <r>
    <x v="425"/>
    <d v="2025-04-05T00:00:00"/>
    <n v="14"/>
    <s v="T023"/>
    <x v="0"/>
    <n v="814.06"/>
    <x v="1"/>
    <n v="814.06"/>
    <n v="2"/>
    <s v="Member"/>
    <n v="814.06"/>
    <s v="OK"/>
    <x v="4"/>
    <x v="1"/>
    <s v="0%"/>
    <x v="3"/>
    <x v="11"/>
  </r>
  <r>
    <x v="426"/>
    <d v="2025-01-14T00:00:00"/>
    <n v="13"/>
    <s v="T011"/>
    <x v="1"/>
    <n v="1195.49"/>
    <x v="1"/>
    <n v="1195.49"/>
    <n v="2"/>
    <s v="Member"/>
    <n v="1195.49"/>
    <s v="OK"/>
    <x v="2"/>
    <x v="0"/>
    <s v="0%"/>
    <x v="1"/>
    <x v="10"/>
  </r>
  <r>
    <x v="427"/>
    <d v="2025-04-21T00:00:00"/>
    <n v="14"/>
    <s v="T026"/>
    <x v="0"/>
    <n v="1529.5"/>
    <x v="5"/>
    <n v="1453.02"/>
    <n v="2"/>
    <s v="Walk-in"/>
    <n v="1453.03"/>
    <s v="OK"/>
    <x v="4"/>
    <x v="0"/>
    <s v="1–_x000a_10%"/>
    <x v="1"/>
    <x v="10"/>
  </r>
  <r>
    <x v="428"/>
    <d v="2025-05-15T00:00:00"/>
    <n v="19"/>
    <s v="T009"/>
    <x v="1"/>
    <n v="474.56"/>
    <x v="1"/>
    <n v="474.56"/>
    <n v="1"/>
    <s v="Walk-in"/>
    <n v="474.56"/>
    <s v="OK"/>
    <x v="1"/>
    <x v="0"/>
    <s v="0%"/>
    <x v="0"/>
    <x v="6"/>
  </r>
  <r>
    <x v="429"/>
    <d v="2025-03-02T00:00:00"/>
    <n v="15"/>
    <s v="T024"/>
    <x v="0"/>
    <n v="711.3"/>
    <x v="4"/>
    <n v="569.04"/>
    <n v="1"/>
    <s v="Walk-in"/>
    <n v="569.04"/>
    <s v="OK"/>
    <x v="5"/>
    <x v="1"/>
    <s v="11–20%"/>
    <x v="0"/>
    <x v="0"/>
  </r>
  <r>
    <x v="430"/>
    <d v="2025-03-10T00:00:00"/>
    <n v="14"/>
    <s v="T023"/>
    <x v="2"/>
    <n v="1385.86"/>
    <x v="1"/>
    <n v="1385.86"/>
    <n v="1"/>
    <s v="Member"/>
    <n v="1385.86"/>
    <s v="OK"/>
    <x v="5"/>
    <x v="0"/>
    <s v="0%"/>
    <x v="3"/>
    <x v="11"/>
  </r>
  <r>
    <x v="431"/>
    <d v="2025-01-24T00:00:00"/>
    <n v="20"/>
    <s v="T014"/>
    <x v="0"/>
    <n v="664.57"/>
    <x v="1"/>
    <n v="664.57"/>
    <n v="2"/>
    <s v="Walk-in"/>
    <n v="664.57"/>
    <s v="OK"/>
    <x v="2"/>
    <x v="0"/>
    <s v="0%"/>
    <x v="0"/>
    <x v="6"/>
  </r>
  <r>
    <x v="432"/>
    <d v="2025-03-13T00:00:00"/>
    <n v="13"/>
    <s v="T027"/>
    <x v="0"/>
    <n v="527.05999999999995"/>
    <x v="1"/>
    <n v="527.05999999999995"/>
    <n v="2"/>
    <s v="Walk-in"/>
    <n v="527.05999999999995"/>
    <s v="OK"/>
    <x v="5"/>
    <x v="0"/>
    <s v="0%"/>
    <x v="4"/>
    <x v="9"/>
  </r>
  <r>
    <x v="433"/>
    <d v="2025-04-06T00:00:00"/>
    <n v="17"/>
    <s v="T007"/>
    <x v="0"/>
    <n v="739.86"/>
    <x v="2"/>
    <n v="517.9"/>
    <n v="5"/>
    <s v="Walk-in"/>
    <n v="517.9"/>
    <s v="OK"/>
    <x v="4"/>
    <x v="1"/>
    <s v="&gt;20%"/>
    <x v="4"/>
    <x v="8"/>
  </r>
  <r>
    <x v="434"/>
    <d v="2025-06-05T00:00:00"/>
    <n v="12"/>
    <s v="T016"/>
    <x v="0"/>
    <n v="548.4"/>
    <x v="5"/>
    <n v="520.98"/>
    <n v="3"/>
    <s v="Walk-in"/>
    <n v="520.98"/>
    <s v="OK"/>
    <x v="3"/>
    <x v="0"/>
    <s v="1–_x000a_10%"/>
    <x v="1"/>
    <x v="1"/>
  </r>
  <r>
    <x v="435"/>
    <d v="2025-03-20T00:00:00"/>
    <n v="12"/>
    <s v="T023"/>
    <x v="0"/>
    <n v="1245.69"/>
    <x v="3"/>
    <n v="1121.1199999999999"/>
    <n v="1"/>
    <s v="Walk-in"/>
    <n v="1121.1199999999999"/>
    <s v="OK"/>
    <x v="5"/>
    <x v="0"/>
    <s v="1–_x000a_10%"/>
    <x v="3"/>
    <x v="11"/>
  </r>
  <r>
    <x v="436"/>
    <d v="2025-06-20T00:00:00"/>
    <n v="16"/>
    <s v="T001"/>
    <x v="0"/>
    <n v="630.39"/>
    <x v="1"/>
    <n v="630.39"/>
    <n v="3"/>
    <s v="Member"/>
    <n v="630.39"/>
    <s v="OK"/>
    <x v="3"/>
    <x v="0"/>
    <s v="0%"/>
    <x v="1"/>
    <x v="7"/>
  </r>
  <r>
    <x v="437"/>
    <d v="2025-01-15T00:00:00"/>
    <n v="22"/>
    <s v="T020"/>
    <x v="3"/>
    <n v="1678.57"/>
    <x v="3"/>
    <n v="1510.71"/>
    <n v="4"/>
    <s v="Member"/>
    <n v="1510.71"/>
    <s v="OK"/>
    <x v="2"/>
    <x v="0"/>
    <s v="1–_x000a_10%"/>
    <x v="2"/>
    <x v="2"/>
  </r>
  <r>
    <x v="438"/>
    <d v="2025-05-09T00:00:00"/>
    <n v="15"/>
    <s v="T023"/>
    <x v="0"/>
    <n v="883.14"/>
    <x v="3"/>
    <n v="794.83"/>
    <n v="1"/>
    <s v="Walk-in"/>
    <n v="794.83"/>
    <s v="OK"/>
    <x v="1"/>
    <x v="0"/>
    <s v="1–_x000a_10%"/>
    <x v="3"/>
    <x v="11"/>
  </r>
  <r>
    <x v="439"/>
    <d v="2025-03-30T00:00:00"/>
    <n v="14"/>
    <s v="T016"/>
    <x v="0"/>
    <n v="1843.26"/>
    <x v="1"/>
    <n v="1843.26"/>
    <n v="4"/>
    <s v="Walk-in"/>
    <n v="1843.26"/>
    <s v="OK"/>
    <x v="5"/>
    <x v="1"/>
    <s v="0%"/>
    <x v="1"/>
    <x v="1"/>
  </r>
  <r>
    <x v="440"/>
    <d v="2025-04-13T00:00:00"/>
    <n v="14"/>
    <s v="T014"/>
    <x v="1"/>
    <n v="732.23"/>
    <x v="1"/>
    <n v="732.23"/>
    <n v="3"/>
    <s v="Walk-in"/>
    <n v="732.23"/>
    <s v="OK"/>
    <x v="4"/>
    <x v="1"/>
    <s v="0%"/>
    <x v="0"/>
    <x v="6"/>
  </r>
  <r>
    <x v="441"/>
    <d v="2025-03-25T00:00:00"/>
    <n v="17"/>
    <s v="T022"/>
    <x v="2"/>
    <n v="1938.47"/>
    <x v="3"/>
    <n v="1744.62"/>
    <n v="3"/>
    <s v="Walk-in"/>
    <n v="1744.62"/>
    <s v="OK"/>
    <x v="5"/>
    <x v="0"/>
    <s v="1–_x000a_10%"/>
    <x v="4"/>
    <x v="8"/>
  </r>
  <r>
    <x v="442"/>
    <d v="2025-03-11T00:00:00"/>
    <n v="12"/>
    <s v="T029"/>
    <x v="2"/>
    <n v="1503.46"/>
    <x v="1"/>
    <n v="1503.46"/>
    <n v="2"/>
    <s v="Walk-in"/>
    <n v="1503.46"/>
    <s v="OK"/>
    <x v="5"/>
    <x v="0"/>
    <s v="0%"/>
    <x v="0"/>
    <x v="6"/>
  </r>
  <r>
    <x v="443"/>
    <d v="2025-02-12T00:00:00"/>
    <n v="19"/>
    <s v="T011"/>
    <x v="2"/>
    <n v="1123.76"/>
    <x v="3"/>
    <n v="1011.38"/>
    <n v="2"/>
    <s v="Walk-in"/>
    <n v="1011.38"/>
    <s v="OK"/>
    <x v="0"/>
    <x v="0"/>
    <s v="1–_x000a_10%"/>
    <x v="1"/>
    <x v="10"/>
  </r>
  <r>
    <x v="444"/>
    <d v="2025-05-31T00:00:00"/>
    <n v="20"/>
    <s v="T006"/>
    <x v="2"/>
    <n v="1569.67"/>
    <x v="0"/>
    <n v="1334.22"/>
    <n v="1"/>
    <s v="Walk-in"/>
    <n v="1334.22"/>
    <s v="OK"/>
    <x v="1"/>
    <x v="1"/>
    <s v="11–20%"/>
    <x v="1"/>
    <x v="1"/>
  </r>
  <r>
    <x v="445"/>
    <d v="2025-06-13T00:00:00"/>
    <n v="19"/>
    <s v="T019"/>
    <x v="0"/>
    <n v="1660.01"/>
    <x v="0"/>
    <n v="1411.01"/>
    <n v="1"/>
    <s v="Member"/>
    <n v="1411.01"/>
    <s v="OK"/>
    <x v="3"/>
    <x v="0"/>
    <s v="11–20%"/>
    <x v="0"/>
    <x v="0"/>
  </r>
  <r>
    <x v="446"/>
    <d v="2025-05-28T00:00:00"/>
    <n v="18"/>
    <s v="T005"/>
    <x v="0"/>
    <n v="913.2"/>
    <x v="1"/>
    <n v="913.2"/>
    <n v="2"/>
    <s v="Member"/>
    <n v="913.2"/>
    <s v="OK"/>
    <x v="1"/>
    <x v="0"/>
    <s v="0%"/>
    <x v="2"/>
    <x v="4"/>
  </r>
  <r>
    <x v="447"/>
    <d v="2025-02-19T00:00:00"/>
    <n v="11"/>
    <s v="T018"/>
    <x v="2"/>
    <n v="763.33"/>
    <x v="1"/>
    <n v="763.33"/>
    <n v="1"/>
    <s v="Walk-in"/>
    <n v="763.33"/>
    <s v="OK"/>
    <x v="0"/>
    <x v="0"/>
    <s v="0%"/>
    <x v="3"/>
    <x v="3"/>
  </r>
  <r>
    <x v="448"/>
    <d v="2025-01-14T00:00:00"/>
    <n v="11"/>
    <s v="T025"/>
    <x v="0"/>
    <n v="941.62"/>
    <x v="1"/>
    <n v="941.62"/>
    <n v="3"/>
    <s v="Member"/>
    <n v="941.62"/>
    <s v="OK"/>
    <x v="2"/>
    <x v="0"/>
    <s v="0%"/>
    <x v="2"/>
    <x v="2"/>
  </r>
  <r>
    <x v="449"/>
    <d v="2025-06-20T00:00:00"/>
    <n v="13"/>
    <s v="T017"/>
    <x v="0"/>
    <n v="881.73"/>
    <x v="4"/>
    <n v="705.38"/>
    <n v="4"/>
    <s v="Walk-in"/>
    <n v="705.38"/>
    <s v="OK"/>
    <x v="3"/>
    <x v="0"/>
    <s v="11–20%"/>
    <x v="4"/>
    <x v="8"/>
  </r>
  <r>
    <x v="450"/>
    <d v="2025-06-13T00:00:00"/>
    <n v="12"/>
    <s v="T004"/>
    <x v="2"/>
    <n v="476.79"/>
    <x v="1"/>
    <n v="476.79"/>
    <n v="2"/>
    <s v="Member"/>
    <n v="476.79"/>
    <s v="OK"/>
    <x v="3"/>
    <x v="0"/>
    <s v="0%"/>
    <x v="0"/>
    <x v="0"/>
  </r>
  <r>
    <x v="451"/>
    <d v="2025-03-21T00:00:00"/>
    <n v="19"/>
    <s v="T016"/>
    <x v="2"/>
    <n v="635.4"/>
    <x v="5"/>
    <n v="603.63"/>
    <n v="1"/>
    <s v="Walk-in"/>
    <n v="603.63"/>
    <s v="OK"/>
    <x v="5"/>
    <x v="0"/>
    <s v="1–_x000a_10%"/>
    <x v="1"/>
    <x v="1"/>
  </r>
  <r>
    <x v="452"/>
    <d v="2025-02-27T00:00:00"/>
    <n v="22"/>
    <s v="T012"/>
    <x v="2"/>
    <n v="6047.24"/>
    <x v="1"/>
    <n v="6047.24"/>
    <n v="2"/>
    <s v="Walk-in"/>
    <n v="6047.24"/>
    <s v="OK"/>
    <x v="0"/>
    <x v="0"/>
    <s v="0%"/>
    <x v="4"/>
    <x v="9"/>
  </r>
  <r>
    <x v="453"/>
    <d v="2025-04-18T00:00:00"/>
    <n v="20"/>
    <s v="T004"/>
    <x v="0"/>
    <n v="356.46"/>
    <x v="3"/>
    <n v="320.81"/>
    <n v="6"/>
    <s v="Member"/>
    <n v="320.81"/>
    <s v="OK"/>
    <x v="4"/>
    <x v="0"/>
    <s v="1–_x000a_10%"/>
    <x v="0"/>
    <x v="0"/>
  </r>
  <r>
    <x v="454"/>
    <d v="2025-06-28T00:00:00"/>
    <n v="18"/>
    <s v="T009"/>
    <x v="2"/>
    <n v="1677.51"/>
    <x v="1"/>
    <n v="1677.51"/>
    <n v="1"/>
    <s v="Walk-in"/>
    <n v="1677.51"/>
    <s v="OK"/>
    <x v="3"/>
    <x v="1"/>
    <s v="0%"/>
    <x v="0"/>
    <x v="6"/>
  </r>
  <r>
    <x v="455"/>
    <d v="2025-05-05T00:00:00"/>
    <n v="21"/>
    <s v="T019"/>
    <x v="0"/>
    <n v="752.61"/>
    <x v="5"/>
    <n v="714.98"/>
    <n v="1"/>
    <s v="Walk-in"/>
    <n v="714.98"/>
    <s v="OK"/>
    <x v="1"/>
    <x v="0"/>
    <s v="1–_x000a_10%"/>
    <x v="0"/>
    <x v="0"/>
  </r>
  <r>
    <x v="456"/>
    <d v="2025-01-26T00:00:00"/>
    <n v="16"/>
    <s v="T022"/>
    <x v="2"/>
    <n v="465.28"/>
    <x v="4"/>
    <n v="372.22"/>
    <n v="1"/>
    <s v="Member"/>
    <n v="372.22"/>
    <s v="OK"/>
    <x v="2"/>
    <x v="1"/>
    <s v="11–20%"/>
    <x v="4"/>
    <x v="8"/>
  </r>
  <r>
    <x v="457"/>
    <d v="2025-01-22T00:00:00"/>
    <n v="16"/>
    <s v="T007"/>
    <x v="0"/>
    <n v="886.66"/>
    <x v="4"/>
    <n v="709.33"/>
    <n v="4"/>
    <s v="Walk-in"/>
    <n v="709.33"/>
    <s v="OK"/>
    <x v="2"/>
    <x v="0"/>
    <s v="11–20%"/>
    <x v="4"/>
    <x v="8"/>
  </r>
  <r>
    <x v="458"/>
    <d v="2025-01-22T00:00:00"/>
    <n v="22"/>
    <s v="T021"/>
    <x v="0"/>
    <n v="705.67"/>
    <x v="1"/>
    <n v="705.67"/>
    <n v="1"/>
    <s v="Walk-in"/>
    <n v="705.67"/>
    <s v="OK"/>
    <x v="2"/>
    <x v="0"/>
    <s v="0%"/>
    <x v="1"/>
    <x v="1"/>
  </r>
  <r>
    <x v="459"/>
    <d v="2025-03-12T00:00:00"/>
    <n v="16"/>
    <s v="T020"/>
    <x v="2"/>
    <n v="699.06"/>
    <x v="1"/>
    <n v="699.06"/>
    <n v="3"/>
    <s v="Member"/>
    <n v="699.06"/>
    <s v="OK"/>
    <x v="5"/>
    <x v="0"/>
    <s v="0%"/>
    <x v="2"/>
    <x v="2"/>
  </r>
  <r>
    <x v="460"/>
    <d v="2025-04-06T00:00:00"/>
    <n v="13"/>
    <s v="T023"/>
    <x v="2"/>
    <n v="1145.58"/>
    <x v="0"/>
    <n v="973.74"/>
    <n v="1"/>
    <s v="Member"/>
    <n v="973.74"/>
    <s v="OK"/>
    <x v="4"/>
    <x v="1"/>
    <s v="11–20%"/>
    <x v="3"/>
    <x v="11"/>
  </r>
  <r>
    <x v="461"/>
    <d v="2025-02-15T00:00:00"/>
    <n v="19"/>
    <s v="T027"/>
    <x v="1"/>
    <n v="996.51"/>
    <x v="1"/>
    <n v="996.51"/>
    <n v="1"/>
    <s v="Walk-in"/>
    <n v="996.51"/>
    <s v="OK"/>
    <x v="0"/>
    <x v="1"/>
    <s v="0%"/>
    <x v="4"/>
    <x v="9"/>
  </r>
  <r>
    <x v="462"/>
    <d v="2025-04-24T00:00:00"/>
    <n v="10"/>
    <s v="T030"/>
    <x v="2"/>
    <n v="644.98"/>
    <x v="0"/>
    <n v="548.23"/>
    <n v="3"/>
    <s v="Walk-in"/>
    <n v="548.23"/>
    <s v="OK"/>
    <x v="4"/>
    <x v="0"/>
    <s v="11–20%"/>
    <x v="2"/>
    <x v="2"/>
  </r>
  <r>
    <x v="463"/>
    <d v="2025-04-18T00:00:00"/>
    <n v="12"/>
    <s v="T018"/>
    <x v="3"/>
    <n v="401.34"/>
    <x v="1"/>
    <n v="401.34"/>
    <n v="1"/>
    <s v="Member"/>
    <n v="401.34"/>
    <s v="OK"/>
    <x v="4"/>
    <x v="0"/>
    <s v="0%"/>
    <x v="3"/>
    <x v="3"/>
  </r>
  <r>
    <x v="464"/>
    <d v="2025-03-19T00:00:00"/>
    <n v="18"/>
    <s v="T026"/>
    <x v="0"/>
    <n v="254.79"/>
    <x v="1"/>
    <n v="254.79"/>
    <n v="1"/>
    <s v="Walk-in"/>
    <n v="254.79"/>
    <s v="OK"/>
    <x v="5"/>
    <x v="0"/>
    <s v="0%"/>
    <x v="1"/>
    <x v="10"/>
  </r>
  <r>
    <x v="465"/>
    <d v="2025-05-09T00:00:00"/>
    <n v="13"/>
    <s v="T018"/>
    <x v="0"/>
    <n v="450.14"/>
    <x v="1"/>
    <n v="450.14"/>
    <n v="1"/>
    <s v="Member"/>
    <n v="450.14"/>
    <s v="OK"/>
    <x v="1"/>
    <x v="0"/>
    <s v="0%"/>
    <x v="3"/>
    <x v="3"/>
  </r>
  <r>
    <x v="466"/>
    <d v="2025-04-22T00:00:00"/>
    <n v="12"/>
    <s v="T019"/>
    <x v="1"/>
    <n v="959.06"/>
    <x v="1"/>
    <n v="959.06"/>
    <n v="2"/>
    <s v="Walk-in"/>
    <n v="959.06"/>
    <s v="OK"/>
    <x v="4"/>
    <x v="0"/>
    <s v="0%"/>
    <x v="0"/>
    <x v="0"/>
  </r>
  <r>
    <x v="467"/>
    <d v="2025-02-27T00:00:00"/>
    <n v="16"/>
    <s v="T002"/>
    <x v="1"/>
    <n v="364.01"/>
    <x v="0"/>
    <n v="309.41000000000003"/>
    <n v="5"/>
    <s v="Member"/>
    <n v="309.41000000000003"/>
    <s v="OK"/>
    <x v="0"/>
    <x v="0"/>
    <s v="11–20%"/>
    <x v="4"/>
    <x v="9"/>
  </r>
  <r>
    <x v="468"/>
    <d v="2025-04-28T00:00:00"/>
    <n v="12"/>
    <s v="T010"/>
    <x v="2"/>
    <n v="1455.47"/>
    <x v="1"/>
    <n v="1455.47"/>
    <n v="1"/>
    <s v="Walk-in"/>
    <n v="1455.47"/>
    <s v="OK"/>
    <x v="4"/>
    <x v="0"/>
    <s v="0%"/>
    <x v="2"/>
    <x v="4"/>
  </r>
  <r>
    <x v="469"/>
    <d v="2025-03-01T00:00:00"/>
    <n v="11"/>
    <s v="T008"/>
    <x v="2"/>
    <n v="1167.01"/>
    <x v="4"/>
    <n v="933.61"/>
    <n v="2"/>
    <s v="Walk-in"/>
    <n v="933.61"/>
    <s v="OK"/>
    <x v="5"/>
    <x v="1"/>
    <s v="11–20%"/>
    <x v="3"/>
    <x v="5"/>
  </r>
  <r>
    <x v="470"/>
    <d v="2025-02-27T00:00:00"/>
    <n v="22"/>
    <s v="T007"/>
    <x v="2"/>
    <n v="707.12"/>
    <x v="5"/>
    <n v="671.76"/>
    <n v="1"/>
    <s v="Walk-in"/>
    <n v="671.76"/>
    <s v="OK"/>
    <x v="0"/>
    <x v="0"/>
    <s v="1–_x000a_10%"/>
    <x v="4"/>
    <x v="8"/>
  </r>
  <r>
    <x v="471"/>
    <d v="2025-03-05T00:00:00"/>
    <n v="19"/>
    <s v="T008"/>
    <x v="0"/>
    <n v="627.4"/>
    <x v="1"/>
    <n v="627.4"/>
    <n v="4"/>
    <s v="Walk-in"/>
    <n v="627.4"/>
    <s v="OK"/>
    <x v="5"/>
    <x v="0"/>
    <s v="0%"/>
    <x v="3"/>
    <x v="5"/>
  </r>
  <r>
    <x v="472"/>
    <d v="2025-06-01T00:00:00"/>
    <n v="17"/>
    <s v="T022"/>
    <x v="0"/>
    <n v="980.72"/>
    <x v="1"/>
    <n v="980.72"/>
    <n v="3"/>
    <s v="Member"/>
    <n v="980.72"/>
    <s v="OK"/>
    <x v="3"/>
    <x v="1"/>
    <s v="0%"/>
    <x v="4"/>
    <x v="8"/>
  </r>
  <r>
    <x v="473"/>
    <d v="2025-04-06T00:00:00"/>
    <n v="13"/>
    <s v="T002"/>
    <x v="2"/>
    <n v="1034.1300000000001"/>
    <x v="5"/>
    <n v="982.42"/>
    <n v="2"/>
    <s v="Walk-in"/>
    <n v="982.42"/>
    <s v="OK"/>
    <x v="4"/>
    <x v="1"/>
    <s v="1–_x000a_10%"/>
    <x v="4"/>
    <x v="9"/>
  </r>
  <r>
    <x v="474"/>
    <d v="2025-03-09T00:00:00"/>
    <n v="14"/>
    <s v="T026"/>
    <x v="2"/>
    <n v="1148.1199999999999"/>
    <x v="3"/>
    <n v="1033.31"/>
    <n v="2"/>
    <s v="Member"/>
    <n v="1033.31"/>
    <s v="OK"/>
    <x v="5"/>
    <x v="1"/>
    <s v="1–_x000a_10%"/>
    <x v="1"/>
    <x v="10"/>
  </r>
  <r>
    <x v="475"/>
    <d v="2025-04-25T00:00:00"/>
    <n v="17"/>
    <s v="T022"/>
    <x v="1"/>
    <n v="676.24"/>
    <x v="1"/>
    <n v="676.24"/>
    <n v="1"/>
    <s v="Walk-in"/>
    <n v="676.24"/>
    <s v="OK"/>
    <x v="4"/>
    <x v="0"/>
    <s v="0%"/>
    <x v="4"/>
    <x v="8"/>
  </r>
  <r>
    <x v="476"/>
    <d v="2025-02-25T00:00:00"/>
    <n v="19"/>
    <s v="T019"/>
    <x v="1"/>
    <n v="2054.79"/>
    <x v="4"/>
    <n v="1643.83"/>
    <n v="3"/>
    <s v="Member"/>
    <n v="1643.83"/>
    <s v="OK"/>
    <x v="0"/>
    <x v="0"/>
    <s v="11–20%"/>
    <x v="0"/>
    <x v="0"/>
  </r>
  <r>
    <x v="477"/>
    <d v="2025-02-04T00:00:00"/>
    <n v="11"/>
    <s v="T007"/>
    <x v="0"/>
    <n v="1616.73"/>
    <x v="1"/>
    <n v="1616.73"/>
    <n v="6"/>
    <s v="Member"/>
    <n v="1616.73"/>
    <s v="OK"/>
    <x v="0"/>
    <x v="0"/>
    <s v="0%"/>
    <x v="4"/>
    <x v="8"/>
  </r>
  <r>
    <x v="478"/>
    <d v="2025-05-26T00:00:00"/>
    <n v="20"/>
    <s v="T025"/>
    <x v="0"/>
    <n v="1164.32"/>
    <x v="2"/>
    <n v="815.02"/>
    <n v="2"/>
    <s v="Member"/>
    <n v="815.02"/>
    <s v="OK"/>
    <x v="1"/>
    <x v="0"/>
    <s v="&gt;20%"/>
    <x v="2"/>
    <x v="2"/>
  </r>
  <r>
    <x v="479"/>
    <d v="2025-02-10T00:00:00"/>
    <n v="20"/>
    <s v="T017"/>
    <x v="2"/>
    <n v="734.51"/>
    <x v="5"/>
    <n v="697.78"/>
    <n v="3"/>
    <s v="Member"/>
    <n v="697.78"/>
    <s v="OK"/>
    <x v="0"/>
    <x v="0"/>
    <s v="1–_x000a_10%"/>
    <x v="4"/>
    <x v="8"/>
  </r>
  <r>
    <x v="480"/>
    <d v="2025-04-11T00:00:00"/>
    <n v="15"/>
    <s v="T006"/>
    <x v="3"/>
    <n v="1200.98"/>
    <x v="1"/>
    <n v="1200.98"/>
    <n v="2"/>
    <s v="Walk-in"/>
    <n v="1200.98"/>
    <s v="OK"/>
    <x v="4"/>
    <x v="0"/>
    <s v="0%"/>
    <x v="1"/>
    <x v="1"/>
  </r>
  <r>
    <x v="481"/>
    <d v="2025-01-27T00:00:00"/>
    <n v="14"/>
    <s v="T002"/>
    <x v="0"/>
    <n v="1188.46"/>
    <x v="5"/>
    <n v="1129.04"/>
    <n v="2"/>
    <s v="Walk-in"/>
    <n v="1129.04"/>
    <s v="OK"/>
    <x v="2"/>
    <x v="0"/>
    <s v="1–_x000a_10%"/>
    <x v="4"/>
    <x v="9"/>
  </r>
  <r>
    <x v="482"/>
    <d v="2025-06-19T00:00:00"/>
    <n v="15"/>
    <s v="T016"/>
    <x v="0"/>
    <n v="288.8"/>
    <x v="1"/>
    <n v="288.8"/>
    <n v="2"/>
    <s v="Walk-in"/>
    <n v="288.8"/>
    <s v="OK"/>
    <x v="3"/>
    <x v="0"/>
    <s v="0%"/>
    <x v="1"/>
    <x v="1"/>
  </r>
  <r>
    <x v="483"/>
    <d v="2025-03-29T00:00:00"/>
    <n v="12"/>
    <s v="T026"/>
    <x v="0"/>
    <n v="712.53"/>
    <x v="1"/>
    <n v="712.53"/>
    <n v="5"/>
    <s v="Walk-in"/>
    <n v="712.53"/>
    <s v="OK"/>
    <x v="5"/>
    <x v="1"/>
    <s v="0%"/>
    <x v="1"/>
    <x v="10"/>
  </r>
  <r>
    <x v="484"/>
    <d v="2025-04-04T00:00:00"/>
    <n v="20"/>
    <s v="T024"/>
    <x v="0"/>
    <n v="723.32"/>
    <x v="4"/>
    <n v="578.66"/>
    <n v="3"/>
    <s v="Member"/>
    <n v="578.66"/>
    <s v="OK"/>
    <x v="4"/>
    <x v="0"/>
    <s v="11–20%"/>
    <x v="0"/>
    <x v="0"/>
  </r>
  <r>
    <x v="485"/>
    <d v="2025-02-22T00:00:00"/>
    <n v="14"/>
    <s v="T014"/>
    <x v="2"/>
    <n v="184.89"/>
    <x v="3"/>
    <n v="166.4"/>
    <n v="3"/>
    <s v="Walk-in"/>
    <n v="166.4"/>
    <s v="OK"/>
    <x v="0"/>
    <x v="1"/>
    <s v="1–_x000a_10%"/>
    <x v="0"/>
    <x v="6"/>
  </r>
  <r>
    <x v="486"/>
    <d v="2025-06-25T00:00:00"/>
    <n v="18"/>
    <s v="T026"/>
    <x v="2"/>
    <n v="594.03"/>
    <x v="1"/>
    <n v="594.03"/>
    <n v="4"/>
    <s v="Walk-in"/>
    <n v="594.03"/>
    <s v="OK"/>
    <x v="3"/>
    <x v="0"/>
    <s v="0%"/>
    <x v="1"/>
    <x v="10"/>
  </r>
  <r>
    <x v="487"/>
    <d v="2025-01-05T00:00:00"/>
    <n v="12"/>
    <s v="T026"/>
    <x v="1"/>
    <n v="1413.01"/>
    <x v="5"/>
    <n v="1342.36"/>
    <n v="1"/>
    <s v="Walk-in"/>
    <n v="1342.36"/>
    <s v="OK"/>
    <x v="2"/>
    <x v="1"/>
    <s v="1–_x000a_10%"/>
    <x v="1"/>
    <x v="10"/>
  </r>
  <r>
    <x v="488"/>
    <d v="2025-05-16T00:00:00"/>
    <n v="10"/>
    <s v="T023"/>
    <x v="2"/>
    <n v="654.24"/>
    <x v="1"/>
    <n v="654.24"/>
    <n v="3"/>
    <s v="Member"/>
    <n v="654.24"/>
    <s v="OK"/>
    <x v="1"/>
    <x v="0"/>
    <s v="0%"/>
    <x v="3"/>
    <x v="11"/>
  </r>
  <r>
    <x v="489"/>
    <d v="2025-06-16T00:00:00"/>
    <n v="16"/>
    <s v="T013"/>
    <x v="0"/>
    <n v="528.33000000000004"/>
    <x v="1"/>
    <n v="528.33000000000004"/>
    <n v="2"/>
    <s v="Walk-in"/>
    <n v="528.33000000000004"/>
    <s v="OK"/>
    <x v="3"/>
    <x v="0"/>
    <s v="0%"/>
    <x v="3"/>
    <x v="11"/>
  </r>
  <r>
    <x v="490"/>
    <d v="2025-04-15T00:00:00"/>
    <n v="20"/>
    <s v="T002"/>
    <x v="3"/>
    <n v="335.65"/>
    <x v="1"/>
    <n v="335.65"/>
    <n v="1"/>
    <s v="Member"/>
    <n v="335.65"/>
    <s v="OK"/>
    <x v="4"/>
    <x v="0"/>
    <s v="0%"/>
    <x v="4"/>
    <x v="9"/>
  </r>
  <r>
    <x v="491"/>
    <d v="2025-06-15T00:00:00"/>
    <n v="12"/>
    <s v="T020"/>
    <x v="2"/>
    <n v="438.12"/>
    <x v="4"/>
    <n v="350.5"/>
    <n v="1"/>
    <s v="Member"/>
    <n v="350.5"/>
    <s v="OK"/>
    <x v="3"/>
    <x v="1"/>
    <s v="11–20%"/>
    <x v="2"/>
    <x v="2"/>
  </r>
  <r>
    <x v="492"/>
    <d v="2025-06-04T00:00:00"/>
    <n v="10"/>
    <s v="T007"/>
    <x v="0"/>
    <n v="677.37"/>
    <x v="3"/>
    <n v="609.63"/>
    <n v="5"/>
    <s v="Member"/>
    <n v="609.63"/>
    <s v="OK"/>
    <x v="3"/>
    <x v="0"/>
    <s v="1–_x000a_10%"/>
    <x v="4"/>
    <x v="8"/>
  </r>
  <r>
    <x v="493"/>
    <d v="2025-04-12T00:00:00"/>
    <n v="20"/>
    <s v="T010"/>
    <x v="1"/>
    <n v="831.23"/>
    <x v="5"/>
    <n v="789.67"/>
    <n v="1"/>
    <s v="Walk-in"/>
    <n v="789.67"/>
    <s v="OK"/>
    <x v="4"/>
    <x v="1"/>
    <s v="1–_x000a_10%"/>
    <x v="2"/>
    <x v="4"/>
  </r>
  <r>
    <x v="494"/>
    <d v="2025-01-27T00:00:00"/>
    <n v="11"/>
    <s v="T003"/>
    <x v="0"/>
    <n v="2008.64"/>
    <x v="1"/>
    <n v="2008.64"/>
    <n v="2"/>
    <s v="Walk-in"/>
    <n v="2008.64"/>
    <s v="OK"/>
    <x v="2"/>
    <x v="0"/>
    <s v="0%"/>
    <x v="3"/>
    <x v="3"/>
  </r>
  <r>
    <x v="495"/>
    <d v="2025-01-12T00:00:00"/>
    <n v="15"/>
    <s v="T010"/>
    <x v="3"/>
    <n v="664.31"/>
    <x v="2"/>
    <n v="465.02"/>
    <n v="1"/>
    <s v="Walk-in"/>
    <n v="465.02"/>
    <s v="OK"/>
    <x v="2"/>
    <x v="1"/>
    <s v="&gt;20%"/>
    <x v="2"/>
    <x v="4"/>
  </r>
  <r>
    <x v="496"/>
    <d v="2025-04-21T00:00:00"/>
    <n v="13"/>
    <s v="T020"/>
    <x v="0"/>
    <n v="291.39"/>
    <x v="1"/>
    <n v="291.39"/>
    <n v="2"/>
    <s v="Walk-in"/>
    <n v="291.39"/>
    <s v="OK"/>
    <x v="4"/>
    <x v="0"/>
    <s v="0%"/>
    <x v="2"/>
    <x v="2"/>
  </r>
  <r>
    <x v="497"/>
    <d v="2025-05-15T00:00:00"/>
    <n v="18"/>
    <s v="T026"/>
    <x v="0"/>
    <n v="1831.11"/>
    <x v="1"/>
    <n v="1831.11"/>
    <n v="1"/>
    <s v="Member"/>
    <n v="1831.11"/>
    <s v="OK"/>
    <x v="1"/>
    <x v="0"/>
    <s v="0%"/>
    <x v="1"/>
    <x v="10"/>
  </r>
  <r>
    <x v="498"/>
    <d v="2025-04-19T00:00:00"/>
    <n v="15"/>
    <s v="T001"/>
    <x v="0"/>
    <n v="1083.98"/>
    <x v="5"/>
    <n v="1029.78"/>
    <n v="1"/>
    <s v="Walk-in"/>
    <n v="1029.78"/>
    <s v="OK"/>
    <x v="4"/>
    <x v="1"/>
    <s v="1–_x000a_10%"/>
    <x v="1"/>
    <x v="7"/>
  </r>
  <r>
    <x v="499"/>
    <d v="2025-04-29T00:00:00"/>
    <n v="10"/>
    <s v="T011"/>
    <x v="2"/>
    <n v="500.37"/>
    <x v="1"/>
    <n v="500.37"/>
    <n v="5"/>
    <s v="Walk-in"/>
    <n v="500.37"/>
    <s v="OK"/>
    <x v="4"/>
    <x v="0"/>
    <s v="0%"/>
    <x v="1"/>
    <x v="10"/>
  </r>
  <r>
    <x v="500"/>
    <d v="2025-05-15T00:00:00"/>
    <n v="12"/>
    <s v="T019"/>
    <x v="1"/>
    <n v="607.87"/>
    <x v="1"/>
    <n v="607.87"/>
    <n v="6"/>
    <s v="Walk-in"/>
    <n v="607.87"/>
    <s v="OK"/>
    <x v="1"/>
    <x v="0"/>
    <s v="0%"/>
    <x v="0"/>
    <x v="0"/>
  </r>
  <r>
    <x v="501"/>
    <d v="2025-05-02T00:00:00"/>
    <n v="14"/>
    <s v="T009"/>
    <x v="0"/>
    <n v="968.14"/>
    <x v="5"/>
    <n v="919.73"/>
    <n v="1"/>
    <s v="Member"/>
    <n v="919.73"/>
    <s v="OK"/>
    <x v="1"/>
    <x v="0"/>
    <s v="1–_x000a_10%"/>
    <x v="0"/>
    <x v="6"/>
  </r>
  <r>
    <x v="502"/>
    <d v="2025-02-23T00:00:00"/>
    <n v="22"/>
    <s v="T014"/>
    <x v="3"/>
    <n v="724.1"/>
    <x v="1"/>
    <n v="724.1"/>
    <n v="1"/>
    <s v="Member"/>
    <n v="724.1"/>
    <s v="OK"/>
    <x v="0"/>
    <x v="1"/>
    <s v="0%"/>
    <x v="0"/>
    <x v="6"/>
  </r>
  <r>
    <x v="503"/>
    <d v="2025-01-10T00:00:00"/>
    <n v="15"/>
    <s v="T027"/>
    <x v="1"/>
    <n v="371.09"/>
    <x v="2"/>
    <n v="259.76"/>
    <n v="2"/>
    <s v="Walk-in"/>
    <n v="259.76"/>
    <s v="OK"/>
    <x v="2"/>
    <x v="0"/>
    <s v="&gt;20%"/>
    <x v="4"/>
    <x v="9"/>
  </r>
  <r>
    <x v="504"/>
    <d v="2025-02-13T00:00:00"/>
    <n v="10"/>
    <s v="T012"/>
    <x v="0"/>
    <n v="1314.24"/>
    <x v="1"/>
    <n v="1314.24"/>
    <n v="2"/>
    <s v="Member"/>
    <n v="1314.24"/>
    <s v="OK"/>
    <x v="0"/>
    <x v="0"/>
    <s v="0%"/>
    <x v="4"/>
    <x v="9"/>
  </r>
  <r>
    <x v="505"/>
    <d v="2025-01-23T00:00:00"/>
    <n v="11"/>
    <s v="T014"/>
    <x v="0"/>
    <n v="2681.23"/>
    <x v="1"/>
    <n v="2681.23"/>
    <n v="1"/>
    <s v="Member"/>
    <n v="2681.23"/>
    <s v="OK"/>
    <x v="2"/>
    <x v="0"/>
    <s v="0%"/>
    <x v="0"/>
    <x v="6"/>
  </r>
  <r>
    <x v="506"/>
    <d v="2025-01-17T00:00:00"/>
    <n v="12"/>
    <s v="T008"/>
    <x v="0"/>
    <n v="737.35"/>
    <x v="4"/>
    <n v="589.88"/>
    <n v="3"/>
    <s v="Walk-in"/>
    <n v="589.88"/>
    <s v="OK"/>
    <x v="2"/>
    <x v="0"/>
    <s v="11–20%"/>
    <x v="3"/>
    <x v="5"/>
  </r>
  <r>
    <x v="507"/>
    <d v="2025-03-15T00:00:00"/>
    <n v="12"/>
    <s v="T022"/>
    <x v="2"/>
    <n v="3197.81"/>
    <x v="1"/>
    <n v="3197.81"/>
    <n v="1"/>
    <s v="Member"/>
    <n v="3197.81"/>
    <s v="OK"/>
    <x v="5"/>
    <x v="1"/>
    <s v="0%"/>
    <x v="4"/>
    <x v="8"/>
  </r>
  <r>
    <x v="508"/>
    <d v="2025-01-20T00:00:00"/>
    <n v="21"/>
    <s v="T010"/>
    <x v="2"/>
    <n v="1055.01"/>
    <x v="5"/>
    <n v="1002.26"/>
    <n v="1"/>
    <s v="Member"/>
    <n v="1002.26"/>
    <s v="OK"/>
    <x v="2"/>
    <x v="0"/>
    <s v="1–_x000a_10%"/>
    <x v="2"/>
    <x v="4"/>
  </r>
  <r>
    <x v="509"/>
    <d v="2025-04-28T00:00:00"/>
    <n v="20"/>
    <s v="T021"/>
    <x v="0"/>
    <n v="2304.37"/>
    <x v="1"/>
    <n v="2304.37"/>
    <n v="4"/>
    <s v="Walk-in"/>
    <n v="2304.37"/>
    <s v="OK"/>
    <x v="4"/>
    <x v="0"/>
    <s v="0%"/>
    <x v="1"/>
    <x v="1"/>
  </r>
  <r>
    <x v="510"/>
    <d v="2025-04-16T00:00:00"/>
    <n v="20"/>
    <s v="T027"/>
    <x v="0"/>
    <n v="388.14"/>
    <x v="1"/>
    <n v="388.14"/>
    <n v="3"/>
    <s v="Walk-in"/>
    <n v="388.14"/>
    <s v="OK"/>
    <x v="4"/>
    <x v="0"/>
    <s v="0%"/>
    <x v="4"/>
    <x v="9"/>
  </r>
  <r>
    <x v="511"/>
    <d v="2025-03-18T00:00:00"/>
    <n v="12"/>
    <s v="T013"/>
    <x v="0"/>
    <n v="838.53"/>
    <x v="1"/>
    <n v="838.53"/>
    <n v="2"/>
    <s v="Walk-in"/>
    <n v="838.53"/>
    <s v="OK"/>
    <x v="5"/>
    <x v="0"/>
    <s v="0%"/>
    <x v="3"/>
    <x v="11"/>
  </r>
  <r>
    <x v="512"/>
    <d v="2025-01-24T00:00:00"/>
    <n v="18"/>
    <s v="T028"/>
    <x v="1"/>
    <n v="2644.98"/>
    <x v="2"/>
    <n v="1851.49"/>
    <n v="4"/>
    <s v="Walk-in"/>
    <n v="1851.49"/>
    <s v="OK"/>
    <x v="2"/>
    <x v="0"/>
    <s v="&gt;20%"/>
    <x v="3"/>
    <x v="5"/>
  </r>
  <r>
    <x v="513"/>
    <d v="2025-06-07T00:00:00"/>
    <n v="19"/>
    <s v="T030"/>
    <x v="0"/>
    <n v="2644.65"/>
    <x v="3"/>
    <n v="2380.1799999999998"/>
    <n v="3"/>
    <s v="Walk-in"/>
    <n v="2380.19"/>
    <s v="OK"/>
    <x v="3"/>
    <x v="1"/>
    <s v="1–_x000a_10%"/>
    <x v="2"/>
    <x v="2"/>
  </r>
  <r>
    <x v="514"/>
    <d v="2025-02-28T00:00:00"/>
    <n v="22"/>
    <s v="T010"/>
    <x v="0"/>
    <n v="238.36"/>
    <x v="1"/>
    <n v="238.36"/>
    <n v="4"/>
    <s v="Walk-in"/>
    <n v="238.36"/>
    <s v="OK"/>
    <x v="0"/>
    <x v="0"/>
    <s v="0%"/>
    <x v="2"/>
    <x v="4"/>
  </r>
  <r>
    <x v="515"/>
    <d v="2025-02-05T00:00:00"/>
    <n v="13"/>
    <s v="T026"/>
    <x v="0"/>
    <n v="276.41000000000003"/>
    <x v="1"/>
    <n v="276.41000000000003"/>
    <n v="4"/>
    <s v="Walk-in"/>
    <n v="276.41000000000003"/>
    <s v="OK"/>
    <x v="0"/>
    <x v="0"/>
    <s v="0%"/>
    <x v="1"/>
    <x v="10"/>
  </r>
  <r>
    <x v="516"/>
    <d v="2025-06-19T00:00:00"/>
    <n v="18"/>
    <s v="T023"/>
    <x v="0"/>
    <n v="712.82"/>
    <x v="2"/>
    <n v="498.97"/>
    <n v="1"/>
    <s v="Walk-in"/>
    <n v="498.97"/>
    <s v="OK"/>
    <x v="3"/>
    <x v="0"/>
    <s v="&gt;20%"/>
    <x v="3"/>
    <x v="11"/>
  </r>
  <r>
    <x v="517"/>
    <d v="2025-02-13T00:00:00"/>
    <n v="17"/>
    <s v="T003"/>
    <x v="0"/>
    <n v="612.24"/>
    <x v="1"/>
    <n v="612.24"/>
    <n v="3"/>
    <s v="Walk-in"/>
    <n v="612.24"/>
    <s v="OK"/>
    <x v="0"/>
    <x v="0"/>
    <s v="0%"/>
    <x v="3"/>
    <x v="3"/>
  </r>
  <r>
    <x v="518"/>
    <d v="2025-04-16T00:00:00"/>
    <n v="14"/>
    <s v="T009"/>
    <x v="0"/>
    <n v="468.62"/>
    <x v="1"/>
    <n v="468.62"/>
    <n v="2"/>
    <s v="Walk-in"/>
    <n v="468.62"/>
    <s v="OK"/>
    <x v="4"/>
    <x v="0"/>
    <s v="0%"/>
    <x v="0"/>
    <x v="6"/>
  </r>
  <r>
    <x v="519"/>
    <d v="2025-03-18T00:00:00"/>
    <n v="14"/>
    <s v="T021"/>
    <x v="1"/>
    <n v="1011.53"/>
    <x v="1"/>
    <n v="1011.53"/>
    <n v="2"/>
    <s v="Member"/>
    <n v="1011.53"/>
    <s v="OK"/>
    <x v="5"/>
    <x v="0"/>
    <s v="0%"/>
    <x v="1"/>
    <x v="1"/>
  </r>
  <r>
    <x v="520"/>
    <d v="2025-03-31T00:00:00"/>
    <n v="14"/>
    <s v="T003"/>
    <x v="0"/>
    <n v="988.65"/>
    <x v="4"/>
    <n v="790.92"/>
    <n v="1"/>
    <s v="Walk-in"/>
    <n v="790.92"/>
    <s v="OK"/>
    <x v="5"/>
    <x v="0"/>
    <s v="11–20%"/>
    <x v="3"/>
    <x v="3"/>
  </r>
  <r>
    <x v="521"/>
    <d v="2025-01-08T00:00:00"/>
    <n v="21"/>
    <s v="T008"/>
    <x v="2"/>
    <n v="436.01"/>
    <x v="1"/>
    <n v="436.01"/>
    <n v="3"/>
    <s v="Member"/>
    <n v="436.01"/>
    <s v="OK"/>
    <x v="2"/>
    <x v="0"/>
    <s v="0%"/>
    <x v="3"/>
    <x v="5"/>
  </r>
  <r>
    <x v="522"/>
    <d v="2025-03-22T00:00:00"/>
    <n v="14"/>
    <s v="T005"/>
    <x v="2"/>
    <n v="460.2"/>
    <x v="0"/>
    <n v="391.17"/>
    <n v="4"/>
    <s v="Member"/>
    <n v="391.17"/>
    <s v="OK"/>
    <x v="5"/>
    <x v="1"/>
    <s v="11–20%"/>
    <x v="2"/>
    <x v="4"/>
  </r>
  <r>
    <x v="523"/>
    <d v="2025-05-06T00:00:00"/>
    <n v="14"/>
    <s v="T027"/>
    <x v="2"/>
    <n v="567.49"/>
    <x v="4"/>
    <n v="453.99"/>
    <n v="1"/>
    <s v="Member"/>
    <n v="453.99"/>
    <s v="OK"/>
    <x v="1"/>
    <x v="0"/>
    <s v="11–20%"/>
    <x v="4"/>
    <x v="9"/>
  </r>
  <r>
    <x v="524"/>
    <d v="2025-05-06T00:00:00"/>
    <n v="19"/>
    <s v="T022"/>
    <x v="1"/>
    <n v="2275.59"/>
    <x v="3"/>
    <n v="2048.0300000000002"/>
    <n v="3"/>
    <s v="Walk-in"/>
    <n v="2048.0300000000002"/>
    <s v="OK"/>
    <x v="1"/>
    <x v="0"/>
    <s v="1–_x000a_10%"/>
    <x v="4"/>
    <x v="8"/>
  </r>
  <r>
    <x v="525"/>
    <d v="2025-02-06T00:00:00"/>
    <n v="18"/>
    <s v="T019"/>
    <x v="2"/>
    <n v="770.75"/>
    <x v="4"/>
    <n v="616.6"/>
    <n v="2"/>
    <s v="Member"/>
    <n v="616.6"/>
    <s v="OK"/>
    <x v="0"/>
    <x v="0"/>
    <s v="11–20%"/>
    <x v="0"/>
    <x v="0"/>
  </r>
  <r>
    <x v="526"/>
    <d v="2025-02-21T00:00:00"/>
    <n v="21"/>
    <s v="T025"/>
    <x v="1"/>
    <n v="808.24"/>
    <x v="1"/>
    <n v="808.24"/>
    <n v="4"/>
    <s v="Walk-in"/>
    <n v="808.24"/>
    <s v="OK"/>
    <x v="0"/>
    <x v="0"/>
    <s v="0%"/>
    <x v="2"/>
    <x v="2"/>
  </r>
  <r>
    <x v="527"/>
    <d v="2025-01-26T00:00:00"/>
    <n v="15"/>
    <s v="T008"/>
    <x v="0"/>
    <n v="1830.96"/>
    <x v="0"/>
    <n v="1556.32"/>
    <n v="1"/>
    <s v="Walk-in"/>
    <n v="1556.32"/>
    <s v="OK"/>
    <x v="2"/>
    <x v="1"/>
    <s v="11–20%"/>
    <x v="3"/>
    <x v="5"/>
  </r>
  <r>
    <x v="528"/>
    <d v="2025-05-29T00:00:00"/>
    <n v="16"/>
    <s v="T001"/>
    <x v="0"/>
    <n v="1873.28"/>
    <x v="3"/>
    <n v="1685.95"/>
    <n v="3"/>
    <s v="Member"/>
    <n v="1685.95"/>
    <s v="OK"/>
    <x v="1"/>
    <x v="0"/>
    <s v="1–_x000a_10%"/>
    <x v="1"/>
    <x v="7"/>
  </r>
  <r>
    <x v="529"/>
    <d v="2025-05-03T00:00:00"/>
    <n v="20"/>
    <s v="T018"/>
    <x v="2"/>
    <n v="1826.9"/>
    <x v="3"/>
    <n v="1644.21"/>
    <n v="1"/>
    <s v="Member"/>
    <n v="1644.21"/>
    <s v="OK"/>
    <x v="1"/>
    <x v="1"/>
    <s v="1–_x000a_10%"/>
    <x v="3"/>
    <x v="3"/>
  </r>
  <r>
    <x v="530"/>
    <d v="2025-01-10T00:00:00"/>
    <n v="15"/>
    <s v="T024"/>
    <x v="3"/>
    <n v="1326.21"/>
    <x v="1"/>
    <n v="1326.21"/>
    <n v="2"/>
    <s v="Walk-in"/>
    <n v="1326.21"/>
    <s v="OK"/>
    <x v="2"/>
    <x v="0"/>
    <s v="0%"/>
    <x v="0"/>
    <x v="0"/>
  </r>
  <r>
    <x v="531"/>
    <d v="2025-03-23T00:00:00"/>
    <n v="22"/>
    <s v="T025"/>
    <x v="0"/>
    <n v="298.20999999999998"/>
    <x v="1"/>
    <n v="298.20999999999998"/>
    <n v="1"/>
    <s v="Member"/>
    <n v="298.20999999999998"/>
    <s v="OK"/>
    <x v="5"/>
    <x v="1"/>
    <s v="0%"/>
    <x v="2"/>
    <x v="2"/>
  </r>
  <r>
    <x v="532"/>
    <d v="2025-03-09T00:00:00"/>
    <n v="13"/>
    <s v="T021"/>
    <x v="0"/>
    <n v="1609.54"/>
    <x v="3"/>
    <n v="1448.59"/>
    <n v="1"/>
    <s v="Walk-in"/>
    <n v="1448.59"/>
    <s v="OK"/>
    <x v="5"/>
    <x v="1"/>
    <s v="1–_x000a_10%"/>
    <x v="1"/>
    <x v="1"/>
  </r>
  <r>
    <x v="533"/>
    <d v="2025-02-06T00:00:00"/>
    <n v="19"/>
    <s v="T012"/>
    <x v="0"/>
    <n v="350.09"/>
    <x v="1"/>
    <n v="350.09"/>
    <n v="4"/>
    <s v="Member"/>
    <n v="350.09"/>
    <s v="OK"/>
    <x v="0"/>
    <x v="0"/>
    <s v="0%"/>
    <x v="4"/>
    <x v="9"/>
  </r>
  <r>
    <x v="534"/>
    <d v="2025-01-20T00:00:00"/>
    <n v="19"/>
    <s v="T024"/>
    <x v="0"/>
    <n v="510.72"/>
    <x v="1"/>
    <n v="510.72"/>
    <n v="1"/>
    <s v="Walk-in"/>
    <n v="510.72"/>
    <s v="OK"/>
    <x v="2"/>
    <x v="0"/>
    <s v="0%"/>
    <x v="0"/>
    <x v="0"/>
  </r>
  <r>
    <x v="535"/>
    <d v="2025-05-11T00:00:00"/>
    <n v="11"/>
    <s v="T014"/>
    <x v="2"/>
    <n v="5312.71"/>
    <x v="1"/>
    <n v="5312.71"/>
    <n v="4"/>
    <s v="Member"/>
    <n v="5312.71"/>
    <s v="OK"/>
    <x v="1"/>
    <x v="1"/>
    <s v="0%"/>
    <x v="0"/>
    <x v="6"/>
  </r>
  <r>
    <x v="536"/>
    <d v="2025-06-16T00:00:00"/>
    <n v="13"/>
    <s v="T028"/>
    <x v="3"/>
    <n v="1222.02"/>
    <x v="2"/>
    <n v="855.41"/>
    <n v="3"/>
    <s v="Member"/>
    <n v="855.41"/>
    <s v="OK"/>
    <x v="3"/>
    <x v="0"/>
    <s v="&gt;20%"/>
    <x v="3"/>
    <x v="5"/>
  </r>
  <r>
    <x v="537"/>
    <d v="2025-05-28T00:00:00"/>
    <n v="15"/>
    <s v="T001"/>
    <x v="2"/>
    <n v="1030.19"/>
    <x v="1"/>
    <n v="1030.19"/>
    <n v="1"/>
    <s v="Walk-in"/>
    <n v="1030.19"/>
    <s v="OK"/>
    <x v="1"/>
    <x v="0"/>
    <s v="0%"/>
    <x v="1"/>
    <x v="7"/>
  </r>
  <r>
    <x v="538"/>
    <d v="2025-03-27T00:00:00"/>
    <n v="10"/>
    <s v="T007"/>
    <x v="1"/>
    <n v="1299.53"/>
    <x v="1"/>
    <n v="1299.53"/>
    <n v="4"/>
    <s v="Walk-in"/>
    <n v="1299.53"/>
    <s v="OK"/>
    <x v="5"/>
    <x v="0"/>
    <s v="0%"/>
    <x v="4"/>
    <x v="8"/>
  </r>
  <r>
    <x v="539"/>
    <d v="2025-01-24T00:00:00"/>
    <n v="22"/>
    <s v="T009"/>
    <x v="0"/>
    <n v="1112.8800000000001"/>
    <x v="0"/>
    <n v="945.95"/>
    <n v="2"/>
    <s v="Walk-in"/>
    <n v="945.95"/>
    <s v="OK"/>
    <x v="2"/>
    <x v="0"/>
    <s v="11–20%"/>
    <x v="0"/>
    <x v="6"/>
  </r>
  <r>
    <x v="540"/>
    <d v="2025-01-12T00:00:00"/>
    <n v="21"/>
    <s v="T001"/>
    <x v="3"/>
    <n v="3159.3"/>
    <x v="0"/>
    <n v="2685.41"/>
    <n v="2"/>
    <s v="Member"/>
    <n v="2685.41"/>
    <s v="OK"/>
    <x v="2"/>
    <x v="1"/>
    <s v="11–20%"/>
    <x v="1"/>
    <x v="7"/>
  </r>
  <r>
    <x v="541"/>
    <d v="2025-02-01T00:00:00"/>
    <n v="18"/>
    <s v="T001"/>
    <x v="2"/>
    <n v="1336"/>
    <x v="1"/>
    <n v="1336"/>
    <n v="1"/>
    <s v="Member"/>
    <n v="1336"/>
    <s v="OK"/>
    <x v="0"/>
    <x v="1"/>
    <s v="0%"/>
    <x v="1"/>
    <x v="7"/>
  </r>
  <r>
    <x v="542"/>
    <d v="2025-05-16T00:00:00"/>
    <n v="11"/>
    <s v="T023"/>
    <x v="0"/>
    <n v="1158.32"/>
    <x v="0"/>
    <n v="984.57"/>
    <n v="2"/>
    <s v="Member"/>
    <n v="984.57"/>
    <s v="OK"/>
    <x v="1"/>
    <x v="0"/>
    <s v="11–20%"/>
    <x v="3"/>
    <x v="11"/>
  </r>
  <r>
    <x v="543"/>
    <d v="2025-05-24T00:00:00"/>
    <n v="18"/>
    <s v="T012"/>
    <x v="0"/>
    <n v="710.26"/>
    <x v="4"/>
    <n v="568.21"/>
    <n v="3"/>
    <s v="Member"/>
    <n v="568.21"/>
    <s v="OK"/>
    <x v="1"/>
    <x v="1"/>
    <s v="11–20%"/>
    <x v="4"/>
    <x v="9"/>
  </r>
  <r>
    <x v="544"/>
    <d v="2025-06-15T00:00:00"/>
    <n v="18"/>
    <s v="T007"/>
    <x v="0"/>
    <n v="1329.44"/>
    <x v="3"/>
    <n v="1196.5"/>
    <n v="1"/>
    <s v="Member"/>
    <n v="1196.5"/>
    <s v="OK"/>
    <x v="3"/>
    <x v="1"/>
    <s v="1–_x000a_10%"/>
    <x v="4"/>
    <x v="8"/>
  </r>
  <r>
    <x v="545"/>
    <d v="2025-06-29T00:00:00"/>
    <n v="14"/>
    <s v="T029"/>
    <x v="1"/>
    <n v="1056.3599999999999"/>
    <x v="4"/>
    <n v="845.09"/>
    <n v="1"/>
    <s v="Walk-in"/>
    <n v="845.09"/>
    <s v="OK"/>
    <x v="3"/>
    <x v="1"/>
    <s v="11–20%"/>
    <x v="0"/>
    <x v="6"/>
  </r>
  <r>
    <x v="546"/>
    <d v="2025-04-24T00:00:00"/>
    <n v="21"/>
    <s v="T023"/>
    <x v="0"/>
    <n v="764.67"/>
    <x v="3"/>
    <n v="688.2"/>
    <n v="4"/>
    <s v="Member"/>
    <n v="688.2"/>
    <s v="OK"/>
    <x v="4"/>
    <x v="0"/>
    <s v="1–_x000a_10%"/>
    <x v="3"/>
    <x v="11"/>
  </r>
  <r>
    <x v="547"/>
    <d v="2025-02-12T00:00:00"/>
    <n v="22"/>
    <s v="T028"/>
    <x v="0"/>
    <n v="1537.07"/>
    <x v="1"/>
    <n v="1537.07"/>
    <n v="1"/>
    <s v="Walk-in"/>
    <n v="1537.07"/>
    <s v="OK"/>
    <x v="0"/>
    <x v="0"/>
    <s v="0%"/>
    <x v="3"/>
    <x v="5"/>
  </r>
  <r>
    <x v="548"/>
    <d v="2025-04-21T00:00:00"/>
    <n v="16"/>
    <s v="T004"/>
    <x v="0"/>
    <n v="935.87"/>
    <x v="4"/>
    <n v="748.7"/>
    <n v="2"/>
    <s v="Walk-in"/>
    <n v="748.7"/>
    <s v="OK"/>
    <x v="4"/>
    <x v="0"/>
    <s v="11–20%"/>
    <x v="0"/>
    <x v="0"/>
  </r>
  <r>
    <x v="549"/>
    <d v="2025-03-07T00:00:00"/>
    <n v="17"/>
    <s v="T005"/>
    <x v="0"/>
    <n v="611.77"/>
    <x v="5"/>
    <n v="581.17999999999995"/>
    <n v="2"/>
    <s v="Member"/>
    <n v="581.17999999999995"/>
    <s v="OK"/>
    <x v="5"/>
    <x v="0"/>
    <s v="1–_x000a_10%"/>
    <x v="2"/>
    <x v="4"/>
  </r>
  <r>
    <x v="550"/>
    <d v="2025-02-06T00:00:00"/>
    <n v="15"/>
    <s v="T030"/>
    <x v="2"/>
    <n v="795.01"/>
    <x v="1"/>
    <n v="795.01"/>
    <n v="2"/>
    <s v="Member"/>
    <n v="795.01"/>
    <s v="OK"/>
    <x v="0"/>
    <x v="0"/>
    <s v="0%"/>
    <x v="2"/>
    <x v="2"/>
  </r>
  <r>
    <x v="551"/>
    <d v="2025-01-27T00:00:00"/>
    <n v="15"/>
    <s v="T007"/>
    <x v="1"/>
    <n v="550.84"/>
    <x v="1"/>
    <n v="550.84"/>
    <n v="1"/>
    <s v="Member"/>
    <n v="550.84"/>
    <s v="OK"/>
    <x v="2"/>
    <x v="0"/>
    <s v="0%"/>
    <x v="4"/>
    <x v="8"/>
  </r>
  <r>
    <x v="552"/>
    <d v="2025-01-24T00:00:00"/>
    <n v="16"/>
    <s v="T029"/>
    <x v="2"/>
    <n v="2026.76"/>
    <x v="1"/>
    <n v="2026.76"/>
    <n v="2"/>
    <s v="Walk-in"/>
    <n v="2026.76"/>
    <s v="OK"/>
    <x v="2"/>
    <x v="0"/>
    <s v="0%"/>
    <x v="0"/>
    <x v="6"/>
  </r>
  <r>
    <x v="553"/>
    <d v="2025-06-01T00:00:00"/>
    <n v="19"/>
    <s v="T012"/>
    <x v="0"/>
    <n v="1278.67"/>
    <x v="3"/>
    <n v="1150.8"/>
    <n v="1"/>
    <s v="Walk-in"/>
    <n v="1150.8"/>
    <s v="OK"/>
    <x v="3"/>
    <x v="1"/>
    <s v="1–_x000a_10%"/>
    <x v="4"/>
    <x v="9"/>
  </r>
  <r>
    <x v="554"/>
    <d v="2025-04-30T00:00:00"/>
    <n v="10"/>
    <s v="T017"/>
    <x v="0"/>
    <n v="1564.3"/>
    <x v="3"/>
    <n v="1407.87"/>
    <n v="6"/>
    <s v="Walk-in"/>
    <n v="1407.87"/>
    <s v="OK"/>
    <x v="4"/>
    <x v="0"/>
    <s v="1–_x000a_10%"/>
    <x v="4"/>
    <x v="8"/>
  </r>
  <r>
    <x v="555"/>
    <d v="2025-04-10T00:00:00"/>
    <n v="18"/>
    <s v="T024"/>
    <x v="0"/>
    <n v="1759.94"/>
    <x v="1"/>
    <n v="1759.94"/>
    <n v="2"/>
    <s v="Member"/>
    <n v="1759.94"/>
    <s v="OK"/>
    <x v="4"/>
    <x v="0"/>
    <s v="0%"/>
    <x v="0"/>
    <x v="0"/>
  </r>
  <r>
    <x v="556"/>
    <d v="2025-02-11T00:00:00"/>
    <n v="17"/>
    <s v="T020"/>
    <x v="2"/>
    <n v="919.58"/>
    <x v="1"/>
    <n v="919.58"/>
    <n v="1"/>
    <s v="Walk-in"/>
    <n v="919.58"/>
    <s v="OK"/>
    <x v="0"/>
    <x v="0"/>
    <s v="0%"/>
    <x v="2"/>
    <x v="2"/>
  </r>
  <r>
    <x v="557"/>
    <d v="2025-03-01T00:00:00"/>
    <n v="14"/>
    <s v="T008"/>
    <x v="3"/>
    <n v="411.64"/>
    <x v="1"/>
    <n v="411.64"/>
    <n v="1"/>
    <s v="Walk-in"/>
    <n v="411.64"/>
    <s v="OK"/>
    <x v="5"/>
    <x v="1"/>
    <s v="0%"/>
    <x v="3"/>
    <x v="5"/>
  </r>
  <r>
    <x v="558"/>
    <d v="2025-06-06T00:00:00"/>
    <n v="10"/>
    <s v="T005"/>
    <x v="0"/>
    <n v="643.53"/>
    <x v="4"/>
    <n v="514.82000000000005"/>
    <n v="2"/>
    <s v="Walk-in"/>
    <n v="514.82000000000005"/>
    <s v="OK"/>
    <x v="3"/>
    <x v="0"/>
    <s v="11–20%"/>
    <x v="2"/>
    <x v="4"/>
  </r>
  <r>
    <x v="559"/>
    <d v="2025-01-27T00:00:00"/>
    <n v="14"/>
    <s v="T026"/>
    <x v="2"/>
    <n v="911.94"/>
    <x v="2"/>
    <n v="638.36"/>
    <n v="4"/>
    <s v="Walk-in"/>
    <n v="638.36"/>
    <s v="OK"/>
    <x v="2"/>
    <x v="0"/>
    <s v="&gt;20%"/>
    <x v="1"/>
    <x v="10"/>
  </r>
  <r>
    <x v="560"/>
    <d v="2025-03-26T00:00:00"/>
    <n v="22"/>
    <s v="T021"/>
    <x v="2"/>
    <n v="1047.97"/>
    <x v="1"/>
    <n v="1047.97"/>
    <n v="5"/>
    <s v="Walk-in"/>
    <n v="1047.97"/>
    <s v="OK"/>
    <x v="5"/>
    <x v="0"/>
    <s v="0%"/>
    <x v="1"/>
    <x v="1"/>
  </r>
  <r>
    <x v="561"/>
    <d v="2025-05-10T00:00:00"/>
    <n v="13"/>
    <s v="T003"/>
    <x v="0"/>
    <n v="328.19"/>
    <x v="3"/>
    <n v="295.37"/>
    <n v="4"/>
    <s v="Walk-in"/>
    <n v="295.37"/>
    <s v="OK"/>
    <x v="1"/>
    <x v="1"/>
    <s v="1–_x000a_10%"/>
    <x v="3"/>
    <x v="3"/>
  </r>
  <r>
    <x v="562"/>
    <d v="2025-04-14T00:00:00"/>
    <n v="18"/>
    <s v="T001"/>
    <x v="0"/>
    <n v="472.93"/>
    <x v="3"/>
    <n v="425.64"/>
    <n v="2"/>
    <s v="Walk-in"/>
    <n v="425.64"/>
    <s v="OK"/>
    <x v="4"/>
    <x v="0"/>
    <s v="1–_x000a_10%"/>
    <x v="1"/>
    <x v="7"/>
  </r>
  <r>
    <x v="563"/>
    <d v="2025-06-14T00:00:00"/>
    <n v="16"/>
    <s v="T030"/>
    <x v="1"/>
    <n v="2000.14"/>
    <x v="4"/>
    <n v="1600.11"/>
    <n v="2"/>
    <s v="Walk-in"/>
    <n v="1600.11"/>
    <s v="OK"/>
    <x v="3"/>
    <x v="1"/>
    <s v="11–20%"/>
    <x v="2"/>
    <x v="2"/>
  </r>
  <r>
    <x v="564"/>
    <d v="2025-01-13T00:00:00"/>
    <n v="13"/>
    <s v="T002"/>
    <x v="0"/>
    <n v="473.53"/>
    <x v="1"/>
    <n v="473.53"/>
    <n v="3"/>
    <s v="Member"/>
    <n v="473.53"/>
    <s v="OK"/>
    <x v="2"/>
    <x v="0"/>
    <s v="0%"/>
    <x v="4"/>
    <x v="9"/>
  </r>
  <r>
    <x v="565"/>
    <d v="2025-05-08T00:00:00"/>
    <n v="18"/>
    <s v="T028"/>
    <x v="0"/>
    <n v="954.06"/>
    <x v="1"/>
    <n v="954.06"/>
    <n v="4"/>
    <s v="Walk-in"/>
    <n v="954.06"/>
    <s v="OK"/>
    <x v="1"/>
    <x v="0"/>
    <s v="0%"/>
    <x v="3"/>
    <x v="5"/>
  </r>
  <r>
    <x v="566"/>
    <d v="2025-06-26T00:00:00"/>
    <n v="17"/>
    <s v="T003"/>
    <x v="2"/>
    <n v="497.29"/>
    <x v="1"/>
    <n v="497.29"/>
    <n v="1"/>
    <s v="Walk-in"/>
    <n v="497.29"/>
    <s v="OK"/>
    <x v="3"/>
    <x v="0"/>
    <s v="0%"/>
    <x v="3"/>
    <x v="3"/>
  </r>
  <r>
    <x v="567"/>
    <d v="2025-04-26T00:00:00"/>
    <n v="19"/>
    <s v="T011"/>
    <x v="0"/>
    <n v="1378.94"/>
    <x v="1"/>
    <n v="1378.94"/>
    <n v="2"/>
    <s v="Member"/>
    <n v="1378.94"/>
    <s v="OK"/>
    <x v="4"/>
    <x v="1"/>
    <s v="0%"/>
    <x v="1"/>
    <x v="10"/>
  </r>
  <r>
    <x v="568"/>
    <d v="2025-06-25T00:00:00"/>
    <n v="15"/>
    <s v="T013"/>
    <x v="0"/>
    <n v="222.19"/>
    <x v="1"/>
    <n v="222.19"/>
    <n v="3"/>
    <s v="Member"/>
    <n v="222.19"/>
    <s v="OK"/>
    <x v="3"/>
    <x v="0"/>
    <s v="0%"/>
    <x v="3"/>
    <x v="11"/>
  </r>
  <r>
    <x v="569"/>
    <d v="2025-05-01T00:00:00"/>
    <n v="17"/>
    <s v="T006"/>
    <x v="2"/>
    <n v="1054.92"/>
    <x v="0"/>
    <n v="896.68"/>
    <n v="2"/>
    <s v="Walk-in"/>
    <n v="896.68"/>
    <s v="OK"/>
    <x v="1"/>
    <x v="0"/>
    <s v="11–20%"/>
    <x v="1"/>
    <x v="1"/>
  </r>
  <r>
    <x v="570"/>
    <d v="2025-05-28T00:00:00"/>
    <n v="22"/>
    <s v="T007"/>
    <x v="0"/>
    <n v="346.65"/>
    <x v="1"/>
    <n v="346.65"/>
    <n v="4"/>
    <s v="Walk-in"/>
    <n v="346.65"/>
    <s v="OK"/>
    <x v="1"/>
    <x v="0"/>
    <s v="0%"/>
    <x v="4"/>
    <x v="8"/>
  </r>
  <r>
    <x v="571"/>
    <d v="2025-03-20T00:00:00"/>
    <n v="17"/>
    <s v="T023"/>
    <x v="0"/>
    <n v="496.76"/>
    <x v="1"/>
    <n v="496.76"/>
    <n v="5"/>
    <s v="Walk-in"/>
    <n v="496.76"/>
    <s v="OK"/>
    <x v="5"/>
    <x v="0"/>
    <s v="0%"/>
    <x v="3"/>
    <x v="11"/>
  </r>
  <r>
    <x v="572"/>
    <d v="2025-01-29T00:00:00"/>
    <n v="16"/>
    <s v="T004"/>
    <x v="2"/>
    <n v="377.48"/>
    <x v="1"/>
    <n v="377.48"/>
    <n v="1"/>
    <s v="Member"/>
    <n v="377.48"/>
    <s v="OK"/>
    <x v="2"/>
    <x v="0"/>
    <s v="0%"/>
    <x v="0"/>
    <x v="0"/>
  </r>
  <r>
    <x v="573"/>
    <d v="2025-01-03T00:00:00"/>
    <n v="19"/>
    <s v="T030"/>
    <x v="2"/>
    <n v="917.6"/>
    <x v="4"/>
    <n v="734.08"/>
    <n v="4"/>
    <s v="Walk-in"/>
    <n v="734.08"/>
    <s v="OK"/>
    <x v="2"/>
    <x v="0"/>
    <s v="11–20%"/>
    <x v="2"/>
    <x v="2"/>
  </r>
  <r>
    <x v="574"/>
    <d v="2025-04-15T00:00:00"/>
    <n v="12"/>
    <s v="T027"/>
    <x v="1"/>
    <n v="1362.51"/>
    <x v="5"/>
    <n v="1294.3800000000001"/>
    <n v="1"/>
    <s v="Walk-in"/>
    <n v="1294.3800000000001"/>
    <s v="OK"/>
    <x v="4"/>
    <x v="0"/>
    <s v="1–_x000a_10%"/>
    <x v="4"/>
    <x v="9"/>
  </r>
  <r>
    <x v="575"/>
    <d v="2025-04-03T00:00:00"/>
    <n v="19"/>
    <s v="T009"/>
    <x v="0"/>
    <n v="2795.27"/>
    <x v="4"/>
    <n v="2236.2199999999998"/>
    <n v="1"/>
    <s v="Walk-in"/>
    <n v="2236.2199999999998"/>
    <s v="OK"/>
    <x v="4"/>
    <x v="0"/>
    <s v="11–20%"/>
    <x v="0"/>
    <x v="6"/>
  </r>
  <r>
    <x v="576"/>
    <d v="2025-06-03T00:00:00"/>
    <n v="18"/>
    <s v="T013"/>
    <x v="2"/>
    <n v="851.74"/>
    <x v="1"/>
    <n v="851.74"/>
    <n v="5"/>
    <s v="Walk-in"/>
    <n v="851.74"/>
    <s v="OK"/>
    <x v="3"/>
    <x v="0"/>
    <s v="0%"/>
    <x v="3"/>
    <x v="11"/>
  </r>
  <r>
    <x v="577"/>
    <d v="2025-02-05T00:00:00"/>
    <n v="11"/>
    <s v="T003"/>
    <x v="2"/>
    <n v="647.76"/>
    <x v="4"/>
    <n v="518.21"/>
    <n v="1"/>
    <s v="Member"/>
    <n v="518.21"/>
    <s v="OK"/>
    <x v="0"/>
    <x v="0"/>
    <s v="11–20%"/>
    <x v="3"/>
    <x v="3"/>
  </r>
  <r>
    <x v="578"/>
    <d v="2025-04-16T00:00:00"/>
    <n v="14"/>
    <s v="T028"/>
    <x v="0"/>
    <n v="399.18"/>
    <x v="1"/>
    <n v="399.18"/>
    <n v="1"/>
    <s v="Walk-in"/>
    <n v="399.18"/>
    <s v="OK"/>
    <x v="4"/>
    <x v="0"/>
    <s v="0%"/>
    <x v="3"/>
    <x v="5"/>
  </r>
  <r>
    <x v="579"/>
    <d v="2025-05-29T00:00:00"/>
    <n v="16"/>
    <s v="T020"/>
    <x v="1"/>
    <n v="1655.69"/>
    <x v="4"/>
    <n v="1324.55"/>
    <n v="1"/>
    <s v="Walk-in"/>
    <n v="1324.55"/>
    <s v="OK"/>
    <x v="1"/>
    <x v="0"/>
    <s v="11–20%"/>
    <x v="2"/>
    <x v="2"/>
  </r>
  <r>
    <x v="580"/>
    <d v="2025-04-08T00:00:00"/>
    <n v="22"/>
    <s v="T024"/>
    <x v="0"/>
    <n v="1228.32"/>
    <x v="2"/>
    <n v="859.82"/>
    <n v="1"/>
    <s v="Walk-in"/>
    <n v="859.82"/>
    <s v="OK"/>
    <x v="4"/>
    <x v="0"/>
    <s v="&gt;20%"/>
    <x v="0"/>
    <x v="0"/>
  </r>
  <r>
    <x v="581"/>
    <d v="2025-05-04T00:00:00"/>
    <n v="22"/>
    <s v="T007"/>
    <x v="2"/>
    <n v="552.44000000000005"/>
    <x v="1"/>
    <n v="552.44000000000005"/>
    <n v="1"/>
    <s v="Member"/>
    <n v="552.44000000000005"/>
    <s v="OK"/>
    <x v="1"/>
    <x v="1"/>
    <s v="0%"/>
    <x v="4"/>
    <x v="8"/>
  </r>
  <r>
    <x v="582"/>
    <d v="2025-05-02T00:00:00"/>
    <n v="20"/>
    <s v="T027"/>
    <x v="0"/>
    <n v="495.15"/>
    <x v="4"/>
    <n v="396.12"/>
    <n v="5"/>
    <s v="Member"/>
    <n v="396.12"/>
    <s v="OK"/>
    <x v="1"/>
    <x v="0"/>
    <s v="11–20%"/>
    <x v="4"/>
    <x v="9"/>
  </r>
  <r>
    <x v="583"/>
    <d v="2025-04-28T00:00:00"/>
    <n v="13"/>
    <s v="T005"/>
    <x v="1"/>
    <n v="835.19"/>
    <x v="3"/>
    <n v="751.67"/>
    <n v="1"/>
    <s v="Walk-in"/>
    <n v="751.67"/>
    <s v="OK"/>
    <x v="4"/>
    <x v="0"/>
    <s v="1–_x000a_10%"/>
    <x v="2"/>
    <x v="4"/>
  </r>
  <r>
    <x v="584"/>
    <d v="2025-06-13T00:00:00"/>
    <n v="12"/>
    <s v="T019"/>
    <x v="2"/>
    <n v="1424.17"/>
    <x v="4"/>
    <n v="1139.3399999999999"/>
    <n v="3"/>
    <s v="Walk-in"/>
    <n v="1139.3399999999999"/>
    <s v="OK"/>
    <x v="3"/>
    <x v="0"/>
    <s v="11–20%"/>
    <x v="0"/>
    <x v="0"/>
  </r>
  <r>
    <x v="585"/>
    <d v="2025-03-10T00:00:00"/>
    <n v="21"/>
    <s v="T010"/>
    <x v="0"/>
    <n v="1280.75"/>
    <x v="1"/>
    <n v="1280.75"/>
    <n v="5"/>
    <s v="Walk-in"/>
    <n v="1280.75"/>
    <s v="OK"/>
    <x v="5"/>
    <x v="0"/>
    <s v="0%"/>
    <x v="2"/>
    <x v="4"/>
  </r>
  <r>
    <x v="586"/>
    <d v="2025-01-09T00:00:00"/>
    <n v="13"/>
    <s v="T030"/>
    <x v="2"/>
    <n v="732.16"/>
    <x v="1"/>
    <n v="732.16"/>
    <n v="1"/>
    <s v="Walk-in"/>
    <n v="732.16"/>
    <s v="OK"/>
    <x v="2"/>
    <x v="0"/>
    <s v="0%"/>
    <x v="2"/>
    <x v="2"/>
  </r>
  <r>
    <x v="587"/>
    <d v="2025-05-17T00:00:00"/>
    <n v="11"/>
    <s v="T007"/>
    <x v="0"/>
    <n v="1686.97"/>
    <x v="1"/>
    <n v="1686.97"/>
    <n v="1"/>
    <s v="Walk-in"/>
    <n v="1686.97"/>
    <s v="OK"/>
    <x v="1"/>
    <x v="1"/>
    <s v="0%"/>
    <x v="4"/>
    <x v="8"/>
  </r>
  <r>
    <x v="588"/>
    <d v="2025-03-03T00:00:00"/>
    <n v="18"/>
    <s v="T023"/>
    <x v="0"/>
    <n v="1779.06"/>
    <x v="5"/>
    <n v="1690.11"/>
    <n v="3"/>
    <s v="Member"/>
    <n v="1690.11"/>
    <s v="OK"/>
    <x v="5"/>
    <x v="0"/>
    <s v="1–_x000a_10%"/>
    <x v="3"/>
    <x v="11"/>
  </r>
  <r>
    <x v="589"/>
    <d v="2025-03-16T00:00:00"/>
    <n v="19"/>
    <s v="T025"/>
    <x v="0"/>
    <n v="2017.67"/>
    <x v="4"/>
    <n v="1614.14"/>
    <n v="2"/>
    <s v="Member"/>
    <n v="1614.14"/>
    <s v="OK"/>
    <x v="5"/>
    <x v="1"/>
    <s v="11–20%"/>
    <x v="2"/>
    <x v="2"/>
  </r>
  <r>
    <x v="590"/>
    <d v="2025-03-07T00:00:00"/>
    <n v="14"/>
    <s v="T002"/>
    <x v="0"/>
    <n v="1380.41"/>
    <x v="5"/>
    <n v="1311.39"/>
    <n v="6"/>
    <s v="Walk-in"/>
    <n v="1311.39"/>
    <s v="OK"/>
    <x v="5"/>
    <x v="0"/>
    <s v="1–_x000a_10%"/>
    <x v="4"/>
    <x v="9"/>
  </r>
  <r>
    <x v="591"/>
    <d v="2025-05-11T00:00:00"/>
    <n v="16"/>
    <s v="T006"/>
    <x v="2"/>
    <n v="409.66"/>
    <x v="1"/>
    <n v="409.66"/>
    <n v="4"/>
    <s v="Walk-in"/>
    <n v="409.66"/>
    <s v="OK"/>
    <x v="1"/>
    <x v="1"/>
    <s v="0%"/>
    <x v="1"/>
    <x v="1"/>
  </r>
  <r>
    <x v="592"/>
    <d v="2025-05-22T00:00:00"/>
    <n v="11"/>
    <s v="T025"/>
    <x v="0"/>
    <n v="1564.21"/>
    <x v="0"/>
    <n v="1329.58"/>
    <n v="1"/>
    <s v="Walk-in"/>
    <n v="1329.58"/>
    <s v="OK"/>
    <x v="1"/>
    <x v="0"/>
    <s v="11–20%"/>
    <x v="2"/>
    <x v="2"/>
  </r>
  <r>
    <x v="593"/>
    <d v="2025-05-05T00:00:00"/>
    <n v="18"/>
    <s v="T004"/>
    <x v="2"/>
    <n v="1053.3"/>
    <x v="4"/>
    <n v="842.64"/>
    <n v="2"/>
    <s v="Walk-in"/>
    <n v="842.64"/>
    <s v="OK"/>
    <x v="1"/>
    <x v="0"/>
    <s v="11–20%"/>
    <x v="0"/>
    <x v="0"/>
  </r>
  <r>
    <x v="594"/>
    <d v="2025-05-24T00:00:00"/>
    <n v="18"/>
    <s v="T019"/>
    <x v="2"/>
    <n v="1030.6300000000001"/>
    <x v="3"/>
    <n v="927.57"/>
    <n v="3"/>
    <s v="Walk-in"/>
    <n v="927.57"/>
    <s v="OK"/>
    <x v="1"/>
    <x v="1"/>
    <s v="1–_x000a_10%"/>
    <x v="0"/>
    <x v="0"/>
  </r>
  <r>
    <x v="595"/>
    <d v="2025-04-02T00:00:00"/>
    <n v="10"/>
    <s v="T012"/>
    <x v="0"/>
    <n v="961.38"/>
    <x v="5"/>
    <n v="913.31"/>
    <n v="3"/>
    <s v="Walk-in"/>
    <n v="913.31"/>
    <s v="OK"/>
    <x v="4"/>
    <x v="0"/>
    <s v="1–_x000a_10%"/>
    <x v="4"/>
    <x v="9"/>
  </r>
  <r>
    <x v="596"/>
    <d v="2025-03-30T00:00:00"/>
    <n v="15"/>
    <s v="T016"/>
    <x v="0"/>
    <n v="1274.75"/>
    <x v="1"/>
    <n v="1274.75"/>
    <n v="2"/>
    <s v="Walk-in"/>
    <n v="1274.75"/>
    <s v="OK"/>
    <x v="5"/>
    <x v="1"/>
    <s v="0%"/>
    <x v="1"/>
    <x v="1"/>
  </r>
  <r>
    <x v="597"/>
    <d v="2025-02-06T00:00:00"/>
    <n v="20"/>
    <s v="T010"/>
    <x v="0"/>
    <n v="305.81"/>
    <x v="1"/>
    <n v="305.81"/>
    <n v="1"/>
    <s v="Walk-in"/>
    <n v="305.81"/>
    <s v="OK"/>
    <x v="0"/>
    <x v="0"/>
    <s v="0%"/>
    <x v="2"/>
    <x v="4"/>
  </r>
  <r>
    <x v="598"/>
    <d v="2025-05-12T00:00:00"/>
    <n v="15"/>
    <s v="T008"/>
    <x v="0"/>
    <n v="750.98"/>
    <x v="0"/>
    <n v="638.33000000000004"/>
    <n v="2"/>
    <s v="Walk-in"/>
    <n v="638.33000000000004"/>
    <s v="OK"/>
    <x v="1"/>
    <x v="0"/>
    <s v="11–20%"/>
    <x v="3"/>
    <x v="5"/>
  </r>
  <r>
    <x v="599"/>
    <d v="2025-05-01T00:00:00"/>
    <n v="17"/>
    <s v="T019"/>
    <x v="2"/>
    <n v="634.17999999999995"/>
    <x v="4"/>
    <n v="507.34"/>
    <n v="2"/>
    <s v="Member"/>
    <n v="507.34"/>
    <s v="OK"/>
    <x v="1"/>
    <x v="0"/>
    <s v="11–20%"/>
    <x v="0"/>
    <x v="0"/>
  </r>
  <r>
    <x v="600"/>
    <d v="2025-02-19T00:00:00"/>
    <n v="18"/>
    <s v="T012"/>
    <x v="0"/>
    <n v="494.37"/>
    <x v="1"/>
    <n v="494.37"/>
    <n v="4"/>
    <s v="Walk-in"/>
    <n v="494.37"/>
    <s v="OK"/>
    <x v="0"/>
    <x v="0"/>
    <s v="0%"/>
    <x v="4"/>
    <x v="9"/>
  </r>
  <r>
    <x v="601"/>
    <d v="2025-04-13T00:00:00"/>
    <n v="12"/>
    <s v="T027"/>
    <x v="3"/>
    <n v="143.19999999999999"/>
    <x v="0"/>
    <n v="121.72"/>
    <n v="4"/>
    <s v="Member"/>
    <n v="121.72"/>
    <s v="OK"/>
    <x v="4"/>
    <x v="1"/>
    <s v="11–20%"/>
    <x v="4"/>
    <x v="9"/>
  </r>
  <r>
    <x v="602"/>
    <d v="2025-06-22T00:00:00"/>
    <n v="20"/>
    <s v="T008"/>
    <x v="2"/>
    <n v="811.85"/>
    <x v="0"/>
    <n v="690.07"/>
    <n v="2"/>
    <s v="Member"/>
    <n v="690.07"/>
    <s v="OK"/>
    <x v="3"/>
    <x v="1"/>
    <s v="11–20%"/>
    <x v="3"/>
    <x v="5"/>
  </r>
  <r>
    <x v="603"/>
    <d v="2025-04-15T00:00:00"/>
    <n v="17"/>
    <s v="T015"/>
    <x v="2"/>
    <n v="1041.46"/>
    <x v="3"/>
    <n v="937.31"/>
    <n v="3"/>
    <s v="Member"/>
    <n v="937.31"/>
    <s v="OK"/>
    <x v="4"/>
    <x v="0"/>
    <s v="1–_x000a_10%"/>
    <x v="2"/>
    <x v="4"/>
  </r>
  <r>
    <x v="604"/>
    <d v="2025-03-08T00:00:00"/>
    <n v="12"/>
    <s v="T025"/>
    <x v="2"/>
    <n v="269.77"/>
    <x v="1"/>
    <n v="269.77"/>
    <n v="1"/>
    <s v="Member"/>
    <n v="269.77"/>
    <s v="OK"/>
    <x v="5"/>
    <x v="1"/>
    <s v="0%"/>
    <x v="2"/>
    <x v="2"/>
  </r>
  <r>
    <x v="605"/>
    <d v="2025-02-05T00:00:00"/>
    <n v="12"/>
    <s v="T015"/>
    <x v="2"/>
    <n v="1450.74"/>
    <x v="5"/>
    <n v="1378.2"/>
    <n v="1"/>
    <s v="Walk-in"/>
    <n v="1378.2"/>
    <s v="OK"/>
    <x v="0"/>
    <x v="0"/>
    <s v="1–_x000a_10%"/>
    <x v="2"/>
    <x v="4"/>
  </r>
  <r>
    <x v="606"/>
    <d v="2025-06-26T00:00:00"/>
    <n v="16"/>
    <s v="T009"/>
    <x v="3"/>
    <n v="1443.6"/>
    <x v="1"/>
    <n v="1443.6"/>
    <n v="2"/>
    <s v="Member"/>
    <n v="1443.6"/>
    <s v="OK"/>
    <x v="3"/>
    <x v="0"/>
    <s v="0%"/>
    <x v="0"/>
    <x v="6"/>
  </r>
  <r>
    <x v="607"/>
    <d v="2025-05-22T00:00:00"/>
    <n v="13"/>
    <s v="T012"/>
    <x v="0"/>
    <n v="1214.74"/>
    <x v="0"/>
    <n v="1032.53"/>
    <n v="6"/>
    <s v="Walk-in"/>
    <n v="1032.53"/>
    <s v="OK"/>
    <x v="1"/>
    <x v="0"/>
    <s v="11–20%"/>
    <x v="4"/>
    <x v="9"/>
  </r>
  <r>
    <x v="608"/>
    <d v="2025-02-27T00:00:00"/>
    <n v="19"/>
    <s v="T016"/>
    <x v="0"/>
    <n v="543.98"/>
    <x v="1"/>
    <n v="543.98"/>
    <n v="4"/>
    <s v="Walk-in"/>
    <n v="543.98"/>
    <s v="OK"/>
    <x v="0"/>
    <x v="0"/>
    <s v="0%"/>
    <x v="1"/>
    <x v="1"/>
  </r>
  <r>
    <x v="609"/>
    <d v="2025-05-20T00:00:00"/>
    <n v="10"/>
    <s v="T029"/>
    <x v="0"/>
    <n v="3303.67"/>
    <x v="1"/>
    <n v="3303.67"/>
    <n v="4"/>
    <s v="Walk-in"/>
    <n v="3303.67"/>
    <s v="OK"/>
    <x v="1"/>
    <x v="0"/>
    <s v="0%"/>
    <x v="0"/>
    <x v="6"/>
  </r>
  <r>
    <x v="610"/>
    <d v="2025-02-18T00:00:00"/>
    <n v="17"/>
    <s v="T027"/>
    <x v="0"/>
    <n v="1040.2"/>
    <x v="3"/>
    <n v="936.18"/>
    <n v="6"/>
    <s v="Member"/>
    <n v="936.18"/>
    <s v="OK"/>
    <x v="0"/>
    <x v="0"/>
    <s v="1–_x000a_10%"/>
    <x v="4"/>
    <x v="9"/>
  </r>
  <r>
    <x v="611"/>
    <d v="2025-02-22T00:00:00"/>
    <n v="16"/>
    <s v="T017"/>
    <x v="2"/>
    <n v="1183.0999999999999"/>
    <x v="1"/>
    <n v="1183.0999999999999"/>
    <n v="4"/>
    <s v="Walk-in"/>
    <n v="1183.0999999999999"/>
    <s v="OK"/>
    <x v="0"/>
    <x v="1"/>
    <s v="0%"/>
    <x v="4"/>
    <x v="8"/>
  </r>
  <r>
    <x v="612"/>
    <d v="2025-05-24T00:00:00"/>
    <n v="19"/>
    <s v="T027"/>
    <x v="2"/>
    <n v="508"/>
    <x v="5"/>
    <n v="482.6"/>
    <n v="1"/>
    <s v="Walk-in"/>
    <n v="482.6"/>
    <s v="OK"/>
    <x v="1"/>
    <x v="1"/>
    <s v="1–_x000a_10%"/>
    <x v="4"/>
    <x v="9"/>
  </r>
  <r>
    <x v="613"/>
    <d v="2025-01-02T00:00:00"/>
    <n v="12"/>
    <s v="T015"/>
    <x v="1"/>
    <n v="2306.73"/>
    <x v="0"/>
    <n v="1960.72"/>
    <n v="1"/>
    <s v="Walk-in"/>
    <n v="1960.72"/>
    <s v="OK"/>
    <x v="2"/>
    <x v="0"/>
    <s v="11–20%"/>
    <x v="2"/>
    <x v="4"/>
  </r>
  <r>
    <x v="614"/>
    <d v="2025-04-26T00:00:00"/>
    <n v="11"/>
    <s v="T008"/>
    <x v="2"/>
    <n v="1414.91"/>
    <x v="1"/>
    <n v="1414.91"/>
    <n v="1"/>
    <s v="Walk-in"/>
    <n v="1414.91"/>
    <s v="OK"/>
    <x v="4"/>
    <x v="1"/>
    <s v="0%"/>
    <x v="3"/>
    <x v="5"/>
  </r>
  <r>
    <x v="615"/>
    <d v="2025-02-18T00:00:00"/>
    <n v="18"/>
    <s v="T020"/>
    <x v="2"/>
    <n v="381.39"/>
    <x v="3"/>
    <n v="343.25"/>
    <n v="1"/>
    <s v="Walk-in"/>
    <n v="343.25"/>
    <s v="OK"/>
    <x v="0"/>
    <x v="0"/>
    <s v="1–_x000a_10%"/>
    <x v="2"/>
    <x v="2"/>
  </r>
  <r>
    <x v="616"/>
    <d v="2025-06-10T00:00:00"/>
    <n v="16"/>
    <s v="T002"/>
    <x v="0"/>
    <n v="856.23"/>
    <x v="1"/>
    <n v="856.23"/>
    <n v="3"/>
    <s v="Member"/>
    <n v="856.23"/>
    <s v="OK"/>
    <x v="3"/>
    <x v="0"/>
    <s v="0%"/>
    <x v="4"/>
    <x v="9"/>
  </r>
  <r>
    <x v="617"/>
    <d v="2025-05-01T00:00:00"/>
    <n v="15"/>
    <s v="T008"/>
    <x v="0"/>
    <n v="1558.02"/>
    <x v="1"/>
    <n v="1558.02"/>
    <n v="3"/>
    <s v="Walk-in"/>
    <n v="1558.02"/>
    <s v="OK"/>
    <x v="1"/>
    <x v="0"/>
    <s v="0%"/>
    <x v="3"/>
    <x v="5"/>
  </r>
  <r>
    <x v="618"/>
    <d v="2025-01-16T00:00:00"/>
    <n v="21"/>
    <s v="T003"/>
    <x v="0"/>
    <n v="736.03"/>
    <x v="1"/>
    <n v="736.03"/>
    <n v="2"/>
    <s v="Member"/>
    <n v="736.03"/>
    <s v="OK"/>
    <x v="2"/>
    <x v="0"/>
    <s v="0%"/>
    <x v="3"/>
    <x v="3"/>
  </r>
  <r>
    <x v="619"/>
    <d v="2025-01-03T00:00:00"/>
    <n v="19"/>
    <s v="T030"/>
    <x v="0"/>
    <n v="4882.59"/>
    <x v="0"/>
    <n v="4150.2"/>
    <n v="3"/>
    <s v="Walk-in"/>
    <n v="4150.2"/>
    <s v="OK"/>
    <x v="2"/>
    <x v="0"/>
    <s v="11–20%"/>
    <x v="2"/>
    <x v="2"/>
  </r>
  <r>
    <x v="620"/>
    <d v="2025-02-23T00:00:00"/>
    <n v="16"/>
    <s v="T012"/>
    <x v="3"/>
    <n v="647.20000000000005"/>
    <x v="5"/>
    <n v="614.84"/>
    <n v="1"/>
    <s v="Walk-in"/>
    <n v="614.84"/>
    <s v="OK"/>
    <x v="0"/>
    <x v="1"/>
    <s v="1–_x000a_10%"/>
    <x v="4"/>
    <x v="9"/>
  </r>
  <r>
    <x v="621"/>
    <d v="2025-06-29T00:00:00"/>
    <n v="14"/>
    <s v="T011"/>
    <x v="2"/>
    <n v="751.05"/>
    <x v="3"/>
    <n v="675.94"/>
    <n v="2"/>
    <s v="Walk-in"/>
    <n v="675.95"/>
    <s v="OK"/>
    <x v="3"/>
    <x v="1"/>
    <s v="1–_x000a_10%"/>
    <x v="1"/>
    <x v="10"/>
  </r>
  <r>
    <x v="622"/>
    <d v="2025-04-21T00:00:00"/>
    <n v="17"/>
    <s v="T011"/>
    <x v="0"/>
    <n v="1764.12"/>
    <x v="1"/>
    <n v="1764.12"/>
    <n v="5"/>
    <s v="Walk-in"/>
    <n v="1764.12"/>
    <s v="OK"/>
    <x v="4"/>
    <x v="0"/>
    <s v="0%"/>
    <x v="1"/>
    <x v="10"/>
  </r>
  <r>
    <x v="623"/>
    <d v="2025-01-08T00:00:00"/>
    <n v="11"/>
    <s v="T020"/>
    <x v="1"/>
    <n v="366.68"/>
    <x v="2"/>
    <n v="256.68"/>
    <n v="2"/>
    <s v="Member"/>
    <n v="256.68"/>
    <s v="OK"/>
    <x v="2"/>
    <x v="0"/>
    <s v="&gt;20%"/>
    <x v="2"/>
    <x v="2"/>
  </r>
  <r>
    <x v="624"/>
    <d v="2025-05-18T00:00:00"/>
    <n v="14"/>
    <s v="T018"/>
    <x v="0"/>
    <n v="2578.35"/>
    <x v="4"/>
    <n v="2062.6799999999998"/>
    <n v="1"/>
    <s v="Walk-in"/>
    <n v="2062.6799999999998"/>
    <s v="OK"/>
    <x v="1"/>
    <x v="1"/>
    <s v="11–20%"/>
    <x v="3"/>
    <x v="3"/>
  </r>
  <r>
    <x v="625"/>
    <d v="2025-05-28T00:00:00"/>
    <n v="12"/>
    <s v="T017"/>
    <x v="2"/>
    <n v="635.94000000000005"/>
    <x v="5"/>
    <n v="604.14"/>
    <n v="4"/>
    <s v="Walk-in"/>
    <n v="604.14"/>
    <s v="OK"/>
    <x v="1"/>
    <x v="0"/>
    <s v="1–_x000a_10%"/>
    <x v="4"/>
    <x v="8"/>
  </r>
  <r>
    <x v="626"/>
    <d v="2025-01-18T00:00:00"/>
    <n v="21"/>
    <s v="T026"/>
    <x v="2"/>
    <n v="1230.53"/>
    <x v="3"/>
    <n v="1107.48"/>
    <n v="1"/>
    <s v="Member"/>
    <n v="1107.48"/>
    <s v="OK"/>
    <x v="2"/>
    <x v="1"/>
    <s v="1–_x000a_10%"/>
    <x v="1"/>
    <x v="10"/>
  </r>
  <r>
    <x v="627"/>
    <d v="2025-01-02T00:00:00"/>
    <n v="12"/>
    <s v="T030"/>
    <x v="3"/>
    <n v="619.80999999999995"/>
    <x v="0"/>
    <n v="526.84"/>
    <n v="6"/>
    <s v="Walk-in"/>
    <n v="526.84"/>
    <s v="OK"/>
    <x v="2"/>
    <x v="0"/>
    <s v="11–20%"/>
    <x v="2"/>
    <x v="2"/>
  </r>
  <r>
    <x v="628"/>
    <d v="2025-05-12T00:00:00"/>
    <n v="11"/>
    <s v="T004"/>
    <x v="0"/>
    <n v="907.86"/>
    <x v="0"/>
    <n v="771.68"/>
    <n v="1"/>
    <s v="Walk-in"/>
    <n v="771.68"/>
    <s v="OK"/>
    <x v="1"/>
    <x v="0"/>
    <s v="11–20%"/>
    <x v="0"/>
    <x v="0"/>
  </r>
  <r>
    <x v="629"/>
    <d v="2025-06-06T00:00:00"/>
    <n v="12"/>
    <s v="T007"/>
    <x v="0"/>
    <n v="1617.54"/>
    <x v="5"/>
    <n v="1536.66"/>
    <n v="1"/>
    <s v="Walk-in"/>
    <n v="1536.66"/>
    <s v="OK"/>
    <x v="3"/>
    <x v="0"/>
    <s v="1–_x000a_10%"/>
    <x v="4"/>
    <x v="8"/>
  </r>
  <r>
    <x v="630"/>
    <d v="2025-03-08T00:00:00"/>
    <n v="19"/>
    <s v="T027"/>
    <x v="0"/>
    <n v="952.56"/>
    <x v="1"/>
    <n v="952.56"/>
    <n v="2"/>
    <s v="Member"/>
    <n v="952.56"/>
    <s v="OK"/>
    <x v="5"/>
    <x v="1"/>
    <s v="0%"/>
    <x v="4"/>
    <x v="9"/>
  </r>
  <r>
    <x v="631"/>
    <d v="2025-02-09T00:00:00"/>
    <n v="20"/>
    <s v="T023"/>
    <x v="0"/>
    <n v="986.94"/>
    <x v="1"/>
    <n v="986.94"/>
    <n v="1"/>
    <s v="Walk-in"/>
    <n v="986.94"/>
    <s v="OK"/>
    <x v="0"/>
    <x v="1"/>
    <s v="0%"/>
    <x v="3"/>
    <x v="11"/>
  </r>
  <r>
    <x v="632"/>
    <d v="2025-05-09T00:00:00"/>
    <n v="20"/>
    <s v="T013"/>
    <x v="0"/>
    <n v="1503.89"/>
    <x v="0"/>
    <n v="1278.31"/>
    <n v="1"/>
    <s v="Member"/>
    <n v="1278.31"/>
    <s v="OK"/>
    <x v="1"/>
    <x v="0"/>
    <s v="11–20%"/>
    <x v="3"/>
    <x v="11"/>
  </r>
  <r>
    <x v="633"/>
    <d v="2025-02-10T00:00:00"/>
    <n v="17"/>
    <s v="T020"/>
    <x v="2"/>
    <n v="1157.57"/>
    <x v="4"/>
    <n v="926.06"/>
    <n v="2"/>
    <s v="Member"/>
    <n v="926.06"/>
    <s v="OK"/>
    <x v="0"/>
    <x v="0"/>
    <s v="11–20%"/>
    <x v="2"/>
    <x v="2"/>
  </r>
  <r>
    <x v="634"/>
    <d v="2025-06-16T00:00:00"/>
    <n v="14"/>
    <s v="T013"/>
    <x v="0"/>
    <n v="2863.46"/>
    <x v="4"/>
    <n v="2290.77"/>
    <n v="1"/>
    <s v="Member"/>
    <n v="2290.77"/>
    <s v="OK"/>
    <x v="3"/>
    <x v="0"/>
    <s v="11–20%"/>
    <x v="3"/>
    <x v="11"/>
  </r>
  <r>
    <x v="635"/>
    <d v="2025-03-29T00:00:00"/>
    <n v="21"/>
    <s v="T011"/>
    <x v="0"/>
    <n v="1610.52"/>
    <x v="1"/>
    <n v="1610.52"/>
    <n v="4"/>
    <s v="Walk-in"/>
    <n v="1610.52"/>
    <s v="OK"/>
    <x v="5"/>
    <x v="1"/>
    <s v="0%"/>
    <x v="1"/>
    <x v="10"/>
  </r>
  <r>
    <x v="636"/>
    <d v="2025-05-07T00:00:00"/>
    <n v="11"/>
    <s v="T019"/>
    <x v="0"/>
    <n v="337.06"/>
    <x v="1"/>
    <n v="337.06"/>
    <n v="1"/>
    <s v="Walk-in"/>
    <n v="337.06"/>
    <s v="OK"/>
    <x v="1"/>
    <x v="0"/>
    <s v="0%"/>
    <x v="0"/>
    <x v="0"/>
  </r>
  <r>
    <x v="637"/>
    <d v="2025-06-04T00:00:00"/>
    <n v="11"/>
    <s v="T020"/>
    <x v="2"/>
    <n v="359.85"/>
    <x v="0"/>
    <n v="305.87"/>
    <n v="1"/>
    <s v="Member"/>
    <n v="305.87"/>
    <s v="OK"/>
    <x v="3"/>
    <x v="0"/>
    <s v="11–20%"/>
    <x v="2"/>
    <x v="2"/>
  </r>
  <r>
    <x v="638"/>
    <d v="2025-01-07T00:00:00"/>
    <n v="10"/>
    <s v="T022"/>
    <x v="2"/>
    <n v="529.76"/>
    <x v="1"/>
    <n v="529.76"/>
    <n v="6"/>
    <s v="Member"/>
    <n v="529.76"/>
    <s v="OK"/>
    <x v="2"/>
    <x v="0"/>
    <s v="0%"/>
    <x v="4"/>
    <x v="8"/>
  </r>
  <r>
    <x v="639"/>
    <d v="2025-04-21T00:00:00"/>
    <n v="10"/>
    <s v="T013"/>
    <x v="0"/>
    <n v="1245.6300000000001"/>
    <x v="3"/>
    <n v="1121.07"/>
    <n v="2"/>
    <s v="Member"/>
    <n v="1121.07"/>
    <s v="OK"/>
    <x v="4"/>
    <x v="0"/>
    <s v="1–_x000a_10%"/>
    <x v="3"/>
    <x v="11"/>
  </r>
  <r>
    <x v="640"/>
    <d v="2025-04-09T00:00:00"/>
    <n v="21"/>
    <s v="T026"/>
    <x v="3"/>
    <n v="2115.54"/>
    <x v="1"/>
    <n v="2115.54"/>
    <n v="1"/>
    <s v="Member"/>
    <n v="2115.54"/>
    <s v="OK"/>
    <x v="4"/>
    <x v="0"/>
    <s v="0%"/>
    <x v="1"/>
    <x v="10"/>
  </r>
  <r>
    <x v="641"/>
    <d v="2025-06-24T00:00:00"/>
    <n v="17"/>
    <s v="T029"/>
    <x v="0"/>
    <n v="561.83000000000004"/>
    <x v="1"/>
    <n v="561.83000000000004"/>
    <n v="5"/>
    <s v="Walk-in"/>
    <n v="561.83000000000004"/>
    <s v="OK"/>
    <x v="3"/>
    <x v="0"/>
    <s v="0%"/>
    <x v="0"/>
    <x v="6"/>
  </r>
  <r>
    <x v="642"/>
    <d v="2025-01-14T00:00:00"/>
    <n v="16"/>
    <s v="T023"/>
    <x v="0"/>
    <n v="828.88"/>
    <x v="1"/>
    <n v="828.88"/>
    <n v="1"/>
    <s v="Member"/>
    <n v="828.88"/>
    <s v="OK"/>
    <x v="2"/>
    <x v="0"/>
    <s v="0%"/>
    <x v="3"/>
    <x v="11"/>
  </r>
  <r>
    <x v="643"/>
    <d v="2025-06-05T00:00:00"/>
    <n v="18"/>
    <s v="T004"/>
    <x v="0"/>
    <n v="379.42"/>
    <x v="1"/>
    <n v="379.42"/>
    <n v="1"/>
    <s v="Member"/>
    <n v="379.42"/>
    <s v="OK"/>
    <x v="3"/>
    <x v="0"/>
    <s v="0%"/>
    <x v="0"/>
    <x v="0"/>
  </r>
  <r>
    <x v="644"/>
    <d v="2025-06-20T00:00:00"/>
    <n v="14"/>
    <s v="T017"/>
    <x v="2"/>
    <n v="188.45"/>
    <x v="1"/>
    <n v="188.45"/>
    <n v="1"/>
    <s v="Member"/>
    <n v="188.45"/>
    <s v="OK"/>
    <x v="3"/>
    <x v="0"/>
    <s v="0%"/>
    <x v="4"/>
    <x v="8"/>
  </r>
  <r>
    <x v="645"/>
    <d v="2025-04-26T00:00:00"/>
    <n v="13"/>
    <s v="T026"/>
    <x v="0"/>
    <n v="1997.12"/>
    <x v="1"/>
    <n v="1997.12"/>
    <n v="2"/>
    <s v="Member"/>
    <n v="1997.12"/>
    <s v="OK"/>
    <x v="4"/>
    <x v="1"/>
    <s v="0%"/>
    <x v="1"/>
    <x v="10"/>
  </r>
  <r>
    <x v="646"/>
    <d v="2025-05-16T00:00:00"/>
    <n v="13"/>
    <s v="T005"/>
    <x v="2"/>
    <n v="2693.88"/>
    <x v="3"/>
    <n v="2424.4899999999998"/>
    <n v="4"/>
    <s v="Member"/>
    <n v="2424.4899999999998"/>
    <s v="OK"/>
    <x v="1"/>
    <x v="0"/>
    <s v="1–_x000a_10%"/>
    <x v="2"/>
    <x v="4"/>
  </r>
  <r>
    <x v="647"/>
    <d v="2025-04-21T00:00:00"/>
    <n v="21"/>
    <s v="T023"/>
    <x v="2"/>
    <n v="135.53"/>
    <x v="0"/>
    <n v="115.2"/>
    <n v="2"/>
    <s v="Member"/>
    <n v="115.2"/>
    <s v="OK"/>
    <x v="4"/>
    <x v="0"/>
    <s v="11–20%"/>
    <x v="3"/>
    <x v="11"/>
  </r>
  <r>
    <x v="648"/>
    <d v="2025-06-01T00:00:00"/>
    <n v="16"/>
    <s v="T013"/>
    <x v="0"/>
    <n v="377.48"/>
    <x v="5"/>
    <n v="358.61"/>
    <n v="5"/>
    <s v="Walk-in"/>
    <n v="358.61"/>
    <s v="OK"/>
    <x v="3"/>
    <x v="1"/>
    <s v="1–_x000a_10%"/>
    <x v="3"/>
    <x v="11"/>
  </r>
  <r>
    <x v="649"/>
    <d v="2025-01-08T00:00:00"/>
    <n v="17"/>
    <s v="T001"/>
    <x v="1"/>
    <n v="353.44"/>
    <x v="3"/>
    <n v="318.10000000000002"/>
    <n v="3"/>
    <s v="Walk-in"/>
    <n v="318.10000000000002"/>
    <s v="OK"/>
    <x v="2"/>
    <x v="0"/>
    <s v="1–_x000a_10%"/>
    <x v="1"/>
    <x v="7"/>
  </r>
  <r>
    <x v="650"/>
    <d v="2025-05-13T00:00:00"/>
    <n v="18"/>
    <s v="T014"/>
    <x v="0"/>
    <n v="404.53"/>
    <x v="3"/>
    <n v="364.08"/>
    <n v="2"/>
    <s v="Walk-in"/>
    <n v="364.08"/>
    <s v="OK"/>
    <x v="1"/>
    <x v="0"/>
    <s v="1–_x000a_10%"/>
    <x v="0"/>
    <x v="6"/>
  </r>
  <r>
    <x v="651"/>
    <d v="2025-06-26T00:00:00"/>
    <n v="15"/>
    <s v="T024"/>
    <x v="0"/>
    <n v="225.55"/>
    <x v="3"/>
    <n v="203"/>
    <n v="2"/>
    <s v="Walk-in"/>
    <n v="203"/>
    <s v="OK"/>
    <x v="3"/>
    <x v="0"/>
    <s v="1–_x000a_10%"/>
    <x v="0"/>
    <x v="0"/>
  </r>
  <r>
    <x v="652"/>
    <d v="2025-01-05T00:00:00"/>
    <n v="18"/>
    <s v="T002"/>
    <x v="0"/>
    <n v="725.4"/>
    <x v="0"/>
    <n v="616.59"/>
    <n v="3"/>
    <s v="Walk-in"/>
    <n v="616.59"/>
    <s v="OK"/>
    <x v="2"/>
    <x v="1"/>
    <s v="11–20%"/>
    <x v="4"/>
    <x v="9"/>
  </r>
  <r>
    <x v="653"/>
    <d v="2025-04-29T00:00:00"/>
    <n v="13"/>
    <s v="T004"/>
    <x v="1"/>
    <n v="393.92"/>
    <x v="3"/>
    <n v="354.53"/>
    <n v="1"/>
    <s v="Member"/>
    <n v="354.53"/>
    <s v="OK"/>
    <x v="4"/>
    <x v="0"/>
    <s v="1–_x000a_10%"/>
    <x v="0"/>
    <x v="0"/>
  </r>
  <r>
    <x v="654"/>
    <d v="2025-04-07T00:00:00"/>
    <n v="16"/>
    <s v="T015"/>
    <x v="0"/>
    <n v="1619.55"/>
    <x v="1"/>
    <n v="1619.55"/>
    <n v="2"/>
    <s v="Walk-in"/>
    <n v="1619.55"/>
    <s v="OK"/>
    <x v="4"/>
    <x v="0"/>
    <s v="0%"/>
    <x v="2"/>
    <x v="4"/>
  </r>
  <r>
    <x v="655"/>
    <d v="2025-05-22T00:00:00"/>
    <n v="16"/>
    <s v="T002"/>
    <x v="2"/>
    <n v="1435.02"/>
    <x v="1"/>
    <n v="1435.02"/>
    <n v="2"/>
    <s v="Member"/>
    <n v="1435.02"/>
    <s v="OK"/>
    <x v="1"/>
    <x v="0"/>
    <s v="0%"/>
    <x v="4"/>
    <x v="9"/>
  </r>
  <r>
    <x v="656"/>
    <d v="2025-06-16T00:00:00"/>
    <n v="16"/>
    <s v="T001"/>
    <x v="0"/>
    <n v="536.01"/>
    <x v="1"/>
    <n v="536.01"/>
    <n v="3"/>
    <s v="Member"/>
    <n v="536.01"/>
    <s v="OK"/>
    <x v="3"/>
    <x v="0"/>
    <s v="0%"/>
    <x v="1"/>
    <x v="7"/>
  </r>
  <r>
    <x v="657"/>
    <d v="2025-05-15T00:00:00"/>
    <n v="12"/>
    <s v="T009"/>
    <x v="0"/>
    <n v="1434.53"/>
    <x v="3"/>
    <n v="1291.08"/>
    <n v="2"/>
    <s v="Walk-in"/>
    <n v="1291.08"/>
    <s v="OK"/>
    <x v="1"/>
    <x v="0"/>
    <s v="1–_x000a_10%"/>
    <x v="0"/>
    <x v="6"/>
  </r>
  <r>
    <x v="658"/>
    <d v="2025-06-14T00:00:00"/>
    <n v="17"/>
    <s v="T007"/>
    <x v="0"/>
    <n v="1839.13"/>
    <x v="1"/>
    <n v="1839.13"/>
    <n v="2"/>
    <s v="Member"/>
    <n v="1839.13"/>
    <s v="OK"/>
    <x v="3"/>
    <x v="1"/>
    <s v="0%"/>
    <x v="4"/>
    <x v="8"/>
  </r>
  <r>
    <x v="659"/>
    <d v="2025-04-02T00:00:00"/>
    <n v="15"/>
    <s v="T007"/>
    <x v="2"/>
    <n v="367.97"/>
    <x v="4"/>
    <n v="294.38"/>
    <n v="4"/>
    <s v="Member"/>
    <n v="294.38"/>
    <s v="OK"/>
    <x v="4"/>
    <x v="0"/>
    <s v="11–20%"/>
    <x v="4"/>
    <x v="8"/>
  </r>
  <r>
    <x v="660"/>
    <d v="2025-03-20T00:00:00"/>
    <n v="20"/>
    <s v="T011"/>
    <x v="1"/>
    <n v="386.78"/>
    <x v="1"/>
    <n v="386.78"/>
    <n v="2"/>
    <s v="Walk-in"/>
    <n v="386.78"/>
    <s v="OK"/>
    <x v="5"/>
    <x v="0"/>
    <s v="0%"/>
    <x v="1"/>
    <x v="10"/>
  </r>
  <r>
    <x v="661"/>
    <d v="2025-05-01T00:00:00"/>
    <n v="12"/>
    <s v="T001"/>
    <x v="0"/>
    <n v="759.17"/>
    <x v="0"/>
    <n v="645.29"/>
    <n v="1"/>
    <s v="Walk-in"/>
    <n v="645.29"/>
    <s v="OK"/>
    <x v="1"/>
    <x v="0"/>
    <s v="11–20%"/>
    <x v="1"/>
    <x v="7"/>
  </r>
  <r>
    <x v="662"/>
    <d v="2025-04-24T00:00:00"/>
    <n v="12"/>
    <s v="T029"/>
    <x v="0"/>
    <n v="1806.24"/>
    <x v="1"/>
    <n v="1806.24"/>
    <n v="2"/>
    <s v="Member"/>
    <n v="1806.24"/>
    <s v="OK"/>
    <x v="4"/>
    <x v="0"/>
    <s v="0%"/>
    <x v="0"/>
    <x v="6"/>
  </r>
  <r>
    <x v="663"/>
    <d v="2025-05-30T00:00:00"/>
    <n v="21"/>
    <s v="T009"/>
    <x v="0"/>
    <n v="1057.33"/>
    <x v="3"/>
    <n v="951.6"/>
    <n v="2"/>
    <s v="Member"/>
    <n v="951.6"/>
    <s v="OK"/>
    <x v="1"/>
    <x v="0"/>
    <s v="1–_x000a_10%"/>
    <x v="0"/>
    <x v="6"/>
  </r>
  <r>
    <x v="664"/>
    <d v="2025-01-18T00:00:00"/>
    <n v="15"/>
    <s v="T027"/>
    <x v="0"/>
    <n v="954.07"/>
    <x v="1"/>
    <n v="954.07"/>
    <n v="4"/>
    <s v="Member"/>
    <n v="954.07"/>
    <s v="OK"/>
    <x v="2"/>
    <x v="1"/>
    <s v="0%"/>
    <x v="4"/>
    <x v="9"/>
  </r>
  <r>
    <x v="665"/>
    <d v="2025-05-07T00:00:00"/>
    <n v="20"/>
    <s v="T005"/>
    <x v="0"/>
    <n v="689.49"/>
    <x v="1"/>
    <n v="689.49"/>
    <n v="1"/>
    <s v="Walk-in"/>
    <n v="689.49"/>
    <s v="OK"/>
    <x v="1"/>
    <x v="0"/>
    <s v="0%"/>
    <x v="2"/>
    <x v="4"/>
  </r>
  <r>
    <x v="666"/>
    <d v="2025-05-28T00:00:00"/>
    <n v="18"/>
    <s v="T001"/>
    <x v="2"/>
    <n v="783.6"/>
    <x v="3"/>
    <n v="705.24"/>
    <n v="3"/>
    <s v="Member"/>
    <n v="705.24"/>
    <s v="OK"/>
    <x v="1"/>
    <x v="0"/>
    <s v="1–_x000a_10%"/>
    <x v="1"/>
    <x v="7"/>
  </r>
  <r>
    <x v="667"/>
    <d v="2025-02-07T00:00:00"/>
    <n v="20"/>
    <s v="T012"/>
    <x v="0"/>
    <n v="860.78"/>
    <x v="1"/>
    <n v="860.78"/>
    <n v="4"/>
    <s v="Walk-in"/>
    <n v="860.78"/>
    <s v="OK"/>
    <x v="0"/>
    <x v="0"/>
    <s v="0%"/>
    <x v="4"/>
    <x v="9"/>
  </r>
  <r>
    <x v="668"/>
    <d v="2025-05-21T00:00:00"/>
    <n v="14"/>
    <s v="T016"/>
    <x v="2"/>
    <n v="474.32"/>
    <x v="1"/>
    <n v="474.32"/>
    <n v="5"/>
    <s v="Walk-in"/>
    <n v="474.32"/>
    <s v="OK"/>
    <x v="1"/>
    <x v="0"/>
    <s v="0%"/>
    <x v="1"/>
    <x v="1"/>
  </r>
  <r>
    <x v="669"/>
    <d v="2025-06-10T00:00:00"/>
    <n v="22"/>
    <s v="T029"/>
    <x v="1"/>
    <n v="917.9"/>
    <x v="0"/>
    <n v="780.21"/>
    <n v="3"/>
    <s v="Member"/>
    <n v="780.22"/>
    <s v="OK"/>
    <x v="3"/>
    <x v="0"/>
    <s v="11–20%"/>
    <x v="0"/>
    <x v="6"/>
  </r>
  <r>
    <x v="670"/>
    <d v="2025-03-20T00:00:00"/>
    <n v="20"/>
    <s v="T029"/>
    <x v="0"/>
    <n v="2178.98"/>
    <x v="5"/>
    <n v="2070.0300000000002"/>
    <n v="3"/>
    <s v="Member"/>
    <n v="2070.0300000000002"/>
    <s v="OK"/>
    <x v="5"/>
    <x v="0"/>
    <s v="1–_x000a_10%"/>
    <x v="0"/>
    <x v="6"/>
  </r>
  <r>
    <x v="671"/>
    <d v="2025-04-04T00:00:00"/>
    <n v="19"/>
    <s v="T003"/>
    <x v="2"/>
    <n v="2969.86"/>
    <x v="1"/>
    <n v="2969.86"/>
    <n v="1"/>
    <s v="Walk-in"/>
    <n v="2969.86"/>
    <s v="OK"/>
    <x v="4"/>
    <x v="0"/>
    <s v="0%"/>
    <x v="3"/>
    <x v="3"/>
  </r>
  <r>
    <x v="672"/>
    <d v="2025-01-08T00:00:00"/>
    <n v="10"/>
    <s v="T029"/>
    <x v="2"/>
    <n v="1137.1600000000001"/>
    <x v="3"/>
    <n v="1023.44"/>
    <n v="3"/>
    <s v="Walk-in"/>
    <n v="1023.44"/>
    <s v="OK"/>
    <x v="2"/>
    <x v="0"/>
    <s v="1–_x000a_10%"/>
    <x v="0"/>
    <x v="6"/>
  </r>
  <r>
    <x v="673"/>
    <d v="2025-04-02T00:00:00"/>
    <n v="17"/>
    <s v="T020"/>
    <x v="1"/>
    <n v="166.75"/>
    <x v="1"/>
    <n v="166.75"/>
    <n v="1"/>
    <s v="Walk-in"/>
    <n v="166.75"/>
    <s v="OK"/>
    <x v="4"/>
    <x v="0"/>
    <s v="0%"/>
    <x v="2"/>
    <x v="2"/>
  </r>
  <r>
    <x v="674"/>
    <d v="2025-03-09T00:00:00"/>
    <n v="13"/>
    <s v="T006"/>
    <x v="0"/>
    <n v="502.21"/>
    <x v="3"/>
    <n v="451.99"/>
    <n v="2"/>
    <s v="Walk-in"/>
    <n v="451.99"/>
    <s v="OK"/>
    <x v="5"/>
    <x v="1"/>
    <s v="1–_x000a_10%"/>
    <x v="1"/>
    <x v="1"/>
  </r>
  <r>
    <x v="675"/>
    <d v="2025-03-14T00:00:00"/>
    <n v="16"/>
    <s v="T009"/>
    <x v="0"/>
    <n v="173.33"/>
    <x v="0"/>
    <n v="147.33000000000001"/>
    <n v="2"/>
    <s v="Member"/>
    <n v="147.33000000000001"/>
    <s v="OK"/>
    <x v="5"/>
    <x v="0"/>
    <s v="11–20%"/>
    <x v="0"/>
    <x v="6"/>
  </r>
  <r>
    <x v="676"/>
    <d v="2025-03-24T00:00:00"/>
    <n v="22"/>
    <s v="T005"/>
    <x v="1"/>
    <n v="1819.46"/>
    <x v="4"/>
    <n v="1455.57"/>
    <n v="2"/>
    <s v="Member"/>
    <n v="1455.57"/>
    <s v="OK"/>
    <x v="5"/>
    <x v="0"/>
    <s v="11–20%"/>
    <x v="2"/>
    <x v="4"/>
  </r>
  <r>
    <x v="677"/>
    <d v="2025-06-13T00:00:00"/>
    <n v="18"/>
    <s v="T027"/>
    <x v="2"/>
    <n v="1645.38"/>
    <x v="3"/>
    <n v="1480.84"/>
    <n v="3"/>
    <s v="Walk-in"/>
    <n v="1480.84"/>
    <s v="OK"/>
    <x v="3"/>
    <x v="0"/>
    <s v="1–_x000a_10%"/>
    <x v="4"/>
    <x v="9"/>
  </r>
  <r>
    <x v="678"/>
    <d v="2025-04-22T00:00:00"/>
    <n v="20"/>
    <s v="T028"/>
    <x v="2"/>
    <n v="862.39"/>
    <x v="1"/>
    <n v="862.39"/>
    <n v="2"/>
    <s v="Walk-in"/>
    <n v="862.39"/>
    <s v="OK"/>
    <x v="4"/>
    <x v="0"/>
    <s v="0%"/>
    <x v="3"/>
    <x v="5"/>
  </r>
  <r>
    <x v="679"/>
    <d v="2025-02-19T00:00:00"/>
    <n v="16"/>
    <s v="T004"/>
    <x v="2"/>
    <n v="2486.89"/>
    <x v="1"/>
    <n v="2486.89"/>
    <n v="2"/>
    <s v="Member"/>
    <n v="2486.89"/>
    <s v="OK"/>
    <x v="0"/>
    <x v="0"/>
    <s v="0%"/>
    <x v="0"/>
    <x v="0"/>
  </r>
  <r>
    <x v="680"/>
    <d v="2025-06-20T00:00:00"/>
    <n v="13"/>
    <s v="T027"/>
    <x v="2"/>
    <n v="2361.37"/>
    <x v="1"/>
    <n v="2361.37"/>
    <n v="3"/>
    <s v="Walk-in"/>
    <n v="2361.37"/>
    <s v="OK"/>
    <x v="3"/>
    <x v="0"/>
    <s v="0%"/>
    <x v="4"/>
    <x v="9"/>
  </r>
  <r>
    <x v="681"/>
    <d v="2025-02-07T00:00:00"/>
    <n v="10"/>
    <s v="T009"/>
    <x v="0"/>
    <n v="2076.69"/>
    <x v="3"/>
    <n v="1869.02"/>
    <n v="1"/>
    <s v="Member"/>
    <n v="1869.02"/>
    <s v="OK"/>
    <x v="0"/>
    <x v="0"/>
    <s v="1–_x000a_10%"/>
    <x v="0"/>
    <x v="6"/>
  </r>
  <r>
    <x v="682"/>
    <d v="2025-05-02T00:00:00"/>
    <n v="16"/>
    <s v="T027"/>
    <x v="1"/>
    <n v="613.97"/>
    <x v="5"/>
    <n v="583.27"/>
    <n v="3"/>
    <s v="Walk-in"/>
    <n v="583.27"/>
    <s v="OK"/>
    <x v="1"/>
    <x v="0"/>
    <s v="1–_x000a_10%"/>
    <x v="4"/>
    <x v="9"/>
  </r>
  <r>
    <x v="683"/>
    <d v="2025-05-08T00:00:00"/>
    <n v="12"/>
    <s v="T019"/>
    <x v="0"/>
    <n v="958.64"/>
    <x v="1"/>
    <n v="958.64"/>
    <n v="6"/>
    <s v="Member"/>
    <n v="958.64"/>
    <s v="OK"/>
    <x v="1"/>
    <x v="0"/>
    <s v="0%"/>
    <x v="0"/>
    <x v="0"/>
  </r>
  <r>
    <x v="684"/>
    <d v="2025-03-17T00:00:00"/>
    <n v="12"/>
    <s v="T005"/>
    <x v="2"/>
    <n v="950.21"/>
    <x v="1"/>
    <n v="950.21"/>
    <n v="3"/>
    <s v="Walk-in"/>
    <n v="950.21"/>
    <s v="OK"/>
    <x v="5"/>
    <x v="0"/>
    <s v="0%"/>
    <x v="2"/>
    <x v="4"/>
  </r>
  <r>
    <x v="685"/>
    <d v="2025-01-25T00:00:00"/>
    <n v="12"/>
    <s v="T014"/>
    <x v="0"/>
    <n v="466"/>
    <x v="0"/>
    <n v="396.1"/>
    <n v="1"/>
    <s v="Member"/>
    <n v="396.1"/>
    <s v="OK"/>
    <x v="2"/>
    <x v="1"/>
    <s v="11–20%"/>
    <x v="0"/>
    <x v="6"/>
  </r>
  <r>
    <x v="686"/>
    <d v="2025-01-15T00:00:00"/>
    <n v="18"/>
    <s v="T016"/>
    <x v="0"/>
    <n v="2094.87"/>
    <x v="3"/>
    <n v="1885.38"/>
    <n v="3"/>
    <s v="Member"/>
    <n v="1885.38"/>
    <s v="OK"/>
    <x v="2"/>
    <x v="0"/>
    <s v="1–_x000a_10%"/>
    <x v="1"/>
    <x v="1"/>
  </r>
  <r>
    <x v="687"/>
    <d v="2025-06-23T00:00:00"/>
    <n v="10"/>
    <s v="T013"/>
    <x v="3"/>
    <n v="793.17"/>
    <x v="1"/>
    <n v="793.17"/>
    <n v="2"/>
    <s v="Member"/>
    <n v="793.17"/>
    <s v="OK"/>
    <x v="3"/>
    <x v="0"/>
    <s v="0%"/>
    <x v="3"/>
    <x v="11"/>
  </r>
  <r>
    <x v="688"/>
    <d v="2025-01-18T00:00:00"/>
    <n v="17"/>
    <s v="T014"/>
    <x v="0"/>
    <n v="515.85"/>
    <x v="4"/>
    <n v="412.68"/>
    <n v="2"/>
    <s v="Walk-in"/>
    <n v="412.68"/>
    <s v="OK"/>
    <x v="2"/>
    <x v="1"/>
    <s v="11–20%"/>
    <x v="0"/>
    <x v="6"/>
  </r>
  <r>
    <x v="689"/>
    <d v="2025-05-05T00:00:00"/>
    <n v="20"/>
    <s v="T013"/>
    <x v="0"/>
    <n v="619.26"/>
    <x v="1"/>
    <n v="619.26"/>
    <n v="2"/>
    <s v="Walk-in"/>
    <n v="619.26"/>
    <s v="OK"/>
    <x v="1"/>
    <x v="0"/>
    <s v="0%"/>
    <x v="3"/>
    <x v="11"/>
  </r>
  <r>
    <x v="690"/>
    <d v="2025-06-16T00:00:00"/>
    <n v="14"/>
    <s v="T005"/>
    <x v="1"/>
    <n v="827.39"/>
    <x v="1"/>
    <n v="827.39"/>
    <n v="3"/>
    <s v="Walk-in"/>
    <n v="827.39"/>
    <s v="OK"/>
    <x v="3"/>
    <x v="0"/>
    <s v="0%"/>
    <x v="2"/>
    <x v="4"/>
  </r>
  <r>
    <x v="691"/>
    <d v="2025-01-20T00:00:00"/>
    <n v="16"/>
    <s v="T004"/>
    <x v="2"/>
    <n v="1530.49"/>
    <x v="4"/>
    <n v="1224.3900000000001"/>
    <n v="2"/>
    <s v="Walk-in"/>
    <n v="1224.3900000000001"/>
    <s v="OK"/>
    <x v="2"/>
    <x v="0"/>
    <s v="11–20%"/>
    <x v="0"/>
    <x v="0"/>
  </r>
  <r>
    <x v="692"/>
    <d v="2025-04-23T00:00:00"/>
    <n v="10"/>
    <s v="T026"/>
    <x v="2"/>
    <n v="1414.58"/>
    <x v="1"/>
    <n v="1414.58"/>
    <n v="2"/>
    <s v="Walk-in"/>
    <n v="1414.58"/>
    <s v="OK"/>
    <x v="4"/>
    <x v="0"/>
    <s v="0%"/>
    <x v="1"/>
    <x v="10"/>
  </r>
  <r>
    <x v="693"/>
    <d v="2025-01-28T00:00:00"/>
    <n v="19"/>
    <s v="T011"/>
    <x v="2"/>
    <n v="540.47"/>
    <x v="1"/>
    <n v="540.47"/>
    <n v="1"/>
    <s v="Walk-in"/>
    <n v="540.47"/>
    <s v="OK"/>
    <x v="2"/>
    <x v="0"/>
    <s v="0%"/>
    <x v="1"/>
    <x v="10"/>
  </r>
  <r>
    <x v="694"/>
    <d v="2025-06-27T00:00:00"/>
    <n v="20"/>
    <s v="T023"/>
    <x v="2"/>
    <n v="279.61"/>
    <x v="3"/>
    <n v="251.65"/>
    <n v="1"/>
    <s v="Walk-in"/>
    <n v="251.65"/>
    <s v="OK"/>
    <x v="3"/>
    <x v="0"/>
    <s v="1–_x000a_10%"/>
    <x v="3"/>
    <x v="11"/>
  </r>
  <r>
    <x v="695"/>
    <d v="2025-04-02T00:00:00"/>
    <n v="19"/>
    <s v="T010"/>
    <x v="1"/>
    <n v="808.59"/>
    <x v="3"/>
    <n v="727.73"/>
    <n v="1"/>
    <s v="Walk-in"/>
    <n v="727.73"/>
    <s v="OK"/>
    <x v="4"/>
    <x v="0"/>
    <s v="1–_x000a_10%"/>
    <x v="2"/>
    <x v="4"/>
  </r>
  <r>
    <x v="696"/>
    <d v="2025-04-22T00:00:00"/>
    <n v="10"/>
    <s v="T029"/>
    <x v="3"/>
    <n v="300.31"/>
    <x v="1"/>
    <n v="300.31"/>
    <n v="2"/>
    <s v="Member"/>
    <n v="300.31"/>
    <s v="OK"/>
    <x v="4"/>
    <x v="0"/>
    <s v="0%"/>
    <x v="0"/>
    <x v="6"/>
  </r>
  <r>
    <x v="697"/>
    <d v="2025-04-20T00:00:00"/>
    <n v="10"/>
    <s v="T001"/>
    <x v="0"/>
    <n v="1329.6"/>
    <x v="1"/>
    <n v="1329.6"/>
    <n v="2"/>
    <s v="Walk-in"/>
    <n v="1329.6"/>
    <s v="OK"/>
    <x v="4"/>
    <x v="1"/>
    <s v="0%"/>
    <x v="1"/>
    <x v="7"/>
  </r>
  <r>
    <x v="698"/>
    <d v="2025-01-18T00:00:00"/>
    <n v="10"/>
    <s v="T014"/>
    <x v="1"/>
    <n v="603.05999999999995"/>
    <x v="0"/>
    <n v="512.6"/>
    <n v="1"/>
    <s v="Walk-in"/>
    <n v="512.6"/>
    <s v="OK"/>
    <x v="2"/>
    <x v="1"/>
    <s v="11–20%"/>
    <x v="0"/>
    <x v="6"/>
  </r>
  <r>
    <x v="699"/>
    <d v="2025-06-25T00:00:00"/>
    <n v="10"/>
    <s v="T014"/>
    <x v="2"/>
    <n v="4998.7"/>
    <x v="1"/>
    <n v="4998.7"/>
    <n v="4"/>
    <s v="Member"/>
    <n v="4998.7"/>
    <s v="OK"/>
    <x v="3"/>
    <x v="0"/>
    <s v="0%"/>
    <x v="0"/>
    <x v="6"/>
  </r>
  <r>
    <x v="700"/>
    <d v="2025-02-28T00:00:00"/>
    <n v="13"/>
    <s v="T026"/>
    <x v="0"/>
    <n v="1050.53"/>
    <x v="1"/>
    <n v="1050.53"/>
    <n v="2"/>
    <s v="Walk-in"/>
    <n v="1050.53"/>
    <s v="OK"/>
    <x v="0"/>
    <x v="0"/>
    <s v="0%"/>
    <x v="1"/>
    <x v="10"/>
  </r>
  <r>
    <x v="701"/>
    <d v="2025-03-26T00:00:00"/>
    <n v="14"/>
    <s v="T003"/>
    <x v="2"/>
    <n v="2134.79"/>
    <x v="4"/>
    <n v="1707.83"/>
    <n v="1"/>
    <s v="Walk-in"/>
    <n v="1707.83"/>
    <s v="OK"/>
    <x v="5"/>
    <x v="0"/>
    <s v="11–20%"/>
    <x v="3"/>
    <x v="3"/>
  </r>
  <r>
    <x v="702"/>
    <d v="2025-02-15T00:00:00"/>
    <n v="19"/>
    <s v="T002"/>
    <x v="0"/>
    <n v="577.96"/>
    <x v="3"/>
    <n v="520.16"/>
    <n v="1"/>
    <s v="Walk-in"/>
    <n v="520.16"/>
    <s v="OK"/>
    <x v="0"/>
    <x v="1"/>
    <s v="1–_x000a_10%"/>
    <x v="4"/>
    <x v="9"/>
  </r>
  <r>
    <x v="703"/>
    <d v="2025-05-22T00:00:00"/>
    <n v="11"/>
    <s v="T007"/>
    <x v="2"/>
    <n v="555.04"/>
    <x v="0"/>
    <n v="471.78"/>
    <n v="1"/>
    <s v="Member"/>
    <n v="471.78"/>
    <s v="OK"/>
    <x v="1"/>
    <x v="0"/>
    <s v="11–20%"/>
    <x v="4"/>
    <x v="8"/>
  </r>
  <r>
    <x v="704"/>
    <d v="2025-01-12T00:00:00"/>
    <n v="21"/>
    <s v="T030"/>
    <x v="0"/>
    <n v="1767.37"/>
    <x v="1"/>
    <n v="1767.37"/>
    <n v="6"/>
    <s v="Member"/>
    <n v="1767.37"/>
    <s v="OK"/>
    <x v="2"/>
    <x v="1"/>
    <s v="0%"/>
    <x v="2"/>
    <x v="2"/>
  </r>
  <r>
    <x v="705"/>
    <d v="2025-02-09T00:00:00"/>
    <n v="10"/>
    <s v="T009"/>
    <x v="0"/>
    <n v="1121.6500000000001"/>
    <x v="1"/>
    <n v="1121.6500000000001"/>
    <n v="6"/>
    <s v="Walk-in"/>
    <n v="1121.6500000000001"/>
    <s v="OK"/>
    <x v="0"/>
    <x v="1"/>
    <s v="0%"/>
    <x v="0"/>
    <x v="6"/>
  </r>
  <r>
    <x v="706"/>
    <d v="2025-05-19T00:00:00"/>
    <n v="16"/>
    <s v="T002"/>
    <x v="2"/>
    <n v="2689.43"/>
    <x v="1"/>
    <n v="2689.43"/>
    <n v="2"/>
    <s v="Walk-in"/>
    <n v="2689.43"/>
    <s v="OK"/>
    <x v="1"/>
    <x v="0"/>
    <s v="0%"/>
    <x v="4"/>
    <x v="9"/>
  </r>
  <r>
    <x v="707"/>
    <d v="2025-01-23T00:00:00"/>
    <n v="21"/>
    <s v="T009"/>
    <x v="2"/>
    <n v="297.92"/>
    <x v="4"/>
    <n v="238.34"/>
    <n v="1"/>
    <s v="Walk-in"/>
    <n v="238.34"/>
    <s v="OK"/>
    <x v="2"/>
    <x v="0"/>
    <s v="11–20%"/>
    <x v="0"/>
    <x v="6"/>
  </r>
  <r>
    <x v="708"/>
    <d v="2025-06-23T00:00:00"/>
    <n v="22"/>
    <s v="T002"/>
    <x v="1"/>
    <n v="1514.76"/>
    <x v="3"/>
    <n v="1363.28"/>
    <n v="1"/>
    <s v="Walk-in"/>
    <n v="1363.28"/>
    <s v="OK"/>
    <x v="3"/>
    <x v="0"/>
    <s v="1–_x000a_10%"/>
    <x v="4"/>
    <x v="9"/>
  </r>
  <r>
    <x v="709"/>
    <d v="2025-02-20T00:00:00"/>
    <n v="11"/>
    <s v="T028"/>
    <x v="1"/>
    <n v="1241.3399999999999"/>
    <x v="1"/>
    <n v="1241.3399999999999"/>
    <n v="1"/>
    <s v="Walk-in"/>
    <n v="1241.3399999999999"/>
    <s v="OK"/>
    <x v="0"/>
    <x v="0"/>
    <s v="0%"/>
    <x v="3"/>
    <x v="5"/>
  </r>
  <r>
    <x v="710"/>
    <d v="2025-04-30T00:00:00"/>
    <n v="11"/>
    <s v="T007"/>
    <x v="3"/>
    <n v="800.63"/>
    <x v="1"/>
    <n v="800.63"/>
    <n v="2"/>
    <s v="Walk-in"/>
    <n v="800.63"/>
    <s v="OK"/>
    <x v="4"/>
    <x v="0"/>
    <s v="0%"/>
    <x v="4"/>
    <x v="8"/>
  </r>
  <r>
    <x v="711"/>
    <d v="2025-01-22T00:00:00"/>
    <n v="17"/>
    <s v="T022"/>
    <x v="1"/>
    <n v="958.77"/>
    <x v="3"/>
    <n v="862.89"/>
    <n v="3"/>
    <s v="Walk-in"/>
    <n v="862.89"/>
    <s v="OK"/>
    <x v="2"/>
    <x v="0"/>
    <s v="1–_x000a_10%"/>
    <x v="4"/>
    <x v="8"/>
  </r>
  <r>
    <x v="712"/>
    <d v="2025-06-11T00:00:00"/>
    <n v="12"/>
    <s v="T020"/>
    <x v="0"/>
    <n v="452.88"/>
    <x v="1"/>
    <n v="452.88"/>
    <n v="3"/>
    <s v="Walk-in"/>
    <n v="452.88"/>
    <s v="OK"/>
    <x v="3"/>
    <x v="0"/>
    <s v="0%"/>
    <x v="2"/>
    <x v="2"/>
  </r>
  <r>
    <x v="713"/>
    <d v="2025-04-23T00:00:00"/>
    <n v="22"/>
    <s v="T001"/>
    <x v="2"/>
    <n v="334.18"/>
    <x v="3"/>
    <n v="300.76"/>
    <n v="1"/>
    <s v="Walk-in"/>
    <n v="300.76"/>
    <s v="OK"/>
    <x v="4"/>
    <x v="0"/>
    <s v="1–_x000a_10%"/>
    <x v="1"/>
    <x v="7"/>
  </r>
  <r>
    <x v="714"/>
    <d v="2025-05-14T00:00:00"/>
    <n v="21"/>
    <s v="T008"/>
    <x v="2"/>
    <n v="922.06"/>
    <x v="2"/>
    <n v="645.44000000000005"/>
    <n v="1"/>
    <s v="Walk-in"/>
    <n v="645.44000000000005"/>
    <s v="OK"/>
    <x v="1"/>
    <x v="0"/>
    <s v="&gt;20%"/>
    <x v="3"/>
    <x v="5"/>
  </r>
  <r>
    <x v="715"/>
    <d v="2025-06-05T00:00:00"/>
    <n v="15"/>
    <s v="T013"/>
    <x v="0"/>
    <n v="451.74"/>
    <x v="2"/>
    <n v="316.22000000000003"/>
    <n v="1"/>
    <s v="Member"/>
    <n v="316.22000000000003"/>
    <s v="OK"/>
    <x v="3"/>
    <x v="0"/>
    <s v="&gt;20%"/>
    <x v="3"/>
    <x v="11"/>
  </r>
  <r>
    <x v="716"/>
    <d v="2025-03-14T00:00:00"/>
    <n v="21"/>
    <s v="T003"/>
    <x v="0"/>
    <n v="1072.9000000000001"/>
    <x v="1"/>
    <n v="1072.9000000000001"/>
    <n v="1"/>
    <s v="Walk-in"/>
    <n v="1072.9000000000001"/>
    <s v="OK"/>
    <x v="5"/>
    <x v="0"/>
    <s v="0%"/>
    <x v="3"/>
    <x v="3"/>
  </r>
  <r>
    <x v="717"/>
    <d v="2025-01-21T00:00:00"/>
    <n v="11"/>
    <s v="T003"/>
    <x v="0"/>
    <n v="1570.8"/>
    <x v="1"/>
    <n v="1570.8"/>
    <n v="1"/>
    <s v="Walk-in"/>
    <n v="1570.8"/>
    <s v="OK"/>
    <x v="2"/>
    <x v="0"/>
    <s v="0%"/>
    <x v="3"/>
    <x v="3"/>
  </r>
  <r>
    <x v="718"/>
    <d v="2025-03-16T00:00:00"/>
    <n v="12"/>
    <s v="T008"/>
    <x v="0"/>
    <n v="1120.5899999999999"/>
    <x v="1"/>
    <n v="1120.5899999999999"/>
    <n v="2"/>
    <s v="Walk-in"/>
    <n v="1120.5899999999999"/>
    <s v="OK"/>
    <x v="5"/>
    <x v="1"/>
    <s v="0%"/>
    <x v="3"/>
    <x v="5"/>
  </r>
  <r>
    <x v="719"/>
    <d v="2025-06-27T00:00:00"/>
    <n v="13"/>
    <s v="T029"/>
    <x v="0"/>
    <n v="1158.79"/>
    <x v="0"/>
    <n v="984.97"/>
    <n v="1"/>
    <s v="Walk-in"/>
    <n v="984.97"/>
    <s v="OK"/>
    <x v="3"/>
    <x v="0"/>
    <s v="11–20%"/>
    <x v="0"/>
    <x v="6"/>
  </r>
  <r>
    <x v="720"/>
    <d v="2025-04-22T00:00:00"/>
    <n v="16"/>
    <s v="T001"/>
    <x v="0"/>
    <n v="1121.6199999999999"/>
    <x v="3"/>
    <n v="1009.46"/>
    <n v="3"/>
    <s v="Walk-in"/>
    <n v="1009.46"/>
    <s v="OK"/>
    <x v="4"/>
    <x v="0"/>
    <s v="1–_x000a_10%"/>
    <x v="1"/>
    <x v="7"/>
  </r>
  <r>
    <x v="721"/>
    <d v="2025-04-15T00:00:00"/>
    <n v="10"/>
    <s v="T019"/>
    <x v="2"/>
    <n v="992.94"/>
    <x v="3"/>
    <n v="893.65"/>
    <n v="1"/>
    <s v="Member"/>
    <n v="893.65"/>
    <s v="OK"/>
    <x v="4"/>
    <x v="0"/>
    <s v="1–_x000a_10%"/>
    <x v="0"/>
    <x v="0"/>
  </r>
  <r>
    <x v="722"/>
    <d v="2025-06-16T00:00:00"/>
    <n v="18"/>
    <s v="T022"/>
    <x v="1"/>
    <n v="1498.54"/>
    <x v="1"/>
    <n v="1498.54"/>
    <n v="1"/>
    <s v="Member"/>
    <n v="1498.54"/>
    <s v="OK"/>
    <x v="3"/>
    <x v="0"/>
    <s v="0%"/>
    <x v="4"/>
    <x v="8"/>
  </r>
  <r>
    <x v="723"/>
    <d v="2025-01-05T00:00:00"/>
    <n v="18"/>
    <s v="T023"/>
    <x v="0"/>
    <n v="279.05"/>
    <x v="1"/>
    <n v="279.05"/>
    <n v="5"/>
    <s v="Member"/>
    <n v="279.05"/>
    <s v="OK"/>
    <x v="2"/>
    <x v="1"/>
    <s v="0%"/>
    <x v="3"/>
    <x v="11"/>
  </r>
  <r>
    <x v="724"/>
    <d v="2025-05-14T00:00:00"/>
    <n v="16"/>
    <s v="T020"/>
    <x v="2"/>
    <n v="2894.39"/>
    <x v="3"/>
    <n v="2604.9499999999998"/>
    <n v="2"/>
    <s v="Walk-in"/>
    <n v="2604.9499999999998"/>
    <s v="OK"/>
    <x v="1"/>
    <x v="0"/>
    <s v="1–_x000a_10%"/>
    <x v="2"/>
    <x v="2"/>
  </r>
  <r>
    <x v="725"/>
    <d v="2025-04-05T00:00:00"/>
    <n v="22"/>
    <s v="T024"/>
    <x v="0"/>
    <n v="2115.06"/>
    <x v="1"/>
    <n v="2115.06"/>
    <n v="4"/>
    <s v="Member"/>
    <n v="2115.06"/>
    <s v="OK"/>
    <x v="4"/>
    <x v="1"/>
    <s v="0%"/>
    <x v="0"/>
    <x v="0"/>
  </r>
  <r>
    <x v="726"/>
    <d v="2025-05-29T00:00:00"/>
    <n v="20"/>
    <s v="T026"/>
    <x v="0"/>
    <n v="919.21"/>
    <x v="3"/>
    <n v="827.29"/>
    <n v="1"/>
    <s v="Walk-in"/>
    <n v="827.29"/>
    <s v="OK"/>
    <x v="1"/>
    <x v="0"/>
    <s v="1–_x000a_10%"/>
    <x v="1"/>
    <x v="10"/>
  </r>
  <r>
    <x v="727"/>
    <d v="2025-05-26T00:00:00"/>
    <n v="14"/>
    <s v="T001"/>
    <x v="0"/>
    <n v="1545.03"/>
    <x v="5"/>
    <n v="1467.78"/>
    <n v="3"/>
    <s v="Member"/>
    <n v="1467.78"/>
    <s v="OK"/>
    <x v="1"/>
    <x v="0"/>
    <s v="1–_x000a_10%"/>
    <x v="1"/>
    <x v="7"/>
  </r>
  <r>
    <x v="728"/>
    <d v="2025-03-03T00:00:00"/>
    <n v="11"/>
    <s v="T014"/>
    <x v="2"/>
    <n v="1222.54"/>
    <x v="1"/>
    <n v="1222.54"/>
    <n v="4"/>
    <s v="Walk-in"/>
    <n v="1222.54"/>
    <s v="OK"/>
    <x v="5"/>
    <x v="0"/>
    <s v="0%"/>
    <x v="0"/>
    <x v="6"/>
  </r>
  <r>
    <x v="729"/>
    <d v="2025-03-24T00:00:00"/>
    <n v="20"/>
    <s v="T002"/>
    <x v="3"/>
    <n v="447.77"/>
    <x v="1"/>
    <n v="447.77"/>
    <n v="4"/>
    <s v="Walk-in"/>
    <n v="447.77"/>
    <s v="OK"/>
    <x v="5"/>
    <x v="0"/>
    <s v="0%"/>
    <x v="4"/>
    <x v="9"/>
  </r>
  <r>
    <x v="730"/>
    <d v="2025-03-24T00:00:00"/>
    <n v="12"/>
    <s v="T015"/>
    <x v="1"/>
    <n v="1894.55"/>
    <x v="1"/>
    <n v="1894.55"/>
    <n v="2"/>
    <s v="Member"/>
    <n v="1894.55"/>
    <s v="OK"/>
    <x v="5"/>
    <x v="0"/>
    <s v="0%"/>
    <x v="2"/>
    <x v="4"/>
  </r>
  <r>
    <x v="731"/>
    <d v="2025-06-10T00:00:00"/>
    <n v="14"/>
    <s v="T022"/>
    <x v="2"/>
    <n v="205.46"/>
    <x v="3"/>
    <n v="184.91"/>
    <n v="1"/>
    <s v="Walk-in"/>
    <n v="184.91"/>
    <s v="OK"/>
    <x v="3"/>
    <x v="0"/>
    <s v="1–_x000a_10%"/>
    <x v="4"/>
    <x v="8"/>
  </r>
  <r>
    <x v="732"/>
    <d v="2025-03-28T00:00:00"/>
    <n v="21"/>
    <s v="T030"/>
    <x v="0"/>
    <n v="2361.9899999999998"/>
    <x v="5"/>
    <n v="2243.89"/>
    <n v="2"/>
    <s v="Walk-in"/>
    <n v="2243.89"/>
    <s v="OK"/>
    <x v="5"/>
    <x v="0"/>
    <s v="1–_x000a_10%"/>
    <x v="2"/>
    <x v="2"/>
  </r>
  <r>
    <x v="733"/>
    <d v="2025-03-30T00:00:00"/>
    <n v="12"/>
    <s v="T013"/>
    <x v="0"/>
    <n v="1705.5"/>
    <x v="4"/>
    <n v="1364.4"/>
    <n v="3"/>
    <s v="Walk-in"/>
    <n v="1364.4"/>
    <s v="OK"/>
    <x v="5"/>
    <x v="1"/>
    <s v="11–20%"/>
    <x v="3"/>
    <x v="11"/>
  </r>
  <r>
    <x v="734"/>
    <d v="2025-03-10T00:00:00"/>
    <n v="16"/>
    <s v="T026"/>
    <x v="0"/>
    <n v="149.57"/>
    <x v="0"/>
    <n v="127.13"/>
    <n v="2"/>
    <s v="Member"/>
    <n v="127.13"/>
    <s v="OK"/>
    <x v="5"/>
    <x v="0"/>
    <s v="11–20%"/>
    <x v="1"/>
    <x v="10"/>
  </r>
  <r>
    <x v="735"/>
    <d v="2025-04-23T00:00:00"/>
    <n v="15"/>
    <s v="T012"/>
    <x v="0"/>
    <n v="984.27"/>
    <x v="1"/>
    <n v="984.27"/>
    <n v="1"/>
    <s v="Member"/>
    <n v="984.27"/>
    <s v="OK"/>
    <x v="4"/>
    <x v="0"/>
    <s v="0%"/>
    <x v="4"/>
    <x v="9"/>
  </r>
  <r>
    <x v="736"/>
    <d v="2025-01-26T00:00:00"/>
    <n v="17"/>
    <s v="T023"/>
    <x v="1"/>
    <n v="353.82"/>
    <x v="0"/>
    <n v="300.75"/>
    <n v="4"/>
    <s v="Member"/>
    <n v="300.75"/>
    <s v="OK"/>
    <x v="2"/>
    <x v="1"/>
    <s v="11–20%"/>
    <x v="3"/>
    <x v="11"/>
  </r>
  <r>
    <x v="737"/>
    <d v="2025-04-08T00:00:00"/>
    <n v="22"/>
    <s v="T019"/>
    <x v="2"/>
    <n v="741.44"/>
    <x v="3"/>
    <n v="667.3"/>
    <n v="2"/>
    <s v="Walk-in"/>
    <n v="667.3"/>
    <s v="OK"/>
    <x v="4"/>
    <x v="0"/>
    <s v="1–_x000a_10%"/>
    <x v="0"/>
    <x v="0"/>
  </r>
  <r>
    <x v="738"/>
    <d v="2025-01-25T00:00:00"/>
    <n v="22"/>
    <s v="T011"/>
    <x v="0"/>
    <n v="814.13"/>
    <x v="1"/>
    <n v="814.13"/>
    <n v="3"/>
    <s v="Walk-in"/>
    <n v="814.13"/>
    <s v="OK"/>
    <x v="2"/>
    <x v="1"/>
    <s v="0%"/>
    <x v="1"/>
    <x v="10"/>
  </r>
  <r>
    <x v="739"/>
    <d v="2025-01-18T00:00:00"/>
    <n v="15"/>
    <s v="T024"/>
    <x v="0"/>
    <n v="820.23"/>
    <x v="1"/>
    <n v="820.23"/>
    <n v="4"/>
    <s v="Walk-in"/>
    <n v="820.23"/>
    <s v="OK"/>
    <x v="2"/>
    <x v="1"/>
    <s v="0%"/>
    <x v="0"/>
    <x v="0"/>
  </r>
  <r>
    <x v="740"/>
    <d v="2025-03-28T00:00:00"/>
    <n v="13"/>
    <s v="T014"/>
    <x v="0"/>
    <n v="1136.1300000000001"/>
    <x v="0"/>
    <n v="965.71"/>
    <n v="1"/>
    <s v="Member"/>
    <n v="965.71"/>
    <s v="OK"/>
    <x v="5"/>
    <x v="0"/>
    <s v="11–20%"/>
    <x v="0"/>
    <x v="6"/>
  </r>
  <r>
    <x v="741"/>
    <d v="2025-06-09T00:00:00"/>
    <n v="17"/>
    <s v="T008"/>
    <x v="0"/>
    <n v="634.66999999999996"/>
    <x v="3"/>
    <n v="571.20000000000005"/>
    <n v="3"/>
    <s v="Walk-in"/>
    <n v="571.20000000000005"/>
    <s v="OK"/>
    <x v="3"/>
    <x v="0"/>
    <s v="1–_x000a_10%"/>
    <x v="3"/>
    <x v="5"/>
  </r>
  <r>
    <x v="742"/>
    <d v="2025-03-06T00:00:00"/>
    <n v="10"/>
    <s v="T015"/>
    <x v="2"/>
    <n v="1676.02"/>
    <x v="1"/>
    <n v="1676.02"/>
    <n v="2"/>
    <s v="Walk-in"/>
    <n v="1676.02"/>
    <s v="OK"/>
    <x v="5"/>
    <x v="0"/>
    <s v="0%"/>
    <x v="2"/>
    <x v="4"/>
  </r>
  <r>
    <x v="743"/>
    <d v="2025-03-04T00:00:00"/>
    <n v="16"/>
    <s v="T002"/>
    <x v="2"/>
    <n v="908.94"/>
    <x v="1"/>
    <n v="908.94"/>
    <n v="2"/>
    <s v="Walk-in"/>
    <n v="908.94"/>
    <s v="OK"/>
    <x v="5"/>
    <x v="0"/>
    <s v="0%"/>
    <x v="4"/>
    <x v="9"/>
  </r>
  <r>
    <x v="744"/>
    <d v="2025-02-20T00:00:00"/>
    <n v="13"/>
    <s v="T012"/>
    <x v="2"/>
    <n v="983.9"/>
    <x v="3"/>
    <n v="885.51"/>
    <n v="2"/>
    <s v="Walk-in"/>
    <n v="885.51"/>
    <s v="OK"/>
    <x v="0"/>
    <x v="0"/>
    <s v="1–_x000a_10%"/>
    <x v="4"/>
    <x v="9"/>
  </r>
  <r>
    <x v="745"/>
    <d v="2025-01-11T00:00:00"/>
    <n v="19"/>
    <s v="T020"/>
    <x v="0"/>
    <n v="1001.06"/>
    <x v="0"/>
    <n v="850.9"/>
    <n v="2"/>
    <s v="Walk-in"/>
    <n v="850.9"/>
    <s v="OK"/>
    <x v="2"/>
    <x v="1"/>
    <s v="11–20%"/>
    <x v="2"/>
    <x v="2"/>
  </r>
  <r>
    <x v="746"/>
    <d v="2025-04-30T00:00:00"/>
    <n v="16"/>
    <s v="T018"/>
    <x v="0"/>
    <n v="876.21"/>
    <x v="3"/>
    <n v="788.59"/>
    <n v="2"/>
    <s v="Member"/>
    <n v="788.59"/>
    <s v="OK"/>
    <x v="4"/>
    <x v="0"/>
    <s v="1–_x000a_10%"/>
    <x v="3"/>
    <x v="3"/>
  </r>
  <r>
    <x v="747"/>
    <d v="2025-05-20T00:00:00"/>
    <n v="15"/>
    <s v="T015"/>
    <x v="0"/>
    <n v="702.79"/>
    <x v="5"/>
    <n v="667.65"/>
    <n v="4"/>
    <s v="Walk-in"/>
    <n v="667.65"/>
    <s v="OK"/>
    <x v="1"/>
    <x v="0"/>
    <s v="1–_x000a_10%"/>
    <x v="2"/>
    <x v="4"/>
  </r>
  <r>
    <x v="748"/>
    <d v="2025-05-18T00:00:00"/>
    <n v="21"/>
    <s v="T016"/>
    <x v="0"/>
    <n v="1783.27"/>
    <x v="1"/>
    <n v="1783.27"/>
    <n v="1"/>
    <s v="Member"/>
    <n v="1783.27"/>
    <s v="OK"/>
    <x v="1"/>
    <x v="1"/>
    <s v="0%"/>
    <x v="1"/>
    <x v="1"/>
  </r>
  <r>
    <x v="749"/>
    <d v="2025-05-22T00:00:00"/>
    <n v="11"/>
    <s v="T004"/>
    <x v="2"/>
    <n v="956.01"/>
    <x v="1"/>
    <n v="956.01"/>
    <n v="1"/>
    <s v="Member"/>
    <n v="956.01"/>
    <s v="OK"/>
    <x v="1"/>
    <x v="0"/>
    <s v="0%"/>
    <x v="0"/>
    <x v="0"/>
  </r>
  <r>
    <x v="750"/>
    <d v="2025-01-05T00:00:00"/>
    <n v="14"/>
    <s v="T030"/>
    <x v="0"/>
    <n v="805.63"/>
    <x v="4"/>
    <n v="644.5"/>
    <n v="2"/>
    <s v="Walk-in"/>
    <n v="644.5"/>
    <s v="OK"/>
    <x v="2"/>
    <x v="1"/>
    <s v="11–20%"/>
    <x v="2"/>
    <x v="2"/>
  </r>
  <r>
    <x v="751"/>
    <d v="2025-03-30T00:00:00"/>
    <n v="10"/>
    <s v="T023"/>
    <x v="2"/>
    <n v="2200.77"/>
    <x v="3"/>
    <n v="1980.69"/>
    <n v="2"/>
    <s v="Walk-in"/>
    <n v="1980.69"/>
    <s v="OK"/>
    <x v="5"/>
    <x v="1"/>
    <s v="1–_x000a_10%"/>
    <x v="3"/>
    <x v="11"/>
  </r>
  <r>
    <x v="752"/>
    <d v="2025-01-22T00:00:00"/>
    <n v="21"/>
    <s v="T008"/>
    <x v="0"/>
    <n v="591.51"/>
    <x v="1"/>
    <n v="591.51"/>
    <n v="3"/>
    <s v="Walk-in"/>
    <n v="591.51"/>
    <s v="OK"/>
    <x v="2"/>
    <x v="0"/>
    <s v="0%"/>
    <x v="3"/>
    <x v="5"/>
  </r>
  <r>
    <x v="753"/>
    <d v="2025-01-30T00:00:00"/>
    <n v="21"/>
    <s v="T027"/>
    <x v="2"/>
    <n v="1318.97"/>
    <x v="2"/>
    <n v="923.28"/>
    <n v="2"/>
    <s v="Walk-in"/>
    <n v="923.28"/>
    <s v="OK"/>
    <x v="2"/>
    <x v="0"/>
    <s v="&gt;20%"/>
    <x v="4"/>
    <x v="9"/>
  </r>
  <r>
    <x v="754"/>
    <d v="2025-05-22T00:00:00"/>
    <n v="17"/>
    <s v="T003"/>
    <x v="3"/>
    <n v="4594.42"/>
    <x v="1"/>
    <n v="4594.42"/>
    <n v="6"/>
    <s v="Member"/>
    <n v="4594.42"/>
    <s v="OK"/>
    <x v="1"/>
    <x v="0"/>
    <s v="0%"/>
    <x v="3"/>
    <x v="3"/>
  </r>
  <r>
    <x v="755"/>
    <d v="2025-02-06T00:00:00"/>
    <n v="19"/>
    <s v="T018"/>
    <x v="0"/>
    <n v="728.27"/>
    <x v="1"/>
    <n v="728.27"/>
    <n v="1"/>
    <s v="Member"/>
    <n v="728.27"/>
    <s v="OK"/>
    <x v="0"/>
    <x v="0"/>
    <s v="0%"/>
    <x v="3"/>
    <x v="3"/>
  </r>
  <r>
    <x v="756"/>
    <d v="2025-04-18T00:00:00"/>
    <n v="20"/>
    <s v="T007"/>
    <x v="0"/>
    <n v="3082.24"/>
    <x v="1"/>
    <n v="3082.24"/>
    <n v="2"/>
    <s v="Walk-in"/>
    <n v="3082.24"/>
    <s v="OK"/>
    <x v="4"/>
    <x v="0"/>
    <s v="0%"/>
    <x v="4"/>
    <x v="8"/>
  </r>
  <r>
    <x v="757"/>
    <d v="2025-06-13T00:00:00"/>
    <n v="14"/>
    <s v="T010"/>
    <x v="2"/>
    <n v="782.06"/>
    <x v="1"/>
    <n v="782.06"/>
    <n v="2"/>
    <s v="Walk-in"/>
    <n v="782.06"/>
    <s v="OK"/>
    <x v="3"/>
    <x v="0"/>
    <s v="0%"/>
    <x v="2"/>
    <x v="4"/>
  </r>
  <r>
    <x v="758"/>
    <d v="2025-03-10T00:00:00"/>
    <n v="11"/>
    <s v="T018"/>
    <x v="2"/>
    <n v="398.9"/>
    <x v="1"/>
    <n v="398.9"/>
    <n v="1"/>
    <s v="Member"/>
    <n v="398.9"/>
    <s v="OK"/>
    <x v="5"/>
    <x v="0"/>
    <s v="0%"/>
    <x v="3"/>
    <x v="3"/>
  </r>
  <r>
    <x v="759"/>
    <d v="2025-02-10T00:00:00"/>
    <n v="18"/>
    <s v="T022"/>
    <x v="2"/>
    <n v="2502.1"/>
    <x v="1"/>
    <n v="2502.1"/>
    <n v="2"/>
    <s v="Walk-in"/>
    <n v="2502.1"/>
    <s v="OK"/>
    <x v="0"/>
    <x v="0"/>
    <s v="0%"/>
    <x v="4"/>
    <x v="8"/>
  </r>
  <r>
    <x v="760"/>
    <d v="2025-05-12T00:00:00"/>
    <n v="19"/>
    <s v="T029"/>
    <x v="2"/>
    <n v="448.05"/>
    <x v="1"/>
    <n v="448.05"/>
    <n v="3"/>
    <s v="Walk-in"/>
    <n v="448.05"/>
    <s v="OK"/>
    <x v="1"/>
    <x v="0"/>
    <s v="0%"/>
    <x v="0"/>
    <x v="6"/>
  </r>
  <r>
    <x v="761"/>
    <d v="2025-02-17T00:00:00"/>
    <n v="14"/>
    <s v="T015"/>
    <x v="0"/>
    <n v="645.25"/>
    <x v="1"/>
    <n v="645.25"/>
    <n v="1"/>
    <s v="Walk-in"/>
    <n v="645.25"/>
    <s v="OK"/>
    <x v="0"/>
    <x v="0"/>
    <s v="0%"/>
    <x v="2"/>
    <x v="4"/>
  </r>
  <r>
    <x v="762"/>
    <d v="2025-04-16T00:00:00"/>
    <n v="15"/>
    <s v="T001"/>
    <x v="2"/>
    <n v="3103.68"/>
    <x v="4"/>
    <n v="2482.94"/>
    <n v="3"/>
    <s v="Member"/>
    <n v="2482.94"/>
    <s v="OK"/>
    <x v="4"/>
    <x v="0"/>
    <s v="11–20%"/>
    <x v="1"/>
    <x v="7"/>
  </r>
  <r>
    <x v="763"/>
    <d v="2025-03-06T00:00:00"/>
    <n v="16"/>
    <s v="T003"/>
    <x v="1"/>
    <n v="1464.82"/>
    <x v="0"/>
    <n v="1245.0999999999999"/>
    <n v="6"/>
    <s v="Member"/>
    <n v="1245.0999999999999"/>
    <s v="OK"/>
    <x v="5"/>
    <x v="0"/>
    <s v="11–20%"/>
    <x v="3"/>
    <x v="3"/>
  </r>
  <r>
    <x v="764"/>
    <d v="2025-03-20T00:00:00"/>
    <n v="15"/>
    <s v="T023"/>
    <x v="2"/>
    <n v="2459.21"/>
    <x v="3"/>
    <n v="2213.29"/>
    <n v="4"/>
    <s v="Member"/>
    <n v="2213.29"/>
    <s v="OK"/>
    <x v="5"/>
    <x v="0"/>
    <s v="1–_x000a_10%"/>
    <x v="3"/>
    <x v="11"/>
  </r>
  <r>
    <x v="765"/>
    <d v="2025-05-14T00:00:00"/>
    <n v="18"/>
    <s v="T002"/>
    <x v="2"/>
    <n v="773.2"/>
    <x v="3"/>
    <n v="695.88"/>
    <n v="4"/>
    <s v="Walk-in"/>
    <n v="695.88"/>
    <s v="OK"/>
    <x v="1"/>
    <x v="0"/>
    <s v="1–_x000a_10%"/>
    <x v="4"/>
    <x v="9"/>
  </r>
  <r>
    <x v="766"/>
    <d v="2025-03-25T00:00:00"/>
    <n v="14"/>
    <s v="T016"/>
    <x v="1"/>
    <n v="561.76"/>
    <x v="1"/>
    <n v="561.76"/>
    <n v="1"/>
    <s v="Walk-in"/>
    <n v="561.76"/>
    <s v="OK"/>
    <x v="5"/>
    <x v="0"/>
    <s v="0%"/>
    <x v="1"/>
    <x v="1"/>
  </r>
  <r>
    <x v="767"/>
    <d v="2025-02-16T00:00:00"/>
    <n v="13"/>
    <s v="T022"/>
    <x v="2"/>
    <n v="2996.79"/>
    <x v="3"/>
    <n v="2697.11"/>
    <n v="3"/>
    <s v="Walk-in"/>
    <n v="2697.11"/>
    <s v="OK"/>
    <x v="0"/>
    <x v="1"/>
    <s v="1–_x000a_10%"/>
    <x v="4"/>
    <x v="8"/>
  </r>
  <r>
    <x v="768"/>
    <d v="2025-01-04T00:00:00"/>
    <n v="21"/>
    <s v="T028"/>
    <x v="2"/>
    <n v="726.94"/>
    <x v="1"/>
    <n v="726.94"/>
    <n v="2"/>
    <s v="Walk-in"/>
    <n v="726.94"/>
    <s v="OK"/>
    <x v="2"/>
    <x v="1"/>
    <s v="0%"/>
    <x v="3"/>
    <x v="5"/>
  </r>
  <r>
    <x v="769"/>
    <d v="2025-02-18T00:00:00"/>
    <n v="17"/>
    <s v="T009"/>
    <x v="2"/>
    <n v="962.31"/>
    <x v="0"/>
    <n v="817.96"/>
    <n v="3"/>
    <s v="Walk-in"/>
    <n v="817.96"/>
    <s v="OK"/>
    <x v="0"/>
    <x v="0"/>
    <s v="11–20%"/>
    <x v="0"/>
    <x v="6"/>
  </r>
  <r>
    <x v="770"/>
    <d v="2025-05-31T00:00:00"/>
    <n v="14"/>
    <s v="T027"/>
    <x v="2"/>
    <n v="491.55"/>
    <x v="2"/>
    <n v="344.08"/>
    <n v="3"/>
    <s v="Walk-in"/>
    <n v="344.09"/>
    <s v="OK"/>
    <x v="1"/>
    <x v="1"/>
    <s v="&gt;20%"/>
    <x v="4"/>
    <x v="9"/>
  </r>
  <r>
    <x v="771"/>
    <d v="2025-01-22T00:00:00"/>
    <n v="13"/>
    <s v="T008"/>
    <x v="1"/>
    <n v="460.18"/>
    <x v="1"/>
    <n v="460.18"/>
    <n v="2"/>
    <s v="Member"/>
    <n v="460.18"/>
    <s v="OK"/>
    <x v="2"/>
    <x v="0"/>
    <s v="0%"/>
    <x v="3"/>
    <x v="5"/>
  </r>
  <r>
    <x v="772"/>
    <d v="2025-05-21T00:00:00"/>
    <n v="22"/>
    <s v="T018"/>
    <x v="2"/>
    <n v="739.51"/>
    <x v="1"/>
    <n v="739.51"/>
    <n v="1"/>
    <s v="Walk-in"/>
    <n v="739.51"/>
    <s v="OK"/>
    <x v="1"/>
    <x v="0"/>
    <s v="0%"/>
    <x v="3"/>
    <x v="3"/>
  </r>
  <r>
    <x v="773"/>
    <d v="2025-04-12T00:00:00"/>
    <n v="17"/>
    <s v="T025"/>
    <x v="0"/>
    <n v="1407.93"/>
    <x v="1"/>
    <n v="1407.93"/>
    <n v="5"/>
    <s v="Walk-in"/>
    <n v="1407.93"/>
    <s v="OK"/>
    <x v="4"/>
    <x v="1"/>
    <s v="0%"/>
    <x v="2"/>
    <x v="2"/>
  </r>
  <r>
    <x v="774"/>
    <d v="2025-05-29T00:00:00"/>
    <n v="19"/>
    <s v="T001"/>
    <x v="2"/>
    <n v="1404.63"/>
    <x v="1"/>
    <n v="1404.63"/>
    <n v="6"/>
    <s v="Walk-in"/>
    <n v="1404.63"/>
    <s v="OK"/>
    <x v="1"/>
    <x v="0"/>
    <s v="0%"/>
    <x v="1"/>
    <x v="7"/>
  </r>
  <r>
    <x v="775"/>
    <d v="2025-05-22T00:00:00"/>
    <n v="13"/>
    <s v="T018"/>
    <x v="2"/>
    <n v="1184.6600000000001"/>
    <x v="1"/>
    <n v="1184.6600000000001"/>
    <n v="3"/>
    <s v="Member"/>
    <n v="1184.6600000000001"/>
    <s v="OK"/>
    <x v="1"/>
    <x v="0"/>
    <s v="0%"/>
    <x v="3"/>
    <x v="3"/>
  </r>
  <r>
    <x v="776"/>
    <d v="2025-01-15T00:00:00"/>
    <n v="10"/>
    <s v="T001"/>
    <x v="1"/>
    <n v="664.41"/>
    <x v="1"/>
    <n v="664.41"/>
    <n v="2"/>
    <s v="Walk-in"/>
    <n v="664.41"/>
    <s v="OK"/>
    <x v="2"/>
    <x v="0"/>
    <s v="0%"/>
    <x v="1"/>
    <x v="7"/>
  </r>
  <r>
    <x v="777"/>
    <d v="2025-02-16T00:00:00"/>
    <n v="20"/>
    <s v="T005"/>
    <x v="1"/>
    <n v="2182.94"/>
    <x v="1"/>
    <n v="2182.94"/>
    <n v="3"/>
    <s v="Walk-in"/>
    <n v="2182.94"/>
    <s v="OK"/>
    <x v="0"/>
    <x v="1"/>
    <s v="0%"/>
    <x v="2"/>
    <x v="4"/>
  </r>
  <r>
    <x v="778"/>
    <d v="2025-01-17T00:00:00"/>
    <n v="10"/>
    <s v="T028"/>
    <x v="0"/>
    <n v="385.27"/>
    <x v="5"/>
    <n v="366.01"/>
    <n v="4"/>
    <s v="Member"/>
    <n v="366.01"/>
    <s v="OK"/>
    <x v="2"/>
    <x v="0"/>
    <s v="1–_x000a_10%"/>
    <x v="3"/>
    <x v="5"/>
  </r>
  <r>
    <x v="779"/>
    <d v="2025-06-10T00:00:00"/>
    <n v="10"/>
    <s v="T008"/>
    <x v="3"/>
    <n v="1183.0899999999999"/>
    <x v="1"/>
    <n v="1183.0899999999999"/>
    <n v="1"/>
    <s v="Walk-in"/>
    <n v="1183.0899999999999"/>
    <s v="OK"/>
    <x v="3"/>
    <x v="0"/>
    <s v="0%"/>
    <x v="3"/>
    <x v="5"/>
  </r>
  <r>
    <x v="780"/>
    <d v="2025-05-15T00:00:00"/>
    <n v="16"/>
    <s v="T008"/>
    <x v="0"/>
    <n v="1529.72"/>
    <x v="1"/>
    <n v="1529.72"/>
    <n v="2"/>
    <s v="Walk-in"/>
    <n v="1529.72"/>
    <s v="OK"/>
    <x v="1"/>
    <x v="0"/>
    <s v="0%"/>
    <x v="3"/>
    <x v="5"/>
  </r>
  <r>
    <x v="781"/>
    <d v="2025-01-05T00:00:00"/>
    <n v="22"/>
    <s v="T016"/>
    <x v="0"/>
    <n v="2507.58"/>
    <x v="5"/>
    <n v="2382.1999999999998"/>
    <n v="2"/>
    <s v="Walk-in"/>
    <n v="2382.1999999999998"/>
    <s v="OK"/>
    <x v="2"/>
    <x v="1"/>
    <s v="1–_x000a_10%"/>
    <x v="1"/>
    <x v="1"/>
  </r>
  <r>
    <x v="782"/>
    <d v="2025-01-15T00:00:00"/>
    <n v="20"/>
    <s v="T008"/>
    <x v="0"/>
    <n v="407.4"/>
    <x v="4"/>
    <n v="325.92"/>
    <n v="1"/>
    <s v="Member"/>
    <n v="325.92"/>
    <s v="OK"/>
    <x v="2"/>
    <x v="0"/>
    <s v="11–20%"/>
    <x v="3"/>
    <x v="5"/>
  </r>
  <r>
    <x v="783"/>
    <d v="2025-01-01T00:00:00"/>
    <n v="12"/>
    <s v="T016"/>
    <x v="2"/>
    <n v="937.24"/>
    <x v="1"/>
    <n v="937.24"/>
    <n v="4"/>
    <s v="Walk-in"/>
    <n v="937.24"/>
    <s v="OK"/>
    <x v="2"/>
    <x v="0"/>
    <s v="0%"/>
    <x v="1"/>
    <x v="1"/>
  </r>
  <r>
    <x v="784"/>
    <d v="2025-01-21T00:00:00"/>
    <n v="15"/>
    <s v="T020"/>
    <x v="3"/>
    <n v="645.02"/>
    <x v="1"/>
    <n v="645.02"/>
    <n v="6"/>
    <s v="Walk-in"/>
    <n v="645.02"/>
    <s v="OK"/>
    <x v="2"/>
    <x v="0"/>
    <s v="0%"/>
    <x v="2"/>
    <x v="2"/>
  </r>
  <r>
    <x v="785"/>
    <d v="2025-02-11T00:00:00"/>
    <n v="14"/>
    <s v="T010"/>
    <x v="3"/>
    <n v="828.21"/>
    <x v="1"/>
    <n v="828.21"/>
    <n v="1"/>
    <s v="Member"/>
    <n v="828.21"/>
    <s v="OK"/>
    <x v="0"/>
    <x v="0"/>
    <s v="0%"/>
    <x v="2"/>
    <x v="4"/>
  </r>
  <r>
    <x v="786"/>
    <d v="2025-06-27T00:00:00"/>
    <n v="14"/>
    <s v="T013"/>
    <x v="0"/>
    <n v="944.52"/>
    <x v="1"/>
    <n v="944.52"/>
    <n v="2"/>
    <s v="Walk-in"/>
    <n v="944.52"/>
    <s v="OK"/>
    <x v="3"/>
    <x v="0"/>
    <s v="0%"/>
    <x v="3"/>
    <x v="11"/>
  </r>
  <r>
    <x v="787"/>
    <d v="2025-06-04T00:00:00"/>
    <n v="12"/>
    <s v="T014"/>
    <x v="0"/>
    <n v="1048.97"/>
    <x v="1"/>
    <n v="1048.97"/>
    <n v="2"/>
    <s v="Walk-in"/>
    <n v="1048.97"/>
    <s v="OK"/>
    <x v="3"/>
    <x v="0"/>
    <s v="0%"/>
    <x v="0"/>
    <x v="6"/>
  </r>
  <r>
    <x v="788"/>
    <d v="2025-06-08T00:00:00"/>
    <n v="10"/>
    <s v="T022"/>
    <x v="2"/>
    <n v="859.7"/>
    <x v="1"/>
    <n v="859.7"/>
    <n v="1"/>
    <s v="Member"/>
    <n v="859.7"/>
    <s v="OK"/>
    <x v="3"/>
    <x v="1"/>
    <s v="0%"/>
    <x v="4"/>
    <x v="8"/>
  </r>
  <r>
    <x v="789"/>
    <d v="2025-05-08T00:00:00"/>
    <n v="16"/>
    <s v="T012"/>
    <x v="0"/>
    <n v="431.67"/>
    <x v="5"/>
    <n v="410.09"/>
    <n v="6"/>
    <s v="Member"/>
    <n v="410.09"/>
    <s v="OK"/>
    <x v="1"/>
    <x v="0"/>
    <s v="1–_x000a_10%"/>
    <x v="4"/>
    <x v="9"/>
  </r>
  <r>
    <x v="790"/>
    <d v="2025-02-21T00:00:00"/>
    <n v="15"/>
    <s v="T029"/>
    <x v="0"/>
    <n v="1277.99"/>
    <x v="0"/>
    <n v="1086.29"/>
    <n v="3"/>
    <s v="Walk-in"/>
    <n v="1086.29"/>
    <s v="OK"/>
    <x v="0"/>
    <x v="0"/>
    <s v="11–20%"/>
    <x v="0"/>
    <x v="6"/>
  </r>
  <r>
    <x v="791"/>
    <d v="2025-05-24T00:00:00"/>
    <n v="19"/>
    <s v="T006"/>
    <x v="0"/>
    <n v="1652.06"/>
    <x v="1"/>
    <n v="1652.06"/>
    <n v="2"/>
    <s v="Walk-in"/>
    <n v="1652.06"/>
    <s v="OK"/>
    <x v="1"/>
    <x v="1"/>
    <s v="0%"/>
    <x v="1"/>
    <x v="1"/>
  </r>
  <r>
    <x v="792"/>
    <d v="2025-04-07T00:00:00"/>
    <n v="10"/>
    <s v="T026"/>
    <x v="0"/>
    <n v="809.18"/>
    <x v="3"/>
    <n v="728.26"/>
    <n v="2"/>
    <s v="Member"/>
    <n v="728.26"/>
    <s v="OK"/>
    <x v="4"/>
    <x v="0"/>
    <s v="1–_x000a_10%"/>
    <x v="1"/>
    <x v="10"/>
  </r>
  <r>
    <x v="793"/>
    <d v="2025-02-17T00:00:00"/>
    <n v="10"/>
    <s v="T024"/>
    <x v="2"/>
    <n v="1862.71"/>
    <x v="1"/>
    <n v="1862.71"/>
    <n v="1"/>
    <s v="Member"/>
    <n v="1862.71"/>
    <s v="OK"/>
    <x v="0"/>
    <x v="0"/>
    <s v="0%"/>
    <x v="0"/>
    <x v="0"/>
  </r>
  <r>
    <x v="794"/>
    <d v="2025-03-06T00:00:00"/>
    <n v="12"/>
    <s v="T002"/>
    <x v="0"/>
    <n v="1078.58"/>
    <x v="3"/>
    <n v="970.72"/>
    <n v="5"/>
    <s v="Walk-in"/>
    <n v="970.72"/>
    <s v="OK"/>
    <x v="5"/>
    <x v="0"/>
    <s v="1–_x000a_10%"/>
    <x v="4"/>
    <x v="9"/>
  </r>
  <r>
    <x v="795"/>
    <d v="2025-03-02T00:00:00"/>
    <n v="18"/>
    <s v="T022"/>
    <x v="1"/>
    <n v="684.18"/>
    <x v="0"/>
    <n v="581.54999999999995"/>
    <n v="2"/>
    <s v="Walk-in"/>
    <n v="581.54999999999995"/>
    <s v="OK"/>
    <x v="5"/>
    <x v="1"/>
    <s v="11–20%"/>
    <x v="4"/>
    <x v="8"/>
  </r>
  <r>
    <x v="796"/>
    <d v="2025-06-09T00:00:00"/>
    <n v="18"/>
    <s v="T007"/>
    <x v="3"/>
    <n v="655.5"/>
    <x v="1"/>
    <n v="655.5"/>
    <n v="4"/>
    <s v="Member"/>
    <n v="655.5"/>
    <s v="OK"/>
    <x v="3"/>
    <x v="0"/>
    <s v="0%"/>
    <x v="4"/>
    <x v="8"/>
  </r>
  <r>
    <x v="797"/>
    <d v="2025-01-02T00:00:00"/>
    <n v="22"/>
    <s v="T030"/>
    <x v="1"/>
    <n v="1553.71"/>
    <x v="5"/>
    <n v="1476.02"/>
    <n v="1"/>
    <s v="Walk-in"/>
    <n v="1476.02"/>
    <s v="OK"/>
    <x v="2"/>
    <x v="0"/>
    <s v="1–_x000a_10%"/>
    <x v="2"/>
    <x v="2"/>
  </r>
  <r>
    <x v="798"/>
    <d v="2025-03-19T00:00:00"/>
    <n v="10"/>
    <s v="T020"/>
    <x v="2"/>
    <n v="918.86"/>
    <x v="1"/>
    <n v="918.86"/>
    <n v="1"/>
    <s v="Member"/>
    <n v="918.86"/>
    <s v="OK"/>
    <x v="5"/>
    <x v="0"/>
    <s v="0%"/>
    <x v="2"/>
    <x v="2"/>
  </r>
  <r>
    <x v="799"/>
    <d v="2025-02-25T00:00:00"/>
    <n v="19"/>
    <s v="T009"/>
    <x v="2"/>
    <n v="817.86"/>
    <x v="1"/>
    <n v="817.86"/>
    <n v="3"/>
    <s v="Member"/>
    <n v="817.86"/>
    <s v="OK"/>
    <x v="0"/>
    <x v="0"/>
    <s v="0%"/>
    <x v="0"/>
    <x v="6"/>
  </r>
  <r>
    <x v="800"/>
    <d v="2025-05-23T00:00:00"/>
    <n v="14"/>
    <s v="T026"/>
    <x v="2"/>
    <n v="4484.1099999999997"/>
    <x v="1"/>
    <n v="4484.1099999999997"/>
    <n v="3"/>
    <s v="Walk-in"/>
    <n v="4484.1099999999997"/>
    <s v="OK"/>
    <x v="1"/>
    <x v="0"/>
    <s v="0%"/>
    <x v="1"/>
    <x v="10"/>
  </r>
  <r>
    <x v="801"/>
    <d v="2025-05-18T00:00:00"/>
    <n v="19"/>
    <s v="T003"/>
    <x v="1"/>
    <n v="325.83999999999997"/>
    <x v="3"/>
    <n v="293.26"/>
    <n v="3"/>
    <s v="Walk-in"/>
    <n v="293.26"/>
    <s v="OK"/>
    <x v="1"/>
    <x v="1"/>
    <s v="1–_x000a_10%"/>
    <x v="3"/>
    <x v="3"/>
  </r>
  <r>
    <x v="802"/>
    <d v="2025-06-05T00:00:00"/>
    <n v="22"/>
    <s v="T029"/>
    <x v="0"/>
    <n v="656.12"/>
    <x v="1"/>
    <n v="656.12"/>
    <n v="2"/>
    <s v="Walk-in"/>
    <n v="656.12"/>
    <s v="OK"/>
    <x v="3"/>
    <x v="0"/>
    <s v="0%"/>
    <x v="0"/>
    <x v="6"/>
  </r>
  <r>
    <x v="803"/>
    <d v="2025-04-16T00:00:00"/>
    <n v="22"/>
    <s v="T001"/>
    <x v="0"/>
    <n v="613.42999999999995"/>
    <x v="3"/>
    <n v="552.09"/>
    <n v="2"/>
    <s v="Member"/>
    <n v="552.09"/>
    <s v="OK"/>
    <x v="4"/>
    <x v="0"/>
    <s v="1–_x000a_10%"/>
    <x v="1"/>
    <x v="7"/>
  </r>
  <r>
    <x v="804"/>
    <d v="2025-02-02T00:00:00"/>
    <n v="12"/>
    <s v="T016"/>
    <x v="0"/>
    <n v="1724.23"/>
    <x v="0"/>
    <n v="1465.6"/>
    <n v="1"/>
    <s v="Member"/>
    <n v="1465.6"/>
    <s v="OK"/>
    <x v="0"/>
    <x v="1"/>
    <s v="11–20%"/>
    <x v="1"/>
    <x v="1"/>
  </r>
  <r>
    <x v="805"/>
    <d v="2025-04-27T00:00:00"/>
    <n v="22"/>
    <s v="T027"/>
    <x v="0"/>
    <n v="614.67999999999995"/>
    <x v="1"/>
    <n v="614.67999999999995"/>
    <n v="2"/>
    <s v="Walk-in"/>
    <n v="614.67999999999995"/>
    <s v="OK"/>
    <x v="4"/>
    <x v="1"/>
    <s v="0%"/>
    <x v="4"/>
    <x v="9"/>
  </r>
  <r>
    <x v="806"/>
    <d v="2025-03-09T00:00:00"/>
    <n v="22"/>
    <s v="T011"/>
    <x v="0"/>
    <n v="392.75"/>
    <x v="1"/>
    <n v="392.75"/>
    <n v="1"/>
    <s v="Walk-in"/>
    <n v="392.75"/>
    <s v="OK"/>
    <x v="5"/>
    <x v="1"/>
    <s v="0%"/>
    <x v="1"/>
    <x v="10"/>
  </r>
  <r>
    <x v="807"/>
    <d v="2025-02-16T00:00:00"/>
    <n v="16"/>
    <s v="T011"/>
    <x v="2"/>
    <n v="1210.42"/>
    <x v="3"/>
    <n v="1089.3800000000001"/>
    <n v="4"/>
    <s v="Walk-in"/>
    <n v="1089.3800000000001"/>
    <s v="OK"/>
    <x v="0"/>
    <x v="1"/>
    <s v="1–_x000a_10%"/>
    <x v="1"/>
    <x v="10"/>
  </r>
  <r>
    <x v="808"/>
    <d v="2025-04-21T00:00:00"/>
    <n v="20"/>
    <s v="T004"/>
    <x v="0"/>
    <n v="1023.12"/>
    <x v="3"/>
    <n v="920.81"/>
    <n v="2"/>
    <s v="Member"/>
    <n v="920.81"/>
    <s v="OK"/>
    <x v="4"/>
    <x v="0"/>
    <s v="1–_x000a_10%"/>
    <x v="0"/>
    <x v="0"/>
  </r>
  <r>
    <x v="809"/>
    <d v="2025-05-05T00:00:00"/>
    <n v="22"/>
    <s v="T017"/>
    <x v="2"/>
    <n v="2184.36"/>
    <x v="1"/>
    <n v="2184.36"/>
    <n v="1"/>
    <s v="Member"/>
    <n v="2184.36"/>
    <s v="OK"/>
    <x v="1"/>
    <x v="0"/>
    <s v="0%"/>
    <x v="4"/>
    <x v="8"/>
  </r>
  <r>
    <x v="810"/>
    <d v="2025-03-05T00:00:00"/>
    <n v="22"/>
    <s v="T019"/>
    <x v="2"/>
    <n v="993.27"/>
    <x v="0"/>
    <n v="844.28"/>
    <n v="4"/>
    <s v="Member"/>
    <n v="844.28"/>
    <s v="OK"/>
    <x v="5"/>
    <x v="0"/>
    <s v="11–20%"/>
    <x v="0"/>
    <x v="0"/>
  </r>
  <r>
    <x v="811"/>
    <d v="2025-04-29T00:00:00"/>
    <n v="18"/>
    <s v="T028"/>
    <x v="0"/>
    <n v="407.32"/>
    <x v="1"/>
    <n v="407.32"/>
    <n v="1"/>
    <s v="Member"/>
    <n v="407.32"/>
    <s v="OK"/>
    <x v="4"/>
    <x v="0"/>
    <s v="0%"/>
    <x v="3"/>
    <x v="5"/>
  </r>
  <r>
    <x v="812"/>
    <d v="2025-01-29T00:00:00"/>
    <n v="19"/>
    <s v="T016"/>
    <x v="0"/>
    <n v="1034.54"/>
    <x v="3"/>
    <n v="931.09"/>
    <n v="1"/>
    <s v="Member"/>
    <n v="931.09"/>
    <s v="OK"/>
    <x v="2"/>
    <x v="0"/>
    <s v="1–_x000a_10%"/>
    <x v="1"/>
    <x v="1"/>
  </r>
  <r>
    <x v="813"/>
    <d v="2025-01-19T00:00:00"/>
    <n v="22"/>
    <s v="T024"/>
    <x v="0"/>
    <n v="1539.96"/>
    <x v="1"/>
    <n v="1539.96"/>
    <n v="2"/>
    <s v="Walk-in"/>
    <n v="1539.96"/>
    <s v="OK"/>
    <x v="2"/>
    <x v="1"/>
    <s v="0%"/>
    <x v="0"/>
    <x v="0"/>
  </r>
  <r>
    <x v="814"/>
    <d v="2025-04-16T00:00:00"/>
    <n v="20"/>
    <s v="T024"/>
    <x v="1"/>
    <n v="2495.15"/>
    <x v="3"/>
    <n v="2245.64"/>
    <n v="2"/>
    <s v="Member"/>
    <n v="2245.64"/>
    <s v="OK"/>
    <x v="4"/>
    <x v="0"/>
    <s v="1–_x000a_10%"/>
    <x v="0"/>
    <x v="0"/>
  </r>
  <r>
    <x v="815"/>
    <d v="2025-03-28T00:00:00"/>
    <n v="19"/>
    <s v="T014"/>
    <x v="3"/>
    <n v="1255.31"/>
    <x v="5"/>
    <n v="1192.54"/>
    <n v="4"/>
    <s v="Member"/>
    <n v="1192.54"/>
    <s v="OK"/>
    <x v="5"/>
    <x v="0"/>
    <s v="1–_x000a_10%"/>
    <x v="0"/>
    <x v="6"/>
  </r>
  <r>
    <x v="816"/>
    <d v="2025-06-02T00:00:00"/>
    <n v="16"/>
    <s v="T024"/>
    <x v="1"/>
    <n v="1762.96"/>
    <x v="5"/>
    <n v="1674.81"/>
    <n v="3"/>
    <s v="Walk-in"/>
    <n v="1674.81"/>
    <s v="OK"/>
    <x v="3"/>
    <x v="0"/>
    <s v="1–_x000a_10%"/>
    <x v="0"/>
    <x v="0"/>
  </r>
  <r>
    <x v="817"/>
    <d v="2025-04-03T00:00:00"/>
    <n v="10"/>
    <s v="T019"/>
    <x v="2"/>
    <n v="521.65"/>
    <x v="4"/>
    <n v="417.32"/>
    <n v="1"/>
    <s v="Walk-in"/>
    <n v="417.32"/>
    <s v="OK"/>
    <x v="4"/>
    <x v="0"/>
    <s v="11–20%"/>
    <x v="0"/>
    <x v="0"/>
  </r>
  <r>
    <x v="818"/>
    <d v="2025-03-30T00:00:00"/>
    <n v="19"/>
    <s v="T025"/>
    <x v="0"/>
    <n v="1928.01"/>
    <x v="1"/>
    <n v="1928.01"/>
    <n v="2"/>
    <s v="Walk-in"/>
    <n v="1928.01"/>
    <s v="OK"/>
    <x v="5"/>
    <x v="1"/>
    <s v="0%"/>
    <x v="2"/>
    <x v="2"/>
  </r>
  <r>
    <x v="819"/>
    <d v="2025-04-12T00:00:00"/>
    <n v="21"/>
    <s v="T011"/>
    <x v="1"/>
    <n v="366.81"/>
    <x v="4"/>
    <n v="293.45"/>
    <n v="1"/>
    <s v="Member"/>
    <n v="293.45"/>
    <s v="OK"/>
    <x v="4"/>
    <x v="1"/>
    <s v="11–20%"/>
    <x v="1"/>
    <x v="10"/>
  </r>
  <r>
    <x v="820"/>
    <d v="2025-06-02T00:00:00"/>
    <n v="14"/>
    <s v="T022"/>
    <x v="2"/>
    <n v="916.59"/>
    <x v="1"/>
    <n v="916.59"/>
    <n v="3"/>
    <s v="Walk-in"/>
    <n v="916.59"/>
    <s v="OK"/>
    <x v="3"/>
    <x v="0"/>
    <s v="0%"/>
    <x v="4"/>
    <x v="8"/>
  </r>
  <r>
    <x v="821"/>
    <d v="2025-04-29T00:00:00"/>
    <n v="11"/>
    <s v="T002"/>
    <x v="3"/>
    <n v="836.19"/>
    <x v="1"/>
    <n v="836.19"/>
    <n v="5"/>
    <s v="Walk-in"/>
    <n v="836.19"/>
    <s v="OK"/>
    <x v="4"/>
    <x v="0"/>
    <s v="0%"/>
    <x v="4"/>
    <x v="9"/>
  </r>
  <r>
    <x v="822"/>
    <d v="2025-06-19T00:00:00"/>
    <n v="12"/>
    <s v="T004"/>
    <x v="0"/>
    <n v="498.56"/>
    <x v="1"/>
    <n v="498.56"/>
    <n v="4"/>
    <s v="Member"/>
    <n v="498.56"/>
    <s v="OK"/>
    <x v="3"/>
    <x v="0"/>
    <s v="0%"/>
    <x v="0"/>
    <x v="0"/>
  </r>
  <r>
    <x v="823"/>
    <d v="2025-03-08T00:00:00"/>
    <n v="18"/>
    <s v="T017"/>
    <x v="0"/>
    <n v="521.14"/>
    <x v="3"/>
    <n v="469.03"/>
    <n v="5"/>
    <s v="Walk-in"/>
    <n v="469.03"/>
    <s v="OK"/>
    <x v="5"/>
    <x v="1"/>
    <s v="1–_x000a_10%"/>
    <x v="4"/>
    <x v="8"/>
  </r>
  <r>
    <x v="824"/>
    <d v="2025-02-07T00:00:00"/>
    <n v="22"/>
    <s v="T014"/>
    <x v="2"/>
    <n v="1186.1300000000001"/>
    <x v="4"/>
    <n v="948.9"/>
    <n v="2"/>
    <s v="Member"/>
    <n v="948.9"/>
    <s v="OK"/>
    <x v="0"/>
    <x v="0"/>
    <s v="11–20%"/>
    <x v="0"/>
    <x v="6"/>
  </r>
  <r>
    <x v="825"/>
    <d v="2025-03-27T00:00:00"/>
    <n v="20"/>
    <s v="T025"/>
    <x v="0"/>
    <n v="955.5"/>
    <x v="1"/>
    <n v="955.5"/>
    <n v="1"/>
    <s v="Walk-in"/>
    <n v="955.5"/>
    <s v="OK"/>
    <x v="5"/>
    <x v="0"/>
    <s v="0%"/>
    <x v="2"/>
    <x v="2"/>
  </r>
  <r>
    <x v="826"/>
    <d v="2025-05-11T00:00:00"/>
    <n v="20"/>
    <s v="T019"/>
    <x v="3"/>
    <n v="664.5"/>
    <x v="1"/>
    <n v="664.5"/>
    <n v="2"/>
    <s v="Member"/>
    <n v="664.5"/>
    <s v="OK"/>
    <x v="1"/>
    <x v="1"/>
    <s v="0%"/>
    <x v="0"/>
    <x v="0"/>
  </r>
  <r>
    <x v="827"/>
    <d v="2025-06-06T00:00:00"/>
    <n v="10"/>
    <s v="T007"/>
    <x v="3"/>
    <n v="1704.27"/>
    <x v="1"/>
    <n v="1704.27"/>
    <n v="3"/>
    <s v="Member"/>
    <n v="1704.27"/>
    <s v="OK"/>
    <x v="3"/>
    <x v="0"/>
    <s v="0%"/>
    <x v="4"/>
    <x v="8"/>
  </r>
  <r>
    <x v="828"/>
    <d v="2025-01-30T00:00:00"/>
    <n v="18"/>
    <s v="T030"/>
    <x v="0"/>
    <n v="1252.25"/>
    <x v="1"/>
    <n v="1252.25"/>
    <n v="4"/>
    <s v="Member"/>
    <n v="1252.25"/>
    <s v="OK"/>
    <x v="2"/>
    <x v="0"/>
    <s v="0%"/>
    <x v="2"/>
    <x v="2"/>
  </r>
  <r>
    <x v="829"/>
    <d v="2025-03-18T00:00:00"/>
    <n v="18"/>
    <s v="T009"/>
    <x v="2"/>
    <n v="1083.32"/>
    <x v="4"/>
    <n v="866.66"/>
    <n v="2"/>
    <s v="Member"/>
    <n v="866.66"/>
    <s v="OK"/>
    <x v="5"/>
    <x v="0"/>
    <s v="11–20%"/>
    <x v="0"/>
    <x v="6"/>
  </r>
  <r>
    <x v="830"/>
    <d v="2025-05-01T00:00:00"/>
    <n v="18"/>
    <s v="T028"/>
    <x v="0"/>
    <n v="720.21"/>
    <x v="1"/>
    <n v="720.21"/>
    <n v="1"/>
    <s v="Walk-in"/>
    <n v="720.21"/>
    <s v="OK"/>
    <x v="1"/>
    <x v="0"/>
    <s v="0%"/>
    <x v="3"/>
    <x v="5"/>
  </r>
  <r>
    <x v="831"/>
    <d v="2025-06-08T00:00:00"/>
    <n v="14"/>
    <s v="T001"/>
    <x v="0"/>
    <n v="3512.1"/>
    <x v="1"/>
    <n v="3512.1"/>
    <n v="1"/>
    <s v="Member"/>
    <n v="3512.1"/>
    <s v="OK"/>
    <x v="3"/>
    <x v="1"/>
    <s v="0%"/>
    <x v="1"/>
    <x v="7"/>
  </r>
  <r>
    <x v="832"/>
    <d v="2025-04-14T00:00:00"/>
    <n v="21"/>
    <s v="T029"/>
    <x v="2"/>
    <n v="2323.73"/>
    <x v="5"/>
    <n v="2207.54"/>
    <n v="1"/>
    <s v="Member"/>
    <n v="2207.54"/>
    <s v="OK"/>
    <x v="4"/>
    <x v="0"/>
    <s v="1–_x000a_10%"/>
    <x v="0"/>
    <x v="6"/>
  </r>
  <r>
    <x v="833"/>
    <d v="2025-03-11T00:00:00"/>
    <n v="18"/>
    <s v="T010"/>
    <x v="1"/>
    <n v="708.57"/>
    <x v="0"/>
    <n v="602.28"/>
    <n v="4"/>
    <s v="Member"/>
    <n v="602.28"/>
    <s v="OK"/>
    <x v="5"/>
    <x v="0"/>
    <s v="11–20%"/>
    <x v="2"/>
    <x v="4"/>
  </r>
  <r>
    <x v="834"/>
    <d v="2025-01-27T00:00:00"/>
    <n v="15"/>
    <s v="T003"/>
    <x v="3"/>
    <n v="523.69000000000005"/>
    <x v="0"/>
    <n v="445.14"/>
    <n v="1"/>
    <s v="Walk-in"/>
    <n v="445.14"/>
    <s v="OK"/>
    <x v="2"/>
    <x v="0"/>
    <s v="11–20%"/>
    <x v="3"/>
    <x v="3"/>
  </r>
  <r>
    <x v="835"/>
    <d v="2025-06-14T00:00:00"/>
    <n v="16"/>
    <s v="T027"/>
    <x v="0"/>
    <n v="2480"/>
    <x v="5"/>
    <n v="2356"/>
    <n v="1"/>
    <s v="Walk-in"/>
    <n v="2356"/>
    <s v="OK"/>
    <x v="3"/>
    <x v="1"/>
    <s v="1–_x000a_10%"/>
    <x v="4"/>
    <x v="9"/>
  </r>
  <r>
    <x v="836"/>
    <d v="2025-03-18T00:00:00"/>
    <n v="18"/>
    <s v="T013"/>
    <x v="3"/>
    <n v="1525.86"/>
    <x v="1"/>
    <n v="1525.86"/>
    <n v="1"/>
    <s v="Member"/>
    <n v="1525.86"/>
    <s v="OK"/>
    <x v="5"/>
    <x v="0"/>
    <s v="0%"/>
    <x v="3"/>
    <x v="11"/>
  </r>
  <r>
    <x v="837"/>
    <d v="2025-03-10T00:00:00"/>
    <n v="20"/>
    <s v="T007"/>
    <x v="0"/>
    <n v="601.46"/>
    <x v="1"/>
    <n v="601.46"/>
    <n v="1"/>
    <s v="Member"/>
    <n v="601.46"/>
    <s v="OK"/>
    <x v="5"/>
    <x v="0"/>
    <s v="0%"/>
    <x v="4"/>
    <x v="8"/>
  </r>
  <r>
    <x v="838"/>
    <d v="2025-02-06T00:00:00"/>
    <n v="21"/>
    <s v="T001"/>
    <x v="1"/>
    <n v="508.19"/>
    <x v="0"/>
    <n v="431.96"/>
    <n v="2"/>
    <s v="Member"/>
    <n v="431.96"/>
    <s v="OK"/>
    <x v="0"/>
    <x v="0"/>
    <s v="11–20%"/>
    <x v="1"/>
    <x v="7"/>
  </r>
  <r>
    <x v="839"/>
    <d v="2025-06-03T00:00:00"/>
    <n v="22"/>
    <s v="T019"/>
    <x v="0"/>
    <n v="1023.36"/>
    <x v="5"/>
    <n v="972.19"/>
    <n v="2"/>
    <s v="Walk-in"/>
    <n v="972.19"/>
    <s v="OK"/>
    <x v="3"/>
    <x v="0"/>
    <s v="1–_x000a_10%"/>
    <x v="0"/>
    <x v="0"/>
  </r>
  <r>
    <x v="840"/>
    <d v="2025-02-09T00:00:00"/>
    <n v="19"/>
    <s v="T017"/>
    <x v="2"/>
    <n v="1181.07"/>
    <x v="2"/>
    <n v="826.75"/>
    <n v="1"/>
    <s v="Walk-in"/>
    <n v="826.75"/>
    <s v="OK"/>
    <x v="0"/>
    <x v="1"/>
    <s v="&gt;20%"/>
    <x v="4"/>
    <x v="8"/>
  </r>
  <r>
    <x v="841"/>
    <d v="2025-04-14T00:00:00"/>
    <n v="19"/>
    <s v="T009"/>
    <x v="2"/>
    <n v="455"/>
    <x v="3"/>
    <n v="409.5"/>
    <n v="4"/>
    <s v="Member"/>
    <n v="409.5"/>
    <s v="OK"/>
    <x v="4"/>
    <x v="0"/>
    <s v="1–_x000a_10%"/>
    <x v="0"/>
    <x v="6"/>
  </r>
  <r>
    <x v="842"/>
    <d v="2025-01-21T00:00:00"/>
    <n v="11"/>
    <s v="T027"/>
    <x v="0"/>
    <n v="3116.71"/>
    <x v="1"/>
    <n v="3116.71"/>
    <n v="1"/>
    <s v="Walk-in"/>
    <n v="3116.71"/>
    <s v="OK"/>
    <x v="2"/>
    <x v="0"/>
    <s v="0%"/>
    <x v="4"/>
    <x v="9"/>
  </r>
  <r>
    <x v="843"/>
    <d v="2025-01-20T00:00:00"/>
    <n v="19"/>
    <s v="T005"/>
    <x v="0"/>
    <n v="1278.3699999999999"/>
    <x v="2"/>
    <n v="894.86"/>
    <n v="3"/>
    <s v="Walk-in"/>
    <n v="894.86"/>
    <s v="OK"/>
    <x v="2"/>
    <x v="0"/>
    <s v="&gt;20%"/>
    <x v="2"/>
    <x v="4"/>
  </r>
  <r>
    <x v="844"/>
    <d v="2025-06-17T00:00:00"/>
    <n v="18"/>
    <s v="T025"/>
    <x v="0"/>
    <n v="693.52"/>
    <x v="3"/>
    <n v="624.16999999999996"/>
    <n v="2"/>
    <s v="Member"/>
    <n v="624.16999999999996"/>
    <s v="OK"/>
    <x v="3"/>
    <x v="0"/>
    <s v="1–_x000a_10%"/>
    <x v="2"/>
    <x v="2"/>
  </r>
  <r>
    <x v="845"/>
    <d v="2025-01-25T00:00:00"/>
    <n v="14"/>
    <s v="T015"/>
    <x v="1"/>
    <n v="2709.26"/>
    <x v="4"/>
    <n v="2167.41"/>
    <n v="4"/>
    <s v="Walk-in"/>
    <n v="2167.41"/>
    <s v="OK"/>
    <x v="2"/>
    <x v="1"/>
    <s v="11–20%"/>
    <x v="2"/>
    <x v="4"/>
  </r>
  <r>
    <x v="846"/>
    <d v="2025-05-13T00:00:00"/>
    <n v="19"/>
    <s v="T005"/>
    <x v="0"/>
    <n v="1353.97"/>
    <x v="3"/>
    <n v="1218.57"/>
    <n v="2"/>
    <s v="Walk-in"/>
    <n v="1218.57"/>
    <s v="OK"/>
    <x v="1"/>
    <x v="0"/>
    <s v="1–_x000a_10%"/>
    <x v="2"/>
    <x v="4"/>
  </r>
  <r>
    <x v="847"/>
    <d v="2025-04-26T00:00:00"/>
    <n v="13"/>
    <s v="T017"/>
    <x v="2"/>
    <n v="1490.11"/>
    <x v="1"/>
    <n v="1490.11"/>
    <n v="5"/>
    <s v="Walk-in"/>
    <n v="1490.11"/>
    <s v="OK"/>
    <x v="4"/>
    <x v="1"/>
    <s v="0%"/>
    <x v="4"/>
    <x v="8"/>
  </r>
  <r>
    <x v="848"/>
    <d v="2025-04-01T00:00:00"/>
    <n v="14"/>
    <s v="T022"/>
    <x v="2"/>
    <n v="643.28"/>
    <x v="1"/>
    <n v="643.28"/>
    <n v="2"/>
    <s v="Member"/>
    <n v="643.28"/>
    <s v="OK"/>
    <x v="4"/>
    <x v="0"/>
    <s v="0%"/>
    <x v="4"/>
    <x v="8"/>
  </r>
  <r>
    <x v="849"/>
    <d v="2025-04-28T00:00:00"/>
    <n v="21"/>
    <s v="T018"/>
    <x v="0"/>
    <n v="2125.7600000000002"/>
    <x v="1"/>
    <n v="2125.7600000000002"/>
    <n v="1"/>
    <s v="Walk-in"/>
    <n v="2125.7600000000002"/>
    <s v="OK"/>
    <x v="4"/>
    <x v="0"/>
    <s v="0%"/>
    <x v="3"/>
    <x v="3"/>
  </r>
  <r>
    <x v="850"/>
    <d v="2025-02-19T00:00:00"/>
    <n v="14"/>
    <s v="T018"/>
    <x v="0"/>
    <n v="636.5"/>
    <x v="0"/>
    <n v="541.02"/>
    <n v="2"/>
    <s v="Walk-in"/>
    <n v="541.03"/>
    <s v="OK"/>
    <x v="0"/>
    <x v="0"/>
    <s v="11–20%"/>
    <x v="3"/>
    <x v="3"/>
  </r>
  <r>
    <x v="851"/>
    <d v="2025-03-05T00:00:00"/>
    <n v="16"/>
    <s v="T002"/>
    <x v="1"/>
    <n v="1125.17"/>
    <x v="1"/>
    <n v="1125.17"/>
    <n v="2"/>
    <s v="Walk-in"/>
    <n v="1125.17"/>
    <s v="OK"/>
    <x v="5"/>
    <x v="0"/>
    <s v="0%"/>
    <x v="4"/>
    <x v="9"/>
  </r>
  <r>
    <x v="852"/>
    <d v="2025-01-05T00:00:00"/>
    <n v="10"/>
    <s v="T017"/>
    <x v="0"/>
    <n v="1219.9000000000001"/>
    <x v="1"/>
    <n v="1219.9000000000001"/>
    <n v="1"/>
    <s v="Member"/>
    <n v="1219.9000000000001"/>
    <s v="OK"/>
    <x v="2"/>
    <x v="1"/>
    <s v="0%"/>
    <x v="4"/>
    <x v="8"/>
  </r>
  <r>
    <x v="853"/>
    <d v="2025-05-23T00:00:00"/>
    <n v="10"/>
    <s v="T004"/>
    <x v="2"/>
    <n v="290.14999999999998"/>
    <x v="2"/>
    <n v="203.1"/>
    <n v="1"/>
    <s v="Walk-in"/>
    <n v="203.11"/>
    <s v="OK"/>
    <x v="1"/>
    <x v="0"/>
    <s v="&gt;20%"/>
    <x v="0"/>
    <x v="0"/>
  </r>
  <r>
    <x v="854"/>
    <d v="2025-05-01T00:00:00"/>
    <n v="17"/>
    <s v="T023"/>
    <x v="0"/>
    <n v="2721.61"/>
    <x v="5"/>
    <n v="2585.5300000000002"/>
    <n v="2"/>
    <s v="Walk-in"/>
    <n v="2585.5300000000002"/>
    <s v="OK"/>
    <x v="1"/>
    <x v="0"/>
    <s v="1–_x000a_10%"/>
    <x v="3"/>
    <x v="11"/>
  </r>
  <r>
    <x v="855"/>
    <d v="2025-04-30T00:00:00"/>
    <n v="12"/>
    <s v="T018"/>
    <x v="2"/>
    <n v="513.34"/>
    <x v="5"/>
    <n v="487.67"/>
    <n v="6"/>
    <s v="Walk-in"/>
    <n v="487.67"/>
    <s v="OK"/>
    <x v="4"/>
    <x v="0"/>
    <s v="1–_x000a_10%"/>
    <x v="3"/>
    <x v="3"/>
  </r>
  <r>
    <x v="856"/>
    <d v="2025-05-15T00:00:00"/>
    <n v="19"/>
    <s v="T019"/>
    <x v="0"/>
    <n v="2224.6999999999998"/>
    <x v="3"/>
    <n v="2002.23"/>
    <n v="3"/>
    <s v="Walk-in"/>
    <n v="2002.23"/>
    <s v="OK"/>
    <x v="1"/>
    <x v="0"/>
    <s v="1–_x000a_10%"/>
    <x v="0"/>
    <x v="0"/>
  </r>
  <r>
    <x v="857"/>
    <d v="2025-04-09T00:00:00"/>
    <n v="16"/>
    <s v="T024"/>
    <x v="0"/>
    <n v="4774.84"/>
    <x v="3"/>
    <n v="4297.3599999999997"/>
    <n v="1"/>
    <s v="Member"/>
    <n v="4297.3599999999997"/>
    <s v="OK"/>
    <x v="4"/>
    <x v="0"/>
    <s v="1–_x000a_10%"/>
    <x v="0"/>
    <x v="0"/>
  </r>
  <r>
    <x v="858"/>
    <d v="2025-04-08T00:00:00"/>
    <n v="13"/>
    <s v="T011"/>
    <x v="0"/>
    <n v="485.45"/>
    <x v="1"/>
    <n v="485.45"/>
    <n v="4"/>
    <s v="Walk-in"/>
    <n v="485.45"/>
    <s v="OK"/>
    <x v="4"/>
    <x v="0"/>
    <s v="0%"/>
    <x v="1"/>
    <x v="10"/>
  </r>
  <r>
    <x v="859"/>
    <d v="2025-02-04T00:00:00"/>
    <n v="14"/>
    <s v="T022"/>
    <x v="0"/>
    <n v="1355"/>
    <x v="1"/>
    <n v="1355"/>
    <n v="2"/>
    <s v="Member"/>
    <n v="1355"/>
    <s v="OK"/>
    <x v="0"/>
    <x v="0"/>
    <s v="0%"/>
    <x v="4"/>
    <x v="8"/>
  </r>
  <r>
    <x v="860"/>
    <d v="2025-02-16T00:00:00"/>
    <n v="14"/>
    <s v="T011"/>
    <x v="0"/>
    <n v="2673.16"/>
    <x v="5"/>
    <n v="2539.5"/>
    <n v="1"/>
    <s v="Walk-in"/>
    <n v="2539.5"/>
    <s v="OK"/>
    <x v="0"/>
    <x v="1"/>
    <s v="1–_x000a_10%"/>
    <x v="1"/>
    <x v="10"/>
  </r>
  <r>
    <x v="861"/>
    <d v="2025-05-29T00:00:00"/>
    <n v="14"/>
    <s v="T020"/>
    <x v="2"/>
    <n v="746.46"/>
    <x v="2"/>
    <n v="522.52"/>
    <n v="1"/>
    <s v="Walk-in"/>
    <n v="522.52"/>
    <s v="OK"/>
    <x v="1"/>
    <x v="0"/>
    <s v="&gt;20%"/>
    <x v="2"/>
    <x v="2"/>
  </r>
  <r>
    <x v="862"/>
    <d v="2025-02-18T00:00:00"/>
    <n v="14"/>
    <s v="T002"/>
    <x v="2"/>
    <n v="2107.09"/>
    <x v="1"/>
    <n v="2107.09"/>
    <n v="1"/>
    <s v="Member"/>
    <n v="2107.09"/>
    <s v="OK"/>
    <x v="0"/>
    <x v="0"/>
    <s v="0%"/>
    <x v="4"/>
    <x v="9"/>
  </r>
  <r>
    <x v="863"/>
    <d v="2025-06-09T00:00:00"/>
    <n v="18"/>
    <s v="T020"/>
    <x v="0"/>
    <n v="1475.07"/>
    <x v="1"/>
    <n v="1475.07"/>
    <n v="4"/>
    <s v="Walk-in"/>
    <n v="1475.07"/>
    <s v="OK"/>
    <x v="3"/>
    <x v="0"/>
    <s v="0%"/>
    <x v="2"/>
    <x v="2"/>
  </r>
  <r>
    <x v="864"/>
    <d v="2025-06-08T00:00:00"/>
    <n v="10"/>
    <s v="T028"/>
    <x v="0"/>
    <n v="548.97"/>
    <x v="1"/>
    <n v="548.97"/>
    <n v="4"/>
    <s v="Member"/>
    <n v="548.97"/>
    <s v="OK"/>
    <x v="3"/>
    <x v="1"/>
    <s v="0%"/>
    <x v="3"/>
    <x v="5"/>
  </r>
  <r>
    <x v="865"/>
    <d v="2025-03-21T00:00:00"/>
    <n v="18"/>
    <s v="T020"/>
    <x v="2"/>
    <n v="711.95"/>
    <x v="2"/>
    <n v="498.37"/>
    <n v="5"/>
    <s v="Member"/>
    <n v="498.37"/>
    <s v="OK"/>
    <x v="5"/>
    <x v="0"/>
    <s v="&gt;20%"/>
    <x v="2"/>
    <x v="2"/>
  </r>
  <r>
    <x v="866"/>
    <d v="2025-02-08T00:00:00"/>
    <n v="16"/>
    <s v="T011"/>
    <x v="0"/>
    <n v="1033.8800000000001"/>
    <x v="2"/>
    <n v="723.72"/>
    <n v="1"/>
    <s v="Member"/>
    <n v="723.72"/>
    <s v="OK"/>
    <x v="0"/>
    <x v="1"/>
    <s v="&gt;20%"/>
    <x v="1"/>
    <x v="10"/>
  </r>
  <r>
    <x v="867"/>
    <d v="2025-06-12T00:00:00"/>
    <n v="13"/>
    <s v="T005"/>
    <x v="2"/>
    <n v="193.12"/>
    <x v="1"/>
    <n v="193.12"/>
    <n v="2"/>
    <s v="Member"/>
    <n v="193.12"/>
    <s v="OK"/>
    <x v="3"/>
    <x v="0"/>
    <s v="0%"/>
    <x v="2"/>
    <x v="4"/>
  </r>
  <r>
    <x v="868"/>
    <d v="2025-01-05T00:00:00"/>
    <n v="14"/>
    <s v="T005"/>
    <x v="0"/>
    <n v="2997.79"/>
    <x v="3"/>
    <n v="2698.01"/>
    <n v="5"/>
    <s v="Walk-in"/>
    <n v="2698.01"/>
    <s v="OK"/>
    <x v="2"/>
    <x v="1"/>
    <s v="1–_x000a_10%"/>
    <x v="2"/>
    <x v="4"/>
  </r>
  <r>
    <x v="869"/>
    <d v="2025-03-21T00:00:00"/>
    <n v="20"/>
    <s v="T001"/>
    <x v="0"/>
    <n v="156.06"/>
    <x v="4"/>
    <n v="124.85"/>
    <n v="3"/>
    <s v="Walk-in"/>
    <n v="124.85"/>
    <s v="OK"/>
    <x v="5"/>
    <x v="0"/>
    <s v="11–20%"/>
    <x v="1"/>
    <x v="7"/>
  </r>
  <r>
    <x v="870"/>
    <d v="2025-03-14T00:00:00"/>
    <n v="10"/>
    <s v="T018"/>
    <x v="2"/>
    <n v="302.58"/>
    <x v="2"/>
    <n v="211.81"/>
    <n v="5"/>
    <s v="Walk-in"/>
    <n v="211.81"/>
    <s v="OK"/>
    <x v="5"/>
    <x v="0"/>
    <s v="&gt;20%"/>
    <x v="3"/>
    <x v="3"/>
  </r>
  <r>
    <x v="871"/>
    <d v="2025-04-03T00:00:00"/>
    <n v="20"/>
    <s v="T021"/>
    <x v="1"/>
    <n v="856.62"/>
    <x v="1"/>
    <n v="856.62"/>
    <n v="3"/>
    <s v="Walk-in"/>
    <n v="856.62"/>
    <s v="OK"/>
    <x v="4"/>
    <x v="0"/>
    <s v="0%"/>
    <x v="1"/>
    <x v="1"/>
  </r>
  <r>
    <x v="872"/>
    <d v="2025-01-18T00:00:00"/>
    <n v="21"/>
    <s v="T021"/>
    <x v="0"/>
    <n v="884.42"/>
    <x v="1"/>
    <n v="884.42"/>
    <n v="3"/>
    <s v="Walk-in"/>
    <n v="884.42"/>
    <s v="OK"/>
    <x v="2"/>
    <x v="1"/>
    <s v="0%"/>
    <x v="1"/>
    <x v="1"/>
  </r>
  <r>
    <x v="873"/>
    <d v="2025-05-26T00:00:00"/>
    <n v="20"/>
    <s v="T029"/>
    <x v="0"/>
    <n v="499"/>
    <x v="0"/>
    <n v="424.15"/>
    <n v="1"/>
    <s v="Walk-in"/>
    <n v="424.15"/>
    <s v="OK"/>
    <x v="1"/>
    <x v="0"/>
    <s v="11–20%"/>
    <x v="0"/>
    <x v="6"/>
  </r>
  <r>
    <x v="874"/>
    <d v="2025-03-03T00:00:00"/>
    <n v="22"/>
    <s v="T002"/>
    <x v="1"/>
    <n v="539.15"/>
    <x v="4"/>
    <n v="431.32"/>
    <n v="2"/>
    <s v="Walk-in"/>
    <n v="431.32"/>
    <s v="OK"/>
    <x v="5"/>
    <x v="0"/>
    <s v="11–20%"/>
    <x v="4"/>
    <x v="9"/>
  </r>
  <r>
    <x v="875"/>
    <d v="2025-01-09T00:00:00"/>
    <n v="21"/>
    <s v="T029"/>
    <x v="0"/>
    <n v="2123.5100000000002"/>
    <x v="1"/>
    <n v="2123.5100000000002"/>
    <n v="2"/>
    <s v="Walk-in"/>
    <n v="2123.5100000000002"/>
    <s v="OK"/>
    <x v="2"/>
    <x v="0"/>
    <s v="0%"/>
    <x v="0"/>
    <x v="6"/>
  </r>
  <r>
    <x v="876"/>
    <d v="2025-04-10T00:00:00"/>
    <n v="19"/>
    <s v="T018"/>
    <x v="0"/>
    <n v="344.58"/>
    <x v="1"/>
    <n v="344.58"/>
    <n v="3"/>
    <s v="Walk-in"/>
    <n v="344.58"/>
    <s v="OK"/>
    <x v="4"/>
    <x v="0"/>
    <s v="0%"/>
    <x v="3"/>
    <x v="3"/>
  </r>
  <r>
    <x v="877"/>
    <d v="2025-06-14T00:00:00"/>
    <n v="13"/>
    <s v="T003"/>
    <x v="0"/>
    <n v="1377.59"/>
    <x v="1"/>
    <n v="1377.59"/>
    <n v="3"/>
    <s v="Walk-in"/>
    <n v="1377.59"/>
    <s v="OK"/>
    <x v="3"/>
    <x v="1"/>
    <s v="0%"/>
    <x v="3"/>
    <x v="3"/>
  </r>
  <r>
    <x v="878"/>
    <d v="2025-06-01T00:00:00"/>
    <n v="16"/>
    <s v="T007"/>
    <x v="2"/>
    <n v="1464.67"/>
    <x v="1"/>
    <n v="1464.67"/>
    <n v="4"/>
    <s v="Walk-in"/>
    <n v="1464.67"/>
    <s v="OK"/>
    <x v="3"/>
    <x v="1"/>
    <s v="0%"/>
    <x v="4"/>
    <x v="8"/>
  </r>
  <r>
    <x v="879"/>
    <d v="2025-02-08T00:00:00"/>
    <n v="11"/>
    <s v="T006"/>
    <x v="3"/>
    <n v="727.01"/>
    <x v="1"/>
    <n v="727.01"/>
    <n v="3"/>
    <s v="Walk-in"/>
    <n v="727.01"/>
    <s v="OK"/>
    <x v="0"/>
    <x v="1"/>
    <s v="0%"/>
    <x v="1"/>
    <x v="1"/>
  </r>
  <r>
    <x v="880"/>
    <d v="2025-03-27T00:00:00"/>
    <n v="16"/>
    <s v="T005"/>
    <x v="2"/>
    <n v="201.75"/>
    <x v="0"/>
    <n v="171.49"/>
    <n v="2"/>
    <s v="Walk-in"/>
    <n v="171.49"/>
    <s v="OK"/>
    <x v="5"/>
    <x v="0"/>
    <s v="11–20%"/>
    <x v="2"/>
    <x v="4"/>
  </r>
  <r>
    <x v="881"/>
    <d v="2025-03-08T00:00:00"/>
    <n v="12"/>
    <s v="T008"/>
    <x v="0"/>
    <n v="1366.32"/>
    <x v="1"/>
    <n v="1366.32"/>
    <n v="2"/>
    <s v="Member"/>
    <n v="1366.32"/>
    <s v="OK"/>
    <x v="5"/>
    <x v="1"/>
    <s v="0%"/>
    <x v="3"/>
    <x v="5"/>
  </r>
  <r>
    <x v="882"/>
    <d v="2025-04-11T00:00:00"/>
    <n v="14"/>
    <s v="T029"/>
    <x v="2"/>
    <n v="826.39"/>
    <x v="2"/>
    <n v="578.47"/>
    <n v="2"/>
    <s v="Walk-in"/>
    <n v="578.47"/>
    <s v="OK"/>
    <x v="4"/>
    <x v="0"/>
    <s v="&gt;20%"/>
    <x v="0"/>
    <x v="6"/>
  </r>
  <r>
    <x v="883"/>
    <d v="2025-06-29T00:00:00"/>
    <n v="10"/>
    <s v="T024"/>
    <x v="2"/>
    <n v="785.43"/>
    <x v="5"/>
    <n v="746.16"/>
    <n v="2"/>
    <s v="Member"/>
    <n v="746.16"/>
    <s v="OK"/>
    <x v="3"/>
    <x v="1"/>
    <s v="1–_x000a_10%"/>
    <x v="0"/>
    <x v="0"/>
  </r>
  <r>
    <x v="884"/>
    <d v="2025-01-09T00:00:00"/>
    <n v="22"/>
    <s v="T001"/>
    <x v="0"/>
    <n v="634.97"/>
    <x v="1"/>
    <n v="634.97"/>
    <n v="2"/>
    <s v="Member"/>
    <n v="634.97"/>
    <s v="OK"/>
    <x v="2"/>
    <x v="0"/>
    <s v="0%"/>
    <x v="1"/>
    <x v="7"/>
  </r>
  <r>
    <x v="885"/>
    <d v="2025-02-10T00:00:00"/>
    <n v="20"/>
    <s v="T021"/>
    <x v="0"/>
    <n v="1773.19"/>
    <x v="3"/>
    <n v="1595.87"/>
    <n v="2"/>
    <s v="Walk-in"/>
    <n v="1595.87"/>
    <s v="OK"/>
    <x v="0"/>
    <x v="0"/>
    <s v="1–_x000a_10%"/>
    <x v="1"/>
    <x v="1"/>
  </r>
  <r>
    <x v="886"/>
    <d v="2025-06-16T00:00:00"/>
    <n v="12"/>
    <s v="T020"/>
    <x v="0"/>
    <n v="1578.51"/>
    <x v="5"/>
    <n v="1499.58"/>
    <n v="2"/>
    <s v="Walk-in"/>
    <n v="1499.58"/>
    <s v="OK"/>
    <x v="3"/>
    <x v="0"/>
    <s v="1–_x000a_10%"/>
    <x v="2"/>
    <x v="2"/>
  </r>
  <r>
    <x v="887"/>
    <d v="2025-02-02T00:00:00"/>
    <n v="15"/>
    <s v="T001"/>
    <x v="0"/>
    <n v="1493.8"/>
    <x v="1"/>
    <n v="1493.8"/>
    <n v="1"/>
    <s v="Member"/>
    <n v="1493.8"/>
    <s v="OK"/>
    <x v="0"/>
    <x v="1"/>
    <s v="0%"/>
    <x v="1"/>
    <x v="7"/>
  </r>
  <r>
    <x v="888"/>
    <d v="2025-01-05T00:00:00"/>
    <n v="15"/>
    <s v="T017"/>
    <x v="0"/>
    <n v="3351.56"/>
    <x v="0"/>
    <n v="2848.83"/>
    <n v="4"/>
    <s v="Member"/>
    <n v="2848.83"/>
    <s v="OK"/>
    <x v="2"/>
    <x v="1"/>
    <s v="11–20%"/>
    <x v="4"/>
    <x v="8"/>
  </r>
  <r>
    <x v="889"/>
    <d v="2025-03-20T00:00:00"/>
    <n v="15"/>
    <s v="T017"/>
    <x v="0"/>
    <n v="7157.08"/>
    <x v="1"/>
    <n v="7157.08"/>
    <n v="1"/>
    <s v="Walk-in"/>
    <n v="7157.08"/>
    <s v="OK"/>
    <x v="5"/>
    <x v="0"/>
    <s v="0%"/>
    <x v="4"/>
    <x v="8"/>
  </r>
  <r>
    <x v="890"/>
    <d v="2025-03-07T00:00:00"/>
    <n v="11"/>
    <s v="T005"/>
    <x v="0"/>
    <n v="726.56"/>
    <x v="1"/>
    <n v="726.56"/>
    <n v="4"/>
    <s v="Walk-in"/>
    <n v="726.56"/>
    <s v="OK"/>
    <x v="5"/>
    <x v="0"/>
    <s v="0%"/>
    <x v="2"/>
    <x v="4"/>
  </r>
  <r>
    <x v="891"/>
    <d v="2025-03-02T00:00:00"/>
    <n v="19"/>
    <s v="T017"/>
    <x v="0"/>
    <n v="1489.5"/>
    <x v="1"/>
    <n v="1489.5"/>
    <n v="2"/>
    <s v="Walk-in"/>
    <n v="1489.5"/>
    <s v="OK"/>
    <x v="5"/>
    <x v="1"/>
    <s v="0%"/>
    <x v="4"/>
    <x v="8"/>
  </r>
  <r>
    <x v="892"/>
    <d v="2025-04-17T00:00:00"/>
    <n v="19"/>
    <s v="T025"/>
    <x v="2"/>
    <n v="1049.18"/>
    <x v="0"/>
    <n v="891.8"/>
    <n v="3"/>
    <s v="Member"/>
    <n v="891.8"/>
    <s v="OK"/>
    <x v="4"/>
    <x v="0"/>
    <s v="11–20%"/>
    <x v="2"/>
    <x v="2"/>
  </r>
  <r>
    <x v="893"/>
    <d v="2025-04-15T00:00:00"/>
    <n v="20"/>
    <s v="T018"/>
    <x v="1"/>
    <n v="558.30999999999995"/>
    <x v="1"/>
    <n v="558.30999999999995"/>
    <n v="4"/>
    <s v="Walk-in"/>
    <n v="558.30999999999995"/>
    <s v="OK"/>
    <x v="4"/>
    <x v="0"/>
    <s v="0%"/>
    <x v="3"/>
    <x v="3"/>
  </r>
  <r>
    <x v="894"/>
    <d v="2025-01-09T00:00:00"/>
    <n v="13"/>
    <s v="T028"/>
    <x v="2"/>
    <n v="2149.23"/>
    <x v="1"/>
    <n v="2149.23"/>
    <n v="2"/>
    <s v="Walk-in"/>
    <n v="2149.23"/>
    <s v="OK"/>
    <x v="2"/>
    <x v="0"/>
    <s v="0%"/>
    <x v="3"/>
    <x v="5"/>
  </r>
  <r>
    <x v="895"/>
    <d v="2025-03-04T00:00:00"/>
    <n v="13"/>
    <s v="T023"/>
    <x v="0"/>
    <n v="832.77"/>
    <x v="3"/>
    <n v="749.49"/>
    <n v="3"/>
    <s v="Member"/>
    <n v="749.49"/>
    <s v="OK"/>
    <x v="5"/>
    <x v="0"/>
    <s v="1–_x000a_10%"/>
    <x v="3"/>
    <x v="11"/>
  </r>
  <r>
    <x v="896"/>
    <d v="2025-02-17T00:00:00"/>
    <n v="13"/>
    <s v="T030"/>
    <x v="0"/>
    <n v="1738.78"/>
    <x v="1"/>
    <n v="1738.78"/>
    <n v="5"/>
    <s v="Walk-in"/>
    <n v="1738.78"/>
    <s v="OK"/>
    <x v="0"/>
    <x v="0"/>
    <s v="0%"/>
    <x v="2"/>
    <x v="2"/>
  </r>
  <r>
    <x v="897"/>
    <d v="2025-01-17T00:00:00"/>
    <n v="15"/>
    <s v="T027"/>
    <x v="0"/>
    <n v="436.9"/>
    <x v="4"/>
    <n v="349.52"/>
    <n v="3"/>
    <s v="Walk-in"/>
    <n v="349.52"/>
    <s v="OK"/>
    <x v="2"/>
    <x v="0"/>
    <s v="11–20%"/>
    <x v="4"/>
    <x v="9"/>
  </r>
  <r>
    <x v="898"/>
    <d v="2025-02-06T00:00:00"/>
    <n v="13"/>
    <s v="T009"/>
    <x v="3"/>
    <n v="916.77"/>
    <x v="1"/>
    <n v="916.77"/>
    <n v="3"/>
    <s v="Walk-in"/>
    <n v="916.77"/>
    <s v="OK"/>
    <x v="0"/>
    <x v="0"/>
    <s v="0%"/>
    <x v="0"/>
    <x v="6"/>
  </r>
  <r>
    <x v="899"/>
    <d v="2025-03-10T00:00:00"/>
    <n v="17"/>
    <s v="T021"/>
    <x v="2"/>
    <n v="360.17"/>
    <x v="3"/>
    <n v="324.14999999999998"/>
    <n v="1"/>
    <s v="Walk-in"/>
    <n v="324.14999999999998"/>
    <s v="OK"/>
    <x v="5"/>
    <x v="0"/>
    <s v="1–_x000a_10%"/>
    <x v="1"/>
    <x v="1"/>
  </r>
  <r>
    <x v="900"/>
    <d v="2025-06-04T00:00:00"/>
    <n v="21"/>
    <s v="T020"/>
    <x v="0"/>
    <n v="442.45"/>
    <x v="1"/>
    <n v="442.45"/>
    <n v="1"/>
    <s v="Member"/>
    <n v="442.45"/>
    <s v="OK"/>
    <x v="3"/>
    <x v="0"/>
    <s v="0%"/>
    <x v="2"/>
    <x v="2"/>
  </r>
  <r>
    <x v="901"/>
    <d v="2025-06-07T00:00:00"/>
    <n v="20"/>
    <s v="T020"/>
    <x v="0"/>
    <n v="401.72"/>
    <x v="5"/>
    <n v="381.63"/>
    <n v="3"/>
    <s v="Walk-in"/>
    <n v="381.63"/>
    <s v="OK"/>
    <x v="3"/>
    <x v="1"/>
    <s v="1–_x000a_10%"/>
    <x v="2"/>
    <x v="2"/>
  </r>
  <r>
    <x v="902"/>
    <d v="2025-05-05T00:00:00"/>
    <n v="20"/>
    <s v="T011"/>
    <x v="2"/>
    <n v="1534.81"/>
    <x v="1"/>
    <n v="1534.81"/>
    <n v="3"/>
    <s v="Member"/>
    <n v="1534.81"/>
    <s v="OK"/>
    <x v="1"/>
    <x v="0"/>
    <s v="0%"/>
    <x v="1"/>
    <x v="10"/>
  </r>
  <r>
    <x v="903"/>
    <d v="2025-01-24T00:00:00"/>
    <n v="17"/>
    <s v="T025"/>
    <x v="2"/>
    <n v="315.27999999999997"/>
    <x v="3"/>
    <n v="283.75"/>
    <n v="6"/>
    <s v="Walk-in"/>
    <n v="283.75"/>
    <s v="OK"/>
    <x v="2"/>
    <x v="0"/>
    <s v="1–_x000a_10%"/>
    <x v="2"/>
    <x v="2"/>
  </r>
  <r>
    <x v="904"/>
    <d v="2025-05-08T00:00:00"/>
    <n v="15"/>
    <s v="T020"/>
    <x v="3"/>
    <n v="690.12"/>
    <x v="1"/>
    <n v="690.12"/>
    <n v="1"/>
    <s v="Walk-in"/>
    <n v="690.12"/>
    <s v="OK"/>
    <x v="1"/>
    <x v="0"/>
    <s v="0%"/>
    <x v="2"/>
    <x v="2"/>
  </r>
  <r>
    <x v="905"/>
    <d v="2025-02-15T00:00:00"/>
    <n v="11"/>
    <s v="T014"/>
    <x v="3"/>
    <n v="871.19"/>
    <x v="1"/>
    <n v="871.19"/>
    <n v="3"/>
    <s v="Member"/>
    <n v="871.19"/>
    <s v="OK"/>
    <x v="0"/>
    <x v="1"/>
    <s v="0%"/>
    <x v="0"/>
    <x v="6"/>
  </r>
  <r>
    <x v="906"/>
    <d v="2025-03-16T00:00:00"/>
    <n v="13"/>
    <s v="T021"/>
    <x v="2"/>
    <n v="262.10000000000002"/>
    <x v="1"/>
    <n v="262.10000000000002"/>
    <n v="3"/>
    <s v="Member"/>
    <n v="262.10000000000002"/>
    <s v="OK"/>
    <x v="5"/>
    <x v="1"/>
    <s v="0%"/>
    <x v="1"/>
    <x v="1"/>
  </r>
  <r>
    <x v="907"/>
    <d v="2025-02-16T00:00:00"/>
    <n v="21"/>
    <s v="T028"/>
    <x v="2"/>
    <n v="1050.6500000000001"/>
    <x v="1"/>
    <n v="1050.6500000000001"/>
    <n v="1"/>
    <s v="Member"/>
    <n v="1050.6500000000001"/>
    <s v="OK"/>
    <x v="0"/>
    <x v="1"/>
    <s v="0%"/>
    <x v="3"/>
    <x v="5"/>
  </r>
  <r>
    <x v="908"/>
    <d v="2025-01-22T00:00:00"/>
    <n v="10"/>
    <s v="T016"/>
    <x v="2"/>
    <n v="1096.6400000000001"/>
    <x v="1"/>
    <n v="1096.6400000000001"/>
    <n v="4"/>
    <s v="Walk-in"/>
    <n v="1096.6400000000001"/>
    <s v="OK"/>
    <x v="2"/>
    <x v="0"/>
    <s v="0%"/>
    <x v="1"/>
    <x v="1"/>
  </r>
  <r>
    <x v="909"/>
    <d v="2025-05-07T00:00:00"/>
    <n v="16"/>
    <s v="T028"/>
    <x v="0"/>
    <n v="865.82"/>
    <x v="0"/>
    <n v="735.95"/>
    <n v="1"/>
    <s v="Walk-in"/>
    <n v="735.95"/>
    <s v="OK"/>
    <x v="1"/>
    <x v="0"/>
    <s v="11–20%"/>
    <x v="3"/>
    <x v="5"/>
  </r>
  <r>
    <x v="910"/>
    <d v="2025-01-09T00:00:00"/>
    <n v="19"/>
    <s v="T023"/>
    <x v="2"/>
    <n v="1850.94"/>
    <x v="1"/>
    <n v="1850.94"/>
    <n v="3"/>
    <s v="Walk-in"/>
    <n v="1850.94"/>
    <s v="OK"/>
    <x v="2"/>
    <x v="0"/>
    <s v="0%"/>
    <x v="3"/>
    <x v="11"/>
  </r>
  <r>
    <x v="911"/>
    <d v="2025-01-23T00:00:00"/>
    <n v="10"/>
    <s v="T010"/>
    <x v="2"/>
    <n v="628.27"/>
    <x v="3"/>
    <n v="565.44000000000005"/>
    <n v="1"/>
    <s v="Member"/>
    <n v="565.44000000000005"/>
    <s v="OK"/>
    <x v="2"/>
    <x v="0"/>
    <s v="1–_x000a_10%"/>
    <x v="2"/>
    <x v="4"/>
  </r>
  <r>
    <x v="912"/>
    <d v="2025-06-29T00:00:00"/>
    <n v="22"/>
    <s v="T008"/>
    <x v="2"/>
    <n v="326.41000000000003"/>
    <x v="5"/>
    <n v="310.08999999999997"/>
    <n v="4"/>
    <s v="Walk-in"/>
    <n v="310.08999999999997"/>
    <s v="OK"/>
    <x v="3"/>
    <x v="1"/>
    <s v="1–_x000a_10%"/>
    <x v="3"/>
    <x v="5"/>
  </r>
  <r>
    <x v="913"/>
    <d v="2025-01-23T00:00:00"/>
    <n v="22"/>
    <s v="T016"/>
    <x v="0"/>
    <n v="1108.1600000000001"/>
    <x v="1"/>
    <n v="1108.1600000000001"/>
    <n v="3"/>
    <s v="Member"/>
    <n v="1108.1600000000001"/>
    <s v="OK"/>
    <x v="2"/>
    <x v="0"/>
    <s v="0%"/>
    <x v="1"/>
    <x v="1"/>
  </r>
  <r>
    <x v="914"/>
    <d v="2025-04-29T00:00:00"/>
    <n v="13"/>
    <s v="T011"/>
    <x v="2"/>
    <n v="635.6"/>
    <x v="1"/>
    <n v="635.6"/>
    <n v="2"/>
    <s v="Walk-in"/>
    <n v="635.6"/>
    <s v="OK"/>
    <x v="4"/>
    <x v="0"/>
    <s v="0%"/>
    <x v="1"/>
    <x v="10"/>
  </r>
  <r>
    <x v="915"/>
    <d v="2025-05-08T00:00:00"/>
    <n v="11"/>
    <s v="T013"/>
    <x v="2"/>
    <n v="775.69"/>
    <x v="1"/>
    <n v="775.69"/>
    <n v="2"/>
    <s v="Member"/>
    <n v="775.69"/>
    <s v="OK"/>
    <x v="1"/>
    <x v="0"/>
    <s v="0%"/>
    <x v="3"/>
    <x v="11"/>
  </r>
  <r>
    <x v="916"/>
    <d v="2025-05-18T00:00:00"/>
    <n v="19"/>
    <s v="T029"/>
    <x v="3"/>
    <n v="609.01"/>
    <x v="1"/>
    <n v="609.01"/>
    <n v="3"/>
    <s v="Walk-in"/>
    <n v="609.01"/>
    <s v="OK"/>
    <x v="1"/>
    <x v="1"/>
    <s v="0%"/>
    <x v="0"/>
    <x v="6"/>
  </r>
  <r>
    <x v="917"/>
    <d v="2025-04-23T00:00:00"/>
    <n v="12"/>
    <s v="T011"/>
    <x v="2"/>
    <n v="2206.33"/>
    <x v="0"/>
    <n v="1875.38"/>
    <n v="2"/>
    <s v="Walk-in"/>
    <n v="1875.38"/>
    <s v="OK"/>
    <x v="4"/>
    <x v="0"/>
    <s v="11–20%"/>
    <x v="1"/>
    <x v="10"/>
  </r>
  <r>
    <x v="918"/>
    <d v="2025-01-28T00:00:00"/>
    <n v="21"/>
    <s v="T005"/>
    <x v="3"/>
    <n v="1348.93"/>
    <x v="4"/>
    <n v="1079.1400000000001"/>
    <n v="4"/>
    <s v="Member"/>
    <n v="1079.1400000000001"/>
    <s v="OK"/>
    <x v="2"/>
    <x v="0"/>
    <s v="11–20%"/>
    <x v="2"/>
    <x v="4"/>
  </r>
  <r>
    <x v="919"/>
    <d v="2025-06-12T00:00:00"/>
    <n v="22"/>
    <s v="T025"/>
    <x v="0"/>
    <n v="466.48"/>
    <x v="3"/>
    <n v="419.83"/>
    <n v="4"/>
    <s v="Walk-in"/>
    <n v="419.83"/>
    <s v="OK"/>
    <x v="3"/>
    <x v="0"/>
    <s v="1–_x000a_10%"/>
    <x v="2"/>
    <x v="2"/>
  </r>
  <r>
    <x v="920"/>
    <d v="2025-01-14T00:00:00"/>
    <n v="19"/>
    <s v="T026"/>
    <x v="0"/>
    <n v="500.05"/>
    <x v="1"/>
    <n v="500.05"/>
    <n v="3"/>
    <s v="Member"/>
    <n v="500.05"/>
    <s v="OK"/>
    <x v="2"/>
    <x v="0"/>
    <s v="0%"/>
    <x v="1"/>
    <x v="10"/>
  </r>
  <r>
    <x v="921"/>
    <d v="2025-03-21T00:00:00"/>
    <n v="17"/>
    <s v="T003"/>
    <x v="2"/>
    <n v="249.59"/>
    <x v="1"/>
    <n v="249.59"/>
    <n v="1"/>
    <s v="Member"/>
    <n v="249.59"/>
    <s v="OK"/>
    <x v="5"/>
    <x v="0"/>
    <s v="0%"/>
    <x v="3"/>
    <x v="3"/>
  </r>
  <r>
    <x v="922"/>
    <d v="2025-05-20T00:00:00"/>
    <n v="22"/>
    <s v="T007"/>
    <x v="0"/>
    <n v="405.87"/>
    <x v="3"/>
    <n v="365.28"/>
    <n v="3"/>
    <s v="Walk-in"/>
    <n v="365.28"/>
    <s v="OK"/>
    <x v="1"/>
    <x v="0"/>
    <s v="1–_x000a_10%"/>
    <x v="4"/>
    <x v="8"/>
  </r>
  <r>
    <x v="923"/>
    <d v="2025-01-31T00:00:00"/>
    <n v="17"/>
    <s v="T016"/>
    <x v="0"/>
    <n v="935.8"/>
    <x v="4"/>
    <n v="748.64"/>
    <n v="1"/>
    <s v="Walk-in"/>
    <n v="748.64"/>
    <s v="OK"/>
    <x v="2"/>
    <x v="0"/>
    <s v="11–20%"/>
    <x v="1"/>
    <x v="1"/>
  </r>
  <r>
    <x v="924"/>
    <d v="2025-06-24T00:00:00"/>
    <n v="10"/>
    <s v="T020"/>
    <x v="1"/>
    <n v="268.13"/>
    <x v="4"/>
    <n v="214.5"/>
    <n v="3"/>
    <s v="Member"/>
    <n v="214.5"/>
    <s v="OK"/>
    <x v="3"/>
    <x v="0"/>
    <s v="11–20%"/>
    <x v="2"/>
    <x v="2"/>
  </r>
  <r>
    <x v="925"/>
    <d v="2025-01-11T00:00:00"/>
    <n v="13"/>
    <s v="T013"/>
    <x v="0"/>
    <n v="1572.06"/>
    <x v="4"/>
    <n v="1257.6500000000001"/>
    <n v="1"/>
    <s v="Walk-in"/>
    <n v="1257.6500000000001"/>
    <s v="OK"/>
    <x v="2"/>
    <x v="1"/>
    <s v="11–20%"/>
    <x v="3"/>
    <x v="11"/>
  </r>
  <r>
    <x v="926"/>
    <d v="2025-06-11T00:00:00"/>
    <n v="18"/>
    <s v="T022"/>
    <x v="1"/>
    <n v="806.69"/>
    <x v="0"/>
    <n v="685.69"/>
    <n v="1"/>
    <s v="Member"/>
    <n v="685.69"/>
    <s v="OK"/>
    <x v="3"/>
    <x v="0"/>
    <s v="11–20%"/>
    <x v="4"/>
    <x v="8"/>
  </r>
  <r>
    <x v="927"/>
    <d v="2025-04-02T00:00:00"/>
    <n v="18"/>
    <s v="T012"/>
    <x v="0"/>
    <n v="1182.45"/>
    <x v="5"/>
    <n v="1123.33"/>
    <n v="4"/>
    <s v="Walk-in"/>
    <n v="1123.33"/>
    <s v="OK"/>
    <x v="4"/>
    <x v="0"/>
    <s v="1–_x000a_10%"/>
    <x v="4"/>
    <x v="9"/>
  </r>
  <r>
    <x v="928"/>
    <d v="2025-05-27T00:00:00"/>
    <n v="15"/>
    <s v="T026"/>
    <x v="0"/>
    <n v="3818.61"/>
    <x v="4"/>
    <n v="3054.89"/>
    <n v="5"/>
    <s v="Walk-in"/>
    <n v="3054.89"/>
    <s v="OK"/>
    <x v="1"/>
    <x v="0"/>
    <s v="11–20%"/>
    <x v="1"/>
    <x v="10"/>
  </r>
  <r>
    <x v="929"/>
    <d v="2025-03-21T00:00:00"/>
    <n v="22"/>
    <s v="T012"/>
    <x v="3"/>
    <n v="850.31"/>
    <x v="1"/>
    <n v="850.31"/>
    <n v="5"/>
    <s v="Walk-in"/>
    <n v="850.31"/>
    <s v="OK"/>
    <x v="5"/>
    <x v="0"/>
    <s v="0%"/>
    <x v="4"/>
    <x v="9"/>
  </r>
  <r>
    <x v="930"/>
    <d v="2025-03-27T00:00:00"/>
    <n v="13"/>
    <s v="T026"/>
    <x v="1"/>
    <n v="1415.19"/>
    <x v="4"/>
    <n v="1132.1500000000001"/>
    <n v="1"/>
    <s v="Member"/>
    <n v="1132.1500000000001"/>
    <s v="OK"/>
    <x v="5"/>
    <x v="0"/>
    <s v="11–20%"/>
    <x v="1"/>
    <x v="10"/>
  </r>
  <r>
    <x v="931"/>
    <d v="2025-01-17T00:00:00"/>
    <n v="11"/>
    <s v="T011"/>
    <x v="3"/>
    <n v="385.71"/>
    <x v="1"/>
    <n v="385.71"/>
    <n v="2"/>
    <s v="Walk-in"/>
    <n v="385.71"/>
    <s v="OK"/>
    <x v="2"/>
    <x v="0"/>
    <s v="0%"/>
    <x v="1"/>
    <x v="10"/>
  </r>
  <r>
    <x v="932"/>
    <d v="2025-06-21T00:00:00"/>
    <n v="10"/>
    <s v="T009"/>
    <x v="2"/>
    <n v="1401.27"/>
    <x v="0"/>
    <n v="1191.08"/>
    <n v="4"/>
    <s v="Walk-in"/>
    <n v="1191.08"/>
    <s v="OK"/>
    <x v="3"/>
    <x v="1"/>
    <s v="11–20%"/>
    <x v="0"/>
    <x v="6"/>
  </r>
  <r>
    <x v="933"/>
    <d v="2025-05-07T00:00:00"/>
    <n v="17"/>
    <s v="T005"/>
    <x v="2"/>
    <n v="1438.98"/>
    <x v="3"/>
    <n v="1295.08"/>
    <n v="2"/>
    <s v="Member"/>
    <n v="1295.08"/>
    <s v="OK"/>
    <x v="1"/>
    <x v="0"/>
    <s v="1–_x000a_10%"/>
    <x v="2"/>
    <x v="4"/>
  </r>
  <r>
    <x v="934"/>
    <d v="2025-04-16T00:00:00"/>
    <n v="13"/>
    <s v="T008"/>
    <x v="2"/>
    <n v="1043.1199999999999"/>
    <x v="3"/>
    <n v="938.81"/>
    <n v="1"/>
    <s v="Member"/>
    <n v="938.81"/>
    <s v="OK"/>
    <x v="4"/>
    <x v="0"/>
    <s v="1–_x000a_10%"/>
    <x v="3"/>
    <x v="5"/>
  </r>
  <r>
    <x v="935"/>
    <d v="2025-03-01T00:00:00"/>
    <n v="22"/>
    <s v="T009"/>
    <x v="2"/>
    <n v="828.13"/>
    <x v="1"/>
    <n v="828.13"/>
    <n v="2"/>
    <s v="Walk-in"/>
    <n v="828.13"/>
    <s v="OK"/>
    <x v="5"/>
    <x v="1"/>
    <s v="0%"/>
    <x v="0"/>
    <x v="6"/>
  </r>
  <r>
    <x v="936"/>
    <d v="2025-03-01T00:00:00"/>
    <n v="18"/>
    <s v="T029"/>
    <x v="2"/>
    <n v="506.9"/>
    <x v="3"/>
    <n v="456.21"/>
    <n v="1"/>
    <s v="Member"/>
    <n v="456.21"/>
    <s v="OK"/>
    <x v="5"/>
    <x v="1"/>
    <s v="1–_x000a_10%"/>
    <x v="0"/>
    <x v="6"/>
  </r>
  <r>
    <x v="937"/>
    <d v="2025-03-07T00:00:00"/>
    <n v="21"/>
    <s v="T022"/>
    <x v="0"/>
    <n v="833.92"/>
    <x v="5"/>
    <n v="792.22"/>
    <n v="4"/>
    <s v="Member"/>
    <n v="792.22"/>
    <s v="OK"/>
    <x v="5"/>
    <x v="0"/>
    <s v="1–_x000a_10%"/>
    <x v="4"/>
    <x v="8"/>
  </r>
  <r>
    <x v="938"/>
    <d v="2025-01-05T00:00:00"/>
    <n v="15"/>
    <s v="T013"/>
    <x v="0"/>
    <n v="414.36"/>
    <x v="5"/>
    <n v="393.64"/>
    <n v="3"/>
    <s v="Walk-in"/>
    <n v="393.64"/>
    <s v="OK"/>
    <x v="2"/>
    <x v="1"/>
    <s v="1–_x000a_10%"/>
    <x v="3"/>
    <x v="11"/>
  </r>
  <r>
    <x v="939"/>
    <d v="2025-06-17T00:00:00"/>
    <n v="17"/>
    <s v="T009"/>
    <x v="2"/>
    <n v="582.62"/>
    <x v="1"/>
    <n v="582.62"/>
    <n v="5"/>
    <s v="Walk-in"/>
    <n v="582.62"/>
    <s v="OK"/>
    <x v="3"/>
    <x v="0"/>
    <s v="0%"/>
    <x v="0"/>
    <x v="6"/>
  </r>
  <r>
    <x v="940"/>
    <d v="2025-05-19T00:00:00"/>
    <n v="15"/>
    <s v="T029"/>
    <x v="2"/>
    <n v="479.75"/>
    <x v="3"/>
    <n v="431.78"/>
    <n v="4"/>
    <s v="Walk-in"/>
    <n v="431.78"/>
    <s v="OK"/>
    <x v="1"/>
    <x v="0"/>
    <s v="1–_x000a_10%"/>
    <x v="0"/>
    <x v="6"/>
  </r>
  <r>
    <x v="941"/>
    <d v="2025-02-24T00:00:00"/>
    <n v="13"/>
    <s v="T005"/>
    <x v="3"/>
    <n v="1665.61"/>
    <x v="0"/>
    <n v="1415.77"/>
    <n v="1"/>
    <s v="Member"/>
    <n v="1415.77"/>
    <s v="OK"/>
    <x v="0"/>
    <x v="0"/>
    <s v="11–20%"/>
    <x v="2"/>
    <x v="4"/>
  </r>
  <r>
    <x v="942"/>
    <d v="2025-03-22T00:00:00"/>
    <n v="10"/>
    <s v="T013"/>
    <x v="2"/>
    <n v="1091.6199999999999"/>
    <x v="2"/>
    <n v="764.13"/>
    <n v="1"/>
    <s v="Walk-in"/>
    <n v="764.13"/>
    <s v="OK"/>
    <x v="5"/>
    <x v="1"/>
    <s v="&gt;20%"/>
    <x v="3"/>
    <x v="11"/>
  </r>
  <r>
    <x v="943"/>
    <d v="2025-03-18T00:00:00"/>
    <n v="22"/>
    <s v="T024"/>
    <x v="0"/>
    <n v="1641.87"/>
    <x v="1"/>
    <n v="1641.87"/>
    <n v="6"/>
    <s v="Walk-in"/>
    <n v="1641.87"/>
    <s v="OK"/>
    <x v="5"/>
    <x v="0"/>
    <s v="0%"/>
    <x v="0"/>
    <x v="0"/>
  </r>
  <r>
    <x v="944"/>
    <d v="2025-04-19T00:00:00"/>
    <n v="18"/>
    <s v="T007"/>
    <x v="0"/>
    <n v="445.86"/>
    <x v="1"/>
    <n v="445.86"/>
    <n v="4"/>
    <s v="Walk-in"/>
    <n v="445.86"/>
    <s v="OK"/>
    <x v="4"/>
    <x v="1"/>
    <s v="0%"/>
    <x v="4"/>
    <x v="8"/>
  </r>
  <r>
    <x v="945"/>
    <d v="2025-04-14T00:00:00"/>
    <n v="12"/>
    <s v="T007"/>
    <x v="0"/>
    <n v="2759.32"/>
    <x v="1"/>
    <n v="2759.32"/>
    <n v="1"/>
    <s v="Member"/>
    <n v="2759.32"/>
    <s v="OK"/>
    <x v="4"/>
    <x v="0"/>
    <s v="0%"/>
    <x v="4"/>
    <x v="8"/>
  </r>
  <r>
    <x v="946"/>
    <d v="2025-06-07T00:00:00"/>
    <n v="15"/>
    <s v="T030"/>
    <x v="2"/>
    <n v="778.97"/>
    <x v="4"/>
    <n v="623.17999999999995"/>
    <n v="2"/>
    <s v="Walk-in"/>
    <n v="623.17999999999995"/>
    <s v="OK"/>
    <x v="3"/>
    <x v="1"/>
    <s v="11–20%"/>
    <x v="2"/>
    <x v="2"/>
  </r>
  <r>
    <x v="947"/>
    <d v="2025-01-14T00:00:00"/>
    <n v="12"/>
    <s v="T024"/>
    <x v="2"/>
    <n v="377.32"/>
    <x v="0"/>
    <n v="320.72000000000003"/>
    <n v="3"/>
    <s v="Member"/>
    <n v="320.72000000000003"/>
    <s v="OK"/>
    <x v="2"/>
    <x v="0"/>
    <s v="11–20%"/>
    <x v="0"/>
    <x v="0"/>
  </r>
  <r>
    <x v="948"/>
    <d v="2025-05-18T00:00:00"/>
    <n v="14"/>
    <s v="T008"/>
    <x v="0"/>
    <n v="365.24"/>
    <x v="3"/>
    <n v="328.72"/>
    <n v="1"/>
    <s v="Walk-in"/>
    <n v="328.72"/>
    <s v="OK"/>
    <x v="1"/>
    <x v="1"/>
    <s v="1–_x000a_10%"/>
    <x v="3"/>
    <x v="5"/>
  </r>
  <r>
    <x v="949"/>
    <d v="2025-04-19T00:00:00"/>
    <n v="19"/>
    <s v="T005"/>
    <x v="2"/>
    <n v="1082.46"/>
    <x v="4"/>
    <n v="865.97"/>
    <n v="2"/>
    <s v="Walk-in"/>
    <n v="865.97"/>
    <s v="OK"/>
    <x v="4"/>
    <x v="1"/>
    <s v="11–20%"/>
    <x v="2"/>
    <x v="4"/>
  </r>
  <r>
    <x v="950"/>
    <d v="2025-03-02T00:00:00"/>
    <n v="22"/>
    <s v="T022"/>
    <x v="0"/>
    <n v="1107.1400000000001"/>
    <x v="3"/>
    <n v="996.43"/>
    <n v="5"/>
    <s v="Member"/>
    <n v="996.43"/>
    <s v="OK"/>
    <x v="5"/>
    <x v="1"/>
    <s v="1–_x000a_10%"/>
    <x v="4"/>
    <x v="8"/>
  </r>
  <r>
    <x v="951"/>
    <d v="2025-05-08T00:00:00"/>
    <n v="15"/>
    <s v="T013"/>
    <x v="0"/>
    <n v="587.80999999999995"/>
    <x v="3"/>
    <n v="529.03"/>
    <n v="3"/>
    <s v="Walk-in"/>
    <n v="529.03"/>
    <s v="OK"/>
    <x v="1"/>
    <x v="0"/>
    <s v="1–_x000a_10%"/>
    <x v="3"/>
    <x v="11"/>
  </r>
  <r>
    <x v="952"/>
    <d v="2025-01-04T00:00:00"/>
    <n v="10"/>
    <s v="T025"/>
    <x v="2"/>
    <n v="1807.16"/>
    <x v="1"/>
    <n v="1807.16"/>
    <n v="1"/>
    <s v="Walk-in"/>
    <n v="1807.16"/>
    <s v="OK"/>
    <x v="2"/>
    <x v="1"/>
    <s v="0%"/>
    <x v="2"/>
    <x v="2"/>
  </r>
  <r>
    <x v="953"/>
    <d v="2025-03-17T00:00:00"/>
    <n v="14"/>
    <s v="T010"/>
    <x v="0"/>
    <n v="1393.35"/>
    <x v="1"/>
    <n v="1393.35"/>
    <n v="2"/>
    <s v="Walk-in"/>
    <n v="1393.35"/>
    <s v="OK"/>
    <x v="5"/>
    <x v="0"/>
    <s v="0%"/>
    <x v="2"/>
    <x v="4"/>
  </r>
  <r>
    <x v="954"/>
    <d v="2025-04-26T00:00:00"/>
    <n v="11"/>
    <s v="T018"/>
    <x v="0"/>
    <n v="1080.8699999999999"/>
    <x v="1"/>
    <n v="1080.8699999999999"/>
    <n v="2"/>
    <s v="Walk-in"/>
    <n v="1080.8699999999999"/>
    <s v="OK"/>
    <x v="4"/>
    <x v="1"/>
    <s v="0%"/>
    <x v="3"/>
    <x v="3"/>
  </r>
  <r>
    <x v="955"/>
    <d v="2025-05-29T00:00:00"/>
    <n v="17"/>
    <s v="T021"/>
    <x v="3"/>
    <n v="829.88"/>
    <x v="3"/>
    <n v="746.89"/>
    <n v="4"/>
    <s v="Member"/>
    <n v="746.89"/>
    <s v="OK"/>
    <x v="1"/>
    <x v="0"/>
    <s v="1–_x000a_10%"/>
    <x v="1"/>
    <x v="1"/>
  </r>
  <r>
    <x v="956"/>
    <d v="2025-05-17T00:00:00"/>
    <n v="17"/>
    <s v="T008"/>
    <x v="0"/>
    <n v="597.54999999999995"/>
    <x v="1"/>
    <n v="597.54999999999995"/>
    <n v="1"/>
    <s v="Walk-in"/>
    <n v="597.54999999999995"/>
    <s v="OK"/>
    <x v="1"/>
    <x v="1"/>
    <s v="0%"/>
    <x v="3"/>
    <x v="5"/>
  </r>
  <r>
    <x v="957"/>
    <d v="2025-04-10T00:00:00"/>
    <n v="18"/>
    <s v="T013"/>
    <x v="0"/>
    <n v="793.18"/>
    <x v="2"/>
    <n v="555.23"/>
    <n v="2"/>
    <s v="Walk-in"/>
    <n v="555.23"/>
    <s v="OK"/>
    <x v="4"/>
    <x v="0"/>
    <s v="&gt;20%"/>
    <x v="3"/>
    <x v="11"/>
  </r>
  <r>
    <x v="958"/>
    <d v="2025-05-07T00:00:00"/>
    <n v="12"/>
    <s v="T021"/>
    <x v="1"/>
    <n v="1551.01"/>
    <x v="5"/>
    <n v="1473.46"/>
    <n v="3"/>
    <s v="Walk-in"/>
    <n v="1473.46"/>
    <s v="OK"/>
    <x v="1"/>
    <x v="0"/>
    <s v="1–_x000a_10%"/>
    <x v="1"/>
    <x v="1"/>
  </r>
  <r>
    <x v="959"/>
    <d v="2025-01-14T00:00:00"/>
    <n v="17"/>
    <s v="T023"/>
    <x v="2"/>
    <n v="1038.04"/>
    <x v="1"/>
    <n v="1038.04"/>
    <n v="2"/>
    <s v="Member"/>
    <n v="1038.04"/>
    <s v="OK"/>
    <x v="2"/>
    <x v="0"/>
    <s v="0%"/>
    <x v="3"/>
    <x v="11"/>
  </r>
  <r>
    <x v="960"/>
    <d v="2025-04-07T00:00:00"/>
    <n v="18"/>
    <s v="T012"/>
    <x v="2"/>
    <n v="621.08000000000004"/>
    <x v="1"/>
    <n v="621.08000000000004"/>
    <n v="4"/>
    <s v="Walk-in"/>
    <n v="621.08000000000004"/>
    <s v="OK"/>
    <x v="4"/>
    <x v="0"/>
    <s v="0%"/>
    <x v="4"/>
    <x v="9"/>
  </r>
  <r>
    <x v="961"/>
    <d v="2025-03-16T00:00:00"/>
    <n v="21"/>
    <s v="T030"/>
    <x v="1"/>
    <n v="464.94"/>
    <x v="4"/>
    <n v="371.95"/>
    <n v="2"/>
    <s v="Walk-in"/>
    <n v="371.95"/>
    <s v="OK"/>
    <x v="5"/>
    <x v="1"/>
    <s v="11–20%"/>
    <x v="2"/>
    <x v="2"/>
  </r>
  <r>
    <x v="962"/>
    <d v="2025-05-20T00:00:00"/>
    <n v="14"/>
    <s v="T007"/>
    <x v="3"/>
    <n v="2080.35"/>
    <x v="1"/>
    <n v="2080.35"/>
    <n v="1"/>
    <s v="Walk-in"/>
    <n v="2080.35"/>
    <s v="OK"/>
    <x v="1"/>
    <x v="0"/>
    <s v="0%"/>
    <x v="4"/>
    <x v="8"/>
  </r>
  <r>
    <x v="963"/>
    <d v="2025-01-04T00:00:00"/>
    <n v="13"/>
    <s v="T028"/>
    <x v="0"/>
    <n v="366.69"/>
    <x v="1"/>
    <n v="366.69"/>
    <n v="3"/>
    <s v="Walk-in"/>
    <n v="366.69"/>
    <s v="OK"/>
    <x v="2"/>
    <x v="1"/>
    <s v="0%"/>
    <x v="3"/>
    <x v="5"/>
  </r>
  <r>
    <x v="964"/>
    <d v="2025-05-08T00:00:00"/>
    <n v="20"/>
    <s v="T013"/>
    <x v="0"/>
    <n v="1999.35"/>
    <x v="3"/>
    <n v="1799.41"/>
    <n v="1"/>
    <s v="Walk-in"/>
    <n v="1799.42"/>
    <s v="OK"/>
    <x v="1"/>
    <x v="0"/>
    <s v="1–_x000a_10%"/>
    <x v="3"/>
    <x v="11"/>
  </r>
  <r>
    <x v="965"/>
    <d v="2025-04-20T00:00:00"/>
    <n v="17"/>
    <s v="T005"/>
    <x v="0"/>
    <n v="1781.06"/>
    <x v="0"/>
    <n v="1513.9"/>
    <n v="4"/>
    <s v="Member"/>
    <n v="1513.9"/>
    <s v="OK"/>
    <x v="4"/>
    <x v="1"/>
    <s v="11–20%"/>
    <x v="2"/>
    <x v="4"/>
  </r>
  <r>
    <x v="966"/>
    <d v="2025-01-20T00:00:00"/>
    <n v="20"/>
    <s v="T028"/>
    <x v="0"/>
    <n v="1085.3499999999999"/>
    <x v="1"/>
    <n v="1085.3499999999999"/>
    <n v="5"/>
    <s v="Walk-in"/>
    <n v="1085.3499999999999"/>
    <s v="OK"/>
    <x v="2"/>
    <x v="0"/>
    <s v="0%"/>
    <x v="3"/>
    <x v="5"/>
  </r>
  <r>
    <x v="967"/>
    <d v="2025-05-06T00:00:00"/>
    <n v="13"/>
    <s v="T005"/>
    <x v="2"/>
    <n v="327.77"/>
    <x v="4"/>
    <n v="262.22000000000003"/>
    <n v="5"/>
    <s v="Member"/>
    <n v="262.22000000000003"/>
    <s v="OK"/>
    <x v="1"/>
    <x v="0"/>
    <s v="11–20%"/>
    <x v="2"/>
    <x v="4"/>
  </r>
  <r>
    <x v="968"/>
    <d v="2025-06-27T00:00:00"/>
    <n v="19"/>
    <s v="T028"/>
    <x v="0"/>
    <n v="1025.27"/>
    <x v="3"/>
    <n v="922.74"/>
    <n v="5"/>
    <s v="Walk-in"/>
    <n v="922.74"/>
    <s v="OK"/>
    <x v="3"/>
    <x v="0"/>
    <s v="1–_x000a_10%"/>
    <x v="3"/>
    <x v="5"/>
  </r>
  <r>
    <x v="969"/>
    <d v="2025-03-09T00:00:00"/>
    <n v="14"/>
    <s v="T009"/>
    <x v="0"/>
    <n v="2242.9699999999998"/>
    <x v="1"/>
    <n v="2242.9699999999998"/>
    <n v="1"/>
    <s v="Walk-in"/>
    <n v="2242.9699999999998"/>
    <s v="OK"/>
    <x v="5"/>
    <x v="1"/>
    <s v="0%"/>
    <x v="0"/>
    <x v="6"/>
  </r>
  <r>
    <x v="970"/>
    <d v="2025-01-07T00:00:00"/>
    <n v="20"/>
    <s v="T002"/>
    <x v="1"/>
    <n v="768.8"/>
    <x v="1"/>
    <n v="768.8"/>
    <n v="3"/>
    <s v="Member"/>
    <n v="768.8"/>
    <s v="OK"/>
    <x v="2"/>
    <x v="0"/>
    <s v="0%"/>
    <x v="4"/>
    <x v="9"/>
  </r>
  <r>
    <x v="971"/>
    <d v="2025-05-12T00:00:00"/>
    <n v="19"/>
    <s v="T017"/>
    <x v="0"/>
    <n v="507.78"/>
    <x v="1"/>
    <n v="507.78"/>
    <n v="4"/>
    <s v="Walk-in"/>
    <n v="507.78"/>
    <s v="OK"/>
    <x v="1"/>
    <x v="0"/>
    <s v="0%"/>
    <x v="4"/>
    <x v="8"/>
  </r>
  <r>
    <x v="972"/>
    <d v="2025-06-16T00:00:00"/>
    <n v="22"/>
    <s v="T020"/>
    <x v="2"/>
    <n v="466.18"/>
    <x v="4"/>
    <n v="372.94"/>
    <n v="2"/>
    <s v="Walk-in"/>
    <n v="372.94"/>
    <s v="OK"/>
    <x v="3"/>
    <x v="0"/>
    <s v="11–20%"/>
    <x v="2"/>
    <x v="2"/>
  </r>
  <r>
    <x v="973"/>
    <d v="2025-02-05T00:00:00"/>
    <n v="12"/>
    <s v="T012"/>
    <x v="0"/>
    <n v="3792.55"/>
    <x v="3"/>
    <n v="3413.3"/>
    <n v="2"/>
    <s v="Walk-in"/>
    <n v="3413.3"/>
    <s v="OK"/>
    <x v="0"/>
    <x v="0"/>
    <s v="1–_x000a_10%"/>
    <x v="4"/>
    <x v="9"/>
  </r>
  <r>
    <x v="974"/>
    <d v="2025-06-03T00:00:00"/>
    <n v="16"/>
    <s v="T023"/>
    <x v="2"/>
    <n v="586.17999999999995"/>
    <x v="1"/>
    <n v="586.17999999999995"/>
    <n v="2"/>
    <s v="Walk-in"/>
    <n v="586.17999999999995"/>
    <s v="OK"/>
    <x v="3"/>
    <x v="0"/>
    <s v="0%"/>
    <x v="3"/>
    <x v="11"/>
  </r>
  <r>
    <x v="975"/>
    <d v="2025-03-27T00:00:00"/>
    <n v="11"/>
    <s v="T018"/>
    <x v="1"/>
    <n v="1407.08"/>
    <x v="1"/>
    <n v="1407.08"/>
    <n v="2"/>
    <s v="Member"/>
    <n v="1407.08"/>
    <s v="OK"/>
    <x v="5"/>
    <x v="0"/>
    <s v="0%"/>
    <x v="3"/>
    <x v="3"/>
  </r>
  <r>
    <x v="976"/>
    <d v="2025-06-26T00:00:00"/>
    <n v="19"/>
    <s v="T023"/>
    <x v="2"/>
    <n v="1468.93"/>
    <x v="5"/>
    <n v="1395.48"/>
    <n v="2"/>
    <s v="Walk-in"/>
    <n v="1395.48"/>
    <s v="OK"/>
    <x v="3"/>
    <x v="0"/>
    <s v="1–_x000a_10%"/>
    <x v="3"/>
    <x v="11"/>
  </r>
  <r>
    <x v="977"/>
    <d v="2025-01-02T00:00:00"/>
    <n v="13"/>
    <s v="T002"/>
    <x v="2"/>
    <n v="934.07"/>
    <x v="1"/>
    <n v="934.07"/>
    <n v="2"/>
    <s v="Member"/>
    <n v="934.07"/>
    <s v="OK"/>
    <x v="2"/>
    <x v="0"/>
    <s v="0%"/>
    <x v="4"/>
    <x v="9"/>
  </r>
  <r>
    <x v="978"/>
    <d v="2025-04-14T00:00:00"/>
    <n v="15"/>
    <s v="T014"/>
    <x v="2"/>
    <n v="914.26"/>
    <x v="1"/>
    <n v="914.26"/>
    <n v="2"/>
    <s v="Walk-in"/>
    <n v="914.26"/>
    <s v="OK"/>
    <x v="4"/>
    <x v="0"/>
    <s v="0%"/>
    <x v="0"/>
    <x v="6"/>
  </r>
  <r>
    <x v="979"/>
    <d v="2025-05-05T00:00:00"/>
    <n v="21"/>
    <s v="T025"/>
    <x v="0"/>
    <n v="1521.47"/>
    <x v="1"/>
    <n v="1521.47"/>
    <n v="1"/>
    <s v="Walk-in"/>
    <n v="1521.47"/>
    <s v="OK"/>
    <x v="1"/>
    <x v="0"/>
    <s v="0%"/>
    <x v="2"/>
    <x v="2"/>
  </r>
  <r>
    <x v="980"/>
    <d v="2025-03-06T00:00:00"/>
    <n v="19"/>
    <s v="T028"/>
    <x v="0"/>
    <n v="458.3"/>
    <x v="1"/>
    <n v="458.3"/>
    <n v="2"/>
    <s v="Member"/>
    <n v="458.3"/>
    <s v="OK"/>
    <x v="5"/>
    <x v="0"/>
    <s v="0%"/>
    <x v="3"/>
    <x v="5"/>
  </r>
  <r>
    <x v="981"/>
    <d v="2025-03-19T00:00:00"/>
    <n v="22"/>
    <s v="T024"/>
    <x v="2"/>
    <n v="2285.79"/>
    <x v="1"/>
    <n v="2285.79"/>
    <n v="2"/>
    <s v="Walk-in"/>
    <n v="2285.79"/>
    <s v="OK"/>
    <x v="5"/>
    <x v="0"/>
    <s v="0%"/>
    <x v="0"/>
    <x v="0"/>
  </r>
  <r>
    <x v="982"/>
    <d v="2025-05-19T00:00:00"/>
    <n v="22"/>
    <s v="T015"/>
    <x v="2"/>
    <n v="555.16"/>
    <x v="3"/>
    <n v="499.64"/>
    <n v="1"/>
    <s v="Walk-in"/>
    <n v="499.64"/>
    <s v="OK"/>
    <x v="1"/>
    <x v="0"/>
    <s v="1–_x000a_10%"/>
    <x v="2"/>
    <x v="4"/>
  </r>
  <r>
    <x v="983"/>
    <d v="2025-01-15T00:00:00"/>
    <n v="20"/>
    <s v="T009"/>
    <x v="2"/>
    <n v="1464.81"/>
    <x v="1"/>
    <n v="1464.81"/>
    <n v="1"/>
    <s v="Walk-in"/>
    <n v="1464.81"/>
    <s v="OK"/>
    <x v="2"/>
    <x v="0"/>
    <s v="0%"/>
    <x v="0"/>
    <x v="6"/>
  </r>
  <r>
    <x v="984"/>
    <d v="2025-03-02T00:00:00"/>
    <n v="12"/>
    <s v="T021"/>
    <x v="2"/>
    <n v="2073.42"/>
    <x v="0"/>
    <n v="1762.41"/>
    <n v="1"/>
    <s v="Member"/>
    <n v="1762.41"/>
    <s v="OK"/>
    <x v="5"/>
    <x v="1"/>
    <s v="11–20%"/>
    <x v="1"/>
    <x v="1"/>
  </r>
  <r>
    <x v="985"/>
    <d v="2025-04-02T00:00:00"/>
    <n v="10"/>
    <s v="T001"/>
    <x v="1"/>
    <n v="1218"/>
    <x v="4"/>
    <n v="974.4"/>
    <n v="1"/>
    <s v="Walk-in"/>
    <n v="974.4"/>
    <s v="OK"/>
    <x v="4"/>
    <x v="0"/>
    <s v="11–20%"/>
    <x v="1"/>
    <x v="7"/>
  </r>
  <r>
    <x v="986"/>
    <d v="2025-04-26T00:00:00"/>
    <n v="15"/>
    <s v="T024"/>
    <x v="0"/>
    <n v="966.91"/>
    <x v="1"/>
    <n v="966.91"/>
    <n v="1"/>
    <s v="Walk-in"/>
    <n v="966.91"/>
    <s v="OK"/>
    <x v="4"/>
    <x v="1"/>
    <s v="0%"/>
    <x v="0"/>
    <x v="0"/>
  </r>
  <r>
    <x v="987"/>
    <d v="2025-06-11T00:00:00"/>
    <n v="16"/>
    <s v="T015"/>
    <x v="3"/>
    <n v="445.19"/>
    <x v="3"/>
    <n v="400.67"/>
    <n v="1"/>
    <s v="Walk-in"/>
    <n v="400.67"/>
    <s v="OK"/>
    <x v="3"/>
    <x v="0"/>
    <s v="1–_x000a_10%"/>
    <x v="2"/>
    <x v="4"/>
  </r>
  <r>
    <x v="988"/>
    <d v="2025-04-09T00:00:00"/>
    <n v="15"/>
    <s v="T011"/>
    <x v="0"/>
    <n v="389.42"/>
    <x v="1"/>
    <n v="389.42"/>
    <n v="2"/>
    <s v="Walk-in"/>
    <n v="389.42"/>
    <s v="OK"/>
    <x v="4"/>
    <x v="0"/>
    <s v="0%"/>
    <x v="1"/>
    <x v="10"/>
  </r>
  <r>
    <x v="989"/>
    <d v="2025-04-09T00:00:00"/>
    <n v="17"/>
    <s v="T017"/>
    <x v="0"/>
    <n v="422.18"/>
    <x v="0"/>
    <n v="358.85"/>
    <n v="2"/>
    <s v="Walk-in"/>
    <n v="358.85"/>
    <s v="OK"/>
    <x v="4"/>
    <x v="0"/>
    <s v="11–20%"/>
    <x v="4"/>
    <x v="8"/>
  </r>
  <r>
    <x v="990"/>
    <d v="2025-01-23T00:00:00"/>
    <n v="17"/>
    <s v="T017"/>
    <x v="0"/>
    <n v="330.69"/>
    <x v="1"/>
    <n v="330.69"/>
    <n v="6"/>
    <s v="Walk-in"/>
    <n v="330.69"/>
    <s v="OK"/>
    <x v="2"/>
    <x v="0"/>
    <s v="0%"/>
    <x v="4"/>
    <x v="8"/>
  </r>
  <r>
    <x v="991"/>
    <d v="2025-01-31T00:00:00"/>
    <n v="15"/>
    <s v="T017"/>
    <x v="0"/>
    <n v="1450.27"/>
    <x v="3"/>
    <n v="1305.24"/>
    <n v="2"/>
    <s v="Walk-in"/>
    <n v="1305.24"/>
    <s v="OK"/>
    <x v="2"/>
    <x v="0"/>
    <s v="1–_x000a_10%"/>
    <x v="4"/>
    <x v="8"/>
  </r>
  <r>
    <x v="992"/>
    <d v="2025-03-17T00:00:00"/>
    <n v="19"/>
    <s v="T002"/>
    <x v="3"/>
    <n v="1937"/>
    <x v="5"/>
    <n v="1840.15"/>
    <n v="4"/>
    <s v="Walk-in"/>
    <n v="1840.15"/>
    <s v="OK"/>
    <x v="5"/>
    <x v="0"/>
    <s v="1–_x000a_10%"/>
    <x v="4"/>
    <x v="9"/>
  </r>
  <r>
    <x v="993"/>
    <d v="2025-05-17T00:00:00"/>
    <n v="12"/>
    <s v="T019"/>
    <x v="3"/>
    <n v="362.65"/>
    <x v="0"/>
    <n v="308.25"/>
    <n v="4"/>
    <s v="Member"/>
    <n v="308.25"/>
    <s v="OK"/>
    <x v="1"/>
    <x v="1"/>
    <s v="11–20%"/>
    <x v="0"/>
    <x v="0"/>
  </r>
  <r>
    <x v="994"/>
    <d v="2025-02-23T00:00:00"/>
    <n v="22"/>
    <s v="T022"/>
    <x v="2"/>
    <n v="1152.02"/>
    <x v="3"/>
    <n v="1036.82"/>
    <n v="3"/>
    <s v="Member"/>
    <n v="1036.82"/>
    <s v="OK"/>
    <x v="0"/>
    <x v="1"/>
    <s v="1–_x000a_10%"/>
    <x v="4"/>
    <x v="8"/>
  </r>
  <r>
    <x v="995"/>
    <d v="2025-05-04T00:00:00"/>
    <n v="11"/>
    <s v="T009"/>
    <x v="1"/>
    <n v="474.4"/>
    <x v="4"/>
    <n v="379.52"/>
    <n v="2"/>
    <s v="Member"/>
    <n v="379.52"/>
    <s v="OK"/>
    <x v="1"/>
    <x v="1"/>
    <s v="11–20%"/>
    <x v="0"/>
    <x v="6"/>
  </r>
  <r>
    <x v="996"/>
    <d v="2025-02-11T00:00:00"/>
    <n v="18"/>
    <s v="T009"/>
    <x v="0"/>
    <n v="417.8"/>
    <x v="3"/>
    <n v="376.02"/>
    <n v="2"/>
    <s v="Walk-in"/>
    <n v="376.02"/>
    <s v="OK"/>
    <x v="0"/>
    <x v="0"/>
    <s v="1–_x000a_10%"/>
    <x v="0"/>
    <x v="6"/>
  </r>
  <r>
    <x v="997"/>
    <d v="2025-06-24T00:00:00"/>
    <n v="13"/>
    <s v="T017"/>
    <x v="0"/>
    <n v="390.91"/>
    <x v="3"/>
    <n v="351.82"/>
    <n v="1"/>
    <s v="Walk-in"/>
    <n v="351.82"/>
    <s v="OK"/>
    <x v="3"/>
    <x v="0"/>
    <s v="1–_x000a_10%"/>
    <x v="4"/>
    <x v="8"/>
  </r>
  <r>
    <x v="998"/>
    <d v="2025-03-22T00:00:00"/>
    <n v="13"/>
    <s v="T020"/>
    <x v="2"/>
    <n v="1153.92"/>
    <x v="0"/>
    <n v="980.83"/>
    <n v="5"/>
    <s v="Member"/>
    <n v="980.83"/>
    <s v="OK"/>
    <x v="5"/>
    <x v="1"/>
    <s v="11–20%"/>
    <x v="2"/>
    <x v="2"/>
  </r>
  <r>
    <x v="999"/>
    <d v="2025-03-17T00:00:00"/>
    <n v="19"/>
    <s v="T022"/>
    <x v="0"/>
    <n v="438.74"/>
    <x v="1"/>
    <n v="438.74"/>
    <n v="4"/>
    <s v="Member"/>
    <n v="438.74"/>
    <s v="OK"/>
    <x v="5"/>
    <x v="0"/>
    <s v="0%"/>
    <x v="4"/>
    <x v="8"/>
  </r>
  <r>
    <x v="1000"/>
    <d v="2025-01-23T00:00:00"/>
    <n v="14"/>
    <s v="T014"/>
    <x v="3"/>
    <n v="1092.06"/>
    <x v="1"/>
    <n v="1092.06"/>
    <n v="1"/>
    <s v="Member"/>
    <n v="1092.06"/>
    <s v="OK"/>
    <x v="2"/>
    <x v="0"/>
    <s v="0%"/>
    <x v="0"/>
    <x v="6"/>
  </r>
  <r>
    <x v="1001"/>
    <d v="2025-05-23T00:00:00"/>
    <n v="22"/>
    <s v="T009"/>
    <x v="3"/>
    <n v="846.9"/>
    <x v="1"/>
    <n v="846.9"/>
    <n v="5"/>
    <s v="Walk-in"/>
    <n v="846.9"/>
    <s v="OK"/>
    <x v="1"/>
    <x v="0"/>
    <s v="0%"/>
    <x v="0"/>
    <x v="6"/>
  </r>
  <r>
    <x v="1002"/>
    <d v="2025-05-07T00:00:00"/>
    <n v="17"/>
    <s v="T017"/>
    <x v="1"/>
    <n v="583.17999999999995"/>
    <x v="3"/>
    <n v="524.86"/>
    <n v="3"/>
    <s v="Walk-in"/>
    <n v="524.86"/>
    <s v="OK"/>
    <x v="1"/>
    <x v="0"/>
    <s v="1–_x000a_10%"/>
    <x v="4"/>
    <x v="8"/>
  </r>
  <r>
    <x v="1003"/>
    <d v="2025-04-29T00:00:00"/>
    <n v="15"/>
    <s v="T001"/>
    <x v="0"/>
    <n v="966"/>
    <x v="5"/>
    <n v="917.7"/>
    <n v="2"/>
    <s v="Walk-in"/>
    <n v="917.7"/>
    <s v="OK"/>
    <x v="4"/>
    <x v="0"/>
    <s v="1–_x000a_10%"/>
    <x v="1"/>
    <x v="7"/>
  </r>
  <r>
    <x v="1004"/>
    <d v="2025-05-26T00:00:00"/>
    <n v="15"/>
    <s v="T013"/>
    <x v="2"/>
    <n v="1290.26"/>
    <x v="1"/>
    <n v="1290.26"/>
    <n v="2"/>
    <s v="Member"/>
    <n v="1290.26"/>
    <s v="OK"/>
    <x v="1"/>
    <x v="0"/>
    <s v="0%"/>
    <x v="3"/>
    <x v="11"/>
  </r>
  <r>
    <x v="1005"/>
    <d v="2025-02-11T00:00:00"/>
    <n v="20"/>
    <s v="T025"/>
    <x v="1"/>
    <n v="769.46"/>
    <x v="1"/>
    <n v="769.46"/>
    <n v="2"/>
    <s v="Walk-in"/>
    <n v="769.46"/>
    <s v="OK"/>
    <x v="0"/>
    <x v="0"/>
    <s v="0%"/>
    <x v="2"/>
    <x v="2"/>
  </r>
  <r>
    <x v="1006"/>
    <d v="2025-05-06T00:00:00"/>
    <n v="13"/>
    <s v="T026"/>
    <x v="2"/>
    <n v="839.74"/>
    <x v="1"/>
    <n v="839.74"/>
    <n v="1"/>
    <s v="Walk-in"/>
    <n v="839.74"/>
    <s v="OK"/>
    <x v="1"/>
    <x v="0"/>
    <s v="0%"/>
    <x v="1"/>
    <x v="10"/>
  </r>
  <r>
    <x v="1007"/>
    <d v="2025-05-24T00:00:00"/>
    <n v="15"/>
    <s v="T027"/>
    <x v="2"/>
    <n v="967.99"/>
    <x v="3"/>
    <n v="871.19"/>
    <n v="1"/>
    <s v="Walk-in"/>
    <n v="871.19"/>
    <s v="OK"/>
    <x v="1"/>
    <x v="1"/>
    <s v="1–_x000a_10%"/>
    <x v="4"/>
    <x v="9"/>
  </r>
  <r>
    <x v="1008"/>
    <d v="2025-01-09T00:00:00"/>
    <n v="21"/>
    <s v="T017"/>
    <x v="0"/>
    <n v="900.22"/>
    <x v="1"/>
    <n v="900.22"/>
    <n v="3"/>
    <s v="Walk-in"/>
    <n v="900.22"/>
    <s v="OK"/>
    <x v="2"/>
    <x v="0"/>
    <s v="0%"/>
    <x v="4"/>
    <x v="8"/>
  </r>
  <r>
    <x v="1009"/>
    <d v="2025-05-20T00:00:00"/>
    <n v="13"/>
    <s v="T011"/>
    <x v="3"/>
    <n v="1158.04"/>
    <x v="1"/>
    <n v="1158.04"/>
    <n v="4"/>
    <s v="Member"/>
    <n v="1158.04"/>
    <s v="OK"/>
    <x v="1"/>
    <x v="0"/>
    <s v="0%"/>
    <x v="1"/>
    <x v="10"/>
  </r>
  <r>
    <x v="1010"/>
    <d v="2025-02-20T00:00:00"/>
    <n v="17"/>
    <s v="T016"/>
    <x v="2"/>
    <n v="949.03"/>
    <x v="2"/>
    <n v="664.32"/>
    <n v="5"/>
    <s v="Member"/>
    <n v="664.32"/>
    <s v="OK"/>
    <x v="0"/>
    <x v="0"/>
    <s v="&gt;20%"/>
    <x v="1"/>
    <x v="1"/>
  </r>
  <r>
    <x v="1011"/>
    <d v="2025-03-12T00:00:00"/>
    <n v="17"/>
    <s v="T030"/>
    <x v="0"/>
    <n v="1289.17"/>
    <x v="3"/>
    <n v="1160.25"/>
    <n v="6"/>
    <s v="Walk-in"/>
    <n v="1160.25"/>
    <s v="OK"/>
    <x v="5"/>
    <x v="0"/>
    <s v="1–_x000a_10%"/>
    <x v="2"/>
    <x v="2"/>
  </r>
  <r>
    <x v="1012"/>
    <d v="2025-03-07T00:00:00"/>
    <n v="13"/>
    <s v="T005"/>
    <x v="2"/>
    <n v="282.60000000000002"/>
    <x v="0"/>
    <n v="240.21"/>
    <n v="1"/>
    <s v="Walk-in"/>
    <n v="240.21"/>
    <s v="OK"/>
    <x v="5"/>
    <x v="0"/>
    <s v="11–20%"/>
    <x v="2"/>
    <x v="4"/>
  </r>
  <r>
    <x v="1013"/>
    <d v="2025-05-06T00:00:00"/>
    <n v="10"/>
    <s v="T013"/>
    <x v="2"/>
    <n v="570.35"/>
    <x v="4"/>
    <n v="456.28"/>
    <n v="1"/>
    <s v="Member"/>
    <n v="456.28"/>
    <s v="OK"/>
    <x v="1"/>
    <x v="0"/>
    <s v="11–20%"/>
    <x v="3"/>
    <x v="11"/>
  </r>
  <r>
    <x v="1014"/>
    <d v="2025-02-14T00:00:00"/>
    <n v="10"/>
    <s v="T029"/>
    <x v="0"/>
    <n v="2162.59"/>
    <x v="1"/>
    <n v="2162.59"/>
    <n v="1"/>
    <s v="Walk-in"/>
    <n v="2162.59"/>
    <s v="OK"/>
    <x v="0"/>
    <x v="0"/>
    <s v="0%"/>
    <x v="0"/>
    <x v="6"/>
  </r>
  <r>
    <x v="1015"/>
    <d v="2025-02-02T00:00:00"/>
    <n v="14"/>
    <s v="T026"/>
    <x v="2"/>
    <n v="1074.52"/>
    <x v="0"/>
    <n v="913.34"/>
    <n v="3"/>
    <s v="Walk-in"/>
    <n v="913.34"/>
    <s v="OK"/>
    <x v="0"/>
    <x v="1"/>
    <s v="11–20%"/>
    <x v="1"/>
    <x v="10"/>
  </r>
  <r>
    <x v="1016"/>
    <d v="2025-03-02T00:00:00"/>
    <n v="17"/>
    <s v="T019"/>
    <x v="2"/>
    <n v="1321.39"/>
    <x v="0"/>
    <n v="1123.18"/>
    <n v="1"/>
    <s v="Walk-in"/>
    <n v="1123.18"/>
    <s v="OK"/>
    <x v="5"/>
    <x v="1"/>
    <s v="11–20%"/>
    <x v="0"/>
    <x v="0"/>
  </r>
  <r>
    <x v="1017"/>
    <d v="2025-05-08T00:00:00"/>
    <n v="19"/>
    <s v="T027"/>
    <x v="0"/>
    <n v="576.94000000000005"/>
    <x v="4"/>
    <n v="461.55"/>
    <n v="1"/>
    <s v="Walk-in"/>
    <n v="461.55"/>
    <s v="OK"/>
    <x v="1"/>
    <x v="0"/>
    <s v="11–20%"/>
    <x v="4"/>
    <x v="9"/>
  </r>
  <r>
    <x v="1018"/>
    <d v="2025-02-01T00:00:00"/>
    <n v="18"/>
    <s v="T008"/>
    <x v="0"/>
    <n v="1164.76"/>
    <x v="1"/>
    <n v="1164.76"/>
    <n v="3"/>
    <s v="Walk-in"/>
    <n v="1164.76"/>
    <s v="OK"/>
    <x v="0"/>
    <x v="1"/>
    <s v="0%"/>
    <x v="3"/>
    <x v="5"/>
  </r>
  <r>
    <x v="1019"/>
    <d v="2025-06-11T00:00:00"/>
    <n v="18"/>
    <s v="T011"/>
    <x v="0"/>
    <n v="652.15"/>
    <x v="0"/>
    <n v="554.33000000000004"/>
    <n v="5"/>
    <s v="Walk-in"/>
    <n v="554.33000000000004"/>
    <s v="OK"/>
    <x v="3"/>
    <x v="0"/>
    <s v="11–20%"/>
    <x v="1"/>
    <x v="10"/>
  </r>
  <r>
    <x v="1020"/>
    <d v="2025-05-03T00:00:00"/>
    <n v="10"/>
    <s v="T001"/>
    <x v="2"/>
    <n v="1191.29"/>
    <x v="3"/>
    <n v="1072.1600000000001"/>
    <n v="2"/>
    <s v="Walk-in"/>
    <n v="1072.1600000000001"/>
    <s v="OK"/>
    <x v="1"/>
    <x v="1"/>
    <s v="1–_x000a_10%"/>
    <x v="1"/>
    <x v="7"/>
  </r>
  <r>
    <x v="1021"/>
    <d v="2025-01-29T00:00:00"/>
    <n v="10"/>
    <s v="T010"/>
    <x v="0"/>
    <n v="3295.01"/>
    <x v="1"/>
    <n v="3295.01"/>
    <n v="2"/>
    <s v="Walk-in"/>
    <n v="3295.01"/>
    <s v="OK"/>
    <x v="2"/>
    <x v="0"/>
    <s v="0%"/>
    <x v="2"/>
    <x v="4"/>
  </r>
  <r>
    <x v="1022"/>
    <d v="2025-06-23T00:00:00"/>
    <n v="15"/>
    <s v="T020"/>
    <x v="0"/>
    <n v="1171.02"/>
    <x v="1"/>
    <n v="1171.02"/>
    <n v="1"/>
    <s v="Walk-in"/>
    <n v="1171.02"/>
    <s v="OK"/>
    <x v="3"/>
    <x v="0"/>
    <s v="0%"/>
    <x v="2"/>
    <x v="2"/>
  </r>
  <r>
    <x v="1023"/>
    <d v="2025-06-06T00:00:00"/>
    <n v="18"/>
    <s v="T030"/>
    <x v="0"/>
    <n v="815.07"/>
    <x v="1"/>
    <n v="815.07"/>
    <n v="2"/>
    <s v="Member"/>
    <n v="815.07"/>
    <s v="OK"/>
    <x v="3"/>
    <x v="0"/>
    <s v="0%"/>
    <x v="2"/>
    <x v="2"/>
  </r>
  <r>
    <x v="1024"/>
    <d v="2025-02-06T00:00:00"/>
    <n v="18"/>
    <s v="T009"/>
    <x v="0"/>
    <n v="448.8"/>
    <x v="3"/>
    <n v="403.92"/>
    <n v="3"/>
    <s v="Member"/>
    <n v="403.92"/>
    <s v="OK"/>
    <x v="0"/>
    <x v="0"/>
    <s v="1–_x000a_10%"/>
    <x v="0"/>
    <x v="6"/>
  </r>
  <r>
    <x v="1025"/>
    <d v="2025-03-17T00:00:00"/>
    <n v="12"/>
    <s v="T027"/>
    <x v="2"/>
    <n v="1060.73"/>
    <x v="3"/>
    <n v="954.66"/>
    <n v="1"/>
    <s v="Member"/>
    <n v="954.66"/>
    <s v="OK"/>
    <x v="5"/>
    <x v="0"/>
    <s v="1–_x000a_10%"/>
    <x v="4"/>
    <x v="9"/>
  </r>
  <r>
    <x v="1026"/>
    <d v="2025-06-22T00:00:00"/>
    <n v="20"/>
    <s v="T020"/>
    <x v="2"/>
    <n v="1832.04"/>
    <x v="3"/>
    <n v="1648.84"/>
    <n v="5"/>
    <s v="Walk-in"/>
    <n v="1648.84"/>
    <s v="OK"/>
    <x v="3"/>
    <x v="1"/>
    <s v="1–_x000a_10%"/>
    <x v="2"/>
    <x v="2"/>
  </r>
  <r>
    <x v="1027"/>
    <d v="2025-02-02T00:00:00"/>
    <n v="12"/>
    <s v="T004"/>
    <x v="0"/>
    <n v="976.69"/>
    <x v="1"/>
    <n v="976.69"/>
    <n v="1"/>
    <s v="Walk-in"/>
    <n v="976.69"/>
    <s v="OK"/>
    <x v="0"/>
    <x v="1"/>
    <s v="0%"/>
    <x v="0"/>
    <x v="0"/>
  </r>
  <r>
    <x v="1028"/>
    <d v="2025-02-15T00:00:00"/>
    <n v="14"/>
    <s v="T013"/>
    <x v="0"/>
    <n v="2381.19"/>
    <x v="5"/>
    <n v="2262.13"/>
    <n v="3"/>
    <s v="Member"/>
    <n v="2262.13"/>
    <s v="OK"/>
    <x v="0"/>
    <x v="1"/>
    <s v="1–_x000a_10%"/>
    <x v="3"/>
    <x v="11"/>
  </r>
  <r>
    <x v="1029"/>
    <d v="2025-04-04T00:00:00"/>
    <n v="16"/>
    <s v="T003"/>
    <x v="2"/>
    <n v="993.88"/>
    <x v="1"/>
    <n v="993.88"/>
    <n v="1"/>
    <s v="Member"/>
    <n v="993.88"/>
    <s v="OK"/>
    <x v="4"/>
    <x v="0"/>
    <s v="0%"/>
    <x v="3"/>
    <x v="3"/>
  </r>
  <r>
    <x v="1030"/>
    <d v="2025-04-03T00:00:00"/>
    <n v="12"/>
    <s v="T030"/>
    <x v="0"/>
    <n v="1536.09"/>
    <x v="1"/>
    <n v="1536.09"/>
    <n v="3"/>
    <s v="Member"/>
    <n v="1536.09"/>
    <s v="OK"/>
    <x v="4"/>
    <x v="0"/>
    <s v="0%"/>
    <x v="2"/>
    <x v="2"/>
  </r>
  <r>
    <x v="1031"/>
    <d v="2025-02-27T00:00:00"/>
    <n v="15"/>
    <s v="T013"/>
    <x v="3"/>
    <n v="1120.3900000000001"/>
    <x v="1"/>
    <n v="1120.3900000000001"/>
    <n v="6"/>
    <s v="Member"/>
    <n v="1120.3900000000001"/>
    <s v="OK"/>
    <x v="0"/>
    <x v="0"/>
    <s v="0%"/>
    <x v="3"/>
    <x v="11"/>
  </r>
  <r>
    <x v="1032"/>
    <d v="2025-02-08T00:00:00"/>
    <n v="18"/>
    <s v="T011"/>
    <x v="2"/>
    <n v="4049.61"/>
    <x v="1"/>
    <n v="4049.61"/>
    <n v="2"/>
    <s v="Member"/>
    <n v="4049.61"/>
    <s v="OK"/>
    <x v="0"/>
    <x v="1"/>
    <s v="0%"/>
    <x v="1"/>
    <x v="10"/>
  </r>
  <r>
    <x v="1033"/>
    <d v="2025-03-30T00:00:00"/>
    <n v="13"/>
    <s v="T012"/>
    <x v="0"/>
    <n v="1777.95"/>
    <x v="4"/>
    <n v="1422.36"/>
    <n v="3"/>
    <s v="Walk-in"/>
    <n v="1422.36"/>
    <s v="OK"/>
    <x v="5"/>
    <x v="1"/>
    <s v="11–20%"/>
    <x v="4"/>
    <x v="9"/>
  </r>
  <r>
    <x v="1034"/>
    <d v="2025-03-30T00:00:00"/>
    <n v="11"/>
    <s v="T021"/>
    <x v="0"/>
    <n v="457.99"/>
    <x v="4"/>
    <n v="366.39"/>
    <n v="6"/>
    <s v="Member"/>
    <n v="366.39"/>
    <s v="OK"/>
    <x v="5"/>
    <x v="1"/>
    <s v="11–20%"/>
    <x v="1"/>
    <x v="1"/>
  </r>
  <r>
    <x v="1035"/>
    <d v="2025-01-13T00:00:00"/>
    <n v="11"/>
    <s v="T012"/>
    <x v="2"/>
    <n v="1359.23"/>
    <x v="0"/>
    <n v="1155.3499999999999"/>
    <n v="4"/>
    <s v="Walk-in"/>
    <n v="1155.3499999999999"/>
    <s v="OK"/>
    <x v="2"/>
    <x v="0"/>
    <s v="11–20%"/>
    <x v="4"/>
    <x v="9"/>
  </r>
  <r>
    <x v="1036"/>
    <d v="2025-02-03T00:00:00"/>
    <n v="14"/>
    <s v="T005"/>
    <x v="0"/>
    <n v="326.51"/>
    <x v="0"/>
    <n v="277.52999999999997"/>
    <n v="1"/>
    <s v="Walk-in"/>
    <n v="277.52999999999997"/>
    <s v="OK"/>
    <x v="0"/>
    <x v="0"/>
    <s v="11–20%"/>
    <x v="2"/>
    <x v="4"/>
  </r>
  <r>
    <x v="1037"/>
    <d v="2025-06-05T00:00:00"/>
    <n v="13"/>
    <s v="T024"/>
    <x v="2"/>
    <n v="1070.9100000000001"/>
    <x v="0"/>
    <n v="910.27"/>
    <n v="2"/>
    <s v="Member"/>
    <n v="910.27"/>
    <s v="OK"/>
    <x v="3"/>
    <x v="0"/>
    <s v="11–20%"/>
    <x v="0"/>
    <x v="0"/>
  </r>
  <r>
    <x v="1038"/>
    <d v="2025-05-01T00:00:00"/>
    <n v="12"/>
    <s v="T002"/>
    <x v="0"/>
    <n v="610.96"/>
    <x v="5"/>
    <n v="580.41"/>
    <n v="1"/>
    <s v="Member"/>
    <n v="580.41"/>
    <s v="OK"/>
    <x v="1"/>
    <x v="0"/>
    <s v="1–_x000a_10%"/>
    <x v="4"/>
    <x v="9"/>
  </r>
  <r>
    <x v="1039"/>
    <d v="2025-01-27T00:00:00"/>
    <n v="13"/>
    <s v="T013"/>
    <x v="0"/>
    <n v="805.27"/>
    <x v="1"/>
    <n v="805.27"/>
    <n v="2"/>
    <s v="Walk-in"/>
    <n v="805.27"/>
    <s v="OK"/>
    <x v="2"/>
    <x v="0"/>
    <s v="0%"/>
    <x v="3"/>
    <x v="11"/>
  </r>
  <r>
    <x v="1040"/>
    <d v="2025-04-15T00:00:00"/>
    <n v="12"/>
    <s v="T004"/>
    <x v="2"/>
    <n v="1081.73"/>
    <x v="1"/>
    <n v="1081.73"/>
    <n v="1"/>
    <s v="Walk-in"/>
    <n v="1081.73"/>
    <s v="OK"/>
    <x v="4"/>
    <x v="0"/>
    <s v="0%"/>
    <x v="0"/>
    <x v="0"/>
  </r>
  <r>
    <x v="1041"/>
    <d v="2025-03-05T00:00:00"/>
    <n v="19"/>
    <s v="T003"/>
    <x v="0"/>
    <n v="921.26"/>
    <x v="1"/>
    <n v="921.26"/>
    <n v="1"/>
    <s v="Walk-in"/>
    <n v="921.26"/>
    <s v="OK"/>
    <x v="5"/>
    <x v="0"/>
    <s v="0%"/>
    <x v="3"/>
    <x v="3"/>
  </r>
  <r>
    <x v="1042"/>
    <d v="2025-06-28T00:00:00"/>
    <n v="20"/>
    <s v="T002"/>
    <x v="2"/>
    <n v="2002.87"/>
    <x v="5"/>
    <n v="1902.73"/>
    <n v="2"/>
    <s v="Walk-in"/>
    <n v="1902.73"/>
    <s v="OK"/>
    <x v="3"/>
    <x v="1"/>
    <s v="1–_x000a_10%"/>
    <x v="4"/>
    <x v="9"/>
  </r>
  <r>
    <x v="1043"/>
    <d v="2025-05-12T00:00:00"/>
    <n v="22"/>
    <s v="T027"/>
    <x v="0"/>
    <n v="519.75"/>
    <x v="1"/>
    <n v="519.75"/>
    <n v="1"/>
    <s v="Walk-in"/>
    <n v="519.75"/>
    <s v="OK"/>
    <x v="1"/>
    <x v="0"/>
    <s v="0%"/>
    <x v="4"/>
    <x v="9"/>
  </r>
  <r>
    <x v="1044"/>
    <d v="2025-04-17T00:00:00"/>
    <n v="10"/>
    <s v="T012"/>
    <x v="2"/>
    <n v="4717.4399999999996"/>
    <x v="0"/>
    <n v="4009.82"/>
    <n v="2"/>
    <s v="Walk-in"/>
    <n v="4009.82"/>
    <s v="OK"/>
    <x v="4"/>
    <x v="0"/>
    <s v="11–20%"/>
    <x v="4"/>
    <x v="9"/>
  </r>
  <r>
    <x v="1045"/>
    <d v="2025-02-19T00:00:00"/>
    <n v="18"/>
    <s v="T024"/>
    <x v="0"/>
    <n v="1007.49"/>
    <x v="3"/>
    <n v="906.74"/>
    <n v="3"/>
    <s v="Walk-in"/>
    <n v="906.74"/>
    <s v="OK"/>
    <x v="0"/>
    <x v="0"/>
    <s v="1–_x000a_10%"/>
    <x v="0"/>
    <x v="0"/>
  </r>
  <r>
    <x v="1046"/>
    <d v="2025-05-12T00:00:00"/>
    <n v="10"/>
    <s v="T013"/>
    <x v="2"/>
    <n v="1646.31"/>
    <x v="4"/>
    <n v="1317.05"/>
    <n v="3"/>
    <s v="Walk-in"/>
    <n v="1317.05"/>
    <s v="OK"/>
    <x v="1"/>
    <x v="0"/>
    <s v="11–20%"/>
    <x v="3"/>
    <x v="11"/>
  </r>
  <r>
    <x v="1047"/>
    <d v="2025-05-21T00:00:00"/>
    <n v="20"/>
    <s v="T025"/>
    <x v="0"/>
    <n v="3896.73"/>
    <x v="1"/>
    <n v="3896.73"/>
    <n v="1"/>
    <s v="Member"/>
    <n v="3896.73"/>
    <s v="OK"/>
    <x v="1"/>
    <x v="0"/>
    <s v="0%"/>
    <x v="2"/>
    <x v="2"/>
  </r>
  <r>
    <x v="1048"/>
    <d v="2025-01-29T00:00:00"/>
    <n v="10"/>
    <s v="T012"/>
    <x v="0"/>
    <n v="1741.78"/>
    <x v="3"/>
    <n v="1567.6"/>
    <n v="3"/>
    <s v="Walk-in"/>
    <n v="1567.6"/>
    <s v="OK"/>
    <x v="2"/>
    <x v="0"/>
    <s v="1–_x000a_10%"/>
    <x v="4"/>
    <x v="9"/>
  </r>
  <r>
    <x v="1049"/>
    <d v="2025-01-19T00:00:00"/>
    <n v="15"/>
    <s v="T023"/>
    <x v="2"/>
    <n v="2113.7199999999998"/>
    <x v="2"/>
    <n v="1479.6"/>
    <n v="1"/>
    <s v="Member"/>
    <n v="1479.6"/>
    <s v="OK"/>
    <x v="2"/>
    <x v="1"/>
    <s v="&gt;20%"/>
    <x v="3"/>
    <x v="11"/>
  </r>
  <r>
    <x v="1050"/>
    <d v="2025-02-18T00:00:00"/>
    <n v="11"/>
    <s v="T030"/>
    <x v="0"/>
    <n v="1023.22"/>
    <x v="0"/>
    <n v="869.74"/>
    <n v="2"/>
    <s v="Walk-in"/>
    <n v="869.74"/>
    <s v="OK"/>
    <x v="0"/>
    <x v="0"/>
    <s v="11–20%"/>
    <x v="2"/>
    <x v="2"/>
  </r>
  <r>
    <x v="1051"/>
    <d v="2025-05-02T00:00:00"/>
    <n v="21"/>
    <s v="T010"/>
    <x v="0"/>
    <n v="489.05"/>
    <x v="3"/>
    <n v="440.15"/>
    <n v="5"/>
    <s v="Member"/>
    <n v="440.15"/>
    <s v="OK"/>
    <x v="1"/>
    <x v="0"/>
    <s v="1–_x000a_10%"/>
    <x v="2"/>
    <x v="4"/>
  </r>
  <r>
    <x v="1052"/>
    <d v="2025-03-28T00:00:00"/>
    <n v="11"/>
    <s v="T022"/>
    <x v="0"/>
    <n v="2801"/>
    <x v="3"/>
    <n v="2520.9"/>
    <n v="4"/>
    <s v="Walk-in"/>
    <n v="2520.9"/>
    <s v="OK"/>
    <x v="5"/>
    <x v="0"/>
    <s v="1–_x000a_10%"/>
    <x v="4"/>
    <x v="8"/>
  </r>
  <r>
    <x v="1053"/>
    <d v="2025-04-29T00:00:00"/>
    <n v="21"/>
    <s v="T008"/>
    <x v="2"/>
    <n v="1393.78"/>
    <x v="0"/>
    <n v="1184.71"/>
    <n v="3"/>
    <s v="Walk-in"/>
    <n v="1184.71"/>
    <s v="OK"/>
    <x v="4"/>
    <x v="0"/>
    <s v="11–20%"/>
    <x v="3"/>
    <x v="5"/>
  </r>
  <r>
    <x v="1054"/>
    <d v="2025-04-16T00:00:00"/>
    <n v="12"/>
    <s v="T019"/>
    <x v="0"/>
    <n v="993.18"/>
    <x v="1"/>
    <n v="993.18"/>
    <n v="1"/>
    <s v="Member"/>
    <n v="993.18"/>
    <s v="OK"/>
    <x v="4"/>
    <x v="0"/>
    <s v="0%"/>
    <x v="0"/>
    <x v="0"/>
  </r>
  <r>
    <x v="1055"/>
    <d v="2025-02-01T00:00:00"/>
    <n v="20"/>
    <s v="T012"/>
    <x v="2"/>
    <n v="911.57"/>
    <x v="1"/>
    <n v="911.57"/>
    <n v="5"/>
    <s v="Walk-in"/>
    <n v="911.57"/>
    <s v="OK"/>
    <x v="0"/>
    <x v="1"/>
    <s v="0%"/>
    <x v="4"/>
    <x v="9"/>
  </r>
  <r>
    <x v="1056"/>
    <d v="2025-06-29T00:00:00"/>
    <n v="10"/>
    <s v="T025"/>
    <x v="3"/>
    <n v="535.5"/>
    <x v="3"/>
    <n v="481.95"/>
    <n v="1"/>
    <s v="Walk-in"/>
    <n v="481.95"/>
    <s v="OK"/>
    <x v="3"/>
    <x v="1"/>
    <s v="1–_x000a_10%"/>
    <x v="2"/>
    <x v="2"/>
  </r>
  <r>
    <x v="1057"/>
    <d v="2025-06-23T00:00:00"/>
    <n v="20"/>
    <s v="T017"/>
    <x v="0"/>
    <n v="681.61"/>
    <x v="4"/>
    <n v="545.29"/>
    <n v="2"/>
    <s v="Walk-in"/>
    <n v="545.29"/>
    <s v="OK"/>
    <x v="3"/>
    <x v="0"/>
    <s v="11–20%"/>
    <x v="4"/>
    <x v="8"/>
  </r>
  <r>
    <x v="1058"/>
    <d v="2025-05-16T00:00:00"/>
    <n v="10"/>
    <s v="T023"/>
    <x v="3"/>
    <n v="979.61"/>
    <x v="4"/>
    <n v="783.69"/>
    <n v="1"/>
    <s v="Walk-in"/>
    <n v="783.69"/>
    <s v="OK"/>
    <x v="1"/>
    <x v="0"/>
    <s v="11–20%"/>
    <x v="3"/>
    <x v="11"/>
  </r>
  <r>
    <x v="1059"/>
    <d v="2025-05-10T00:00:00"/>
    <n v="10"/>
    <s v="T001"/>
    <x v="2"/>
    <n v="1805.82"/>
    <x v="1"/>
    <n v="1805.82"/>
    <n v="2"/>
    <s v="Member"/>
    <n v="1805.82"/>
    <s v="OK"/>
    <x v="1"/>
    <x v="1"/>
    <s v="0%"/>
    <x v="1"/>
    <x v="7"/>
  </r>
  <r>
    <x v="1060"/>
    <d v="2025-04-13T00:00:00"/>
    <n v="17"/>
    <s v="T020"/>
    <x v="0"/>
    <n v="2900.73"/>
    <x v="1"/>
    <n v="2900.73"/>
    <n v="1"/>
    <s v="Member"/>
    <n v="2900.73"/>
    <s v="OK"/>
    <x v="4"/>
    <x v="1"/>
    <s v="0%"/>
    <x v="2"/>
    <x v="2"/>
  </r>
  <r>
    <x v="1061"/>
    <d v="2025-05-05T00:00:00"/>
    <n v="17"/>
    <s v="T027"/>
    <x v="1"/>
    <n v="1110.96"/>
    <x v="3"/>
    <n v="999.86"/>
    <n v="3"/>
    <s v="Walk-in"/>
    <n v="999.86"/>
    <s v="OK"/>
    <x v="1"/>
    <x v="0"/>
    <s v="1–_x000a_10%"/>
    <x v="4"/>
    <x v="9"/>
  </r>
  <r>
    <x v="1062"/>
    <d v="2025-02-01T00:00:00"/>
    <n v="13"/>
    <s v="T030"/>
    <x v="2"/>
    <n v="1517.1"/>
    <x v="1"/>
    <n v="1517.1"/>
    <n v="2"/>
    <s v="Member"/>
    <n v="1517.1"/>
    <s v="OK"/>
    <x v="0"/>
    <x v="1"/>
    <s v="0%"/>
    <x v="2"/>
    <x v="2"/>
  </r>
  <r>
    <x v="1063"/>
    <d v="2025-01-25T00:00:00"/>
    <n v="21"/>
    <s v="T009"/>
    <x v="0"/>
    <n v="2850.76"/>
    <x v="1"/>
    <n v="2850.76"/>
    <n v="1"/>
    <s v="Walk-in"/>
    <n v="2850.76"/>
    <s v="OK"/>
    <x v="2"/>
    <x v="1"/>
    <s v="0%"/>
    <x v="0"/>
    <x v="6"/>
  </r>
  <r>
    <x v="1064"/>
    <d v="2025-06-24T00:00:00"/>
    <n v="16"/>
    <s v="T026"/>
    <x v="0"/>
    <n v="341.89"/>
    <x v="1"/>
    <n v="341.89"/>
    <n v="2"/>
    <s v="Walk-in"/>
    <n v="341.89"/>
    <s v="OK"/>
    <x v="3"/>
    <x v="0"/>
    <s v="0%"/>
    <x v="1"/>
    <x v="10"/>
  </r>
  <r>
    <x v="1065"/>
    <d v="2025-03-27T00:00:00"/>
    <n v="18"/>
    <s v="T015"/>
    <x v="0"/>
    <n v="1398.4"/>
    <x v="4"/>
    <n v="1118.72"/>
    <n v="4"/>
    <s v="Member"/>
    <n v="1118.72"/>
    <s v="OK"/>
    <x v="5"/>
    <x v="0"/>
    <s v="11–20%"/>
    <x v="2"/>
    <x v="4"/>
  </r>
  <r>
    <x v="1066"/>
    <d v="2025-05-27T00:00:00"/>
    <n v="17"/>
    <s v="T010"/>
    <x v="2"/>
    <n v="966.36"/>
    <x v="3"/>
    <n v="869.72"/>
    <n v="3"/>
    <s v="Walk-in"/>
    <n v="869.72"/>
    <s v="OK"/>
    <x v="1"/>
    <x v="0"/>
    <s v="1–_x000a_10%"/>
    <x v="2"/>
    <x v="4"/>
  </r>
  <r>
    <x v="1067"/>
    <d v="2025-01-31T00:00:00"/>
    <n v="18"/>
    <s v="T025"/>
    <x v="0"/>
    <n v="829.87"/>
    <x v="5"/>
    <n v="788.38"/>
    <n v="1"/>
    <s v="Walk-in"/>
    <n v="788.38"/>
    <s v="OK"/>
    <x v="2"/>
    <x v="0"/>
    <s v="1–_x000a_10%"/>
    <x v="2"/>
    <x v="2"/>
  </r>
  <r>
    <x v="1068"/>
    <d v="2025-05-30T00:00:00"/>
    <n v="11"/>
    <s v="T024"/>
    <x v="2"/>
    <n v="1042.49"/>
    <x v="0"/>
    <n v="886.12"/>
    <n v="1"/>
    <s v="Walk-in"/>
    <n v="886.12"/>
    <s v="OK"/>
    <x v="1"/>
    <x v="0"/>
    <s v="11–20%"/>
    <x v="0"/>
    <x v="0"/>
  </r>
  <r>
    <x v="1069"/>
    <d v="2025-05-08T00:00:00"/>
    <n v="11"/>
    <s v="T016"/>
    <x v="0"/>
    <n v="655.01"/>
    <x v="1"/>
    <n v="655.01"/>
    <n v="1"/>
    <s v="Member"/>
    <n v="655.01"/>
    <s v="OK"/>
    <x v="1"/>
    <x v="0"/>
    <s v="0%"/>
    <x v="1"/>
    <x v="1"/>
  </r>
  <r>
    <x v="1070"/>
    <d v="2025-03-17T00:00:00"/>
    <n v="14"/>
    <s v="T028"/>
    <x v="0"/>
    <n v="705.37"/>
    <x v="1"/>
    <n v="705.37"/>
    <n v="2"/>
    <s v="Walk-in"/>
    <n v="705.37"/>
    <s v="OK"/>
    <x v="5"/>
    <x v="0"/>
    <s v="0%"/>
    <x v="3"/>
    <x v="5"/>
  </r>
  <r>
    <x v="1071"/>
    <d v="2025-06-20T00:00:00"/>
    <n v="15"/>
    <s v="T027"/>
    <x v="2"/>
    <n v="382.81"/>
    <x v="1"/>
    <n v="382.81"/>
    <n v="3"/>
    <s v="Walk-in"/>
    <n v="382.81"/>
    <s v="OK"/>
    <x v="3"/>
    <x v="0"/>
    <s v="0%"/>
    <x v="4"/>
    <x v="9"/>
  </r>
  <r>
    <x v="1072"/>
    <d v="2025-05-22T00:00:00"/>
    <n v="22"/>
    <s v="T013"/>
    <x v="1"/>
    <n v="820.23"/>
    <x v="5"/>
    <n v="779.22"/>
    <n v="3"/>
    <s v="Walk-in"/>
    <n v="779.22"/>
    <s v="OK"/>
    <x v="1"/>
    <x v="0"/>
    <s v="1–_x000a_10%"/>
    <x v="3"/>
    <x v="11"/>
  </r>
  <r>
    <x v="1073"/>
    <d v="2025-02-09T00:00:00"/>
    <n v="19"/>
    <s v="T020"/>
    <x v="0"/>
    <n v="1163.4000000000001"/>
    <x v="1"/>
    <n v="1163.4000000000001"/>
    <n v="2"/>
    <s v="Walk-in"/>
    <n v="1163.4000000000001"/>
    <s v="OK"/>
    <x v="0"/>
    <x v="1"/>
    <s v="0%"/>
    <x v="2"/>
    <x v="2"/>
  </r>
  <r>
    <x v="1074"/>
    <d v="2025-05-11T00:00:00"/>
    <n v="21"/>
    <s v="T029"/>
    <x v="0"/>
    <n v="1137.29"/>
    <x v="1"/>
    <n v="1137.29"/>
    <n v="1"/>
    <s v="Walk-in"/>
    <n v="1137.29"/>
    <s v="OK"/>
    <x v="1"/>
    <x v="1"/>
    <s v="0%"/>
    <x v="0"/>
    <x v="6"/>
  </r>
  <r>
    <x v="1075"/>
    <d v="2025-04-20T00:00:00"/>
    <n v="20"/>
    <s v="T019"/>
    <x v="0"/>
    <n v="2571.15"/>
    <x v="1"/>
    <n v="2571.15"/>
    <n v="2"/>
    <s v="Walk-in"/>
    <n v="2571.15"/>
    <s v="OK"/>
    <x v="4"/>
    <x v="1"/>
    <s v="0%"/>
    <x v="0"/>
    <x v="0"/>
  </r>
  <r>
    <x v="1076"/>
    <d v="2025-04-30T00:00:00"/>
    <n v="13"/>
    <s v="T005"/>
    <x v="2"/>
    <n v="1756.55"/>
    <x v="1"/>
    <n v="1756.55"/>
    <n v="3"/>
    <s v="Member"/>
    <n v="1756.55"/>
    <s v="OK"/>
    <x v="4"/>
    <x v="0"/>
    <s v="0%"/>
    <x v="2"/>
    <x v="4"/>
  </r>
  <r>
    <x v="1077"/>
    <d v="2025-05-18T00:00:00"/>
    <n v="19"/>
    <s v="T028"/>
    <x v="0"/>
    <n v="763.69"/>
    <x v="1"/>
    <n v="763.69"/>
    <n v="2"/>
    <s v="Member"/>
    <n v="763.69"/>
    <s v="OK"/>
    <x v="1"/>
    <x v="1"/>
    <s v="0%"/>
    <x v="3"/>
    <x v="5"/>
  </r>
  <r>
    <x v="1078"/>
    <d v="2025-02-01T00:00:00"/>
    <n v="12"/>
    <s v="T030"/>
    <x v="2"/>
    <n v="660.08"/>
    <x v="1"/>
    <n v="660.08"/>
    <n v="1"/>
    <s v="Walk-in"/>
    <n v="660.08"/>
    <s v="OK"/>
    <x v="0"/>
    <x v="1"/>
    <s v="0%"/>
    <x v="2"/>
    <x v="2"/>
  </r>
  <r>
    <x v="1079"/>
    <d v="2025-05-02T00:00:00"/>
    <n v="13"/>
    <s v="T013"/>
    <x v="2"/>
    <n v="942.45"/>
    <x v="3"/>
    <n v="848.21"/>
    <n v="2"/>
    <s v="Member"/>
    <n v="848.21"/>
    <s v="OK"/>
    <x v="1"/>
    <x v="0"/>
    <s v="1–_x000a_10%"/>
    <x v="3"/>
    <x v="11"/>
  </r>
  <r>
    <x v="1080"/>
    <d v="2025-06-19T00:00:00"/>
    <n v="19"/>
    <s v="T016"/>
    <x v="1"/>
    <n v="2078.8000000000002"/>
    <x v="4"/>
    <n v="1663.04"/>
    <n v="2"/>
    <s v="Walk-in"/>
    <n v="1663.04"/>
    <s v="OK"/>
    <x v="3"/>
    <x v="0"/>
    <s v="11–20%"/>
    <x v="1"/>
    <x v="1"/>
  </r>
  <r>
    <x v="1081"/>
    <d v="2025-04-07T00:00:00"/>
    <n v="10"/>
    <s v="T026"/>
    <x v="0"/>
    <n v="2355.1"/>
    <x v="1"/>
    <n v="2355.1"/>
    <n v="5"/>
    <s v="Walk-in"/>
    <n v="2355.1"/>
    <s v="OK"/>
    <x v="4"/>
    <x v="0"/>
    <s v="0%"/>
    <x v="1"/>
    <x v="10"/>
  </r>
  <r>
    <x v="1082"/>
    <d v="2025-02-22T00:00:00"/>
    <n v="14"/>
    <s v="T019"/>
    <x v="1"/>
    <n v="822.47"/>
    <x v="3"/>
    <n v="740.22"/>
    <n v="3"/>
    <s v="Walk-in"/>
    <n v="740.22"/>
    <s v="OK"/>
    <x v="0"/>
    <x v="1"/>
    <s v="1–_x000a_10%"/>
    <x v="0"/>
    <x v="0"/>
  </r>
  <r>
    <x v="1083"/>
    <d v="2025-04-25T00:00:00"/>
    <n v="13"/>
    <s v="T016"/>
    <x v="0"/>
    <n v="446.54"/>
    <x v="1"/>
    <n v="446.54"/>
    <n v="4"/>
    <s v="Member"/>
    <n v="446.54"/>
    <s v="OK"/>
    <x v="4"/>
    <x v="0"/>
    <s v="0%"/>
    <x v="1"/>
    <x v="1"/>
  </r>
  <r>
    <x v="1084"/>
    <d v="2025-05-30T00:00:00"/>
    <n v="20"/>
    <s v="T005"/>
    <x v="1"/>
    <n v="162.16999999999999"/>
    <x v="1"/>
    <n v="162.16999999999999"/>
    <n v="2"/>
    <s v="Walk-in"/>
    <n v="162.16999999999999"/>
    <s v="OK"/>
    <x v="1"/>
    <x v="0"/>
    <s v="0%"/>
    <x v="2"/>
    <x v="4"/>
  </r>
  <r>
    <x v="1085"/>
    <d v="2025-06-18T00:00:00"/>
    <n v="18"/>
    <s v="T024"/>
    <x v="2"/>
    <n v="341.05"/>
    <x v="1"/>
    <n v="341.05"/>
    <n v="1"/>
    <s v="Member"/>
    <n v="341.05"/>
    <s v="OK"/>
    <x v="3"/>
    <x v="0"/>
    <s v="0%"/>
    <x v="0"/>
    <x v="0"/>
  </r>
  <r>
    <x v="1086"/>
    <d v="2025-05-23T00:00:00"/>
    <n v="21"/>
    <s v="T022"/>
    <x v="0"/>
    <n v="2074.2600000000002"/>
    <x v="5"/>
    <n v="1970.55"/>
    <n v="2"/>
    <s v="Walk-in"/>
    <n v="1970.55"/>
    <s v="OK"/>
    <x v="1"/>
    <x v="0"/>
    <s v="1–_x000a_10%"/>
    <x v="4"/>
    <x v="8"/>
  </r>
  <r>
    <x v="1087"/>
    <d v="2025-05-06T00:00:00"/>
    <n v="21"/>
    <s v="T003"/>
    <x v="1"/>
    <n v="751.21"/>
    <x v="2"/>
    <n v="525.85"/>
    <n v="3"/>
    <s v="Walk-in"/>
    <n v="525.85"/>
    <s v="OK"/>
    <x v="1"/>
    <x v="0"/>
    <s v="&gt;20%"/>
    <x v="3"/>
    <x v="3"/>
  </r>
  <r>
    <x v="1088"/>
    <d v="2025-04-23T00:00:00"/>
    <n v="13"/>
    <s v="T022"/>
    <x v="1"/>
    <n v="1295.03"/>
    <x v="1"/>
    <n v="1295.03"/>
    <n v="2"/>
    <s v="Walk-in"/>
    <n v="1295.03"/>
    <s v="OK"/>
    <x v="4"/>
    <x v="0"/>
    <s v="0%"/>
    <x v="4"/>
    <x v="8"/>
  </r>
  <r>
    <x v="1089"/>
    <d v="2025-06-28T00:00:00"/>
    <n v="16"/>
    <s v="T007"/>
    <x v="0"/>
    <n v="1035.3800000000001"/>
    <x v="0"/>
    <n v="880.07"/>
    <n v="1"/>
    <s v="Member"/>
    <n v="880.07"/>
    <s v="OK"/>
    <x v="3"/>
    <x v="1"/>
    <s v="11–20%"/>
    <x v="4"/>
    <x v="8"/>
  </r>
  <r>
    <x v="1090"/>
    <d v="2025-04-04T00:00:00"/>
    <n v="14"/>
    <s v="T028"/>
    <x v="0"/>
    <n v="788.32"/>
    <x v="4"/>
    <n v="630.66"/>
    <n v="5"/>
    <s v="Walk-in"/>
    <n v="630.66"/>
    <s v="OK"/>
    <x v="4"/>
    <x v="0"/>
    <s v="11–20%"/>
    <x v="3"/>
    <x v="5"/>
  </r>
  <r>
    <x v="1091"/>
    <d v="2025-03-25T00:00:00"/>
    <n v="14"/>
    <s v="T027"/>
    <x v="0"/>
    <n v="1473.23"/>
    <x v="1"/>
    <n v="1473.23"/>
    <n v="2"/>
    <s v="Walk-in"/>
    <n v="1473.23"/>
    <s v="OK"/>
    <x v="5"/>
    <x v="0"/>
    <s v="0%"/>
    <x v="4"/>
    <x v="9"/>
  </r>
  <r>
    <x v="1092"/>
    <d v="2025-01-03T00:00:00"/>
    <n v="11"/>
    <s v="T010"/>
    <x v="3"/>
    <n v="322.91000000000003"/>
    <x v="1"/>
    <n v="322.91000000000003"/>
    <n v="2"/>
    <s v="Member"/>
    <n v="322.91000000000003"/>
    <s v="OK"/>
    <x v="2"/>
    <x v="0"/>
    <s v="0%"/>
    <x v="2"/>
    <x v="4"/>
  </r>
  <r>
    <x v="1093"/>
    <d v="2025-03-15T00:00:00"/>
    <n v="17"/>
    <s v="T012"/>
    <x v="1"/>
    <n v="754.54"/>
    <x v="0"/>
    <n v="641.36"/>
    <n v="5"/>
    <s v="Walk-in"/>
    <n v="641.36"/>
    <s v="OK"/>
    <x v="5"/>
    <x v="1"/>
    <s v="11–20%"/>
    <x v="4"/>
    <x v="9"/>
  </r>
  <r>
    <x v="1094"/>
    <d v="2025-02-06T00:00:00"/>
    <n v="21"/>
    <s v="T030"/>
    <x v="1"/>
    <n v="1216.8900000000001"/>
    <x v="0"/>
    <n v="1034.3599999999999"/>
    <n v="2"/>
    <s v="Walk-in"/>
    <n v="1034.3599999999999"/>
    <s v="OK"/>
    <x v="0"/>
    <x v="0"/>
    <s v="11–20%"/>
    <x v="2"/>
    <x v="2"/>
  </r>
  <r>
    <x v="1095"/>
    <d v="2025-06-04T00:00:00"/>
    <n v="12"/>
    <s v="T010"/>
    <x v="2"/>
    <n v="375.83"/>
    <x v="1"/>
    <n v="375.83"/>
    <n v="3"/>
    <s v="Member"/>
    <n v="375.83"/>
    <s v="OK"/>
    <x v="3"/>
    <x v="0"/>
    <s v="0%"/>
    <x v="2"/>
    <x v="4"/>
  </r>
  <r>
    <x v="1096"/>
    <d v="2025-04-27T00:00:00"/>
    <n v="11"/>
    <s v="T007"/>
    <x v="2"/>
    <n v="1479.84"/>
    <x v="3"/>
    <n v="1331.86"/>
    <n v="1"/>
    <s v="Walk-in"/>
    <n v="1331.86"/>
    <s v="OK"/>
    <x v="4"/>
    <x v="1"/>
    <s v="1–_x000a_10%"/>
    <x v="4"/>
    <x v="8"/>
  </r>
  <r>
    <x v="1097"/>
    <d v="2025-05-02T00:00:00"/>
    <n v="18"/>
    <s v="T013"/>
    <x v="0"/>
    <n v="672.78"/>
    <x v="1"/>
    <n v="672.78"/>
    <n v="2"/>
    <s v="Member"/>
    <n v="672.78"/>
    <s v="OK"/>
    <x v="1"/>
    <x v="0"/>
    <s v="0%"/>
    <x v="3"/>
    <x v="11"/>
  </r>
  <r>
    <x v="1098"/>
    <d v="2025-06-11T00:00:00"/>
    <n v="17"/>
    <s v="T007"/>
    <x v="1"/>
    <n v="872.37"/>
    <x v="1"/>
    <n v="872.37"/>
    <n v="2"/>
    <s v="Walk-in"/>
    <n v="872.37"/>
    <s v="OK"/>
    <x v="3"/>
    <x v="0"/>
    <s v="0%"/>
    <x v="4"/>
    <x v="8"/>
  </r>
  <r>
    <x v="1099"/>
    <d v="2025-02-17T00:00:00"/>
    <n v="18"/>
    <s v="T028"/>
    <x v="0"/>
    <n v="901.03"/>
    <x v="1"/>
    <n v="901.03"/>
    <n v="3"/>
    <s v="Walk-in"/>
    <n v="901.03"/>
    <s v="OK"/>
    <x v="0"/>
    <x v="0"/>
    <s v="0%"/>
    <x v="3"/>
    <x v="5"/>
  </r>
  <r>
    <x v="1100"/>
    <d v="2025-01-22T00:00:00"/>
    <n v="14"/>
    <s v="T012"/>
    <x v="2"/>
    <n v="660.69"/>
    <x v="2"/>
    <n v="462.48"/>
    <n v="2"/>
    <s v="Walk-in"/>
    <n v="462.48"/>
    <s v="OK"/>
    <x v="2"/>
    <x v="0"/>
    <s v="&gt;20%"/>
    <x v="4"/>
    <x v="9"/>
  </r>
  <r>
    <x v="1101"/>
    <d v="2025-02-26T00:00:00"/>
    <n v="19"/>
    <s v="T018"/>
    <x v="0"/>
    <n v="1379.09"/>
    <x v="1"/>
    <n v="1379.09"/>
    <n v="4"/>
    <s v="Walk-in"/>
    <n v="1379.09"/>
    <s v="OK"/>
    <x v="0"/>
    <x v="0"/>
    <s v="0%"/>
    <x v="3"/>
    <x v="3"/>
  </r>
  <r>
    <x v="1102"/>
    <d v="2025-05-03T00:00:00"/>
    <n v="20"/>
    <s v="T030"/>
    <x v="0"/>
    <n v="4322.07"/>
    <x v="5"/>
    <n v="4105.97"/>
    <n v="4"/>
    <s v="Member"/>
    <n v="4105.97"/>
    <s v="OK"/>
    <x v="1"/>
    <x v="1"/>
    <s v="1–_x000a_10%"/>
    <x v="2"/>
    <x v="2"/>
  </r>
  <r>
    <x v="1103"/>
    <d v="2025-03-27T00:00:00"/>
    <n v="17"/>
    <s v="T005"/>
    <x v="2"/>
    <n v="257.94"/>
    <x v="4"/>
    <n v="206.35"/>
    <n v="6"/>
    <s v="Walk-in"/>
    <n v="206.35"/>
    <s v="OK"/>
    <x v="5"/>
    <x v="0"/>
    <s v="11–20%"/>
    <x v="2"/>
    <x v="4"/>
  </r>
  <r>
    <x v="1104"/>
    <d v="2025-06-27T00:00:00"/>
    <n v="19"/>
    <s v="T011"/>
    <x v="2"/>
    <n v="1318.32"/>
    <x v="2"/>
    <n v="922.82"/>
    <n v="1"/>
    <s v="Walk-in"/>
    <n v="922.82"/>
    <s v="OK"/>
    <x v="3"/>
    <x v="0"/>
    <s v="&gt;20%"/>
    <x v="1"/>
    <x v="10"/>
  </r>
  <r>
    <x v="1105"/>
    <d v="2025-02-16T00:00:00"/>
    <n v="11"/>
    <s v="T002"/>
    <x v="2"/>
    <n v="1583.16"/>
    <x v="1"/>
    <n v="1583.16"/>
    <n v="1"/>
    <s v="Walk-in"/>
    <n v="1583.16"/>
    <s v="OK"/>
    <x v="0"/>
    <x v="1"/>
    <s v="0%"/>
    <x v="4"/>
    <x v="9"/>
  </r>
  <r>
    <x v="1106"/>
    <d v="2025-01-20T00:00:00"/>
    <n v="22"/>
    <s v="T015"/>
    <x v="0"/>
    <n v="943.03"/>
    <x v="1"/>
    <n v="943.03"/>
    <n v="5"/>
    <s v="Member"/>
    <n v="943.03"/>
    <s v="OK"/>
    <x v="2"/>
    <x v="0"/>
    <s v="0%"/>
    <x v="2"/>
    <x v="4"/>
  </r>
  <r>
    <x v="1107"/>
    <d v="2025-01-27T00:00:00"/>
    <n v="18"/>
    <s v="T002"/>
    <x v="0"/>
    <n v="762.27"/>
    <x v="3"/>
    <n v="686.04"/>
    <n v="2"/>
    <s v="Member"/>
    <n v="686.04"/>
    <s v="OK"/>
    <x v="2"/>
    <x v="0"/>
    <s v="1–_x000a_10%"/>
    <x v="4"/>
    <x v="9"/>
  </r>
  <r>
    <x v="1108"/>
    <d v="2025-02-09T00:00:00"/>
    <n v="18"/>
    <s v="T004"/>
    <x v="3"/>
    <n v="511.27"/>
    <x v="1"/>
    <n v="511.27"/>
    <n v="2"/>
    <s v="Walk-in"/>
    <n v="511.27"/>
    <s v="OK"/>
    <x v="0"/>
    <x v="1"/>
    <s v="0%"/>
    <x v="0"/>
    <x v="0"/>
  </r>
  <r>
    <x v="1109"/>
    <d v="2025-04-04T00:00:00"/>
    <n v="16"/>
    <s v="T023"/>
    <x v="0"/>
    <n v="221.82"/>
    <x v="1"/>
    <n v="221.82"/>
    <n v="2"/>
    <s v="Walk-in"/>
    <n v="221.82"/>
    <s v="OK"/>
    <x v="4"/>
    <x v="0"/>
    <s v="0%"/>
    <x v="3"/>
    <x v="11"/>
  </r>
  <r>
    <x v="1110"/>
    <d v="2025-01-02T00:00:00"/>
    <n v="12"/>
    <s v="T021"/>
    <x v="2"/>
    <n v="392.35"/>
    <x v="5"/>
    <n v="372.73"/>
    <n v="1"/>
    <s v="Member"/>
    <n v="372.73"/>
    <s v="OK"/>
    <x v="2"/>
    <x v="0"/>
    <s v="1–_x000a_10%"/>
    <x v="1"/>
    <x v="1"/>
  </r>
  <r>
    <x v="1111"/>
    <d v="2025-03-13T00:00:00"/>
    <n v="13"/>
    <s v="T022"/>
    <x v="0"/>
    <n v="839.61"/>
    <x v="3"/>
    <n v="755.65"/>
    <n v="1"/>
    <s v="Walk-in"/>
    <n v="755.65"/>
    <s v="OK"/>
    <x v="5"/>
    <x v="0"/>
    <s v="1–_x000a_10%"/>
    <x v="4"/>
    <x v="8"/>
  </r>
  <r>
    <x v="1112"/>
    <d v="2025-06-23T00:00:00"/>
    <n v="17"/>
    <s v="T030"/>
    <x v="0"/>
    <n v="3215.09"/>
    <x v="5"/>
    <n v="3054.34"/>
    <n v="2"/>
    <s v="Member"/>
    <n v="3054.34"/>
    <s v="OK"/>
    <x v="3"/>
    <x v="0"/>
    <s v="1–_x000a_10%"/>
    <x v="2"/>
    <x v="2"/>
  </r>
  <r>
    <x v="1113"/>
    <d v="2025-05-20T00:00:00"/>
    <n v="15"/>
    <s v="T019"/>
    <x v="3"/>
    <n v="397.43"/>
    <x v="0"/>
    <n v="337.82"/>
    <n v="3"/>
    <s v="Walk-in"/>
    <n v="337.82"/>
    <s v="OK"/>
    <x v="1"/>
    <x v="0"/>
    <s v="11–20%"/>
    <x v="0"/>
    <x v="0"/>
  </r>
  <r>
    <x v="1114"/>
    <d v="2025-03-11T00:00:00"/>
    <n v="11"/>
    <s v="T023"/>
    <x v="2"/>
    <n v="1080.1099999999999"/>
    <x v="5"/>
    <n v="1026.0999999999999"/>
    <n v="1"/>
    <s v="Walk-in"/>
    <n v="1026.0999999999999"/>
    <s v="OK"/>
    <x v="5"/>
    <x v="0"/>
    <s v="1–_x000a_10%"/>
    <x v="3"/>
    <x v="11"/>
  </r>
  <r>
    <x v="1115"/>
    <d v="2025-02-22T00:00:00"/>
    <n v="11"/>
    <s v="T007"/>
    <x v="0"/>
    <n v="1391.67"/>
    <x v="1"/>
    <n v="1391.67"/>
    <n v="2"/>
    <s v="Member"/>
    <n v="1391.67"/>
    <s v="OK"/>
    <x v="0"/>
    <x v="1"/>
    <s v="0%"/>
    <x v="4"/>
    <x v="8"/>
  </r>
  <r>
    <x v="1116"/>
    <d v="2025-04-09T00:00:00"/>
    <n v="10"/>
    <s v="T029"/>
    <x v="1"/>
    <n v="1523.65"/>
    <x v="1"/>
    <n v="1523.65"/>
    <n v="3"/>
    <s v="Walk-in"/>
    <n v="1523.65"/>
    <s v="OK"/>
    <x v="4"/>
    <x v="0"/>
    <s v="0%"/>
    <x v="0"/>
    <x v="6"/>
  </r>
  <r>
    <x v="1117"/>
    <d v="2025-01-06T00:00:00"/>
    <n v="13"/>
    <s v="T008"/>
    <x v="0"/>
    <n v="333.19"/>
    <x v="4"/>
    <n v="266.55"/>
    <n v="1"/>
    <s v="Member"/>
    <n v="266.55"/>
    <s v="OK"/>
    <x v="2"/>
    <x v="0"/>
    <s v="11–20%"/>
    <x v="3"/>
    <x v="5"/>
  </r>
  <r>
    <x v="1118"/>
    <d v="2025-01-21T00:00:00"/>
    <n v="22"/>
    <s v="T001"/>
    <x v="2"/>
    <n v="448.16"/>
    <x v="2"/>
    <n v="313.70999999999998"/>
    <n v="1"/>
    <s v="Walk-in"/>
    <n v="313.70999999999998"/>
    <s v="OK"/>
    <x v="2"/>
    <x v="0"/>
    <s v="&gt;20%"/>
    <x v="1"/>
    <x v="7"/>
  </r>
  <r>
    <x v="1119"/>
    <d v="2025-06-28T00:00:00"/>
    <n v="14"/>
    <s v="T027"/>
    <x v="0"/>
    <n v="3012.91"/>
    <x v="3"/>
    <n v="2711.62"/>
    <n v="4"/>
    <s v="Walk-in"/>
    <n v="2711.62"/>
    <s v="OK"/>
    <x v="3"/>
    <x v="1"/>
    <s v="1–_x000a_10%"/>
    <x v="4"/>
    <x v="9"/>
  </r>
  <r>
    <x v="1120"/>
    <d v="2025-01-03T00:00:00"/>
    <n v="22"/>
    <s v="T024"/>
    <x v="2"/>
    <n v="725.58"/>
    <x v="1"/>
    <n v="725.58"/>
    <n v="3"/>
    <s v="Walk-in"/>
    <n v="725.58"/>
    <s v="OK"/>
    <x v="2"/>
    <x v="0"/>
    <s v="0%"/>
    <x v="0"/>
    <x v="0"/>
  </r>
  <r>
    <x v="1121"/>
    <d v="2025-01-12T00:00:00"/>
    <n v="11"/>
    <s v="T023"/>
    <x v="2"/>
    <n v="1458.63"/>
    <x v="1"/>
    <n v="1458.63"/>
    <n v="4"/>
    <s v="Walk-in"/>
    <n v="1458.63"/>
    <s v="OK"/>
    <x v="2"/>
    <x v="1"/>
    <s v="0%"/>
    <x v="3"/>
    <x v="11"/>
  </r>
  <r>
    <x v="1122"/>
    <d v="2025-01-02T00:00:00"/>
    <n v="19"/>
    <s v="T009"/>
    <x v="0"/>
    <n v="1476.65"/>
    <x v="1"/>
    <n v="1476.65"/>
    <n v="3"/>
    <s v="Walk-in"/>
    <n v="1476.65"/>
    <s v="OK"/>
    <x v="2"/>
    <x v="0"/>
    <s v="0%"/>
    <x v="0"/>
    <x v="6"/>
  </r>
  <r>
    <x v="1123"/>
    <d v="2025-02-15T00:00:00"/>
    <n v="14"/>
    <s v="T029"/>
    <x v="0"/>
    <n v="3450.19"/>
    <x v="0"/>
    <n v="2932.66"/>
    <n v="2"/>
    <s v="Walk-in"/>
    <n v="2932.66"/>
    <s v="OK"/>
    <x v="0"/>
    <x v="1"/>
    <s v="11–20%"/>
    <x v="0"/>
    <x v="6"/>
  </r>
  <r>
    <x v="1124"/>
    <d v="2025-06-11T00:00:00"/>
    <n v="14"/>
    <s v="T024"/>
    <x v="1"/>
    <n v="2103.9899999999998"/>
    <x v="1"/>
    <n v="2103.9899999999998"/>
    <n v="2"/>
    <s v="Walk-in"/>
    <n v="2103.9899999999998"/>
    <s v="OK"/>
    <x v="3"/>
    <x v="0"/>
    <s v="0%"/>
    <x v="0"/>
    <x v="0"/>
  </r>
  <r>
    <x v="1125"/>
    <d v="2025-04-08T00:00:00"/>
    <n v="22"/>
    <s v="T013"/>
    <x v="1"/>
    <n v="1239.6199999999999"/>
    <x v="3"/>
    <n v="1115.6600000000001"/>
    <n v="1"/>
    <s v="Walk-in"/>
    <n v="1115.6600000000001"/>
    <s v="OK"/>
    <x v="4"/>
    <x v="0"/>
    <s v="1–_x000a_10%"/>
    <x v="3"/>
    <x v="11"/>
  </r>
  <r>
    <x v="1126"/>
    <d v="2025-02-08T00:00:00"/>
    <n v="13"/>
    <s v="T015"/>
    <x v="0"/>
    <n v="1471.17"/>
    <x v="4"/>
    <n v="1176.94"/>
    <n v="3"/>
    <s v="Walk-in"/>
    <n v="1176.94"/>
    <s v="OK"/>
    <x v="0"/>
    <x v="1"/>
    <s v="11–20%"/>
    <x v="2"/>
    <x v="4"/>
  </r>
  <r>
    <x v="1127"/>
    <d v="2025-06-07T00:00:00"/>
    <n v="18"/>
    <s v="T004"/>
    <x v="1"/>
    <n v="2516"/>
    <x v="1"/>
    <n v="2516"/>
    <n v="1"/>
    <s v="Member"/>
    <n v="2516"/>
    <s v="OK"/>
    <x v="3"/>
    <x v="1"/>
    <s v="0%"/>
    <x v="0"/>
    <x v="0"/>
  </r>
  <r>
    <x v="1128"/>
    <d v="2025-06-26T00:00:00"/>
    <n v="15"/>
    <s v="T028"/>
    <x v="0"/>
    <n v="2523.4299999999998"/>
    <x v="2"/>
    <n v="1766.4"/>
    <n v="2"/>
    <s v="Member"/>
    <n v="1766.4"/>
    <s v="OK"/>
    <x v="3"/>
    <x v="0"/>
    <s v="&gt;20%"/>
    <x v="3"/>
    <x v="5"/>
  </r>
  <r>
    <x v="1129"/>
    <d v="2025-03-27T00:00:00"/>
    <n v="21"/>
    <s v="T019"/>
    <x v="0"/>
    <n v="648.95000000000005"/>
    <x v="1"/>
    <n v="648.95000000000005"/>
    <n v="2"/>
    <s v="Walk-in"/>
    <n v="648.95000000000005"/>
    <s v="OK"/>
    <x v="5"/>
    <x v="0"/>
    <s v="0%"/>
    <x v="0"/>
    <x v="0"/>
  </r>
  <r>
    <x v="1130"/>
    <d v="2025-05-25T00:00:00"/>
    <n v="16"/>
    <s v="T022"/>
    <x v="0"/>
    <n v="678.92"/>
    <x v="1"/>
    <n v="678.92"/>
    <n v="5"/>
    <s v="Walk-in"/>
    <n v="678.92"/>
    <s v="OK"/>
    <x v="1"/>
    <x v="1"/>
    <s v="0%"/>
    <x v="4"/>
    <x v="8"/>
  </r>
  <r>
    <x v="1131"/>
    <d v="2025-03-12T00:00:00"/>
    <n v="11"/>
    <s v="T016"/>
    <x v="0"/>
    <n v="643.4"/>
    <x v="1"/>
    <n v="643.4"/>
    <n v="2"/>
    <s v="Member"/>
    <n v="643.4"/>
    <s v="OK"/>
    <x v="5"/>
    <x v="0"/>
    <s v="0%"/>
    <x v="1"/>
    <x v="1"/>
  </r>
  <r>
    <x v="1132"/>
    <d v="2025-05-21T00:00:00"/>
    <n v="17"/>
    <s v="T014"/>
    <x v="2"/>
    <n v="295.5"/>
    <x v="4"/>
    <n v="236.4"/>
    <n v="1"/>
    <s v="Walk-in"/>
    <n v="236.4"/>
    <s v="OK"/>
    <x v="1"/>
    <x v="0"/>
    <s v="11–20%"/>
    <x v="0"/>
    <x v="6"/>
  </r>
  <r>
    <x v="1133"/>
    <d v="2025-03-03T00:00:00"/>
    <n v="13"/>
    <s v="T004"/>
    <x v="3"/>
    <n v="2430.61"/>
    <x v="1"/>
    <n v="2430.61"/>
    <n v="4"/>
    <s v="Member"/>
    <n v="2430.61"/>
    <s v="OK"/>
    <x v="5"/>
    <x v="0"/>
    <s v="0%"/>
    <x v="0"/>
    <x v="0"/>
  </r>
  <r>
    <x v="1134"/>
    <d v="2025-06-20T00:00:00"/>
    <n v="11"/>
    <s v="T024"/>
    <x v="0"/>
    <n v="1319.45"/>
    <x v="0"/>
    <n v="1121.53"/>
    <n v="3"/>
    <s v="Walk-in"/>
    <n v="1121.53"/>
    <s v="OK"/>
    <x v="3"/>
    <x v="0"/>
    <s v="11–20%"/>
    <x v="0"/>
    <x v="0"/>
  </r>
  <r>
    <x v="1135"/>
    <d v="2025-02-20T00:00:00"/>
    <n v="16"/>
    <s v="T023"/>
    <x v="0"/>
    <n v="775.05"/>
    <x v="1"/>
    <n v="775.05"/>
    <n v="3"/>
    <s v="Walk-in"/>
    <n v="775.05"/>
    <s v="OK"/>
    <x v="0"/>
    <x v="0"/>
    <s v="0%"/>
    <x v="3"/>
    <x v="11"/>
  </r>
  <r>
    <x v="1136"/>
    <d v="2025-03-20T00:00:00"/>
    <n v="14"/>
    <s v="T002"/>
    <x v="1"/>
    <n v="901.81"/>
    <x v="3"/>
    <n v="811.63"/>
    <n v="2"/>
    <s v="Walk-in"/>
    <n v="811.63"/>
    <s v="OK"/>
    <x v="5"/>
    <x v="0"/>
    <s v="1–_x000a_10%"/>
    <x v="4"/>
    <x v="9"/>
  </r>
  <r>
    <x v="1137"/>
    <d v="2025-04-29T00:00:00"/>
    <n v="17"/>
    <s v="T001"/>
    <x v="0"/>
    <n v="1231.54"/>
    <x v="1"/>
    <n v="1231.54"/>
    <n v="4"/>
    <s v="Member"/>
    <n v="1231.54"/>
    <s v="OK"/>
    <x v="4"/>
    <x v="0"/>
    <s v="0%"/>
    <x v="1"/>
    <x v="7"/>
  </r>
  <r>
    <x v="1138"/>
    <d v="2025-05-09T00:00:00"/>
    <n v="13"/>
    <s v="T019"/>
    <x v="2"/>
    <n v="556.07000000000005"/>
    <x v="1"/>
    <n v="556.07000000000005"/>
    <n v="1"/>
    <s v="Walk-in"/>
    <n v="556.07000000000005"/>
    <s v="OK"/>
    <x v="1"/>
    <x v="0"/>
    <s v="0%"/>
    <x v="0"/>
    <x v="0"/>
  </r>
  <r>
    <x v="1139"/>
    <d v="2025-05-31T00:00:00"/>
    <n v="16"/>
    <s v="T013"/>
    <x v="2"/>
    <n v="569.04999999999995"/>
    <x v="3"/>
    <n v="512.14"/>
    <n v="1"/>
    <s v="Walk-in"/>
    <n v="512.15"/>
    <s v="OK"/>
    <x v="1"/>
    <x v="1"/>
    <s v="1–_x000a_10%"/>
    <x v="3"/>
    <x v="11"/>
  </r>
  <r>
    <x v="1140"/>
    <d v="2025-01-12T00:00:00"/>
    <n v="19"/>
    <s v="T020"/>
    <x v="0"/>
    <n v="2217.35"/>
    <x v="1"/>
    <n v="2217.35"/>
    <n v="3"/>
    <s v="Walk-in"/>
    <n v="2217.35"/>
    <s v="OK"/>
    <x v="2"/>
    <x v="1"/>
    <s v="0%"/>
    <x v="2"/>
    <x v="2"/>
  </r>
  <r>
    <x v="1141"/>
    <d v="2025-02-20T00:00:00"/>
    <n v="19"/>
    <s v="T001"/>
    <x v="1"/>
    <n v="839.59"/>
    <x v="3"/>
    <n v="755.63"/>
    <n v="3"/>
    <s v="Walk-in"/>
    <n v="755.63"/>
    <s v="OK"/>
    <x v="0"/>
    <x v="0"/>
    <s v="1–_x000a_10%"/>
    <x v="1"/>
    <x v="7"/>
  </r>
  <r>
    <x v="1142"/>
    <d v="2025-02-07T00:00:00"/>
    <n v="11"/>
    <s v="T027"/>
    <x v="2"/>
    <n v="2811.61"/>
    <x v="3"/>
    <n v="2530.4499999999998"/>
    <n v="1"/>
    <s v="Walk-in"/>
    <n v="2530.4499999999998"/>
    <s v="OK"/>
    <x v="0"/>
    <x v="0"/>
    <s v="1–_x000a_10%"/>
    <x v="4"/>
    <x v="9"/>
  </r>
  <r>
    <x v="1143"/>
    <d v="2025-06-24T00:00:00"/>
    <n v="12"/>
    <s v="T001"/>
    <x v="0"/>
    <n v="2778.39"/>
    <x v="1"/>
    <n v="2778.39"/>
    <n v="2"/>
    <s v="Walk-in"/>
    <n v="2778.39"/>
    <s v="OK"/>
    <x v="3"/>
    <x v="0"/>
    <s v="0%"/>
    <x v="1"/>
    <x v="7"/>
  </r>
  <r>
    <x v="1144"/>
    <d v="2025-03-26T00:00:00"/>
    <n v="21"/>
    <s v="T028"/>
    <x v="1"/>
    <n v="474.51"/>
    <x v="5"/>
    <n v="450.78"/>
    <n v="1"/>
    <s v="Member"/>
    <n v="450.78"/>
    <s v="OK"/>
    <x v="5"/>
    <x v="0"/>
    <s v="1–_x000a_10%"/>
    <x v="3"/>
    <x v="5"/>
  </r>
  <r>
    <x v="1145"/>
    <d v="2025-06-09T00:00:00"/>
    <n v="18"/>
    <s v="T011"/>
    <x v="0"/>
    <n v="2046.84"/>
    <x v="3"/>
    <n v="1842.16"/>
    <n v="3"/>
    <s v="Walk-in"/>
    <n v="1842.16"/>
    <s v="OK"/>
    <x v="3"/>
    <x v="0"/>
    <s v="1–_x000a_10%"/>
    <x v="1"/>
    <x v="10"/>
  </r>
  <r>
    <x v="1146"/>
    <d v="2025-03-04T00:00:00"/>
    <n v="22"/>
    <s v="T017"/>
    <x v="2"/>
    <n v="2619.21"/>
    <x v="0"/>
    <n v="2226.33"/>
    <n v="3"/>
    <s v="Walk-in"/>
    <n v="2226.33"/>
    <s v="OK"/>
    <x v="5"/>
    <x v="0"/>
    <s v="11–20%"/>
    <x v="4"/>
    <x v="8"/>
  </r>
  <r>
    <x v="1147"/>
    <d v="2025-05-01T00:00:00"/>
    <n v="16"/>
    <s v="T020"/>
    <x v="2"/>
    <n v="662.71"/>
    <x v="3"/>
    <n v="596.44000000000005"/>
    <n v="1"/>
    <s v="Walk-in"/>
    <n v="596.44000000000005"/>
    <s v="OK"/>
    <x v="1"/>
    <x v="0"/>
    <s v="1–_x000a_10%"/>
    <x v="2"/>
    <x v="2"/>
  </r>
  <r>
    <x v="1148"/>
    <d v="2025-06-11T00:00:00"/>
    <n v="10"/>
    <s v="T020"/>
    <x v="3"/>
    <n v="381.89"/>
    <x v="1"/>
    <n v="381.89"/>
    <n v="4"/>
    <s v="Walk-in"/>
    <n v="381.89"/>
    <s v="OK"/>
    <x v="3"/>
    <x v="0"/>
    <s v="0%"/>
    <x v="2"/>
    <x v="2"/>
  </r>
  <r>
    <x v="1149"/>
    <d v="2025-02-14T00:00:00"/>
    <n v="15"/>
    <s v="T025"/>
    <x v="3"/>
    <n v="505.6"/>
    <x v="5"/>
    <n v="480.32"/>
    <n v="1"/>
    <s v="Member"/>
    <n v="480.32"/>
    <s v="OK"/>
    <x v="0"/>
    <x v="0"/>
    <s v="1–_x000a_10%"/>
    <x v="2"/>
    <x v="2"/>
  </r>
  <r>
    <x v="1150"/>
    <d v="2025-03-03T00:00:00"/>
    <n v="22"/>
    <s v="T018"/>
    <x v="0"/>
    <n v="1988.28"/>
    <x v="3"/>
    <n v="1789.45"/>
    <n v="2"/>
    <s v="Walk-in"/>
    <n v="1789.45"/>
    <s v="OK"/>
    <x v="5"/>
    <x v="0"/>
    <s v="1–_x000a_10%"/>
    <x v="3"/>
    <x v="3"/>
  </r>
  <r>
    <x v="1151"/>
    <d v="2025-05-21T00:00:00"/>
    <n v="20"/>
    <s v="T011"/>
    <x v="2"/>
    <n v="376.97"/>
    <x v="1"/>
    <n v="376.97"/>
    <n v="2"/>
    <s v="Walk-in"/>
    <n v="376.97"/>
    <s v="OK"/>
    <x v="1"/>
    <x v="0"/>
    <s v="0%"/>
    <x v="1"/>
    <x v="10"/>
  </r>
  <r>
    <x v="1152"/>
    <d v="2025-02-04T00:00:00"/>
    <n v="13"/>
    <s v="T017"/>
    <x v="0"/>
    <n v="723.36"/>
    <x v="0"/>
    <n v="614.86"/>
    <n v="2"/>
    <s v="Walk-in"/>
    <n v="614.86"/>
    <s v="OK"/>
    <x v="0"/>
    <x v="0"/>
    <s v="11–20%"/>
    <x v="4"/>
    <x v="8"/>
  </r>
  <r>
    <x v="1153"/>
    <d v="2025-04-04T00:00:00"/>
    <n v="19"/>
    <s v="T016"/>
    <x v="0"/>
    <n v="554.88"/>
    <x v="3"/>
    <n v="499.39"/>
    <n v="2"/>
    <s v="Walk-in"/>
    <n v="499.39"/>
    <s v="OK"/>
    <x v="4"/>
    <x v="0"/>
    <s v="1–_x000a_10%"/>
    <x v="1"/>
    <x v="1"/>
  </r>
  <r>
    <x v="1154"/>
    <d v="2025-02-15T00:00:00"/>
    <n v="14"/>
    <s v="T008"/>
    <x v="1"/>
    <n v="260.66000000000003"/>
    <x v="4"/>
    <n v="208.53"/>
    <n v="3"/>
    <s v="Walk-in"/>
    <n v="208.53"/>
    <s v="OK"/>
    <x v="0"/>
    <x v="1"/>
    <s v="11–20%"/>
    <x v="3"/>
    <x v="5"/>
  </r>
  <r>
    <x v="1155"/>
    <d v="2025-02-15T00:00:00"/>
    <n v="11"/>
    <s v="T002"/>
    <x v="2"/>
    <n v="676.11"/>
    <x v="1"/>
    <n v="676.11"/>
    <n v="6"/>
    <s v="Walk-in"/>
    <n v="676.11"/>
    <s v="OK"/>
    <x v="0"/>
    <x v="1"/>
    <s v="0%"/>
    <x v="4"/>
    <x v="9"/>
  </r>
  <r>
    <x v="1156"/>
    <d v="2025-03-04T00:00:00"/>
    <n v="14"/>
    <s v="T001"/>
    <x v="0"/>
    <n v="811.47"/>
    <x v="1"/>
    <n v="811.47"/>
    <n v="1"/>
    <s v="Walk-in"/>
    <n v="811.47"/>
    <s v="OK"/>
    <x v="5"/>
    <x v="0"/>
    <s v="0%"/>
    <x v="1"/>
    <x v="7"/>
  </r>
  <r>
    <x v="1157"/>
    <d v="2025-06-25T00:00:00"/>
    <n v="17"/>
    <s v="T028"/>
    <x v="0"/>
    <n v="1462.15"/>
    <x v="3"/>
    <n v="1315.94"/>
    <n v="1"/>
    <s v="Member"/>
    <n v="1315.94"/>
    <s v="OK"/>
    <x v="3"/>
    <x v="0"/>
    <s v="1–_x000a_10%"/>
    <x v="3"/>
    <x v="5"/>
  </r>
  <r>
    <x v="1158"/>
    <d v="2025-06-14T00:00:00"/>
    <n v="21"/>
    <s v="T011"/>
    <x v="0"/>
    <n v="686.37"/>
    <x v="5"/>
    <n v="652.04999999999995"/>
    <n v="3"/>
    <s v="Walk-in"/>
    <n v="652.04999999999995"/>
    <s v="OK"/>
    <x v="3"/>
    <x v="1"/>
    <s v="1–_x000a_10%"/>
    <x v="1"/>
    <x v="10"/>
  </r>
  <r>
    <x v="1159"/>
    <d v="2025-05-16T00:00:00"/>
    <n v="14"/>
    <s v="T017"/>
    <x v="2"/>
    <n v="252.41"/>
    <x v="3"/>
    <n v="227.17"/>
    <n v="1"/>
    <s v="Walk-in"/>
    <n v="227.17"/>
    <s v="OK"/>
    <x v="1"/>
    <x v="0"/>
    <s v="1–_x000a_10%"/>
    <x v="4"/>
    <x v="8"/>
  </r>
  <r>
    <x v="1160"/>
    <d v="2025-01-15T00:00:00"/>
    <n v="17"/>
    <s v="T016"/>
    <x v="3"/>
    <n v="545.9"/>
    <x v="4"/>
    <n v="436.72"/>
    <n v="4"/>
    <s v="Walk-in"/>
    <n v="436.72"/>
    <s v="OK"/>
    <x v="2"/>
    <x v="0"/>
    <s v="11–20%"/>
    <x v="1"/>
    <x v="1"/>
  </r>
  <r>
    <x v="1161"/>
    <d v="2025-03-13T00:00:00"/>
    <n v="11"/>
    <s v="T021"/>
    <x v="0"/>
    <n v="843.98"/>
    <x v="1"/>
    <n v="843.98"/>
    <n v="6"/>
    <s v="Member"/>
    <n v="843.98"/>
    <s v="OK"/>
    <x v="5"/>
    <x v="0"/>
    <s v="0%"/>
    <x v="1"/>
    <x v="1"/>
  </r>
  <r>
    <x v="1162"/>
    <d v="2025-03-22T00:00:00"/>
    <n v="12"/>
    <s v="T021"/>
    <x v="2"/>
    <n v="1216.5999999999999"/>
    <x v="3"/>
    <n v="1094.94"/>
    <n v="3"/>
    <s v="Walk-in"/>
    <n v="1094.94"/>
    <s v="OK"/>
    <x v="5"/>
    <x v="1"/>
    <s v="1–_x000a_10%"/>
    <x v="1"/>
    <x v="1"/>
  </r>
  <r>
    <x v="1163"/>
    <d v="2025-02-07T00:00:00"/>
    <n v="12"/>
    <s v="T021"/>
    <x v="2"/>
    <n v="316.14"/>
    <x v="1"/>
    <n v="316.14"/>
    <n v="2"/>
    <s v="Member"/>
    <n v="316.14"/>
    <s v="OK"/>
    <x v="0"/>
    <x v="0"/>
    <s v="0%"/>
    <x v="1"/>
    <x v="1"/>
  </r>
  <r>
    <x v="1164"/>
    <d v="2025-01-04T00:00:00"/>
    <n v="20"/>
    <s v="T025"/>
    <x v="0"/>
    <n v="603.04999999999995"/>
    <x v="4"/>
    <n v="482.44"/>
    <n v="1"/>
    <s v="Member"/>
    <n v="482.44"/>
    <s v="OK"/>
    <x v="2"/>
    <x v="1"/>
    <s v="11–20%"/>
    <x v="2"/>
    <x v="2"/>
  </r>
  <r>
    <x v="1165"/>
    <d v="2025-06-09T00:00:00"/>
    <n v="21"/>
    <s v="T026"/>
    <x v="2"/>
    <n v="970"/>
    <x v="1"/>
    <n v="970"/>
    <n v="1"/>
    <s v="Walk-in"/>
    <n v="970"/>
    <s v="OK"/>
    <x v="3"/>
    <x v="0"/>
    <s v="0%"/>
    <x v="1"/>
    <x v="10"/>
  </r>
  <r>
    <x v="1166"/>
    <d v="2025-01-19T00:00:00"/>
    <n v="11"/>
    <s v="T016"/>
    <x v="2"/>
    <n v="650.82000000000005"/>
    <x v="0"/>
    <n v="553.20000000000005"/>
    <n v="3"/>
    <s v="Walk-in"/>
    <n v="553.20000000000005"/>
    <s v="OK"/>
    <x v="2"/>
    <x v="1"/>
    <s v="11–20%"/>
    <x v="1"/>
    <x v="1"/>
  </r>
  <r>
    <x v="1167"/>
    <d v="2025-02-17T00:00:00"/>
    <n v="16"/>
    <s v="T010"/>
    <x v="1"/>
    <n v="1426.93"/>
    <x v="1"/>
    <n v="1426.93"/>
    <n v="1"/>
    <s v="Walk-in"/>
    <n v="1426.93"/>
    <s v="OK"/>
    <x v="0"/>
    <x v="0"/>
    <s v="0%"/>
    <x v="2"/>
    <x v="4"/>
  </r>
  <r>
    <x v="1168"/>
    <d v="2025-02-07T00:00:00"/>
    <n v="13"/>
    <s v="T003"/>
    <x v="2"/>
    <n v="3868.34"/>
    <x v="2"/>
    <n v="2707.84"/>
    <n v="3"/>
    <s v="Member"/>
    <n v="2707.84"/>
    <s v="OK"/>
    <x v="0"/>
    <x v="0"/>
    <s v="&gt;20%"/>
    <x v="3"/>
    <x v="3"/>
  </r>
  <r>
    <x v="1169"/>
    <d v="2025-03-21T00:00:00"/>
    <n v="18"/>
    <s v="T009"/>
    <x v="0"/>
    <n v="555.11"/>
    <x v="5"/>
    <n v="527.35"/>
    <n v="5"/>
    <s v="Member"/>
    <n v="527.35"/>
    <s v="OK"/>
    <x v="5"/>
    <x v="0"/>
    <s v="1–_x000a_10%"/>
    <x v="0"/>
    <x v="6"/>
  </r>
  <r>
    <x v="1170"/>
    <d v="2025-01-30T00:00:00"/>
    <n v="10"/>
    <s v="T019"/>
    <x v="0"/>
    <n v="533.03"/>
    <x v="1"/>
    <n v="533.03"/>
    <n v="3"/>
    <s v="Walk-in"/>
    <n v="533.03"/>
    <s v="OK"/>
    <x v="2"/>
    <x v="0"/>
    <s v="0%"/>
    <x v="0"/>
    <x v="0"/>
  </r>
  <r>
    <x v="1171"/>
    <d v="2025-01-04T00:00:00"/>
    <n v="18"/>
    <s v="T015"/>
    <x v="0"/>
    <n v="807.65"/>
    <x v="1"/>
    <n v="807.65"/>
    <n v="3"/>
    <s v="Walk-in"/>
    <n v="807.65"/>
    <s v="OK"/>
    <x v="2"/>
    <x v="1"/>
    <s v="0%"/>
    <x v="2"/>
    <x v="4"/>
  </r>
  <r>
    <x v="1172"/>
    <d v="2025-06-29T00:00:00"/>
    <n v="14"/>
    <s v="T017"/>
    <x v="2"/>
    <n v="3082.2"/>
    <x v="0"/>
    <n v="2619.87"/>
    <n v="1"/>
    <s v="Walk-in"/>
    <n v="2619.87"/>
    <s v="OK"/>
    <x v="3"/>
    <x v="1"/>
    <s v="11–20%"/>
    <x v="4"/>
    <x v="8"/>
  </r>
  <r>
    <x v="1173"/>
    <d v="2025-01-14T00:00:00"/>
    <n v="15"/>
    <s v="T012"/>
    <x v="2"/>
    <n v="419.72"/>
    <x v="1"/>
    <n v="419.72"/>
    <n v="1"/>
    <s v="Walk-in"/>
    <n v="419.72"/>
    <s v="OK"/>
    <x v="2"/>
    <x v="0"/>
    <s v="0%"/>
    <x v="4"/>
    <x v="9"/>
  </r>
  <r>
    <x v="1174"/>
    <d v="2025-03-23T00:00:00"/>
    <n v="12"/>
    <s v="T004"/>
    <x v="0"/>
    <n v="712.87"/>
    <x v="3"/>
    <n v="641.58000000000004"/>
    <n v="4"/>
    <s v="Walk-in"/>
    <n v="641.58000000000004"/>
    <s v="OK"/>
    <x v="5"/>
    <x v="1"/>
    <s v="1–_x000a_10%"/>
    <x v="0"/>
    <x v="0"/>
  </r>
  <r>
    <x v="1175"/>
    <d v="2025-01-12T00:00:00"/>
    <n v="21"/>
    <s v="T011"/>
    <x v="2"/>
    <n v="1775.85"/>
    <x v="5"/>
    <n v="1687.06"/>
    <n v="1"/>
    <s v="Walk-in"/>
    <n v="1687.06"/>
    <s v="OK"/>
    <x v="2"/>
    <x v="1"/>
    <s v="1–_x000a_10%"/>
    <x v="1"/>
    <x v="10"/>
  </r>
  <r>
    <x v="1176"/>
    <d v="2025-03-24T00:00:00"/>
    <n v="22"/>
    <s v="T003"/>
    <x v="2"/>
    <n v="607.94000000000005"/>
    <x v="3"/>
    <n v="547.15"/>
    <n v="1"/>
    <s v="Member"/>
    <n v="547.15"/>
    <s v="OK"/>
    <x v="5"/>
    <x v="0"/>
    <s v="1–_x000a_10%"/>
    <x v="3"/>
    <x v="3"/>
  </r>
  <r>
    <x v="1177"/>
    <d v="2025-03-30T00:00:00"/>
    <n v="19"/>
    <s v="T021"/>
    <x v="0"/>
    <n v="1309.8699999999999"/>
    <x v="5"/>
    <n v="1244.3800000000001"/>
    <n v="3"/>
    <s v="Walk-in"/>
    <n v="1244.3800000000001"/>
    <s v="OK"/>
    <x v="5"/>
    <x v="1"/>
    <s v="1–_x000a_10%"/>
    <x v="1"/>
    <x v="1"/>
  </r>
  <r>
    <x v="1178"/>
    <d v="2025-05-30T00:00:00"/>
    <n v="12"/>
    <s v="T006"/>
    <x v="3"/>
    <n v="1212.71"/>
    <x v="5"/>
    <n v="1152.07"/>
    <n v="2"/>
    <s v="Walk-in"/>
    <n v="1152.07"/>
    <s v="OK"/>
    <x v="1"/>
    <x v="0"/>
    <s v="1–_x000a_10%"/>
    <x v="1"/>
    <x v="1"/>
  </r>
  <r>
    <x v="1179"/>
    <d v="2025-04-06T00:00:00"/>
    <n v="19"/>
    <s v="T008"/>
    <x v="0"/>
    <n v="1194.25"/>
    <x v="1"/>
    <n v="1194.25"/>
    <n v="2"/>
    <s v="Member"/>
    <n v="1194.25"/>
    <s v="OK"/>
    <x v="4"/>
    <x v="1"/>
    <s v="0%"/>
    <x v="3"/>
    <x v="5"/>
  </r>
  <r>
    <x v="1180"/>
    <d v="2025-05-05T00:00:00"/>
    <n v="10"/>
    <s v="T003"/>
    <x v="2"/>
    <n v="544.20000000000005"/>
    <x v="3"/>
    <n v="489.78"/>
    <n v="5"/>
    <s v="Walk-in"/>
    <n v="489.78"/>
    <s v="OK"/>
    <x v="1"/>
    <x v="0"/>
    <s v="1–_x000a_10%"/>
    <x v="3"/>
    <x v="3"/>
  </r>
  <r>
    <x v="1181"/>
    <d v="2025-01-31T00:00:00"/>
    <n v="20"/>
    <s v="T023"/>
    <x v="0"/>
    <n v="340.52"/>
    <x v="1"/>
    <n v="340.52"/>
    <n v="5"/>
    <s v="Walk-in"/>
    <n v="340.52"/>
    <s v="OK"/>
    <x v="2"/>
    <x v="0"/>
    <s v="0%"/>
    <x v="3"/>
    <x v="11"/>
  </r>
  <r>
    <x v="1182"/>
    <d v="2025-06-26T00:00:00"/>
    <n v="19"/>
    <s v="T024"/>
    <x v="2"/>
    <n v="351.79"/>
    <x v="1"/>
    <n v="351.79"/>
    <n v="1"/>
    <s v="Walk-in"/>
    <n v="351.79"/>
    <s v="OK"/>
    <x v="3"/>
    <x v="0"/>
    <s v="0%"/>
    <x v="0"/>
    <x v="0"/>
  </r>
  <r>
    <x v="1183"/>
    <d v="2025-02-27T00:00:00"/>
    <n v="20"/>
    <s v="T021"/>
    <x v="2"/>
    <n v="1497.72"/>
    <x v="1"/>
    <n v="1497.72"/>
    <n v="1"/>
    <s v="Walk-in"/>
    <n v="1497.72"/>
    <s v="OK"/>
    <x v="0"/>
    <x v="0"/>
    <s v="0%"/>
    <x v="1"/>
    <x v="1"/>
  </r>
  <r>
    <x v="1184"/>
    <d v="2025-06-28T00:00:00"/>
    <n v="16"/>
    <s v="T004"/>
    <x v="2"/>
    <n v="513.16"/>
    <x v="5"/>
    <n v="487.5"/>
    <n v="1"/>
    <s v="Walk-in"/>
    <n v="487.5"/>
    <s v="OK"/>
    <x v="3"/>
    <x v="1"/>
    <s v="1–_x000a_10%"/>
    <x v="0"/>
    <x v="0"/>
  </r>
  <r>
    <x v="1185"/>
    <d v="2025-03-19T00:00:00"/>
    <n v="21"/>
    <s v="T002"/>
    <x v="2"/>
    <n v="502.28"/>
    <x v="1"/>
    <n v="502.28"/>
    <n v="4"/>
    <s v="Walk-in"/>
    <n v="502.28"/>
    <s v="OK"/>
    <x v="5"/>
    <x v="0"/>
    <s v="0%"/>
    <x v="4"/>
    <x v="9"/>
  </r>
  <r>
    <x v="1186"/>
    <d v="2025-01-15T00:00:00"/>
    <n v="17"/>
    <s v="T013"/>
    <x v="0"/>
    <n v="567.4"/>
    <x v="4"/>
    <n v="453.92"/>
    <n v="3"/>
    <s v="Member"/>
    <n v="453.92"/>
    <s v="OK"/>
    <x v="2"/>
    <x v="0"/>
    <s v="11–20%"/>
    <x v="3"/>
    <x v="11"/>
  </r>
  <r>
    <x v="1187"/>
    <d v="2025-03-13T00:00:00"/>
    <n v="20"/>
    <s v="T013"/>
    <x v="3"/>
    <n v="449.1"/>
    <x v="0"/>
    <n v="381.74"/>
    <n v="6"/>
    <s v="Walk-in"/>
    <n v="381.74"/>
    <s v="OK"/>
    <x v="5"/>
    <x v="0"/>
    <s v="11–20%"/>
    <x v="3"/>
    <x v="11"/>
  </r>
  <r>
    <x v="1188"/>
    <d v="2025-05-26T00:00:00"/>
    <n v="16"/>
    <s v="T027"/>
    <x v="2"/>
    <n v="654.03"/>
    <x v="2"/>
    <n v="457.82"/>
    <n v="2"/>
    <s v="Member"/>
    <n v="457.82"/>
    <s v="OK"/>
    <x v="1"/>
    <x v="0"/>
    <s v="&gt;20%"/>
    <x v="4"/>
    <x v="9"/>
  </r>
  <r>
    <x v="1189"/>
    <d v="2025-06-17T00:00:00"/>
    <n v="17"/>
    <s v="T005"/>
    <x v="0"/>
    <n v="2210.92"/>
    <x v="1"/>
    <n v="2210.92"/>
    <n v="2"/>
    <s v="Member"/>
    <n v="2210.92"/>
    <s v="OK"/>
    <x v="3"/>
    <x v="0"/>
    <s v="0%"/>
    <x v="2"/>
    <x v="4"/>
  </r>
  <r>
    <x v="1190"/>
    <d v="2025-06-18T00:00:00"/>
    <n v="21"/>
    <s v="T029"/>
    <x v="1"/>
    <n v="1227.56"/>
    <x v="1"/>
    <n v="1227.56"/>
    <n v="4"/>
    <s v="Member"/>
    <n v="1227.56"/>
    <s v="OK"/>
    <x v="3"/>
    <x v="0"/>
    <s v="0%"/>
    <x v="0"/>
    <x v="6"/>
  </r>
  <r>
    <x v="1191"/>
    <d v="2025-01-01T00:00:00"/>
    <n v="11"/>
    <s v="T001"/>
    <x v="2"/>
    <n v="378.42"/>
    <x v="1"/>
    <n v="378.42"/>
    <n v="1"/>
    <s v="Walk-in"/>
    <n v="378.42"/>
    <s v="OK"/>
    <x v="2"/>
    <x v="0"/>
    <s v="0%"/>
    <x v="1"/>
    <x v="7"/>
  </r>
  <r>
    <x v="1192"/>
    <d v="2025-03-04T00:00:00"/>
    <n v="10"/>
    <s v="T012"/>
    <x v="0"/>
    <n v="1972.86"/>
    <x v="1"/>
    <n v="1972.86"/>
    <n v="1"/>
    <s v="Member"/>
    <n v="1972.86"/>
    <s v="OK"/>
    <x v="5"/>
    <x v="0"/>
    <s v="0%"/>
    <x v="4"/>
    <x v="9"/>
  </r>
  <r>
    <x v="1193"/>
    <d v="2025-01-28T00:00:00"/>
    <n v="22"/>
    <s v="T007"/>
    <x v="0"/>
    <n v="794.67"/>
    <x v="1"/>
    <n v="794.67"/>
    <n v="3"/>
    <s v="Walk-in"/>
    <n v="794.67"/>
    <s v="OK"/>
    <x v="2"/>
    <x v="0"/>
    <s v="0%"/>
    <x v="4"/>
    <x v="8"/>
  </r>
  <r>
    <x v="1194"/>
    <d v="2025-05-06T00:00:00"/>
    <n v="16"/>
    <s v="T024"/>
    <x v="1"/>
    <n v="507.89"/>
    <x v="0"/>
    <n v="431.71"/>
    <n v="4"/>
    <s v="Member"/>
    <n v="431.71"/>
    <s v="OK"/>
    <x v="1"/>
    <x v="0"/>
    <s v="11–20%"/>
    <x v="0"/>
    <x v="0"/>
  </r>
  <r>
    <x v="1195"/>
    <d v="2025-03-14T00:00:00"/>
    <n v="16"/>
    <s v="T020"/>
    <x v="1"/>
    <n v="1013.51"/>
    <x v="1"/>
    <n v="1013.51"/>
    <n v="1"/>
    <s v="Walk-in"/>
    <n v="1013.51"/>
    <s v="OK"/>
    <x v="5"/>
    <x v="0"/>
    <s v="0%"/>
    <x v="2"/>
    <x v="2"/>
  </r>
  <r>
    <x v="1196"/>
    <d v="2025-06-02T00:00:00"/>
    <n v="14"/>
    <s v="T030"/>
    <x v="1"/>
    <n v="473.69"/>
    <x v="1"/>
    <n v="473.69"/>
    <n v="1"/>
    <s v="Member"/>
    <n v="473.69"/>
    <s v="OK"/>
    <x v="3"/>
    <x v="0"/>
    <s v="0%"/>
    <x v="2"/>
    <x v="2"/>
  </r>
  <r>
    <x v="1197"/>
    <d v="2025-04-20T00:00:00"/>
    <n v="17"/>
    <s v="T011"/>
    <x v="0"/>
    <n v="911.17"/>
    <x v="1"/>
    <n v="911.17"/>
    <n v="6"/>
    <s v="Member"/>
    <n v="911.17"/>
    <s v="OK"/>
    <x v="4"/>
    <x v="1"/>
    <s v="0%"/>
    <x v="1"/>
    <x v="10"/>
  </r>
  <r>
    <x v="1198"/>
    <d v="2025-01-01T00:00:00"/>
    <n v="15"/>
    <s v="T003"/>
    <x v="2"/>
    <n v="2709.81"/>
    <x v="1"/>
    <n v="2709.81"/>
    <n v="3"/>
    <s v="Walk-in"/>
    <n v="2709.81"/>
    <s v="OK"/>
    <x v="2"/>
    <x v="0"/>
    <s v="0%"/>
    <x v="3"/>
    <x v="3"/>
  </r>
  <r>
    <x v="1199"/>
    <d v="2025-02-02T00:00:00"/>
    <n v="14"/>
    <s v="T014"/>
    <x v="1"/>
    <n v="844.01"/>
    <x v="3"/>
    <n v="759.61"/>
    <n v="4"/>
    <s v="Walk-in"/>
    <n v="759.61"/>
    <s v="OK"/>
    <x v="0"/>
    <x v="1"/>
    <s v="1–_x000a_10%"/>
    <x v="0"/>
    <x v="6"/>
  </r>
  <r>
    <x v="1200"/>
    <d v="2025-06-27T00:00:00"/>
    <n v="13"/>
    <s v="T027"/>
    <x v="1"/>
    <n v="1749.02"/>
    <x v="1"/>
    <n v="1749.02"/>
    <n v="2"/>
    <s v="Member"/>
    <n v="1749.02"/>
    <s v="OK"/>
    <x v="3"/>
    <x v="0"/>
    <s v="0%"/>
    <x v="4"/>
    <x v="9"/>
  </r>
  <r>
    <x v="1201"/>
    <d v="2025-06-22T00:00:00"/>
    <n v="17"/>
    <s v="T027"/>
    <x v="2"/>
    <n v="562.27"/>
    <x v="0"/>
    <n v="477.93"/>
    <n v="1"/>
    <s v="Member"/>
    <n v="477.93"/>
    <s v="OK"/>
    <x v="3"/>
    <x v="1"/>
    <s v="11–20%"/>
    <x v="4"/>
    <x v="9"/>
  </r>
  <r>
    <x v="1202"/>
    <d v="2025-04-02T00:00:00"/>
    <n v="22"/>
    <s v="T027"/>
    <x v="0"/>
    <n v="1434.15"/>
    <x v="0"/>
    <n v="1219.03"/>
    <n v="2"/>
    <s v="Member"/>
    <n v="1219.03"/>
    <s v="OK"/>
    <x v="4"/>
    <x v="0"/>
    <s v="11–20%"/>
    <x v="4"/>
    <x v="9"/>
  </r>
  <r>
    <x v="1203"/>
    <d v="2025-02-22T00:00:00"/>
    <n v="18"/>
    <s v="T029"/>
    <x v="0"/>
    <n v="762.99"/>
    <x v="1"/>
    <n v="762.99"/>
    <n v="3"/>
    <s v="Walk-in"/>
    <n v="762.99"/>
    <s v="OK"/>
    <x v="0"/>
    <x v="1"/>
    <s v="0%"/>
    <x v="0"/>
    <x v="6"/>
  </r>
  <r>
    <x v="1204"/>
    <d v="2025-03-07T00:00:00"/>
    <n v="15"/>
    <s v="T017"/>
    <x v="2"/>
    <n v="1393.27"/>
    <x v="1"/>
    <n v="1393.27"/>
    <n v="3"/>
    <s v="Walk-in"/>
    <n v="1393.27"/>
    <s v="OK"/>
    <x v="5"/>
    <x v="0"/>
    <s v="0%"/>
    <x v="4"/>
    <x v="8"/>
  </r>
  <r>
    <x v="1205"/>
    <d v="2025-01-22T00:00:00"/>
    <n v="12"/>
    <s v="T013"/>
    <x v="0"/>
    <n v="861.24"/>
    <x v="3"/>
    <n v="775.12"/>
    <n v="2"/>
    <s v="Walk-in"/>
    <n v="775.12"/>
    <s v="OK"/>
    <x v="2"/>
    <x v="0"/>
    <s v="1–_x000a_10%"/>
    <x v="3"/>
    <x v="11"/>
  </r>
  <r>
    <x v="1206"/>
    <d v="2025-03-21T00:00:00"/>
    <n v="18"/>
    <s v="T007"/>
    <x v="0"/>
    <n v="947.26"/>
    <x v="1"/>
    <n v="947.26"/>
    <n v="1"/>
    <s v="Member"/>
    <n v="947.26"/>
    <s v="OK"/>
    <x v="5"/>
    <x v="0"/>
    <s v="0%"/>
    <x v="4"/>
    <x v="8"/>
  </r>
  <r>
    <x v="1207"/>
    <d v="2025-06-12T00:00:00"/>
    <n v="10"/>
    <s v="T026"/>
    <x v="0"/>
    <n v="1719.23"/>
    <x v="3"/>
    <n v="1547.31"/>
    <n v="1"/>
    <s v="Member"/>
    <n v="1547.31"/>
    <s v="OK"/>
    <x v="3"/>
    <x v="0"/>
    <s v="1–_x000a_10%"/>
    <x v="1"/>
    <x v="10"/>
  </r>
  <r>
    <x v="1208"/>
    <d v="2025-02-02T00:00:00"/>
    <n v="12"/>
    <s v="T013"/>
    <x v="2"/>
    <n v="1664.81"/>
    <x v="3"/>
    <n v="1498.33"/>
    <n v="1"/>
    <s v="Walk-in"/>
    <n v="1498.33"/>
    <s v="OK"/>
    <x v="0"/>
    <x v="1"/>
    <s v="1–_x000a_10%"/>
    <x v="3"/>
    <x v="11"/>
  </r>
  <r>
    <x v="1209"/>
    <d v="2025-05-04T00:00:00"/>
    <n v="18"/>
    <s v="T016"/>
    <x v="2"/>
    <n v="412.37"/>
    <x v="1"/>
    <n v="412.37"/>
    <n v="1"/>
    <s v="Walk-in"/>
    <n v="412.37"/>
    <s v="OK"/>
    <x v="1"/>
    <x v="1"/>
    <s v="0%"/>
    <x v="1"/>
    <x v="1"/>
  </r>
  <r>
    <x v="1210"/>
    <d v="2025-05-02T00:00:00"/>
    <n v="14"/>
    <s v="T019"/>
    <x v="0"/>
    <n v="1314.25"/>
    <x v="2"/>
    <n v="919.97"/>
    <n v="1"/>
    <s v="Walk-in"/>
    <n v="919.98"/>
    <s v="OK"/>
    <x v="1"/>
    <x v="0"/>
    <s v="&gt;20%"/>
    <x v="0"/>
    <x v="0"/>
  </r>
  <r>
    <x v="1211"/>
    <d v="2025-02-01T00:00:00"/>
    <n v="21"/>
    <s v="T003"/>
    <x v="2"/>
    <n v="3091.66"/>
    <x v="4"/>
    <n v="2473.33"/>
    <n v="2"/>
    <s v="Walk-in"/>
    <n v="2473.33"/>
    <s v="OK"/>
    <x v="0"/>
    <x v="1"/>
    <s v="11–20%"/>
    <x v="3"/>
    <x v="3"/>
  </r>
  <r>
    <x v="1212"/>
    <d v="2025-03-26T00:00:00"/>
    <n v="20"/>
    <s v="T002"/>
    <x v="2"/>
    <n v="1625.43"/>
    <x v="5"/>
    <n v="1544.16"/>
    <n v="4"/>
    <s v="Member"/>
    <n v="1544.16"/>
    <s v="OK"/>
    <x v="5"/>
    <x v="0"/>
    <s v="1–_x000a_10%"/>
    <x v="4"/>
    <x v="9"/>
  </r>
  <r>
    <x v="1213"/>
    <d v="2025-03-23T00:00:00"/>
    <n v="19"/>
    <s v="T021"/>
    <x v="0"/>
    <n v="2079.3200000000002"/>
    <x v="0"/>
    <n v="1767.42"/>
    <n v="1"/>
    <s v="Walk-in"/>
    <n v="1767.42"/>
    <s v="OK"/>
    <x v="5"/>
    <x v="1"/>
    <s v="11–20%"/>
    <x v="1"/>
    <x v="1"/>
  </r>
  <r>
    <x v="1214"/>
    <d v="2025-01-14T00:00:00"/>
    <n v="20"/>
    <s v="T026"/>
    <x v="0"/>
    <n v="2618.87"/>
    <x v="3"/>
    <n v="2356.98"/>
    <n v="3"/>
    <s v="Member"/>
    <n v="2356.98"/>
    <s v="OK"/>
    <x v="2"/>
    <x v="0"/>
    <s v="1–_x000a_10%"/>
    <x v="1"/>
    <x v="10"/>
  </r>
  <r>
    <x v="1215"/>
    <d v="2025-02-08T00:00:00"/>
    <n v="17"/>
    <s v="T018"/>
    <x v="0"/>
    <n v="765.76"/>
    <x v="1"/>
    <n v="765.76"/>
    <n v="1"/>
    <s v="Member"/>
    <n v="765.76"/>
    <s v="OK"/>
    <x v="0"/>
    <x v="1"/>
    <s v="0%"/>
    <x v="3"/>
    <x v="3"/>
  </r>
  <r>
    <x v="1216"/>
    <d v="2025-03-16T00:00:00"/>
    <n v="16"/>
    <s v="T021"/>
    <x v="0"/>
    <n v="186.78"/>
    <x v="1"/>
    <n v="186.78"/>
    <n v="3"/>
    <s v="Walk-in"/>
    <n v="186.78"/>
    <s v="OK"/>
    <x v="5"/>
    <x v="1"/>
    <s v="0%"/>
    <x v="1"/>
    <x v="1"/>
  </r>
  <r>
    <x v="1217"/>
    <d v="2025-01-20T00:00:00"/>
    <n v="16"/>
    <s v="T011"/>
    <x v="2"/>
    <n v="945.64"/>
    <x v="1"/>
    <n v="945.64"/>
    <n v="1"/>
    <s v="Walk-in"/>
    <n v="945.64"/>
    <s v="OK"/>
    <x v="2"/>
    <x v="0"/>
    <s v="0%"/>
    <x v="1"/>
    <x v="10"/>
  </r>
  <r>
    <x v="1218"/>
    <d v="2025-05-08T00:00:00"/>
    <n v="14"/>
    <s v="T002"/>
    <x v="0"/>
    <n v="1330.68"/>
    <x v="1"/>
    <n v="1330.68"/>
    <n v="5"/>
    <s v="Member"/>
    <n v="1330.68"/>
    <s v="OK"/>
    <x v="1"/>
    <x v="0"/>
    <s v="0%"/>
    <x v="4"/>
    <x v="9"/>
  </r>
  <r>
    <x v="1219"/>
    <d v="2025-05-22T00:00:00"/>
    <n v="20"/>
    <s v="T028"/>
    <x v="0"/>
    <n v="1567.58"/>
    <x v="1"/>
    <n v="1567.58"/>
    <n v="2"/>
    <s v="Walk-in"/>
    <n v="1567.58"/>
    <s v="OK"/>
    <x v="1"/>
    <x v="0"/>
    <s v="0%"/>
    <x v="3"/>
    <x v="5"/>
  </r>
  <r>
    <x v="1220"/>
    <d v="2025-05-02T00:00:00"/>
    <n v="22"/>
    <s v="T026"/>
    <x v="0"/>
    <n v="1347.31"/>
    <x v="1"/>
    <n v="1347.31"/>
    <n v="3"/>
    <s v="Member"/>
    <n v="1347.31"/>
    <s v="OK"/>
    <x v="1"/>
    <x v="0"/>
    <s v="0%"/>
    <x v="1"/>
    <x v="10"/>
  </r>
  <r>
    <x v="1221"/>
    <d v="2025-02-12T00:00:00"/>
    <n v="12"/>
    <s v="T011"/>
    <x v="2"/>
    <n v="4079.54"/>
    <x v="0"/>
    <n v="3467.61"/>
    <n v="1"/>
    <s v="Walk-in"/>
    <n v="3467.61"/>
    <s v="OK"/>
    <x v="0"/>
    <x v="0"/>
    <s v="11–20%"/>
    <x v="1"/>
    <x v="10"/>
  </r>
  <r>
    <x v="1222"/>
    <d v="2025-01-28T00:00:00"/>
    <n v="18"/>
    <s v="T018"/>
    <x v="2"/>
    <n v="920.04"/>
    <x v="1"/>
    <n v="920.04"/>
    <n v="4"/>
    <s v="Walk-in"/>
    <n v="920.04"/>
    <s v="OK"/>
    <x v="2"/>
    <x v="0"/>
    <s v="0%"/>
    <x v="3"/>
    <x v="3"/>
  </r>
  <r>
    <x v="1223"/>
    <d v="2025-06-11T00:00:00"/>
    <n v="20"/>
    <s v="T029"/>
    <x v="0"/>
    <n v="1753.88"/>
    <x v="4"/>
    <n v="1403.1"/>
    <n v="1"/>
    <s v="Walk-in"/>
    <n v="1403.1"/>
    <s v="OK"/>
    <x v="3"/>
    <x v="0"/>
    <s v="11–20%"/>
    <x v="0"/>
    <x v="6"/>
  </r>
  <r>
    <x v="1224"/>
    <d v="2025-06-10T00:00:00"/>
    <n v="10"/>
    <s v="T016"/>
    <x v="2"/>
    <n v="6211.89"/>
    <x v="3"/>
    <n v="5590.7"/>
    <n v="1"/>
    <s v="Walk-in"/>
    <n v="5590.7"/>
    <s v="OK"/>
    <x v="3"/>
    <x v="0"/>
    <s v="1–_x000a_10%"/>
    <x v="1"/>
    <x v="1"/>
  </r>
  <r>
    <x v="1225"/>
    <d v="2025-04-09T00:00:00"/>
    <n v="11"/>
    <s v="T012"/>
    <x v="0"/>
    <n v="846.55"/>
    <x v="4"/>
    <n v="677.24"/>
    <n v="2"/>
    <s v="Member"/>
    <n v="677.24"/>
    <s v="OK"/>
    <x v="4"/>
    <x v="0"/>
    <s v="11–20%"/>
    <x v="4"/>
    <x v="9"/>
  </r>
  <r>
    <x v="1226"/>
    <d v="2025-03-12T00:00:00"/>
    <n v="20"/>
    <s v="T017"/>
    <x v="0"/>
    <n v="1164.3499999999999"/>
    <x v="1"/>
    <n v="1164.3499999999999"/>
    <n v="2"/>
    <s v="Walk-in"/>
    <n v="1164.3499999999999"/>
    <s v="OK"/>
    <x v="5"/>
    <x v="0"/>
    <s v="0%"/>
    <x v="4"/>
    <x v="8"/>
  </r>
  <r>
    <x v="1227"/>
    <d v="2025-06-10T00:00:00"/>
    <n v="10"/>
    <s v="T022"/>
    <x v="2"/>
    <n v="4522.04"/>
    <x v="2"/>
    <n v="3165.43"/>
    <n v="1"/>
    <s v="Walk-in"/>
    <n v="3165.43"/>
    <s v="OK"/>
    <x v="3"/>
    <x v="0"/>
    <s v="&gt;20%"/>
    <x v="4"/>
    <x v="8"/>
  </r>
  <r>
    <x v="1228"/>
    <d v="2025-03-25T00:00:00"/>
    <n v="15"/>
    <s v="T016"/>
    <x v="0"/>
    <n v="2884.91"/>
    <x v="3"/>
    <n v="2596.42"/>
    <n v="4"/>
    <s v="Member"/>
    <n v="2596.42"/>
    <s v="OK"/>
    <x v="5"/>
    <x v="0"/>
    <s v="1–_x000a_10%"/>
    <x v="1"/>
    <x v="1"/>
  </r>
  <r>
    <x v="1229"/>
    <d v="2025-03-31T00:00:00"/>
    <n v="13"/>
    <s v="T004"/>
    <x v="2"/>
    <n v="1189.5999999999999"/>
    <x v="0"/>
    <n v="1011.16"/>
    <n v="5"/>
    <s v="Member"/>
    <n v="1011.16"/>
    <s v="OK"/>
    <x v="5"/>
    <x v="0"/>
    <s v="11–20%"/>
    <x v="0"/>
    <x v="0"/>
  </r>
  <r>
    <x v="1230"/>
    <d v="2025-04-16T00:00:00"/>
    <n v="12"/>
    <s v="T024"/>
    <x v="1"/>
    <n v="422.9"/>
    <x v="1"/>
    <n v="422.9"/>
    <n v="1"/>
    <s v="Walk-in"/>
    <n v="422.9"/>
    <s v="OK"/>
    <x v="4"/>
    <x v="0"/>
    <s v="0%"/>
    <x v="0"/>
    <x v="0"/>
  </r>
  <r>
    <x v="1231"/>
    <d v="2025-01-07T00:00:00"/>
    <n v="17"/>
    <s v="T006"/>
    <x v="1"/>
    <n v="976.34"/>
    <x v="2"/>
    <n v="683.44"/>
    <n v="2"/>
    <s v="Walk-in"/>
    <n v="683.44"/>
    <s v="OK"/>
    <x v="2"/>
    <x v="0"/>
    <s v="&gt;20%"/>
    <x v="1"/>
    <x v="1"/>
  </r>
  <r>
    <x v="1232"/>
    <d v="2025-04-22T00:00:00"/>
    <n v="10"/>
    <s v="T015"/>
    <x v="0"/>
    <n v="300.95"/>
    <x v="1"/>
    <n v="300.95"/>
    <n v="2"/>
    <s v="Walk-in"/>
    <n v="300.95"/>
    <s v="OK"/>
    <x v="4"/>
    <x v="0"/>
    <s v="0%"/>
    <x v="2"/>
    <x v="4"/>
  </r>
  <r>
    <x v="1233"/>
    <d v="2025-03-22T00:00:00"/>
    <n v="11"/>
    <s v="T017"/>
    <x v="0"/>
    <n v="496.49"/>
    <x v="1"/>
    <n v="496.49"/>
    <n v="2"/>
    <s v="Walk-in"/>
    <n v="496.49"/>
    <s v="OK"/>
    <x v="5"/>
    <x v="1"/>
    <s v="0%"/>
    <x v="4"/>
    <x v="8"/>
  </r>
  <r>
    <x v="1234"/>
    <d v="2025-05-23T00:00:00"/>
    <n v="18"/>
    <s v="T006"/>
    <x v="3"/>
    <n v="684.44"/>
    <x v="3"/>
    <n v="616"/>
    <n v="2"/>
    <s v="Walk-in"/>
    <n v="616"/>
    <s v="OK"/>
    <x v="1"/>
    <x v="0"/>
    <s v="1–_x000a_10%"/>
    <x v="1"/>
    <x v="1"/>
  </r>
  <r>
    <x v="1235"/>
    <d v="2025-01-17T00:00:00"/>
    <n v="11"/>
    <s v="T028"/>
    <x v="0"/>
    <n v="1696.14"/>
    <x v="0"/>
    <n v="1441.72"/>
    <n v="1"/>
    <s v="Member"/>
    <n v="1441.72"/>
    <s v="OK"/>
    <x v="2"/>
    <x v="0"/>
    <s v="11–20%"/>
    <x v="3"/>
    <x v="5"/>
  </r>
  <r>
    <x v="1236"/>
    <d v="2025-05-04T00:00:00"/>
    <n v="22"/>
    <s v="T001"/>
    <x v="3"/>
    <n v="2943.65"/>
    <x v="3"/>
    <n v="2649.29"/>
    <n v="4"/>
    <s v="Walk-in"/>
    <n v="2649.29"/>
    <s v="OK"/>
    <x v="1"/>
    <x v="1"/>
    <s v="1–_x000a_10%"/>
    <x v="1"/>
    <x v="7"/>
  </r>
  <r>
    <x v="1237"/>
    <d v="2025-04-20T00:00:00"/>
    <n v="14"/>
    <s v="T020"/>
    <x v="0"/>
    <n v="4082.34"/>
    <x v="1"/>
    <n v="4082.34"/>
    <n v="2"/>
    <s v="Member"/>
    <n v="4082.34"/>
    <s v="OK"/>
    <x v="4"/>
    <x v="1"/>
    <s v="0%"/>
    <x v="2"/>
    <x v="2"/>
  </r>
  <r>
    <x v="1238"/>
    <d v="2025-03-11T00:00:00"/>
    <n v="19"/>
    <s v="T011"/>
    <x v="0"/>
    <n v="1721.47"/>
    <x v="1"/>
    <n v="1721.47"/>
    <n v="2"/>
    <s v="Walk-in"/>
    <n v="1721.47"/>
    <s v="OK"/>
    <x v="5"/>
    <x v="0"/>
    <s v="0%"/>
    <x v="1"/>
    <x v="10"/>
  </r>
  <r>
    <x v="1239"/>
    <d v="2025-01-30T00:00:00"/>
    <n v="19"/>
    <s v="T007"/>
    <x v="0"/>
    <n v="2036.06"/>
    <x v="1"/>
    <n v="2036.06"/>
    <n v="1"/>
    <s v="Walk-in"/>
    <n v="2036.06"/>
    <s v="OK"/>
    <x v="2"/>
    <x v="0"/>
    <s v="0%"/>
    <x v="4"/>
    <x v="8"/>
  </r>
  <r>
    <x v="1240"/>
    <d v="2025-02-10T00:00:00"/>
    <n v="15"/>
    <s v="T030"/>
    <x v="2"/>
    <n v="1414.63"/>
    <x v="1"/>
    <n v="1414.63"/>
    <n v="1"/>
    <s v="Member"/>
    <n v="1414.63"/>
    <s v="OK"/>
    <x v="0"/>
    <x v="0"/>
    <s v="0%"/>
    <x v="2"/>
    <x v="2"/>
  </r>
  <r>
    <x v="1241"/>
    <d v="2025-05-11T00:00:00"/>
    <n v="22"/>
    <s v="T011"/>
    <x v="2"/>
    <n v="3735.73"/>
    <x v="3"/>
    <n v="3362.16"/>
    <n v="1"/>
    <s v="Walk-in"/>
    <n v="3362.16"/>
    <s v="OK"/>
    <x v="1"/>
    <x v="1"/>
    <s v="1–_x000a_10%"/>
    <x v="1"/>
    <x v="10"/>
  </r>
  <r>
    <x v="1242"/>
    <d v="2025-05-03T00:00:00"/>
    <n v="10"/>
    <s v="T006"/>
    <x v="0"/>
    <n v="1461.64"/>
    <x v="1"/>
    <n v="1461.64"/>
    <n v="1"/>
    <s v="Walk-in"/>
    <n v="1461.64"/>
    <s v="OK"/>
    <x v="1"/>
    <x v="1"/>
    <s v="0%"/>
    <x v="1"/>
    <x v="1"/>
  </r>
  <r>
    <x v="1243"/>
    <d v="2025-06-29T00:00:00"/>
    <n v="12"/>
    <s v="T006"/>
    <x v="2"/>
    <n v="1110.99"/>
    <x v="3"/>
    <n v="999.89"/>
    <n v="3"/>
    <s v="Walk-in"/>
    <n v="999.89"/>
    <s v="OK"/>
    <x v="3"/>
    <x v="1"/>
    <s v="1–_x000a_10%"/>
    <x v="1"/>
    <x v="1"/>
  </r>
  <r>
    <x v="1244"/>
    <d v="2025-06-12T00:00:00"/>
    <n v="22"/>
    <s v="T004"/>
    <x v="2"/>
    <n v="278.42"/>
    <x v="4"/>
    <n v="222.74"/>
    <n v="2"/>
    <s v="Member"/>
    <n v="222.74"/>
    <s v="OK"/>
    <x v="3"/>
    <x v="0"/>
    <s v="11–20%"/>
    <x v="0"/>
    <x v="0"/>
  </r>
  <r>
    <x v="1245"/>
    <d v="2025-04-23T00:00:00"/>
    <n v="16"/>
    <s v="T007"/>
    <x v="2"/>
    <n v="355.71"/>
    <x v="5"/>
    <n v="337.92"/>
    <n v="2"/>
    <s v="Walk-in"/>
    <n v="337.92"/>
    <s v="OK"/>
    <x v="4"/>
    <x v="0"/>
    <s v="1–_x000a_10%"/>
    <x v="4"/>
    <x v="8"/>
  </r>
  <r>
    <x v="1246"/>
    <d v="2025-01-07T00:00:00"/>
    <n v="14"/>
    <s v="T022"/>
    <x v="0"/>
    <n v="936.6"/>
    <x v="1"/>
    <n v="936.6"/>
    <n v="4"/>
    <s v="Member"/>
    <n v="936.6"/>
    <s v="OK"/>
    <x v="2"/>
    <x v="0"/>
    <s v="0%"/>
    <x v="4"/>
    <x v="8"/>
  </r>
  <r>
    <x v="1247"/>
    <d v="2025-05-05T00:00:00"/>
    <n v="10"/>
    <s v="T020"/>
    <x v="3"/>
    <n v="874.3"/>
    <x v="0"/>
    <n v="743.15"/>
    <n v="4"/>
    <s v="Walk-in"/>
    <n v="743.16"/>
    <s v="OK"/>
    <x v="1"/>
    <x v="0"/>
    <s v="11–20%"/>
    <x v="2"/>
    <x v="2"/>
  </r>
  <r>
    <x v="1248"/>
    <d v="2025-06-21T00:00:00"/>
    <n v="18"/>
    <s v="T025"/>
    <x v="0"/>
    <n v="875.14"/>
    <x v="3"/>
    <n v="787.63"/>
    <n v="6"/>
    <s v="Member"/>
    <n v="787.63"/>
    <s v="OK"/>
    <x v="3"/>
    <x v="1"/>
    <s v="1–_x000a_10%"/>
    <x v="2"/>
    <x v="2"/>
  </r>
  <r>
    <x v="1249"/>
    <d v="2025-06-16T00:00:00"/>
    <n v="11"/>
    <s v="T009"/>
    <x v="0"/>
    <n v="736.38"/>
    <x v="4"/>
    <n v="589.1"/>
    <n v="4"/>
    <s v="Member"/>
    <n v="589.1"/>
    <s v="OK"/>
    <x v="3"/>
    <x v="0"/>
    <s v="11–20%"/>
    <x v="0"/>
    <x v="6"/>
  </r>
  <r>
    <x v="1250"/>
    <d v="2025-05-05T00:00:00"/>
    <n v="10"/>
    <s v="T023"/>
    <x v="2"/>
    <n v="1340.54"/>
    <x v="1"/>
    <n v="1340.54"/>
    <n v="2"/>
    <s v="Member"/>
    <n v="1340.54"/>
    <s v="OK"/>
    <x v="1"/>
    <x v="0"/>
    <s v="0%"/>
    <x v="3"/>
    <x v="11"/>
  </r>
  <r>
    <x v="1251"/>
    <d v="2025-05-10T00:00:00"/>
    <n v="11"/>
    <s v="T020"/>
    <x v="1"/>
    <n v="1375.62"/>
    <x v="3"/>
    <n v="1238.06"/>
    <n v="3"/>
    <s v="Walk-in"/>
    <n v="1238.06"/>
    <s v="OK"/>
    <x v="1"/>
    <x v="1"/>
    <s v="1–_x000a_10%"/>
    <x v="2"/>
    <x v="2"/>
  </r>
  <r>
    <x v="1252"/>
    <d v="2025-05-10T00:00:00"/>
    <n v="20"/>
    <s v="T005"/>
    <x v="0"/>
    <n v="374.22"/>
    <x v="3"/>
    <n v="336.8"/>
    <n v="3"/>
    <s v="Walk-in"/>
    <n v="336.8"/>
    <s v="OK"/>
    <x v="1"/>
    <x v="1"/>
    <s v="1–_x000a_10%"/>
    <x v="2"/>
    <x v="4"/>
  </r>
  <r>
    <x v="1253"/>
    <d v="2025-01-19T00:00:00"/>
    <n v="18"/>
    <s v="T010"/>
    <x v="0"/>
    <n v="1532.18"/>
    <x v="2"/>
    <n v="1072.53"/>
    <n v="1"/>
    <s v="Walk-in"/>
    <n v="1072.53"/>
    <s v="OK"/>
    <x v="2"/>
    <x v="1"/>
    <s v="&gt;20%"/>
    <x v="2"/>
    <x v="4"/>
  </r>
  <r>
    <x v="1254"/>
    <d v="2025-05-18T00:00:00"/>
    <n v="20"/>
    <s v="T024"/>
    <x v="0"/>
    <n v="501.62"/>
    <x v="0"/>
    <n v="426.38"/>
    <n v="2"/>
    <s v="Walk-in"/>
    <n v="426.38"/>
    <s v="OK"/>
    <x v="1"/>
    <x v="1"/>
    <s v="11–20%"/>
    <x v="0"/>
    <x v="0"/>
  </r>
  <r>
    <x v="1255"/>
    <d v="2025-04-28T00:00:00"/>
    <n v="21"/>
    <s v="T015"/>
    <x v="0"/>
    <n v="479.34"/>
    <x v="1"/>
    <n v="479.34"/>
    <n v="2"/>
    <s v="Walk-in"/>
    <n v="479.34"/>
    <s v="OK"/>
    <x v="4"/>
    <x v="0"/>
    <s v="0%"/>
    <x v="2"/>
    <x v="4"/>
  </r>
  <r>
    <x v="1256"/>
    <d v="2025-03-20T00:00:00"/>
    <n v="11"/>
    <s v="T001"/>
    <x v="0"/>
    <n v="623.29999999999995"/>
    <x v="4"/>
    <n v="498.64"/>
    <n v="1"/>
    <s v="Member"/>
    <n v="498.64"/>
    <s v="OK"/>
    <x v="5"/>
    <x v="0"/>
    <s v="11–20%"/>
    <x v="1"/>
    <x v="7"/>
  </r>
  <r>
    <x v="1257"/>
    <d v="2025-04-08T00:00:00"/>
    <n v="12"/>
    <s v="T016"/>
    <x v="0"/>
    <n v="580.05999999999995"/>
    <x v="1"/>
    <n v="580.05999999999995"/>
    <n v="1"/>
    <s v="Member"/>
    <n v="580.05999999999995"/>
    <s v="OK"/>
    <x v="4"/>
    <x v="0"/>
    <s v="0%"/>
    <x v="1"/>
    <x v="1"/>
  </r>
  <r>
    <x v="1258"/>
    <d v="2025-01-22T00:00:00"/>
    <n v="21"/>
    <s v="T029"/>
    <x v="0"/>
    <n v="3377.68"/>
    <x v="1"/>
    <n v="3377.68"/>
    <n v="2"/>
    <s v="Walk-in"/>
    <n v="3377.68"/>
    <s v="OK"/>
    <x v="2"/>
    <x v="0"/>
    <s v="0%"/>
    <x v="0"/>
    <x v="6"/>
  </r>
  <r>
    <x v="1259"/>
    <d v="2025-06-08T00:00:00"/>
    <n v="17"/>
    <s v="T010"/>
    <x v="2"/>
    <n v="2207.27"/>
    <x v="0"/>
    <n v="1876.18"/>
    <n v="2"/>
    <s v="Member"/>
    <n v="1876.18"/>
    <s v="OK"/>
    <x v="3"/>
    <x v="1"/>
    <s v="11–20%"/>
    <x v="2"/>
    <x v="4"/>
  </r>
  <r>
    <x v="1260"/>
    <d v="2025-06-11T00:00:00"/>
    <n v="21"/>
    <s v="T001"/>
    <x v="2"/>
    <n v="2103.91"/>
    <x v="1"/>
    <n v="2103.91"/>
    <n v="5"/>
    <s v="Member"/>
    <n v="2103.91"/>
    <s v="OK"/>
    <x v="3"/>
    <x v="0"/>
    <s v="0%"/>
    <x v="1"/>
    <x v="7"/>
  </r>
  <r>
    <x v="1261"/>
    <d v="2025-01-25T00:00:00"/>
    <n v="10"/>
    <s v="T003"/>
    <x v="0"/>
    <n v="1452.93"/>
    <x v="3"/>
    <n v="1307.6400000000001"/>
    <n v="5"/>
    <s v="Member"/>
    <n v="1307.6400000000001"/>
    <s v="OK"/>
    <x v="2"/>
    <x v="1"/>
    <s v="1–_x000a_10%"/>
    <x v="3"/>
    <x v="3"/>
  </r>
  <r>
    <x v="1262"/>
    <d v="2025-01-28T00:00:00"/>
    <n v="13"/>
    <s v="T011"/>
    <x v="2"/>
    <n v="3212.91"/>
    <x v="1"/>
    <n v="3212.91"/>
    <n v="1"/>
    <s v="Walk-in"/>
    <n v="3212.91"/>
    <s v="OK"/>
    <x v="2"/>
    <x v="0"/>
    <s v="0%"/>
    <x v="1"/>
    <x v="10"/>
  </r>
  <r>
    <x v="1263"/>
    <d v="2025-03-29T00:00:00"/>
    <n v="11"/>
    <s v="T005"/>
    <x v="2"/>
    <n v="2518.6"/>
    <x v="1"/>
    <n v="2518.6"/>
    <n v="1"/>
    <s v="Walk-in"/>
    <n v="2518.6"/>
    <s v="OK"/>
    <x v="5"/>
    <x v="1"/>
    <s v="0%"/>
    <x v="2"/>
    <x v="4"/>
  </r>
  <r>
    <x v="1264"/>
    <d v="2025-05-31T00:00:00"/>
    <n v="11"/>
    <s v="T028"/>
    <x v="2"/>
    <n v="1483.42"/>
    <x v="4"/>
    <n v="1186.74"/>
    <n v="1"/>
    <s v="Walk-in"/>
    <n v="1186.74"/>
    <s v="OK"/>
    <x v="1"/>
    <x v="1"/>
    <s v="11–20%"/>
    <x v="3"/>
    <x v="5"/>
  </r>
  <r>
    <x v="1265"/>
    <d v="2025-01-27T00:00:00"/>
    <n v="12"/>
    <s v="T029"/>
    <x v="0"/>
    <n v="1366.24"/>
    <x v="3"/>
    <n v="1229.6199999999999"/>
    <n v="3"/>
    <s v="Member"/>
    <n v="1229.6199999999999"/>
    <s v="OK"/>
    <x v="2"/>
    <x v="0"/>
    <s v="1–_x000a_10%"/>
    <x v="0"/>
    <x v="6"/>
  </r>
  <r>
    <x v="1266"/>
    <d v="2025-04-17T00:00:00"/>
    <n v="21"/>
    <s v="T020"/>
    <x v="0"/>
    <n v="235.98"/>
    <x v="3"/>
    <n v="212.38"/>
    <n v="1"/>
    <s v="Member"/>
    <n v="212.38"/>
    <s v="OK"/>
    <x v="4"/>
    <x v="0"/>
    <s v="1–_x000a_10%"/>
    <x v="2"/>
    <x v="2"/>
  </r>
  <r>
    <x v="1267"/>
    <d v="2025-02-08T00:00:00"/>
    <n v="17"/>
    <s v="T021"/>
    <x v="0"/>
    <n v="2130.56"/>
    <x v="1"/>
    <n v="2130.56"/>
    <n v="5"/>
    <s v="Member"/>
    <n v="2130.56"/>
    <s v="OK"/>
    <x v="0"/>
    <x v="1"/>
    <s v="0%"/>
    <x v="1"/>
    <x v="1"/>
  </r>
  <r>
    <x v="1268"/>
    <d v="2025-04-22T00:00:00"/>
    <n v="14"/>
    <s v="T010"/>
    <x v="0"/>
    <n v="299.99"/>
    <x v="1"/>
    <n v="299.99"/>
    <n v="3"/>
    <s v="Walk-in"/>
    <n v="299.99"/>
    <s v="OK"/>
    <x v="4"/>
    <x v="0"/>
    <s v="0%"/>
    <x v="2"/>
    <x v="4"/>
  </r>
  <r>
    <x v="1269"/>
    <d v="2025-06-15T00:00:00"/>
    <n v="20"/>
    <s v="T002"/>
    <x v="0"/>
    <n v="1540.35"/>
    <x v="0"/>
    <n v="1309.3"/>
    <n v="2"/>
    <s v="Walk-in"/>
    <n v="1309.3"/>
    <s v="OK"/>
    <x v="3"/>
    <x v="1"/>
    <s v="11–20%"/>
    <x v="4"/>
    <x v="9"/>
  </r>
  <r>
    <x v="1270"/>
    <d v="2025-01-19T00:00:00"/>
    <n v="22"/>
    <s v="T018"/>
    <x v="0"/>
    <n v="983.04"/>
    <x v="1"/>
    <n v="983.04"/>
    <n v="1"/>
    <s v="Walk-in"/>
    <n v="983.04"/>
    <s v="OK"/>
    <x v="2"/>
    <x v="1"/>
    <s v="0%"/>
    <x v="3"/>
    <x v="3"/>
  </r>
  <r>
    <x v="1271"/>
    <d v="2025-02-16T00:00:00"/>
    <n v="10"/>
    <s v="T026"/>
    <x v="2"/>
    <n v="558.05999999999995"/>
    <x v="3"/>
    <n v="502.25"/>
    <n v="3"/>
    <s v="Member"/>
    <n v="502.25"/>
    <s v="OK"/>
    <x v="0"/>
    <x v="1"/>
    <s v="1–_x000a_10%"/>
    <x v="1"/>
    <x v="10"/>
  </r>
  <r>
    <x v="1272"/>
    <d v="2025-02-17T00:00:00"/>
    <n v="13"/>
    <s v="T002"/>
    <x v="2"/>
    <n v="1710.08"/>
    <x v="0"/>
    <n v="1453.57"/>
    <n v="3"/>
    <s v="Walk-in"/>
    <n v="1453.57"/>
    <s v="OK"/>
    <x v="0"/>
    <x v="0"/>
    <s v="11–20%"/>
    <x v="4"/>
    <x v="9"/>
  </r>
  <r>
    <x v="1273"/>
    <d v="2025-05-10T00:00:00"/>
    <n v="19"/>
    <s v="T014"/>
    <x v="0"/>
    <n v="777.79"/>
    <x v="1"/>
    <n v="777.79"/>
    <n v="2"/>
    <s v="Walk-in"/>
    <n v="777.79"/>
    <s v="OK"/>
    <x v="1"/>
    <x v="1"/>
    <s v="0%"/>
    <x v="0"/>
    <x v="6"/>
  </r>
  <r>
    <x v="1274"/>
    <d v="2025-06-12T00:00:00"/>
    <n v="21"/>
    <s v="T023"/>
    <x v="0"/>
    <n v="1960.75"/>
    <x v="1"/>
    <n v="1960.75"/>
    <n v="4"/>
    <s v="Member"/>
    <n v="1960.75"/>
    <s v="OK"/>
    <x v="3"/>
    <x v="0"/>
    <s v="0%"/>
    <x v="3"/>
    <x v="11"/>
  </r>
  <r>
    <x v="1275"/>
    <d v="2025-05-21T00:00:00"/>
    <n v="14"/>
    <s v="T016"/>
    <x v="0"/>
    <n v="784.12"/>
    <x v="1"/>
    <n v="784.12"/>
    <n v="1"/>
    <s v="Member"/>
    <n v="784.12"/>
    <s v="OK"/>
    <x v="1"/>
    <x v="0"/>
    <s v="0%"/>
    <x v="1"/>
    <x v="1"/>
  </r>
  <r>
    <x v="1276"/>
    <d v="2025-02-06T00:00:00"/>
    <n v="20"/>
    <s v="T010"/>
    <x v="0"/>
    <n v="1556.66"/>
    <x v="1"/>
    <n v="1556.66"/>
    <n v="5"/>
    <s v="Walk-in"/>
    <n v="1556.66"/>
    <s v="OK"/>
    <x v="0"/>
    <x v="0"/>
    <s v="0%"/>
    <x v="2"/>
    <x v="4"/>
  </r>
  <r>
    <x v="1277"/>
    <d v="2025-03-12T00:00:00"/>
    <n v="22"/>
    <s v="T004"/>
    <x v="2"/>
    <n v="1067.76"/>
    <x v="1"/>
    <n v="1067.76"/>
    <n v="1"/>
    <s v="Walk-in"/>
    <n v="1067.76"/>
    <s v="OK"/>
    <x v="5"/>
    <x v="0"/>
    <s v="0%"/>
    <x v="0"/>
    <x v="0"/>
  </r>
  <r>
    <x v="1278"/>
    <d v="2025-02-14T00:00:00"/>
    <n v="17"/>
    <s v="T013"/>
    <x v="3"/>
    <n v="938.56"/>
    <x v="4"/>
    <n v="750.85"/>
    <n v="1"/>
    <s v="Member"/>
    <n v="750.85"/>
    <s v="OK"/>
    <x v="0"/>
    <x v="0"/>
    <s v="11–20%"/>
    <x v="3"/>
    <x v="11"/>
  </r>
  <r>
    <x v="1279"/>
    <d v="2025-05-31T00:00:00"/>
    <n v="13"/>
    <s v="T026"/>
    <x v="0"/>
    <n v="1533.72"/>
    <x v="5"/>
    <n v="1457.03"/>
    <n v="4"/>
    <s v="Member"/>
    <n v="1457.03"/>
    <s v="OK"/>
    <x v="1"/>
    <x v="1"/>
    <s v="1–_x000a_10%"/>
    <x v="1"/>
    <x v="10"/>
  </r>
  <r>
    <x v="1280"/>
    <d v="2025-05-10T00:00:00"/>
    <n v="13"/>
    <s v="T021"/>
    <x v="0"/>
    <n v="382.75"/>
    <x v="3"/>
    <n v="344.48"/>
    <n v="1"/>
    <s v="Walk-in"/>
    <n v="344.48"/>
    <s v="OK"/>
    <x v="1"/>
    <x v="1"/>
    <s v="1–_x000a_10%"/>
    <x v="1"/>
    <x v="1"/>
  </r>
  <r>
    <x v="1281"/>
    <d v="2025-03-05T00:00:00"/>
    <n v="16"/>
    <s v="T004"/>
    <x v="2"/>
    <n v="1310.02"/>
    <x v="2"/>
    <n v="917.01"/>
    <n v="4"/>
    <s v="Walk-in"/>
    <n v="917.01"/>
    <s v="OK"/>
    <x v="5"/>
    <x v="0"/>
    <s v="&gt;20%"/>
    <x v="0"/>
    <x v="0"/>
  </r>
  <r>
    <x v="1282"/>
    <d v="2025-05-08T00:00:00"/>
    <n v="14"/>
    <s v="T029"/>
    <x v="1"/>
    <n v="577.80999999999995"/>
    <x v="1"/>
    <n v="577.80999999999995"/>
    <n v="2"/>
    <s v="Member"/>
    <n v="577.80999999999995"/>
    <s v="OK"/>
    <x v="1"/>
    <x v="0"/>
    <s v="0%"/>
    <x v="0"/>
    <x v="6"/>
  </r>
  <r>
    <x v="1283"/>
    <d v="2025-06-10T00:00:00"/>
    <n v="13"/>
    <s v="T006"/>
    <x v="0"/>
    <n v="956.21"/>
    <x v="0"/>
    <n v="812.78"/>
    <n v="1"/>
    <s v="Walk-in"/>
    <n v="812.78"/>
    <s v="OK"/>
    <x v="3"/>
    <x v="0"/>
    <s v="11–20%"/>
    <x v="1"/>
    <x v="1"/>
  </r>
  <r>
    <x v="1284"/>
    <d v="2025-03-25T00:00:00"/>
    <n v="21"/>
    <s v="T023"/>
    <x v="0"/>
    <n v="1317.06"/>
    <x v="3"/>
    <n v="1185.3499999999999"/>
    <n v="2"/>
    <s v="Walk-in"/>
    <n v="1185.3499999999999"/>
    <s v="OK"/>
    <x v="5"/>
    <x v="0"/>
    <s v="1–_x000a_10%"/>
    <x v="3"/>
    <x v="11"/>
  </r>
  <r>
    <x v="1285"/>
    <d v="2025-06-27T00:00:00"/>
    <n v="17"/>
    <s v="T028"/>
    <x v="2"/>
    <n v="577.4"/>
    <x v="3"/>
    <n v="519.66"/>
    <n v="1"/>
    <s v="Walk-in"/>
    <n v="519.66"/>
    <s v="OK"/>
    <x v="3"/>
    <x v="0"/>
    <s v="1–_x000a_10%"/>
    <x v="3"/>
    <x v="5"/>
  </r>
  <r>
    <x v="1286"/>
    <d v="2025-02-02T00:00:00"/>
    <n v="18"/>
    <s v="T004"/>
    <x v="3"/>
    <n v="1384.72"/>
    <x v="5"/>
    <n v="1315.48"/>
    <n v="3"/>
    <s v="Walk-in"/>
    <n v="1315.48"/>
    <s v="OK"/>
    <x v="0"/>
    <x v="1"/>
    <s v="1–_x000a_10%"/>
    <x v="0"/>
    <x v="0"/>
  </r>
  <r>
    <x v="1287"/>
    <d v="2025-04-14T00:00:00"/>
    <n v="14"/>
    <s v="T011"/>
    <x v="0"/>
    <n v="1030.53"/>
    <x v="2"/>
    <n v="721.37"/>
    <n v="4"/>
    <s v="Walk-in"/>
    <n v="721.37"/>
    <s v="OK"/>
    <x v="4"/>
    <x v="0"/>
    <s v="&gt;20%"/>
    <x v="1"/>
    <x v="10"/>
  </r>
  <r>
    <x v="1288"/>
    <d v="2025-06-07T00:00:00"/>
    <n v="16"/>
    <s v="T007"/>
    <x v="0"/>
    <n v="349.76"/>
    <x v="1"/>
    <n v="349.76"/>
    <n v="1"/>
    <s v="Member"/>
    <n v="349.76"/>
    <s v="OK"/>
    <x v="3"/>
    <x v="1"/>
    <s v="0%"/>
    <x v="4"/>
    <x v="8"/>
  </r>
  <r>
    <x v="1289"/>
    <d v="2025-01-01T00:00:00"/>
    <n v="21"/>
    <s v="T006"/>
    <x v="2"/>
    <n v="1080.06"/>
    <x v="0"/>
    <n v="918.05"/>
    <n v="1"/>
    <s v="Member"/>
    <n v="918.05"/>
    <s v="OK"/>
    <x v="2"/>
    <x v="0"/>
    <s v="11–20%"/>
    <x v="1"/>
    <x v="1"/>
  </r>
  <r>
    <x v="1290"/>
    <d v="2025-04-28T00:00:00"/>
    <n v="10"/>
    <s v="T028"/>
    <x v="2"/>
    <n v="6832.61"/>
    <x v="4"/>
    <n v="5466.09"/>
    <n v="4"/>
    <s v="Walk-in"/>
    <n v="5466.09"/>
    <s v="OK"/>
    <x v="4"/>
    <x v="0"/>
    <s v="11–20%"/>
    <x v="3"/>
    <x v="5"/>
  </r>
  <r>
    <x v="1291"/>
    <d v="2025-02-25T00:00:00"/>
    <n v="10"/>
    <s v="T024"/>
    <x v="1"/>
    <n v="273.57"/>
    <x v="1"/>
    <n v="273.57"/>
    <n v="2"/>
    <s v="Walk-in"/>
    <n v="273.57"/>
    <s v="OK"/>
    <x v="0"/>
    <x v="0"/>
    <s v="0%"/>
    <x v="0"/>
    <x v="0"/>
  </r>
  <r>
    <x v="1292"/>
    <d v="2025-04-30T00:00:00"/>
    <n v="14"/>
    <s v="T011"/>
    <x v="2"/>
    <n v="468.39"/>
    <x v="1"/>
    <n v="468.39"/>
    <n v="3"/>
    <s v="Walk-in"/>
    <n v="468.39"/>
    <s v="OK"/>
    <x v="4"/>
    <x v="0"/>
    <s v="0%"/>
    <x v="1"/>
    <x v="10"/>
  </r>
  <r>
    <x v="1293"/>
    <d v="2025-03-30T00:00:00"/>
    <n v="18"/>
    <s v="T017"/>
    <x v="2"/>
    <n v="4731.76"/>
    <x v="3"/>
    <n v="4258.58"/>
    <n v="3"/>
    <s v="Walk-in"/>
    <n v="4258.58"/>
    <s v="OK"/>
    <x v="5"/>
    <x v="1"/>
    <s v="1–_x000a_10%"/>
    <x v="4"/>
    <x v="8"/>
  </r>
  <r>
    <x v="1294"/>
    <d v="2025-04-06T00:00:00"/>
    <n v="16"/>
    <s v="T017"/>
    <x v="0"/>
    <n v="651.19000000000005"/>
    <x v="3"/>
    <n v="586.07000000000005"/>
    <n v="4"/>
    <s v="Walk-in"/>
    <n v="586.07000000000005"/>
    <s v="OK"/>
    <x v="4"/>
    <x v="1"/>
    <s v="1–_x000a_10%"/>
    <x v="4"/>
    <x v="8"/>
  </r>
  <r>
    <x v="1295"/>
    <d v="2025-01-14T00:00:00"/>
    <n v="16"/>
    <s v="T001"/>
    <x v="0"/>
    <n v="2315.4299999999998"/>
    <x v="1"/>
    <n v="2315.4299999999998"/>
    <n v="1"/>
    <s v="Member"/>
    <n v="2315.4299999999998"/>
    <s v="OK"/>
    <x v="2"/>
    <x v="0"/>
    <s v="0%"/>
    <x v="1"/>
    <x v="7"/>
  </r>
  <r>
    <x v="1296"/>
    <d v="2025-02-22T00:00:00"/>
    <n v="14"/>
    <s v="T022"/>
    <x v="2"/>
    <n v="1456.53"/>
    <x v="3"/>
    <n v="1310.88"/>
    <n v="1"/>
    <s v="Walk-in"/>
    <n v="1310.88"/>
    <s v="OK"/>
    <x v="0"/>
    <x v="1"/>
    <s v="1–_x000a_10%"/>
    <x v="4"/>
    <x v="8"/>
  </r>
  <r>
    <x v="1297"/>
    <d v="2025-02-15T00:00:00"/>
    <n v="17"/>
    <s v="T015"/>
    <x v="2"/>
    <n v="1244.82"/>
    <x v="0"/>
    <n v="1058.0999999999999"/>
    <n v="1"/>
    <s v="Walk-in"/>
    <n v="1058.0999999999999"/>
    <s v="OK"/>
    <x v="0"/>
    <x v="1"/>
    <s v="11–20%"/>
    <x v="2"/>
    <x v="4"/>
  </r>
  <r>
    <x v="1298"/>
    <d v="2025-06-04T00:00:00"/>
    <n v="16"/>
    <s v="T019"/>
    <x v="3"/>
    <n v="1062.55"/>
    <x v="1"/>
    <n v="1062.55"/>
    <n v="2"/>
    <s v="Walk-in"/>
    <n v="1062.55"/>
    <s v="OK"/>
    <x v="3"/>
    <x v="0"/>
    <s v="0%"/>
    <x v="0"/>
    <x v="0"/>
  </r>
  <r>
    <x v="1299"/>
    <d v="2025-05-03T00:00:00"/>
    <n v="18"/>
    <s v="T021"/>
    <x v="0"/>
    <n v="2147.85"/>
    <x v="1"/>
    <n v="2147.85"/>
    <n v="5"/>
    <s v="Walk-in"/>
    <n v="2147.85"/>
    <s v="OK"/>
    <x v="1"/>
    <x v="1"/>
    <s v="0%"/>
    <x v="1"/>
    <x v="1"/>
  </r>
  <r>
    <x v="1300"/>
    <d v="2025-04-15T00:00:00"/>
    <n v="22"/>
    <s v="T028"/>
    <x v="0"/>
    <n v="591.89"/>
    <x v="5"/>
    <n v="562.29999999999995"/>
    <n v="1"/>
    <s v="Walk-in"/>
    <n v="562.29999999999995"/>
    <s v="OK"/>
    <x v="4"/>
    <x v="0"/>
    <s v="1–_x000a_10%"/>
    <x v="3"/>
    <x v="5"/>
  </r>
  <r>
    <x v="1301"/>
    <d v="2025-04-16T00:00:00"/>
    <n v="18"/>
    <s v="T015"/>
    <x v="2"/>
    <n v="694.74"/>
    <x v="1"/>
    <n v="694.74"/>
    <n v="1"/>
    <s v="Member"/>
    <n v="694.74"/>
    <s v="OK"/>
    <x v="4"/>
    <x v="0"/>
    <s v="0%"/>
    <x v="2"/>
    <x v="4"/>
  </r>
  <r>
    <x v="1302"/>
    <d v="2025-05-03T00:00:00"/>
    <n v="22"/>
    <s v="T016"/>
    <x v="0"/>
    <n v="820.1"/>
    <x v="2"/>
    <n v="574.07000000000005"/>
    <n v="1"/>
    <s v="Walk-in"/>
    <n v="574.07000000000005"/>
    <s v="OK"/>
    <x v="1"/>
    <x v="1"/>
    <s v="&gt;20%"/>
    <x v="1"/>
    <x v="1"/>
  </r>
  <r>
    <x v="1303"/>
    <d v="2025-03-26T00:00:00"/>
    <n v="12"/>
    <s v="T030"/>
    <x v="0"/>
    <n v="366.76"/>
    <x v="1"/>
    <n v="366.76"/>
    <n v="3"/>
    <s v="Walk-in"/>
    <n v="366.76"/>
    <s v="OK"/>
    <x v="5"/>
    <x v="0"/>
    <s v="0%"/>
    <x v="2"/>
    <x v="2"/>
  </r>
  <r>
    <x v="1304"/>
    <d v="2025-03-25T00:00:00"/>
    <n v="21"/>
    <s v="T004"/>
    <x v="0"/>
    <n v="687.55"/>
    <x v="1"/>
    <n v="687.55"/>
    <n v="3"/>
    <s v="Member"/>
    <n v="687.55"/>
    <s v="OK"/>
    <x v="5"/>
    <x v="0"/>
    <s v="0%"/>
    <x v="0"/>
    <x v="0"/>
  </r>
  <r>
    <x v="1305"/>
    <d v="2025-04-20T00:00:00"/>
    <n v="16"/>
    <s v="T006"/>
    <x v="0"/>
    <n v="838.59"/>
    <x v="2"/>
    <n v="587.01"/>
    <n v="5"/>
    <s v="Walk-in"/>
    <n v="587.01"/>
    <s v="OK"/>
    <x v="4"/>
    <x v="1"/>
    <s v="&gt;20%"/>
    <x v="1"/>
    <x v="1"/>
  </r>
  <r>
    <x v="1306"/>
    <d v="2025-06-20T00:00:00"/>
    <n v="10"/>
    <s v="T013"/>
    <x v="2"/>
    <n v="644.08000000000004"/>
    <x v="1"/>
    <n v="644.08000000000004"/>
    <n v="2"/>
    <s v="Member"/>
    <n v="644.08000000000004"/>
    <s v="OK"/>
    <x v="3"/>
    <x v="0"/>
    <s v="0%"/>
    <x v="3"/>
    <x v="11"/>
  </r>
  <r>
    <x v="1307"/>
    <d v="2025-06-28T00:00:00"/>
    <n v="21"/>
    <s v="T021"/>
    <x v="0"/>
    <n v="3454.67"/>
    <x v="1"/>
    <n v="3454.67"/>
    <n v="2"/>
    <s v="Walk-in"/>
    <n v="3454.67"/>
    <s v="OK"/>
    <x v="3"/>
    <x v="1"/>
    <s v="0%"/>
    <x v="1"/>
    <x v="1"/>
  </r>
  <r>
    <x v="1308"/>
    <d v="2025-02-28T00:00:00"/>
    <n v="17"/>
    <s v="T024"/>
    <x v="2"/>
    <n v="424.83"/>
    <x v="1"/>
    <n v="424.83"/>
    <n v="1"/>
    <s v="Walk-in"/>
    <n v="424.83"/>
    <s v="OK"/>
    <x v="0"/>
    <x v="0"/>
    <s v="0%"/>
    <x v="0"/>
    <x v="0"/>
  </r>
  <r>
    <x v="1309"/>
    <d v="2025-05-21T00:00:00"/>
    <n v="18"/>
    <s v="T023"/>
    <x v="0"/>
    <n v="285.95"/>
    <x v="3"/>
    <n v="257.36"/>
    <n v="3"/>
    <s v="Member"/>
    <n v="257.36"/>
    <s v="OK"/>
    <x v="1"/>
    <x v="0"/>
    <s v="1–_x000a_10%"/>
    <x v="3"/>
    <x v="11"/>
  </r>
  <r>
    <x v="1310"/>
    <d v="2025-04-01T00:00:00"/>
    <n v="14"/>
    <s v="T026"/>
    <x v="0"/>
    <n v="913.27"/>
    <x v="1"/>
    <n v="913.27"/>
    <n v="1"/>
    <s v="Walk-in"/>
    <n v="913.27"/>
    <s v="OK"/>
    <x v="4"/>
    <x v="0"/>
    <s v="0%"/>
    <x v="1"/>
    <x v="10"/>
  </r>
  <r>
    <x v="1311"/>
    <d v="2025-03-26T00:00:00"/>
    <n v="19"/>
    <s v="T001"/>
    <x v="0"/>
    <n v="2319.31"/>
    <x v="1"/>
    <n v="2319.31"/>
    <n v="2"/>
    <s v="Walk-in"/>
    <n v="2319.31"/>
    <s v="OK"/>
    <x v="5"/>
    <x v="0"/>
    <s v="0%"/>
    <x v="1"/>
    <x v="7"/>
  </r>
  <r>
    <x v="1312"/>
    <d v="2025-05-15T00:00:00"/>
    <n v="13"/>
    <s v="T006"/>
    <x v="2"/>
    <n v="1071.6500000000001"/>
    <x v="2"/>
    <n v="750.15"/>
    <n v="3"/>
    <s v="Member"/>
    <n v="750.16"/>
    <s v="OK"/>
    <x v="1"/>
    <x v="0"/>
    <s v="&gt;20%"/>
    <x v="1"/>
    <x v="1"/>
  </r>
  <r>
    <x v="1313"/>
    <d v="2025-01-10T00:00:00"/>
    <n v="18"/>
    <s v="T027"/>
    <x v="3"/>
    <n v="912.9"/>
    <x v="1"/>
    <n v="912.9"/>
    <n v="3"/>
    <s v="Member"/>
    <n v="912.9"/>
    <s v="OK"/>
    <x v="2"/>
    <x v="0"/>
    <s v="0%"/>
    <x v="4"/>
    <x v="9"/>
  </r>
  <r>
    <x v="1314"/>
    <d v="2025-05-06T00:00:00"/>
    <n v="20"/>
    <s v="T014"/>
    <x v="1"/>
    <n v="1460.67"/>
    <x v="1"/>
    <n v="1460.67"/>
    <n v="2"/>
    <s v="Walk-in"/>
    <n v="1460.67"/>
    <s v="OK"/>
    <x v="1"/>
    <x v="0"/>
    <s v="0%"/>
    <x v="0"/>
    <x v="6"/>
  </r>
  <r>
    <x v="1315"/>
    <d v="2025-06-12T00:00:00"/>
    <n v="18"/>
    <s v="T025"/>
    <x v="0"/>
    <n v="848.07"/>
    <x v="1"/>
    <n v="848.07"/>
    <n v="1"/>
    <s v="Walk-in"/>
    <n v="848.07"/>
    <s v="OK"/>
    <x v="3"/>
    <x v="0"/>
    <s v="0%"/>
    <x v="2"/>
    <x v="2"/>
  </r>
  <r>
    <x v="1316"/>
    <d v="2025-06-02T00:00:00"/>
    <n v="21"/>
    <s v="T024"/>
    <x v="0"/>
    <n v="910.22"/>
    <x v="3"/>
    <n v="819.2"/>
    <n v="4"/>
    <s v="Walk-in"/>
    <n v="819.2"/>
    <s v="OK"/>
    <x v="3"/>
    <x v="0"/>
    <s v="1–_x000a_10%"/>
    <x v="0"/>
    <x v="0"/>
  </r>
  <r>
    <x v="1317"/>
    <d v="2025-01-16T00:00:00"/>
    <n v="20"/>
    <s v="T013"/>
    <x v="1"/>
    <n v="1424.18"/>
    <x v="1"/>
    <n v="1424.18"/>
    <n v="1"/>
    <s v="Member"/>
    <n v="1424.18"/>
    <s v="OK"/>
    <x v="2"/>
    <x v="0"/>
    <s v="0%"/>
    <x v="3"/>
    <x v="11"/>
  </r>
  <r>
    <x v="1318"/>
    <d v="2025-03-04T00:00:00"/>
    <n v="13"/>
    <s v="T020"/>
    <x v="2"/>
    <n v="2303.2800000000002"/>
    <x v="2"/>
    <n v="1612.3"/>
    <n v="1"/>
    <s v="Walk-in"/>
    <n v="1612.3"/>
    <s v="OK"/>
    <x v="5"/>
    <x v="0"/>
    <s v="&gt;20%"/>
    <x v="2"/>
    <x v="2"/>
  </r>
  <r>
    <x v="1319"/>
    <d v="2025-06-13T00:00:00"/>
    <n v="21"/>
    <s v="T010"/>
    <x v="2"/>
    <n v="537.53"/>
    <x v="2"/>
    <n v="376.27"/>
    <n v="1"/>
    <s v="Walk-in"/>
    <n v="376.27"/>
    <s v="OK"/>
    <x v="3"/>
    <x v="0"/>
    <s v="&gt;20%"/>
    <x v="2"/>
    <x v="4"/>
  </r>
  <r>
    <x v="1320"/>
    <d v="2025-01-24T00:00:00"/>
    <n v="15"/>
    <s v="T021"/>
    <x v="0"/>
    <n v="1301.46"/>
    <x v="1"/>
    <n v="1301.46"/>
    <n v="2"/>
    <s v="Walk-in"/>
    <n v="1301.46"/>
    <s v="OK"/>
    <x v="2"/>
    <x v="0"/>
    <s v="0%"/>
    <x v="1"/>
    <x v="1"/>
  </r>
  <r>
    <x v="1321"/>
    <d v="2025-05-10T00:00:00"/>
    <n v="20"/>
    <s v="T007"/>
    <x v="3"/>
    <n v="1228.9100000000001"/>
    <x v="2"/>
    <n v="860.24"/>
    <n v="2"/>
    <s v="Member"/>
    <n v="860.24"/>
    <s v="OK"/>
    <x v="1"/>
    <x v="1"/>
    <s v="&gt;20%"/>
    <x v="4"/>
    <x v="8"/>
  </r>
  <r>
    <x v="1322"/>
    <d v="2025-06-16T00:00:00"/>
    <n v="13"/>
    <s v="T024"/>
    <x v="0"/>
    <n v="1451.62"/>
    <x v="0"/>
    <n v="1233.8800000000001"/>
    <n v="2"/>
    <s v="Walk-in"/>
    <n v="1233.8800000000001"/>
    <s v="OK"/>
    <x v="3"/>
    <x v="0"/>
    <s v="11–20%"/>
    <x v="0"/>
    <x v="0"/>
  </r>
  <r>
    <x v="1323"/>
    <d v="2025-04-16T00:00:00"/>
    <n v="22"/>
    <s v="T021"/>
    <x v="0"/>
    <n v="713.85"/>
    <x v="4"/>
    <n v="571.08000000000004"/>
    <n v="3"/>
    <s v="Walk-in"/>
    <n v="571.08000000000004"/>
    <s v="OK"/>
    <x v="4"/>
    <x v="0"/>
    <s v="11–20%"/>
    <x v="1"/>
    <x v="1"/>
  </r>
  <r>
    <x v="1324"/>
    <d v="2025-02-06T00:00:00"/>
    <n v="11"/>
    <s v="T012"/>
    <x v="0"/>
    <n v="1963.62"/>
    <x v="0"/>
    <n v="1669.08"/>
    <n v="2"/>
    <s v="Walk-in"/>
    <n v="1669.08"/>
    <s v="OK"/>
    <x v="0"/>
    <x v="0"/>
    <s v="11–20%"/>
    <x v="4"/>
    <x v="9"/>
  </r>
  <r>
    <x v="1325"/>
    <d v="2025-06-01T00:00:00"/>
    <n v="12"/>
    <s v="T022"/>
    <x v="0"/>
    <n v="1071.73"/>
    <x v="1"/>
    <n v="1071.73"/>
    <n v="4"/>
    <s v="Member"/>
    <n v="1071.73"/>
    <s v="OK"/>
    <x v="3"/>
    <x v="1"/>
    <s v="0%"/>
    <x v="4"/>
    <x v="8"/>
  </r>
  <r>
    <x v="1326"/>
    <d v="2025-02-17T00:00:00"/>
    <n v="18"/>
    <s v="T029"/>
    <x v="0"/>
    <n v="2204.36"/>
    <x v="5"/>
    <n v="2094.14"/>
    <n v="4"/>
    <s v="Walk-in"/>
    <n v="2094.14"/>
    <s v="OK"/>
    <x v="0"/>
    <x v="0"/>
    <s v="1–_x000a_10%"/>
    <x v="0"/>
    <x v="6"/>
  </r>
  <r>
    <x v="1327"/>
    <d v="2025-03-18T00:00:00"/>
    <n v="20"/>
    <s v="T013"/>
    <x v="0"/>
    <n v="1626.98"/>
    <x v="1"/>
    <n v="1626.98"/>
    <n v="4"/>
    <s v="Walk-in"/>
    <n v="1626.98"/>
    <s v="OK"/>
    <x v="5"/>
    <x v="0"/>
    <s v="0%"/>
    <x v="3"/>
    <x v="11"/>
  </r>
  <r>
    <x v="1328"/>
    <d v="2025-03-15T00:00:00"/>
    <n v="13"/>
    <s v="T016"/>
    <x v="2"/>
    <n v="448.51"/>
    <x v="1"/>
    <n v="448.51"/>
    <n v="6"/>
    <s v="Member"/>
    <n v="448.51"/>
    <s v="OK"/>
    <x v="5"/>
    <x v="1"/>
    <s v="0%"/>
    <x v="1"/>
    <x v="1"/>
  </r>
  <r>
    <x v="1329"/>
    <d v="2025-05-04T00:00:00"/>
    <n v="17"/>
    <s v="T029"/>
    <x v="2"/>
    <n v="581.71"/>
    <x v="0"/>
    <n v="494.45"/>
    <n v="2"/>
    <s v="Walk-in"/>
    <n v="494.45"/>
    <s v="OK"/>
    <x v="1"/>
    <x v="1"/>
    <s v="11–20%"/>
    <x v="0"/>
    <x v="6"/>
  </r>
  <r>
    <x v="1330"/>
    <d v="2025-01-12T00:00:00"/>
    <n v="10"/>
    <s v="T014"/>
    <x v="1"/>
    <n v="358.21"/>
    <x v="5"/>
    <n v="340.3"/>
    <n v="3"/>
    <s v="Walk-in"/>
    <n v="340.3"/>
    <s v="OK"/>
    <x v="2"/>
    <x v="1"/>
    <s v="1–_x000a_10%"/>
    <x v="0"/>
    <x v="6"/>
  </r>
  <r>
    <x v="1331"/>
    <d v="2025-01-13T00:00:00"/>
    <n v="21"/>
    <s v="T010"/>
    <x v="0"/>
    <n v="719.97"/>
    <x v="1"/>
    <n v="719.97"/>
    <n v="2"/>
    <s v="Walk-in"/>
    <n v="719.97"/>
    <s v="OK"/>
    <x v="2"/>
    <x v="0"/>
    <s v="0%"/>
    <x v="2"/>
    <x v="4"/>
  </r>
  <r>
    <x v="1332"/>
    <d v="2025-05-22T00:00:00"/>
    <n v="20"/>
    <s v="T029"/>
    <x v="1"/>
    <n v="1037.6600000000001"/>
    <x v="1"/>
    <n v="1037.6600000000001"/>
    <n v="1"/>
    <s v="Walk-in"/>
    <n v="1037.6600000000001"/>
    <s v="OK"/>
    <x v="1"/>
    <x v="0"/>
    <s v="0%"/>
    <x v="0"/>
    <x v="6"/>
  </r>
  <r>
    <x v="1333"/>
    <d v="2025-02-05T00:00:00"/>
    <n v="14"/>
    <s v="T002"/>
    <x v="3"/>
    <n v="1224.3900000000001"/>
    <x v="3"/>
    <n v="1101.95"/>
    <n v="4"/>
    <s v="Walk-in"/>
    <n v="1101.95"/>
    <s v="OK"/>
    <x v="0"/>
    <x v="0"/>
    <s v="1–_x000a_10%"/>
    <x v="4"/>
    <x v="9"/>
  </r>
  <r>
    <x v="1334"/>
    <d v="2025-05-06T00:00:00"/>
    <n v="22"/>
    <s v="T014"/>
    <x v="2"/>
    <n v="1128.28"/>
    <x v="3"/>
    <n v="1015.45"/>
    <n v="1"/>
    <s v="Member"/>
    <n v="1015.45"/>
    <s v="OK"/>
    <x v="1"/>
    <x v="0"/>
    <s v="1–_x000a_10%"/>
    <x v="0"/>
    <x v="6"/>
  </r>
  <r>
    <x v="1335"/>
    <d v="2025-03-31T00:00:00"/>
    <n v="21"/>
    <s v="T010"/>
    <x v="0"/>
    <n v="3240.98"/>
    <x v="1"/>
    <n v="3240.98"/>
    <n v="6"/>
    <s v="Walk-in"/>
    <n v="3240.98"/>
    <s v="OK"/>
    <x v="5"/>
    <x v="0"/>
    <s v="0%"/>
    <x v="2"/>
    <x v="4"/>
  </r>
  <r>
    <x v="1336"/>
    <d v="2025-01-08T00:00:00"/>
    <n v="11"/>
    <s v="T020"/>
    <x v="2"/>
    <n v="1576.89"/>
    <x v="2"/>
    <n v="1103.82"/>
    <n v="1"/>
    <s v="Walk-in"/>
    <n v="1103.82"/>
    <s v="OK"/>
    <x v="2"/>
    <x v="0"/>
    <s v="&gt;20%"/>
    <x v="2"/>
    <x v="2"/>
  </r>
  <r>
    <x v="1337"/>
    <d v="2025-06-10T00:00:00"/>
    <n v="20"/>
    <s v="T018"/>
    <x v="2"/>
    <n v="1272.3800000000001"/>
    <x v="2"/>
    <n v="890.67"/>
    <n v="2"/>
    <s v="Walk-in"/>
    <n v="890.67"/>
    <s v="OK"/>
    <x v="3"/>
    <x v="0"/>
    <s v="&gt;20%"/>
    <x v="3"/>
    <x v="3"/>
  </r>
  <r>
    <x v="1338"/>
    <d v="2025-04-03T00:00:00"/>
    <n v="16"/>
    <s v="T025"/>
    <x v="0"/>
    <n v="791.92"/>
    <x v="1"/>
    <n v="791.92"/>
    <n v="4"/>
    <s v="Member"/>
    <n v="791.92"/>
    <s v="OK"/>
    <x v="4"/>
    <x v="0"/>
    <s v="0%"/>
    <x v="2"/>
    <x v="2"/>
  </r>
  <r>
    <x v="1339"/>
    <d v="2025-05-11T00:00:00"/>
    <n v="14"/>
    <s v="T019"/>
    <x v="2"/>
    <n v="1334.2"/>
    <x v="3"/>
    <n v="1200.78"/>
    <n v="2"/>
    <s v="Walk-in"/>
    <n v="1200.78"/>
    <s v="OK"/>
    <x v="1"/>
    <x v="1"/>
    <s v="1–_x000a_10%"/>
    <x v="0"/>
    <x v="0"/>
  </r>
  <r>
    <x v="1340"/>
    <d v="2025-04-20T00:00:00"/>
    <n v="12"/>
    <s v="T004"/>
    <x v="0"/>
    <n v="375.82"/>
    <x v="2"/>
    <n v="263.07"/>
    <n v="3"/>
    <s v="Member"/>
    <n v="263.07"/>
    <s v="OK"/>
    <x v="4"/>
    <x v="1"/>
    <s v="&gt;20%"/>
    <x v="0"/>
    <x v="0"/>
  </r>
  <r>
    <x v="1341"/>
    <d v="2025-05-21T00:00:00"/>
    <n v="10"/>
    <s v="T027"/>
    <x v="0"/>
    <n v="458.85"/>
    <x v="1"/>
    <n v="458.85"/>
    <n v="4"/>
    <s v="Member"/>
    <n v="458.85"/>
    <s v="OK"/>
    <x v="1"/>
    <x v="0"/>
    <s v="0%"/>
    <x v="4"/>
    <x v="9"/>
  </r>
  <r>
    <x v="1342"/>
    <d v="2025-01-14T00:00:00"/>
    <n v="11"/>
    <s v="T023"/>
    <x v="2"/>
    <n v="1413.07"/>
    <x v="3"/>
    <n v="1271.76"/>
    <n v="1"/>
    <s v="Walk-in"/>
    <n v="1271.76"/>
    <s v="OK"/>
    <x v="2"/>
    <x v="0"/>
    <s v="1–_x000a_10%"/>
    <x v="3"/>
    <x v="11"/>
  </r>
  <r>
    <x v="1343"/>
    <d v="2025-03-29T00:00:00"/>
    <n v="16"/>
    <s v="T021"/>
    <x v="1"/>
    <n v="708.94"/>
    <x v="0"/>
    <n v="602.6"/>
    <n v="3"/>
    <s v="Walk-in"/>
    <n v="602.6"/>
    <s v="OK"/>
    <x v="5"/>
    <x v="1"/>
    <s v="11–20%"/>
    <x v="1"/>
    <x v="1"/>
  </r>
  <r>
    <x v="1344"/>
    <d v="2025-02-06T00:00:00"/>
    <n v="13"/>
    <s v="T025"/>
    <x v="1"/>
    <n v="2878.19"/>
    <x v="5"/>
    <n v="2734.28"/>
    <n v="2"/>
    <s v="Member"/>
    <n v="2734.28"/>
    <s v="OK"/>
    <x v="0"/>
    <x v="0"/>
    <s v="1–_x000a_10%"/>
    <x v="2"/>
    <x v="2"/>
  </r>
  <r>
    <x v="1345"/>
    <d v="2025-06-27T00:00:00"/>
    <n v="12"/>
    <s v="T022"/>
    <x v="0"/>
    <n v="826.16"/>
    <x v="1"/>
    <n v="826.16"/>
    <n v="3"/>
    <s v="Walk-in"/>
    <n v="826.16"/>
    <s v="OK"/>
    <x v="3"/>
    <x v="0"/>
    <s v="0%"/>
    <x v="4"/>
    <x v="8"/>
  </r>
  <r>
    <x v="1346"/>
    <d v="2025-01-21T00:00:00"/>
    <n v="13"/>
    <s v="T026"/>
    <x v="2"/>
    <n v="1125.1600000000001"/>
    <x v="1"/>
    <n v="1125.1600000000001"/>
    <n v="1"/>
    <s v="Walk-in"/>
    <n v="1125.1600000000001"/>
    <s v="OK"/>
    <x v="2"/>
    <x v="0"/>
    <s v="0%"/>
    <x v="1"/>
    <x v="10"/>
  </r>
  <r>
    <x v="1347"/>
    <d v="2025-01-26T00:00:00"/>
    <n v="22"/>
    <s v="T018"/>
    <x v="2"/>
    <n v="2613.9299999999998"/>
    <x v="3"/>
    <n v="2352.54"/>
    <n v="4"/>
    <s v="Walk-in"/>
    <n v="2352.54"/>
    <s v="OK"/>
    <x v="2"/>
    <x v="1"/>
    <s v="1–_x000a_10%"/>
    <x v="3"/>
    <x v="3"/>
  </r>
  <r>
    <x v="1348"/>
    <d v="2025-03-24T00:00:00"/>
    <n v="19"/>
    <s v="T015"/>
    <x v="2"/>
    <n v="1154.67"/>
    <x v="3"/>
    <n v="1039.2"/>
    <n v="3"/>
    <s v="Member"/>
    <n v="1039.2"/>
    <s v="OK"/>
    <x v="5"/>
    <x v="0"/>
    <s v="1–_x000a_10%"/>
    <x v="2"/>
    <x v="4"/>
  </r>
  <r>
    <x v="1349"/>
    <d v="2025-02-23T00:00:00"/>
    <n v="17"/>
    <s v="T012"/>
    <x v="0"/>
    <n v="2322.39"/>
    <x v="1"/>
    <n v="2322.39"/>
    <n v="1"/>
    <s v="Walk-in"/>
    <n v="2322.39"/>
    <s v="OK"/>
    <x v="0"/>
    <x v="1"/>
    <s v="0%"/>
    <x v="4"/>
    <x v="9"/>
  </r>
  <r>
    <x v="1350"/>
    <d v="2025-04-30T00:00:00"/>
    <n v="14"/>
    <s v="T030"/>
    <x v="1"/>
    <n v="663.97"/>
    <x v="3"/>
    <n v="597.57000000000005"/>
    <n v="2"/>
    <s v="Member"/>
    <n v="597.57000000000005"/>
    <s v="OK"/>
    <x v="4"/>
    <x v="0"/>
    <s v="1–_x000a_10%"/>
    <x v="2"/>
    <x v="2"/>
  </r>
  <r>
    <x v="1351"/>
    <d v="2025-05-20T00:00:00"/>
    <n v="19"/>
    <s v="T010"/>
    <x v="0"/>
    <n v="2903.01"/>
    <x v="1"/>
    <n v="2903.01"/>
    <n v="2"/>
    <s v="Walk-in"/>
    <n v="2903.01"/>
    <s v="OK"/>
    <x v="1"/>
    <x v="0"/>
    <s v="0%"/>
    <x v="2"/>
    <x v="4"/>
  </r>
  <r>
    <x v="1352"/>
    <d v="2025-01-06T00:00:00"/>
    <n v="22"/>
    <s v="T022"/>
    <x v="0"/>
    <n v="971.9"/>
    <x v="4"/>
    <n v="777.52"/>
    <n v="4"/>
    <s v="Walk-in"/>
    <n v="777.52"/>
    <s v="OK"/>
    <x v="2"/>
    <x v="0"/>
    <s v="11–20%"/>
    <x v="4"/>
    <x v="8"/>
  </r>
  <r>
    <x v="1353"/>
    <d v="2025-05-23T00:00:00"/>
    <n v="16"/>
    <s v="T030"/>
    <x v="0"/>
    <n v="3723.78"/>
    <x v="0"/>
    <n v="3165.21"/>
    <n v="1"/>
    <s v="Member"/>
    <n v="3165.21"/>
    <s v="OK"/>
    <x v="1"/>
    <x v="0"/>
    <s v="11–20%"/>
    <x v="2"/>
    <x v="2"/>
  </r>
  <r>
    <x v="1354"/>
    <d v="2025-02-13T00:00:00"/>
    <n v="20"/>
    <s v="T008"/>
    <x v="0"/>
    <n v="1456.5"/>
    <x v="1"/>
    <n v="1456.5"/>
    <n v="4"/>
    <s v="Walk-in"/>
    <n v="1456.5"/>
    <s v="OK"/>
    <x v="0"/>
    <x v="0"/>
    <s v="0%"/>
    <x v="3"/>
    <x v="5"/>
  </r>
  <r>
    <x v="1355"/>
    <d v="2025-04-27T00:00:00"/>
    <n v="22"/>
    <s v="T021"/>
    <x v="2"/>
    <n v="1512.3"/>
    <x v="1"/>
    <n v="1512.3"/>
    <n v="1"/>
    <s v="Walk-in"/>
    <n v="1512.3"/>
    <s v="OK"/>
    <x v="4"/>
    <x v="1"/>
    <s v="0%"/>
    <x v="1"/>
    <x v="1"/>
  </r>
  <r>
    <x v="1356"/>
    <d v="2025-01-09T00:00:00"/>
    <n v="16"/>
    <s v="T020"/>
    <x v="1"/>
    <n v="1145.6500000000001"/>
    <x v="1"/>
    <n v="1145.6500000000001"/>
    <n v="4"/>
    <s v="Member"/>
    <n v="1145.6500000000001"/>
    <s v="OK"/>
    <x v="2"/>
    <x v="0"/>
    <s v="0%"/>
    <x v="2"/>
    <x v="2"/>
  </r>
  <r>
    <x v="1357"/>
    <d v="2025-03-19T00:00:00"/>
    <n v="13"/>
    <s v="T014"/>
    <x v="0"/>
    <n v="1271.4100000000001"/>
    <x v="3"/>
    <n v="1144.27"/>
    <n v="2"/>
    <s v="Walk-in"/>
    <n v="1144.27"/>
    <s v="OK"/>
    <x v="5"/>
    <x v="0"/>
    <s v="1–_x000a_10%"/>
    <x v="0"/>
    <x v="6"/>
  </r>
  <r>
    <x v="1358"/>
    <d v="2025-01-19T00:00:00"/>
    <n v="21"/>
    <s v="T015"/>
    <x v="2"/>
    <n v="2272.37"/>
    <x v="5"/>
    <n v="2158.75"/>
    <n v="1"/>
    <s v="Member"/>
    <n v="2158.75"/>
    <s v="OK"/>
    <x v="2"/>
    <x v="1"/>
    <s v="1–_x000a_10%"/>
    <x v="2"/>
    <x v="4"/>
  </r>
  <r>
    <x v="1359"/>
    <d v="2025-03-25T00:00:00"/>
    <n v="22"/>
    <s v="T028"/>
    <x v="0"/>
    <n v="2390.14"/>
    <x v="0"/>
    <n v="2031.62"/>
    <n v="1"/>
    <s v="Member"/>
    <n v="2031.62"/>
    <s v="OK"/>
    <x v="5"/>
    <x v="0"/>
    <s v="11–20%"/>
    <x v="3"/>
    <x v="5"/>
  </r>
  <r>
    <x v="1360"/>
    <d v="2025-01-02T00:00:00"/>
    <n v="22"/>
    <s v="T029"/>
    <x v="0"/>
    <n v="406.66"/>
    <x v="5"/>
    <n v="386.33"/>
    <n v="2"/>
    <s v="Member"/>
    <n v="386.33"/>
    <s v="OK"/>
    <x v="2"/>
    <x v="0"/>
    <s v="1–_x000a_10%"/>
    <x v="0"/>
    <x v="6"/>
  </r>
  <r>
    <x v="1361"/>
    <d v="2025-06-24T00:00:00"/>
    <n v="13"/>
    <s v="T006"/>
    <x v="0"/>
    <n v="479.73"/>
    <x v="4"/>
    <n v="383.78"/>
    <n v="1"/>
    <s v="Walk-in"/>
    <n v="383.78"/>
    <s v="OK"/>
    <x v="3"/>
    <x v="0"/>
    <s v="11–20%"/>
    <x v="1"/>
    <x v="1"/>
  </r>
  <r>
    <x v="1362"/>
    <d v="2025-01-27T00:00:00"/>
    <n v="10"/>
    <s v="T002"/>
    <x v="0"/>
    <n v="1129.04"/>
    <x v="3"/>
    <n v="1016.14"/>
    <n v="1"/>
    <s v="Walk-in"/>
    <n v="1016.14"/>
    <s v="OK"/>
    <x v="2"/>
    <x v="0"/>
    <s v="1–_x000a_10%"/>
    <x v="4"/>
    <x v="9"/>
  </r>
  <r>
    <x v="1363"/>
    <d v="2025-02-22T00:00:00"/>
    <n v="15"/>
    <s v="T020"/>
    <x v="2"/>
    <n v="400.43"/>
    <x v="1"/>
    <n v="400.43"/>
    <n v="1"/>
    <s v="Member"/>
    <n v="400.43"/>
    <s v="OK"/>
    <x v="0"/>
    <x v="1"/>
    <s v="0%"/>
    <x v="2"/>
    <x v="2"/>
  </r>
  <r>
    <x v="1364"/>
    <d v="2025-04-26T00:00:00"/>
    <n v="19"/>
    <s v="T023"/>
    <x v="3"/>
    <n v="762.34"/>
    <x v="1"/>
    <n v="762.34"/>
    <n v="1"/>
    <s v="Member"/>
    <n v="762.34"/>
    <s v="OK"/>
    <x v="4"/>
    <x v="1"/>
    <s v="0%"/>
    <x v="3"/>
    <x v="11"/>
  </r>
  <r>
    <x v="1365"/>
    <d v="2025-03-05T00:00:00"/>
    <n v="15"/>
    <s v="T018"/>
    <x v="2"/>
    <n v="740.41"/>
    <x v="3"/>
    <n v="666.37"/>
    <n v="2"/>
    <s v="Walk-in"/>
    <n v="666.37"/>
    <s v="OK"/>
    <x v="5"/>
    <x v="0"/>
    <s v="1–_x000a_10%"/>
    <x v="3"/>
    <x v="3"/>
  </r>
  <r>
    <x v="1366"/>
    <d v="2025-06-17T00:00:00"/>
    <n v="11"/>
    <s v="T014"/>
    <x v="2"/>
    <n v="852.45"/>
    <x v="1"/>
    <n v="852.45"/>
    <n v="2"/>
    <s v="Member"/>
    <n v="852.45"/>
    <s v="OK"/>
    <x v="3"/>
    <x v="0"/>
    <s v="0%"/>
    <x v="0"/>
    <x v="6"/>
  </r>
  <r>
    <x v="1367"/>
    <d v="2025-02-26T00:00:00"/>
    <n v="14"/>
    <s v="T029"/>
    <x v="2"/>
    <n v="1465.89"/>
    <x v="1"/>
    <n v="1465.89"/>
    <n v="4"/>
    <s v="Walk-in"/>
    <n v="1465.89"/>
    <s v="OK"/>
    <x v="0"/>
    <x v="0"/>
    <s v="0%"/>
    <x v="0"/>
    <x v="6"/>
  </r>
  <r>
    <x v="1368"/>
    <d v="2025-01-23T00:00:00"/>
    <n v="17"/>
    <s v="T008"/>
    <x v="2"/>
    <n v="1301.8599999999999"/>
    <x v="1"/>
    <n v="1301.8599999999999"/>
    <n v="1"/>
    <s v="Walk-in"/>
    <n v="1301.8599999999999"/>
    <s v="OK"/>
    <x v="2"/>
    <x v="0"/>
    <s v="0%"/>
    <x v="3"/>
    <x v="5"/>
  </r>
  <r>
    <x v="1369"/>
    <d v="2025-06-13T00:00:00"/>
    <n v="16"/>
    <s v="T014"/>
    <x v="2"/>
    <n v="1258.8800000000001"/>
    <x v="1"/>
    <n v="1258.8800000000001"/>
    <n v="3"/>
    <s v="Walk-in"/>
    <n v="1258.8800000000001"/>
    <s v="OK"/>
    <x v="3"/>
    <x v="0"/>
    <s v="0%"/>
    <x v="0"/>
    <x v="6"/>
  </r>
  <r>
    <x v="1370"/>
    <d v="2025-02-09T00:00:00"/>
    <n v="20"/>
    <s v="T009"/>
    <x v="2"/>
    <n v="1028.53"/>
    <x v="3"/>
    <n v="925.68"/>
    <n v="2"/>
    <s v="Walk-in"/>
    <n v="925.68"/>
    <s v="OK"/>
    <x v="0"/>
    <x v="1"/>
    <s v="1–_x000a_10%"/>
    <x v="0"/>
    <x v="6"/>
  </r>
  <r>
    <x v="1371"/>
    <d v="2025-05-02T00:00:00"/>
    <n v="13"/>
    <s v="T026"/>
    <x v="0"/>
    <n v="305.64"/>
    <x v="5"/>
    <n v="290.36"/>
    <n v="1"/>
    <s v="Member"/>
    <n v="290.36"/>
    <s v="OK"/>
    <x v="1"/>
    <x v="0"/>
    <s v="1–_x000a_10%"/>
    <x v="1"/>
    <x v="10"/>
  </r>
  <r>
    <x v="1372"/>
    <d v="2025-02-07T00:00:00"/>
    <n v="21"/>
    <s v="T021"/>
    <x v="1"/>
    <n v="517.91999999999996"/>
    <x v="5"/>
    <n v="492.02"/>
    <n v="1"/>
    <s v="Walk-in"/>
    <n v="492.02"/>
    <s v="OK"/>
    <x v="0"/>
    <x v="0"/>
    <s v="1–_x000a_10%"/>
    <x v="1"/>
    <x v="1"/>
  </r>
  <r>
    <x v="1373"/>
    <d v="2025-01-27T00:00:00"/>
    <n v="17"/>
    <s v="T008"/>
    <x v="0"/>
    <n v="363.96"/>
    <x v="5"/>
    <n v="345.76"/>
    <n v="4"/>
    <s v="Member"/>
    <n v="345.76"/>
    <s v="OK"/>
    <x v="2"/>
    <x v="0"/>
    <s v="1–_x000a_10%"/>
    <x v="3"/>
    <x v="5"/>
  </r>
  <r>
    <x v="1374"/>
    <d v="2025-02-12T00:00:00"/>
    <n v="14"/>
    <s v="T026"/>
    <x v="0"/>
    <n v="1070.96"/>
    <x v="4"/>
    <n v="856.77"/>
    <n v="2"/>
    <s v="Walk-in"/>
    <n v="856.77"/>
    <s v="OK"/>
    <x v="0"/>
    <x v="0"/>
    <s v="11–20%"/>
    <x v="1"/>
    <x v="10"/>
  </r>
  <r>
    <x v="1375"/>
    <d v="2025-06-11T00:00:00"/>
    <n v="14"/>
    <s v="T005"/>
    <x v="0"/>
    <n v="582.73"/>
    <x v="1"/>
    <n v="582.73"/>
    <n v="4"/>
    <s v="Walk-in"/>
    <n v="582.73"/>
    <s v="OK"/>
    <x v="3"/>
    <x v="0"/>
    <s v="0%"/>
    <x v="2"/>
    <x v="4"/>
  </r>
  <r>
    <x v="1376"/>
    <d v="2025-02-06T00:00:00"/>
    <n v="14"/>
    <s v="T021"/>
    <x v="0"/>
    <n v="2132.63"/>
    <x v="1"/>
    <n v="2132.63"/>
    <n v="1"/>
    <s v="Member"/>
    <n v="2132.63"/>
    <s v="OK"/>
    <x v="0"/>
    <x v="0"/>
    <s v="0%"/>
    <x v="1"/>
    <x v="1"/>
  </r>
  <r>
    <x v="1377"/>
    <d v="2025-05-18T00:00:00"/>
    <n v="14"/>
    <s v="T017"/>
    <x v="0"/>
    <n v="1143.27"/>
    <x v="5"/>
    <n v="1086.1099999999999"/>
    <n v="1"/>
    <s v="Walk-in"/>
    <n v="1086.1099999999999"/>
    <s v="OK"/>
    <x v="1"/>
    <x v="1"/>
    <s v="1–_x000a_10%"/>
    <x v="4"/>
    <x v="8"/>
  </r>
  <r>
    <x v="1378"/>
    <d v="2025-04-20T00:00:00"/>
    <n v="13"/>
    <s v="T001"/>
    <x v="2"/>
    <n v="1882.05"/>
    <x v="4"/>
    <n v="1505.64"/>
    <n v="3"/>
    <s v="Walk-in"/>
    <n v="1505.64"/>
    <s v="OK"/>
    <x v="4"/>
    <x v="1"/>
    <s v="11–20%"/>
    <x v="1"/>
    <x v="7"/>
  </r>
  <r>
    <x v="1379"/>
    <d v="2025-05-08T00:00:00"/>
    <n v="22"/>
    <s v="T028"/>
    <x v="2"/>
    <n v="409.29"/>
    <x v="1"/>
    <n v="409.29"/>
    <n v="4"/>
    <s v="Member"/>
    <n v="409.29"/>
    <s v="OK"/>
    <x v="1"/>
    <x v="0"/>
    <s v="0%"/>
    <x v="3"/>
    <x v="5"/>
  </r>
  <r>
    <x v="1380"/>
    <d v="2025-02-14T00:00:00"/>
    <n v="16"/>
    <s v="T016"/>
    <x v="0"/>
    <n v="703.7"/>
    <x v="3"/>
    <n v="633.33000000000004"/>
    <n v="1"/>
    <s v="Walk-in"/>
    <n v="633.33000000000004"/>
    <s v="OK"/>
    <x v="0"/>
    <x v="0"/>
    <s v="1–_x000a_10%"/>
    <x v="1"/>
    <x v="1"/>
  </r>
  <r>
    <x v="1381"/>
    <d v="2025-03-08T00:00:00"/>
    <n v="21"/>
    <s v="T019"/>
    <x v="0"/>
    <n v="932.31"/>
    <x v="1"/>
    <n v="932.31"/>
    <n v="4"/>
    <s v="Walk-in"/>
    <n v="932.31"/>
    <s v="OK"/>
    <x v="5"/>
    <x v="1"/>
    <s v="0%"/>
    <x v="0"/>
    <x v="0"/>
  </r>
  <r>
    <x v="1382"/>
    <d v="2025-01-19T00:00:00"/>
    <n v="22"/>
    <s v="T016"/>
    <x v="2"/>
    <n v="860.72"/>
    <x v="1"/>
    <n v="860.72"/>
    <n v="2"/>
    <s v="Walk-in"/>
    <n v="860.72"/>
    <s v="OK"/>
    <x v="2"/>
    <x v="1"/>
    <s v="0%"/>
    <x v="1"/>
    <x v="1"/>
  </r>
  <r>
    <x v="1383"/>
    <d v="2025-05-22T00:00:00"/>
    <n v="18"/>
    <s v="T004"/>
    <x v="0"/>
    <n v="1477.99"/>
    <x v="5"/>
    <n v="1404.09"/>
    <n v="5"/>
    <s v="Walk-in"/>
    <n v="1404.09"/>
    <s v="OK"/>
    <x v="1"/>
    <x v="0"/>
    <s v="1–_x000a_10%"/>
    <x v="0"/>
    <x v="0"/>
  </r>
  <r>
    <x v="1384"/>
    <d v="2025-04-28T00:00:00"/>
    <n v="13"/>
    <s v="T029"/>
    <x v="0"/>
    <n v="633.96"/>
    <x v="5"/>
    <n v="602.26"/>
    <n v="5"/>
    <s v="Member"/>
    <n v="602.26"/>
    <s v="OK"/>
    <x v="4"/>
    <x v="0"/>
    <s v="1–_x000a_10%"/>
    <x v="0"/>
    <x v="6"/>
  </r>
  <r>
    <x v="1385"/>
    <d v="2025-02-07T00:00:00"/>
    <n v="19"/>
    <s v="T016"/>
    <x v="3"/>
    <n v="1537.18"/>
    <x v="2"/>
    <n v="1076.03"/>
    <n v="2"/>
    <s v="Walk-in"/>
    <n v="1076.03"/>
    <s v="OK"/>
    <x v="0"/>
    <x v="0"/>
    <s v="&gt;20%"/>
    <x v="1"/>
    <x v="1"/>
  </r>
  <r>
    <x v="1386"/>
    <d v="2025-03-07T00:00:00"/>
    <n v="21"/>
    <s v="T030"/>
    <x v="2"/>
    <n v="1966.65"/>
    <x v="1"/>
    <n v="1966.65"/>
    <n v="2"/>
    <s v="Member"/>
    <n v="1966.65"/>
    <s v="OK"/>
    <x v="5"/>
    <x v="0"/>
    <s v="0%"/>
    <x v="2"/>
    <x v="2"/>
  </r>
  <r>
    <x v="1387"/>
    <d v="2025-06-23T00:00:00"/>
    <n v="16"/>
    <s v="T016"/>
    <x v="0"/>
    <n v="671.71"/>
    <x v="3"/>
    <n v="604.54"/>
    <n v="2"/>
    <s v="Walk-in"/>
    <n v="604.54"/>
    <s v="OK"/>
    <x v="3"/>
    <x v="0"/>
    <s v="1–_x000a_10%"/>
    <x v="1"/>
    <x v="1"/>
  </r>
  <r>
    <x v="1388"/>
    <d v="2025-05-20T00:00:00"/>
    <n v="15"/>
    <s v="T028"/>
    <x v="0"/>
    <n v="1271.6500000000001"/>
    <x v="3"/>
    <n v="1144.49"/>
    <n v="1"/>
    <s v="Walk-in"/>
    <n v="1144.49"/>
    <s v="OK"/>
    <x v="1"/>
    <x v="0"/>
    <s v="1–_x000a_10%"/>
    <x v="3"/>
    <x v="5"/>
  </r>
  <r>
    <x v="1389"/>
    <d v="2025-02-20T00:00:00"/>
    <n v="17"/>
    <s v="T028"/>
    <x v="0"/>
    <n v="557.04"/>
    <x v="1"/>
    <n v="557.04"/>
    <n v="1"/>
    <s v="Walk-in"/>
    <n v="557.04"/>
    <s v="OK"/>
    <x v="0"/>
    <x v="0"/>
    <s v="0%"/>
    <x v="3"/>
    <x v="5"/>
  </r>
  <r>
    <x v="1390"/>
    <d v="2025-06-11T00:00:00"/>
    <n v="13"/>
    <s v="T007"/>
    <x v="1"/>
    <n v="241.28"/>
    <x v="2"/>
    <n v="168.9"/>
    <n v="3"/>
    <s v="Walk-in"/>
    <n v="168.9"/>
    <s v="OK"/>
    <x v="3"/>
    <x v="0"/>
    <s v="&gt;20%"/>
    <x v="4"/>
    <x v="8"/>
  </r>
  <r>
    <x v="1391"/>
    <d v="2025-02-16T00:00:00"/>
    <n v="17"/>
    <s v="T018"/>
    <x v="1"/>
    <n v="1208.8599999999999"/>
    <x v="0"/>
    <n v="1027.53"/>
    <n v="2"/>
    <s v="Walk-in"/>
    <n v="1027.53"/>
    <s v="OK"/>
    <x v="0"/>
    <x v="1"/>
    <s v="11–20%"/>
    <x v="3"/>
    <x v="3"/>
  </r>
  <r>
    <x v="1392"/>
    <d v="2025-01-01T00:00:00"/>
    <n v="17"/>
    <s v="T017"/>
    <x v="1"/>
    <n v="1112.3800000000001"/>
    <x v="0"/>
    <n v="945.52"/>
    <n v="6"/>
    <s v="Walk-in"/>
    <n v="945.52"/>
    <s v="OK"/>
    <x v="2"/>
    <x v="0"/>
    <s v="11–20%"/>
    <x v="4"/>
    <x v="8"/>
  </r>
  <r>
    <x v="1393"/>
    <d v="2025-01-08T00:00:00"/>
    <n v="11"/>
    <s v="T011"/>
    <x v="0"/>
    <n v="1439.44"/>
    <x v="3"/>
    <n v="1295.5"/>
    <n v="4"/>
    <s v="Walk-in"/>
    <n v="1295.5"/>
    <s v="OK"/>
    <x v="2"/>
    <x v="0"/>
    <s v="1–_x000a_10%"/>
    <x v="1"/>
    <x v="10"/>
  </r>
  <r>
    <x v="1394"/>
    <d v="2025-04-14T00:00:00"/>
    <n v="19"/>
    <s v="T026"/>
    <x v="2"/>
    <n v="647.91999999999996"/>
    <x v="1"/>
    <n v="647.91999999999996"/>
    <n v="2"/>
    <s v="Walk-in"/>
    <n v="647.91999999999996"/>
    <s v="OK"/>
    <x v="4"/>
    <x v="0"/>
    <s v="0%"/>
    <x v="1"/>
    <x v="10"/>
  </r>
  <r>
    <x v="1395"/>
    <d v="2025-06-25T00:00:00"/>
    <n v="11"/>
    <s v="T007"/>
    <x v="3"/>
    <n v="1193.58"/>
    <x v="1"/>
    <n v="1193.58"/>
    <n v="6"/>
    <s v="Walk-in"/>
    <n v="1193.58"/>
    <s v="OK"/>
    <x v="3"/>
    <x v="0"/>
    <s v="0%"/>
    <x v="4"/>
    <x v="8"/>
  </r>
  <r>
    <x v="1396"/>
    <d v="2025-04-10T00:00:00"/>
    <n v="22"/>
    <s v="T008"/>
    <x v="2"/>
    <n v="1457.86"/>
    <x v="1"/>
    <n v="1457.86"/>
    <n v="5"/>
    <s v="Member"/>
    <n v="1457.86"/>
    <s v="OK"/>
    <x v="4"/>
    <x v="0"/>
    <s v="0%"/>
    <x v="3"/>
    <x v="5"/>
  </r>
  <r>
    <x v="1397"/>
    <d v="2025-05-29T00:00:00"/>
    <n v="13"/>
    <s v="T013"/>
    <x v="1"/>
    <n v="1729.94"/>
    <x v="5"/>
    <n v="1643.44"/>
    <n v="5"/>
    <s v="Walk-in"/>
    <n v="1643.44"/>
    <s v="OK"/>
    <x v="1"/>
    <x v="0"/>
    <s v="1–_x000a_10%"/>
    <x v="3"/>
    <x v="11"/>
  </r>
  <r>
    <x v="1398"/>
    <d v="2025-03-20T00:00:00"/>
    <n v="16"/>
    <s v="T014"/>
    <x v="0"/>
    <n v="1306.82"/>
    <x v="0"/>
    <n v="1110.8"/>
    <n v="3"/>
    <s v="Member"/>
    <n v="1110.8"/>
    <s v="OK"/>
    <x v="5"/>
    <x v="0"/>
    <s v="11–20%"/>
    <x v="0"/>
    <x v="6"/>
  </r>
  <r>
    <x v="1399"/>
    <d v="2025-06-23T00:00:00"/>
    <n v="17"/>
    <s v="T028"/>
    <x v="0"/>
    <n v="762.49"/>
    <x v="4"/>
    <n v="609.99"/>
    <n v="2"/>
    <s v="Member"/>
    <n v="609.99"/>
    <s v="OK"/>
    <x v="3"/>
    <x v="0"/>
    <s v="11–20%"/>
    <x v="3"/>
    <x v="5"/>
  </r>
  <r>
    <x v="1400"/>
    <d v="2025-05-01T00:00:00"/>
    <n v="14"/>
    <s v="T005"/>
    <x v="0"/>
    <n v="3166.9"/>
    <x v="4"/>
    <n v="2533.52"/>
    <n v="3"/>
    <s v="Member"/>
    <n v="2533.52"/>
    <s v="OK"/>
    <x v="1"/>
    <x v="0"/>
    <s v="11–20%"/>
    <x v="2"/>
    <x v="4"/>
  </r>
  <r>
    <x v="1401"/>
    <d v="2025-03-17T00:00:00"/>
    <n v="13"/>
    <s v="T003"/>
    <x v="0"/>
    <n v="657.79"/>
    <x v="1"/>
    <n v="657.79"/>
    <n v="2"/>
    <s v="Member"/>
    <n v="657.79"/>
    <s v="OK"/>
    <x v="5"/>
    <x v="0"/>
    <s v="0%"/>
    <x v="3"/>
    <x v="3"/>
  </r>
  <r>
    <x v="1402"/>
    <d v="2025-04-11T00:00:00"/>
    <n v="14"/>
    <s v="T009"/>
    <x v="0"/>
    <n v="747.34"/>
    <x v="1"/>
    <n v="747.34"/>
    <n v="2"/>
    <s v="Walk-in"/>
    <n v="747.34"/>
    <s v="OK"/>
    <x v="4"/>
    <x v="0"/>
    <s v="0%"/>
    <x v="0"/>
    <x v="6"/>
  </r>
  <r>
    <x v="1403"/>
    <d v="2025-06-11T00:00:00"/>
    <n v="22"/>
    <s v="T023"/>
    <x v="0"/>
    <n v="3745.39"/>
    <x v="4"/>
    <n v="2996.31"/>
    <n v="5"/>
    <s v="Member"/>
    <n v="2996.31"/>
    <s v="OK"/>
    <x v="3"/>
    <x v="0"/>
    <s v="11–20%"/>
    <x v="3"/>
    <x v="11"/>
  </r>
  <r>
    <x v="1404"/>
    <d v="2025-06-05T00:00:00"/>
    <n v="18"/>
    <s v="T003"/>
    <x v="2"/>
    <n v="1103"/>
    <x v="1"/>
    <n v="1103"/>
    <n v="3"/>
    <s v="Member"/>
    <n v="1103"/>
    <s v="OK"/>
    <x v="3"/>
    <x v="0"/>
    <s v="0%"/>
    <x v="3"/>
    <x v="3"/>
  </r>
  <r>
    <x v="1405"/>
    <d v="2025-05-16T00:00:00"/>
    <n v="19"/>
    <s v="T020"/>
    <x v="2"/>
    <n v="543.32000000000005"/>
    <x v="2"/>
    <n v="380.32"/>
    <n v="3"/>
    <s v="Walk-in"/>
    <n v="380.32"/>
    <s v="OK"/>
    <x v="1"/>
    <x v="0"/>
    <s v="&gt;20%"/>
    <x v="2"/>
    <x v="2"/>
  </r>
  <r>
    <x v="1406"/>
    <d v="2025-03-22T00:00:00"/>
    <n v="22"/>
    <s v="T018"/>
    <x v="0"/>
    <n v="830.98"/>
    <x v="1"/>
    <n v="830.98"/>
    <n v="1"/>
    <s v="Walk-in"/>
    <n v="830.98"/>
    <s v="OK"/>
    <x v="5"/>
    <x v="1"/>
    <s v="0%"/>
    <x v="3"/>
    <x v="3"/>
  </r>
  <r>
    <x v="1407"/>
    <d v="2025-05-03T00:00:00"/>
    <n v="10"/>
    <s v="T009"/>
    <x v="0"/>
    <n v="692.31"/>
    <x v="1"/>
    <n v="692.31"/>
    <n v="4"/>
    <s v="Member"/>
    <n v="692.31"/>
    <s v="OK"/>
    <x v="1"/>
    <x v="1"/>
    <s v="0%"/>
    <x v="0"/>
    <x v="6"/>
  </r>
  <r>
    <x v="1408"/>
    <d v="2025-06-09T00:00:00"/>
    <n v="12"/>
    <s v="T021"/>
    <x v="2"/>
    <n v="453.24"/>
    <x v="4"/>
    <n v="362.59"/>
    <n v="2"/>
    <s v="Walk-in"/>
    <n v="362.59"/>
    <s v="OK"/>
    <x v="3"/>
    <x v="0"/>
    <s v="11–20%"/>
    <x v="1"/>
    <x v="1"/>
  </r>
  <r>
    <x v="1409"/>
    <d v="2025-02-01T00:00:00"/>
    <n v="14"/>
    <s v="T002"/>
    <x v="0"/>
    <n v="1045.22"/>
    <x v="5"/>
    <n v="992.96"/>
    <n v="2"/>
    <s v="Walk-in"/>
    <n v="992.96"/>
    <s v="OK"/>
    <x v="0"/>
    <x v="1"/>
    <s v="1–_x000a_10%"/>
    <x v="4"/>
    <x v="9"/>
  </r>
  <r>
    <x v="1410"/>
    <d v="2025-01-25T00:00:00"/>
    <n v="10"/>
    <s v="T015"/>
    <x v="2"/>
    <n v="1285.67"/>
    <x v="1"/>
    <n v="1285.67"/>
    <n v="5"/>
    <s v="Walk-in"/>
    <n v="1285.67"/>
    <s v="OK"/>
    <x v="2"/>
    <x v="1"/>
    <s v="0%"/>
    <x v="2"/>
    <x v="4"/>
  </r>
  <r>
    <x v="1411"/>
    <d v="2025-03-21T00:00:00"/>
    <n v="18"/>
    <s v="T010"/>
    <x v="0"/>
    <n v="3578.5"/>
    <x v="2"/>
    <n v="2504.9499999999998"/>
    <n v="2"/>
    <s v="Member"/>
    <n v="2504.9499999999998"/>
    <s v="OK"/>
    <x v="5"/>
    <x v="0"/>
    <s v="&gt;20%"/>
    <x v="2"/>
    <x v="4"/>
  </r>
  <r>
    <x v="1412"/>
    <d v="2025-02-02T00:00:00"/>
    <n v="13"/>
    <s v="T003"/>
    <x v="0"/>
    <n v="779.59"/>
    <x v="1"/>
    <n v="779.59"/>
    <n v="6"/>
    <s v="Walk-in"/>
    <n v="779.59"/>
    <s v="OK"/>
    <x v="0"/>
    <x v="1"/>
    <s v="0%"/>
    <x v="3"/>
    <x v="3"/>
  </r>
  <r>
    <x v="1413"/>
    <d v="2025-02-20T00:00:00"/>
    <n v="22"/>
    <s v="T007"/>
    <x v="0"/>
    <n v="2637.75"/>
    <x v="4"/>
    <n v="2110.1999999999998"/>
    <n v="1"/>
    <s v="Member"/>
    <n v="2110.1999999999998"/>
    <s v="OK"/>
    <x v="0"/>
    <x v="0"/>
    <s v="11–20%"/>
    <x v="4"/>
    <x v="8"/>
  </r>
  <r>
    <x v="1414"/>
    <d v="2025-01-19T00:00:00"/>
    <n v="19"/>
    <s v="T009"/>
    <x v="2"/>
    <n v="603.74"/>
    <x v="1"/>
    <n v="603.74"/>
    <n v="1"/>
    <s v="Member"/>
    <n v="603.74"/>
    <s v="OK"/>
    <x v="2"/>
    <x v="1"/>
    <s v="0%"/>
    <x v="0"/>
    <x v="6"/>
  </r>
  <r>
    <x v="1415"/>
    <d v="2025-01-26T00:00:00"/>
    <n v="11"/>
    <s v="T007"/>
    <x v="0"/>
    <n v="855.99"/>
    <x v="1"/>
    <n v="855.99"/>
    <n v="1"/>
    <s v="Walk-in"/>
    <n v="855.99"/>
    <s v="OK"/>
    <x v="2"/>
    <x v="1"/>
    <s v="0%"/>
    <x v="4"/>
    <x v="8"/>
  </r>
  <r>
    <x v="1416"/>
    <d v="2025-05-28T00:00:00"/>
    <n v="12"/>
    <s v="T007"/>
    <x v="0"/>
    <n v="639.82000000000005"/>
    <x v="4"/>
    <n v="511.86"/>
    <n v="1"/>
    <s v="Member"/>
    <n v="511.86"/>
    <s v="OK"/>
    <x v="1"/>
    <x v="0"/>
    <s v="11–20%"/>
    <x v="4"/>
    <x v="8"/>
  </r>
  <r>
    <x v="1417"/>
    <d v="2025-06-07T00:00:00"/>
    <n v="19"/>
    <s v="T006"/>
    <x v="1"/>
    <n v="1096.7"/>
    <x v="4"/>
    <n v="877.36"/>
    <n v="2"/>
    <s v="Member"/>
    <n v="877.36"/>
    <s v="OK"/>
    <x v="3"/>
    <x v="1"/>
    <s v="11–20%"/>
    <x v="1"/>
    <x v="1"/>
  </r>
  <r>
    <x v="1418"/>
    <d v="2025-01-07T00:00:00"/>
    <n v="18"/>
    <s v="T027"/>
    <x v="2"/>
    <n v="255.88"/>
    <x v="0"/>
    <n v="217.5"/>
    <n v="4"/>
    <s v="Walk-in"/>
    <n v="217.5"/>
    <s v="OK"/>
    <x v="2"/>
    <x v="0"/>
    <s v="11–20%"/>
    <x v="4"/>
    <x v="9"/>
  </r>
  <r>
    <x v="1419"/>
    <d v="2025-01-13T00:00:00"/>
    <n v="17"/>
    <s v="T027"/>
    <x v="2"/>
    <n v="869.19"/>
    <x v="1"/>
    <n v="869.19"/>
    <n v="5"/>
    <s v="Walk-in"/>
    <n v="869.19"/>
    <s v="OK"/>
    <x v="2"/>
    <x v="0"/>
    <s v="0%"/>
    <x v="4"/>
    <x v="9"/>
  </r>
  <r>
    <x v="1420"/>
    <d v="2025-02-04T00:00:00"/>
    <n v="13"/>
    <s v="T007"/>
    <x v="0"/>
    <n v="762.3"/>
    <x v="3"/>
    <n v="686.07"/>
    <n v="2"/>
    <s v="Walk-in"/>
    <n v="686.07"/>
    <s v="OK"/>
    <x v="0"/>
    <x v="0"/>
    <s v="1–_x000a_10%"/>
    <x v="4"/>
    <x v="8"/>
  </r>
  <r>
    <x v="1421"/>
    <d v="2025-06-05T00:00:00"/>
    <n v="16"/>
    <s v="T011"/>
    <x v="0"/>
    <n v="1050.55"/>
    <x v="1"/>
    <n v="1050.55"/>
    <n v="3"/>
    <s v="Walk-in"/>
    <n v="1050.55"/>
    <s v="OK"/>
    <x v="3"/>
    <x v="0"/>
    <s v="0%"/>
    <x v="1"/>
    <x v="10"/>
  </r>
  <r>
    <x v="1422"/>
    <d v="2025-02-24T00:00:00"/>
    <n v="13"/>
    <s v="T020"/>
    <x v="0"/>
    <n v="303.17"/>
    <x v="1"/>
    <n v="303.17"/>
    <n v="1"/>
    <s v="Walk-in"/>
    <n v="303.17"/>
    <s v="OK"/>
    <x v="0"/>
    <x v="0"/>
    <s v="0%"/>
    <x v="2"/>
    <x v="2"/>
  </r>
  <r>
    <x v="1423"/>
    <d v="2025-02-01T00:00:00"/>
    <n v="11"/>
    <s v="T007"/>
    <x v="0"/>
    <n v="942.47"/>
    <x v="1"/>
    <n v="942.47"/>
    <n v="1"/>
    <s v="Walk-in"/>
    <n v="942.47"/>
    <s v="OK"/>
    <x v="0"/>
    <x v="1"/>
    <s v="0%"/>
    <x v="4"/>
    <x v="8"/>
  </r>
  <r>
    <x v="1424"/>
    <d v="2025-06-26T00:00:00"/>
    <n v="13"/>
    <s v="T020"/>
    <x v="2"/>
    <n v="267.92"/>
    <x v="1"/>
    <n v="267.92"/>
    <n v="1"/>
    <s v="Member"/>
    <n v="267.92"/>
    <s v="OK"/>
    <x v="3"/>
    <x v="0"/>
    <s v="0%"/>
    <x v="2"/>
    <x v="2"/>
  </r>
  <r>
    <x v="1425"/>
    <d v="2025-04-21T00:00:00"/>
    <n v="12"/>
    <s v="T010"/>
    <x v="0"/>
    <n v="2661.98"/>
    <x v="4"/>
    <n v="2129.58"/>
    <n v="2"/>
    <s v="Walk-in"/>
    <n v="2129.58"/>
    <s v="OK"/>
    <x v="4"/>
    <x v="0"/>
    <s v="11–20%"/>
    <x v="2"/>
    <x v="4"/>
  </r>
  <r>
    <x v="1426"/>
    <d v="2025-04-05T00:00:00"/>
    <n v="19"/>
    <s v="T012"/>
    <x v="0"/>
    <n v="972.06"/>
    <x v="1"/>
    <n v="972.06"/>
    <n v="1"/>
    <s v="Member"/>
    <n v="972.06"/>
    <s v="OK"/>
    <x v="4"/>
    <x v="1"/>
    <s v="0%"/>
    <x v="4"/>
    <x v="9"/>
  </r>
  <r>
    <x v="1427"/>
    <d v="2025-03-28T00:00:00"/>
    <n v="19"/>
    <s v="T026"/>
    <x v="0"/>
    <n v="615.58000000000004"/>
    <x v="0"/>
    <n v="523.24"/>
    <n v="6"/>
    <s v="Member"/>
    <n v="523.24"/>
    <s v="OK"/>
    <x v="5"/>
    <x v="0"/>
    <s v="11–20%"/>
    <x v="1"/>
    <x v="10"/>
  </r>
  <r>
    <x v="1428"/>
    <d v="2025-06-25T00:00:00"/>
    <n v="21"/>
    <s v="T025"/>
    <x v="2"/>
    <n v="2775.23"/>
    <x v="3"/>
    <n v="2497.71"/>
    <n v="3"/>
    <s v="Member"/>
    <n v="2497.71"/>
    <s v="OK"/>
    <x v="3"/>
    <x v="0"/>
    <s v="1–_x000a_10%"/>
    <x v="2"/>
    <x v="2"/>
  </r>
  <r>
    <x v="1429"/>
    <d v="2025-03-20T00:00:00"/>
    <n v="20"/>
    <s v="T004"/>
    <x v="1"/>
    <n v="864.43"/>
    <x v="3"/>
    <n v="777.99"/>
    <n v="2"/>
    <s v="Member"/>
    <n v="777.99"/>
    <s v="OK"/>
    <x v="5"/>
    <x v="0"/>
    <s v="1–_x000a_10%"/>
    <x v="0"/>
    <x v="0"/>
  </r>
  <r>
    <x v="1430"/>
    <d v="2025-06-03T00:00:00"/>
    <n v="17"/>
    <s v="T015"/>
    <x v="2"/>
    <n v="942.26"/>
    <x v="5"/>
    <n v="895.15"/>
    <n v="1"/>
    <s v="Member"/>
    <n v="895.15"/>
    <s v="OK"/>
    <x v="3"/>
    <x v="0"/>
    <s v="1–_x000a_10%"/>
    <x v="2"/>
    <x v="4"/>
  </r>
  <r>
    <x v="1431"/>
    <d v="2025-03-25T00:00:00"/>
    <n v="16"/>
    <s v="T021"/>
    <x v="0"/>
    <n v="1339.92"/>
    <x v="1"/>
    <n v="1339.92"/>
    <n v="2"/>
    <s v="Member"/>
    <n v="1339.92"/>
    <s v="OK"/>
    <x v="5"/>
    <x v="0"/>
    <s v="0%"/>
    <x v="1"/>
    <x v="1"/>
  </r>
  <r>
    <x v="1432"/>
    <d v="2025-05-10T00:00:00"/>
    <n v="10"/>
    <s v="T017"/>
    <x v="0"/>
    <n v="1158.3499999999999"/>
    <x v="5"/>
    <n v="1100.43"/>
    <n v="1"/>
    <s v="Walk-in"/>
    <n v="1100.43"/>
    <s v="OK"/>
    <x v="1"/>
    <x v="1"/>
    <s v="1–_x000a_10%"/>
    <x v="4"/>
    <x v="8"/>
  </r>
  <r>
    <x v="1433"/>
    <d v="2025-02-21T00:00:00"/>
    <n v="18"/>
    <s v="T020"/>
    <x v="0"/>
    <n v="701.81"/>
    <x v="1"/>
    <n v="701.81"/>
    <n v="1"/>
    <s v="Walk-in"/>
    <n v="701.81"/>
    <s v="OK"/>
    <x v="0"/>
    <x v="0"/>
    <s v="0%"/>
    <x v="2"/>
    <x v="2"/>
  </r>
  <r>
    <x v="1434"/>
    <d v="2025-01-09T00:00:00"/>
    <n v="20"/>
    <s v="T007"/>
    <x v="0"/>
    <n v="648.48"/>
    <x v="1"/>
    <n v="648.48"/>
    <n v="2"/>
    <s v="Member"/>
    <n v="648.48"/>
    <s v="OK"/>
    <x v="2"/>
    <x v="0"/>
    <s v="0%"/>
    <x v="4"/>
    <x v="8"/>
  </r>
  <r>
    <x v="1435"/>
    <d v="2025-01-25T00:00:00"/>
    <n v="11"/>
    <s v="T023"/>
    <x v="0"/>
    <n v="2261.0500000000002"/>
    <x v="5"/>
    <n v="2148"/>
    <n v="4"/>
    <s v="Member"/>
    <n v="2148"/>
    <s v="OK"/>
    <x v="2"/>
    <x v="1"/>
    <s v="1–_x000a_10%"/>
    <x v="3"/>
    <x v="11"/>
  </r>
  <r>
    <x v="1436"/>
    <d v="2025-03-05T00:00:00"/>
    <n v="11"/>
    <s v="T029"/>
    <x v="1"/>
    <n v="2381.4899999999998"/>
    <x v="1"/>
    <n v="2381.4899999999998"/>
    <n v="2"/>
    <s v="Member"/>
    <n v="2381.4899999999998"/>
    <s v="OK"/>
    <x v="5"/>
    <x v="0"/>
    <s v="0%"/>
    <x v="0"/>
    <x v="6"/>
  </r>
  <r>
    <x v="1437"/>
    <d v="2025-02-11T00:00:00"/>
    <n v="17"/>
    <s v="T020"/>
    <x v="2"/>
    <n v="5165.16"/>
    <x v="4"/>
    <n v="4132.13"/>
    <n v="4"/>
    <s v="Walk-in"/>
    <n v="4132.13"/>
    <s v="OK"/>
    <x v="0"/>
    <x v="0"/>
    <s v="11–20%"/>
    <x v="2"/>
    <x v="2"/>
  </r>
  <r>
    <x v="1438"/>
    <d v="2025-02-22T00:00:00"/>
    <n v="17"/>
    <s v="T020"/>
    <x v="1"/>
    <n v="1098.3900000000001"/>
    <x v="2"/>
    <n v="768.87"/>
    <n v="4"/>
    <s v="Walk-in"/>
    <n v="768.87"/>
    <s v="OK"/>
    <x v="0"/>
    <x v="1"/>
    <s v="&gt;20%"/>
    <x v="2"/>
    <x v="2"/>
  </r>
  <r>
    <x v="1439"/>
    <d v="2025-06-22T00:00:00"/>
    <n v="13"/>
    <s v="T015"/>
    <x v="0"/>
    <n v="1093.4000000000001"/>
    <x v="1"/>
    <n v="1093.4000000000001"/>
    <n v="2"/>
    <s v="Walk-in"/>
    <n v="1093.4000000000001"/>
    <s v="OK"/>
    <x v="3"/>
    <x v="1"/>
    <s v="0%"/>
    <x v="2"/>
    <x v="4"/>
  </r>
  <r>
    <x v="1440"/>
    <d v="2025-06-21T00:00:00"/>
    <n v="22"/>
    <s v="T017"/>
    <x v="0"/>
    <n v="1221.5999999999999"/>
    <x v="1"/>
    <n v="1221.5999999999999"/>
    <n v="1"/>
    <s v="Walk-in"/>
    <n v="1221.5999999999999"/>
    <s v="OK"/>
    <x v="3"/>
    <x v="1"/>
    <s v="0%"/>
    <x v="4"/>
    <x v="8"/>
  </r>
  <r>
    <x v="1441"/>
    <d v="2025-02-10T00:00:00"/>
    <n v="13"/>
    <s v="T025"/>
    <x v="2"/>
    <n v="1248.1600000000001"/>
    <x v="1"/>
    <n v="1248.1600000000001"/>
    <n v="4"/>
    <s v="Member"/>
    <n v="1248.1600000000001"/>
    <s v="OK"/>
    <x v="0"/>
    <x v="0"/>
    <s v="0%"/>
    <x v="2"/>
    <x v="2"/>
  </r>
  <r>
    <x v="1442"/>
    <d v="2025-02-03T00:00:00"/>
    <n v="15"/>
    <s v="T011"/>
    <x v="3"/>
    <n v="1230.3599999999999"/>
    <x v="1"/>
    <n v="1230.3599999999999"/>
    <n v="3"/>
    <s v="Walk-in"/>
    <n v="1230.3599999999999"/>
    <s v="OK"/>
    <x v="0"/>
    <x v="0"/>
    <s v="0%"/>
    <x v="1"/>
    <x v="10"/>
  </r>
  <r>
    <x v="1443"/>
    <d v="2025-05-30T00:00:00"/>
    <n v="15"/>
    <s v="T020"/>
    <x v="0"/>
    <n v="771.23"/>
    <x v="1"/>
    <n v="771.23"/>
    <n v="1"/>
    <s v="Walk-in"/>
    <n v="771.23"/>
    <s v="OK"/>
    <x v="1"/>
    <x v="0"/>
    <s v="0%"/>
    <x v="2"/>
    <x v="2"/>
  </r>
  <r>
    <x v="1444"/>
    <d v="2025-04-03T00:00:00"/>
    <n v="13"/>
    <s v="T016"/>
    <x v="0"/>
    <n v="1179.9100000000001"/>
    <x v="3"/>
    <n v="1061.92"/>
    <n v="1"/>
    <s v="Walk-in"/>
    <n v="1061.92"/>
    <s v="OK"/>
    <x v="4"/>
    <x v="0"/>
    <s v="1–_x000a_10%"/>
    <x v="1"/>
    <x v="1"/>
  </r>
  <r>
    <x v="1445"/>
    <d v="2025-02-02T00:00:00"/>
    <n v="16"/>
    <s v="T025"/>
    <x v="0"/>
    <n v="2780.95"/>
    <x v="1"/>
    <n v="2780.95"/>
    <n v="6"/>
    <s v="Member"/>
    <n v="2780.95"/>
    <s v="OK"/>
    <x v="0"/>
    <x v="1"/>
    <s v="0%"/>
    <x v="2"/>
    <x v="2"/>
  </r>
  <r>
    <x v="1446"/>
    <d v="2025-04-16T00:00:00"/>
    <n v="10"/>
    <s v="T013"/>
    <x v="0"/>
    <n v="740.6"/>
    <x v="1"/>
    <n v="740.6"/>
    <n v="2"/>
    <s v="Walk-in"/>
    <n v="740.6"/>
    <s v="OK"/>
    <x v="4"/>
    <x v="0"/>
    <s v="0%"/>
    <x v="3"/>
    <x v="11"/>
  </r>
  <r>
    <x v="1447"/>
    <d v="2025-03-25T00:00:00"/>
    <n v="12"/>
    <s v="T010"/>
    <x v="0"/>
    <n v="3120.05"/>
    <x v="0"/>
    <n v="2652.04"/>
    <n v="4"/>
    <s v="Member"/>
    <n v="2652.04"/>
    <s v="OK"/>
    <x v="5"/>
    <x v="0"/>
    <s v="11–20%"/>
    <x v="2"/>
    <x v="4"/>
  </r>
  <r>
    <x v="1448"/>
    <d v="2025-03-26T00:00:00"/>
    <n v="12"/>
    <s v="T019"/>
    <x v="2"/>
    <n v="1381.09"/>
    <x v="1"/>
    <n v="1381.09"/>
    <n v="4"/>
    <s v="Member"/>
    <n v="1381.09"/>
    <s v="OK"/>
    <x v="5"/>
    <x v="0"/>
    <s v="0%"/>
    <x v="0"/>
    <x v="0"/>
  </r>
  <r>
    <x v="1449"/>
    <d v="2025-05-25T00:00:00"/>
    <n v="15"/>
    <s v="T023"/>
    <x v="0"/>
    <n v="1074.05"/>
    <x v="2"/>
    <n v="751.83"/>
    <n v="1"/>
    <s v="Walk-in"/>
    <n v="751.84"/>
    <s v="OK"/>
    <x v="1"/>
    <x v="1"/>
    <s v="&gt;20%"/>
    <x v="3"/>
    <x v="11"/>
  </r>
  <r>
    <x v="1450"/>
    <d v="2025-01-23T00:00:00"/>
    <n v="14"/>
    <s v="T010"/>
    <x v="0"/>
    <n v="376.36"/>
    <x v="1"/>
    <n v="376.36"/>
    <n v="2"/>
    <s v="Walk-in"/>
    <n v="376.36"/>
    <s v="OK"/>
    <x v="2"/>
    <x v="0"/>
    <s v="0%"/>
    <x v="2"/>
    <x v="4"/>
  </r>
  <r>
    <x v="1451"/>
    <d v="2025-04-27T00:00:00"/>
    <n v="14"/>
    <s v="T010"/>
    <x v="2"/>
    <n v="1135.22"/>
    <x v="1"/>
    <n v="1135.22"/>
    <n v="1"/>
    <s v="Member"/>
    <n v="1135.22"/>
    <s v="OK"/>
    <x v="4"/>
    <x v="1"/>
    <s v="0%"/>
    <x v="2"/>
    <x v="4"/>
  </r>
  <r>
    <x v="1452"/>
    <d v="2025-05-18T00:00:00"/>
    <n v="20"/>
    <s v="T011"/>
    <x v="1"/>
    <n v="373.33"/>
    <x v="3"/>
    <n v="336"/>
    <n v="3"/>
    <s v="Walk-in"/>
    <n v="336"/>
    <s v="OK"/>
    <x v="1"/>
    <x v="1"/>
    <s v="1–_x000a_10%"/>
    <x v="1"/>
    <x v="10"/>
  </r>
  <r>
    <x v="1453"/>
    <d v="2025-03-19T00:00:00"/>
    <n v="19"/>
    <s v="T009"/>
    <x v="2"/>
    <n v="785.49"/>
    <x v="2"/>
    <n v="549.84"/>
    <n v="2"/>
    <s v="Member"/>
    <n v="549.84"/>
    <s v="OK"/>
    <x v="5"/>
    <x v="0"/>
    <s v="&gt;20%"/>
    <x v="0"/>
    <x v="6"/>
  </r>
  <r>
    <x v="1454"/>
    <d v="2025-02-23T00:00:00"/>
    <n v="15"/>
    <s v="T006"/>
    <x v="0"/>
    <n v="3301.89"/>
    <x v="1"/>
    <n v="3301.89"/>
    <n v="2"/>
    <s v="Member"/>
    <n v="3301.89"/>
    <s v="OK"/>
    <x v="0"/>
    <x v="1"/>
    <s v="0%"/>
    <x v="1"/>
    <x v="1"/>
  </r>
  <r>
    <x v="1455"/>
    <d v="2025-05-02T00:00:00"/>
    <n v="12"/>
    <s v="T002"/>
    <x v="2"/>
    <n v="522.88"/>
    <x v="0"/>
    <n v="444.45"/>
    <n v="5"/>
    <s v="Walk-in"/>
    <n v="444.45"/>
    <s v="OK"/>
    <x v="1"/>
    <x v="0"/>
    <s v="11–20%"/>
    <x v="4"/>
    <x v="9"/>
  </r>
  <r>
    <x v="1456"/>
    <d v="2025-04-26T00:00:00"/>
    <n v="14"/>
    <s v="T024"/>
    <x v="2"/>
    <n v="1194.5"/>
    <x v="0"/>
    <n v="1015.32"/>
    <n v="1"/>
    <s v="Walk-in"/>
    <n v="1015.33"/>
    <s v="OK"/>
    <x v="4"/>
    <x v="1"/>
    <s v="11–20%"/>
    <x v="0"/>
    <x v="0"/>
  </r>
  <r>
    <x v="1457"/>
    <d v="2025-06-19T00:00:00"/>
    <n v="11"/>
    <s v="T028"/>
    <x v="1"/>
    <n v="520.67999999999995"/>
    <x v="3"/>
    <n v="468.61"/>
    <n v="1"/>
    <s v="Member"/>
    <n v="468.61"/>
    <s v="OK"/>
    <x v="3"/>
    <x v="0"/>
    <s v="1–_x000a_10%"/>
    <x v="3"/>
    <x v="5"/>
  </r>
  <r>
    <x v="1458"/>
    <d v="2025-05-08T00:00:00"/>
    <n v="16"/>
    <s v="T027"/>
    <x v="1"/>
    <n v="978.85"/>
    <x v="1"/>
    <n v="978.85"/>
    <n v="2"/>
    <s v="Walk-in"/>
    <n v="978.85"/>
    <s v="OK"/>
    <x v="1"/>
    <x v="0"/>
    <s v="0%"/>
    <x v="4"/>
    <x v="9"/>
  </r>
  <r>
    <x v="1459"/>
    <d v="2025-05-10T00:00:00"/>
    <n v="14"/>
    <s v="T015"/>
    <x v="1"/>
    <n v="674.2"/>
    <x v="0"/>
    <n v="573.07000000000005"/>
    <n v="2"/>
    <s v="Member"/>
    <n v="573.07000000000005"/>
    <s v="OK"/>
    <x v="1"/>
    <x v="1"/>
    <s v="11–20%"/>
    <x v="2"/>
    <x v="4"/>
  </r>
  <r>
    <x v="1460"/>
    <d v="2025-04-16T00:00:00"/>
    <n v="16"/>
    <s v="T009"/>
    <x v="2"/>
    <n v="535.29"/>
    <x v="1"/>
    <n v="535.29"/>
    <n v="1"/>
    <s v="Walk-in"/>
    <n v="535.29"/>
    <s v="OK"/>
    <x v="4"/>
    <x v="0"/>
    <s v="0%"/>
    <x v="0"/>
    <x v="6"/>
  </r>
  <r>
    <x v="1461"/>
    <d v="2025-01-05T00:00:00"/>
    <n v="17"/>
    <s v="T014"/>
    <x v="0"/>
    <n v="663.88"/>
    <x v="2"/>
    <n v="464.72"/>
    <n v="1"/>
    <s v="Walk-in"/>
    <n v="464.72"/>
    <s v="OK"/>
    <x v="2"/>
    <x v="1"/>
    <s v="&gt;20%"/>
    <x v="0"/>
    <x v="6"/>
  </r>
  <r>
    <x v="1462"/>
    <d v="2025-03-05T00:00:00"/>
    <n v="10"/>
    <s v="T001"/>
    <x v="0"/>
    <n v="2063.42"/>
    <x v="1"/>
    <n v="2063.42"/>
    <n v="2"/>
    <s v="Walk-in"/>
    <n v="2063.42"/>
    <s v="OK"/>
    <x v="5"/>
    <x v="0"/>
    <s v="0%"/>
    <x v="1"/>
    <x v="7"/>
  </r>
  <r>
    <x v="1463"/>
    <d v="2025-06-11T00:00:00"/>
    <n v="18"/>
    <s v="T027"/>
    <x v="2"/>
    <n v="717.43"/>
    <x v="4"/>
    <n v="573.94000000000005"/>
    <n v="2"/>
    <s v="Member"/>
    <n v="573.94000000000005"/>
    <s v="OK"/>
    <x v="3"/>
    <x v="0"/>
    <s v="11–20%"/>
    <x v="4"/>
    <x v="9"/>
  </r>
  <r>
    <x v="1464"/>
    <d v="2025-02-04T00:00:00"/>
    <n v="18"/>
    <s v="T025"/>
    <x v="0"/>
    <n v="981.83"/>
    <x v="1"/>
    <n v="981.83"/>
    <n v="1"/>
    <s v="Member"/>
    <n v="981.83"/>
    <s v="OK"/>
    <x v="0"/>
    <x v="0"/>
    <s v="0%"/>
    <x v="2"/>
    <x v="2"/>
  </r>
  <r>
    <x v="1465"/>
    <d v="2025-03-03T00:00:00"/>
    <n v="10"/>
    <s v="T012"/>
    <x v="2"/>
    <n v="1428.1"/>
    <x v="4"/>
    <n v="1142.48"/>
    <n v="4"/>
    <s v="Walk-in"/>
    <n v="1142.48"/>
    <s v="OK"/>
    <x v="5"/>
    <x v="0"/>
    <s v="11–20%"/>
    <x v="4"/>
    <x v="9"/>
  </r>
  <r>
    <x v="1466"/>
    <d v="2025-03-26T00:00:00"/>
    <n v="19"/>
    <s v="T019"/>
    <x v="2"/>
    <n v="2980.1"/>
    <x v="3"/>
    <n v="2682.09"/>
    <n v="5"/>
    <s v="Walk-in"/>
    <n v="2682.09"/>
    <s v="OK"/>
    <x v="5"/>
    <x v="0"/>
    <s v="1–_x000a_10%"/>
    <x v="0"/>
    <x v="0"/>
  </r>
  <r>
    <x v="1467"/>
    <d v="2025-02-20T00:00:00"/>
    <n v="13"/>
    <s v="T015"/>
    <x v="0"/>
    <n v="3861.78"/>
    <x v="1"/>
    <n v="3861.78"/>
    <n v="1"/>
    <s v="Member"/>
    <n v="3861.78"/>
    <s v="OK"/>
    <x v="0"/>
    <x v="0"/>
    <s v="0%"/>
    <x v="2"/>
    <x v="4"/>
  </r>
  <r>
    <x v="1468"/>
    <d v="2025-03-14T00:00:00"/>
    <n v="16"/>
    <s v="T021"/>
    <x v="2"/>
    <n v="546.42999999999995"/>
    <x v="1"/>
    <n v="546.42999999999995"/>
    <n v="2"/>
    <s v="Walk-in"/>
    <n v="546.42999999999995"/>
    <s v="OK"/>
    <x v="5"/>
    <x v="0"/>
    <s v="0%"/>
    <x v="1"/>
    <x v="1"/>
  </r>
  <r>
    <x v="1469"/>
    <d v="2025-06-27T00:00:00"/>
    <n v="16"/>
    <s v="T022"/>
    <x v="1"/>
    <n v="494.07"/>
    <x v="3"/>
    <n v="444.66"/>
    <n v="1"/>
    <s v="Walk-in"/>
    <n v="444.66"/>
    <s v="OK"/>
    <x v="3"/>
    <x v="0"/>
    <s v="1–_x000a_10%"/>
    <x v="4"/>
    <x v="8"/>
  </r>
  <r>
    <x v="1470"/>
    <d v="2025-03-30T00:00:00"/>
    <n v="13"/>
    <s v="T001"/>
    <x v="2"/>
    <n v="905.31"/>
    <x v="1"/>
    <n v="905.31"/>
    <n v="1"/>
    <s v="Member"/>
    <n v="905.31"/>
    <s v="OK"/>
    <x v="5"/>
    <x v="1"/>
    <s v="0%"/>
    <x v="1"/>
    <x v="7"/>
  </r>
  <r>
    <x v="1471"/>
    <d v="2025-06-29T00:00:00"/>
    <n v="14"/>
    <s v="T021"/>
    <x v="0"/>
    <n v="851.78"/>
    <x v="1"/>
    <n v="851.78"/>
    <n v="2"/>
    <s v="Walk-in"/>
    <n v="851.78"/>
    <s v="OK"/>
    <x v="3"/>
    <x v="1"/>
    <s v="0%"/>
    <x v="1"/>
    <x v="1"/>
  </r>
  <r>
    <x v="1472"/>
    <d v="2025-04-27T00:00:00"/>
    <n v="16"/>
    <s v="T002"/>
    <x v="2"/>
    <n v="344.56"/>
    <x v="1"/>
    <n v="344.56"/>
    <n v="1"/>
    <s v="Walk-in"/>
    <n v="344.56"/>
    <s v="OK"/>
    <x v="4"/>
    <x v="1"/>
    <s v="0%"/>
    <x v="4"/>
    <x v="9"/>
  </r>
  <r>
    <x v="1473"/>
    <d v="2025-06-11T00:00:00"/>
    <n v="20"/>
    <s v="T028"/>
    <x v="0"/>
    <n v="2003.18"/>
    <x v="3"/>
    <n v="1802.86"/>
    <n v="1"/>
    <s v="Walk-in"/>
    <n v="1802.86"/>
    <s v="OK"/>
    <x v="3"/>
    <x v="0"/>
    <s v="1–_x000a_10%"/>
    <x v="3"/>
    <x v="5"/>
  </r>
  <r>
    <x v="1474"/>
    <d v="2025-01-10T00:00:00"/>
    <n v="14"/>
    <s v="T004"/>
    <x v="2"/>
    <n v="213.97"/>
    <x v="5"/>
    <n v="203.27"/>
    <n v="4"/>
    <s v="Walk-in"/>
    <n v="203.27"/>
    <s v="OK"/>
    <x v="2"/>
    <x v="0"/>
    <s v="1–_x000a_10%"/>
    <x v="0"/>
    <x v="0"/>
  </r>
  <r>
    <x v="1475"/>
    <d v="2025-01-30T00:00:00"/>
    <n v="10"/>
    <s v="T020"/>
    <x v="0"/>
    <n v="872.46"/>
    <x v="0"/>
    <n v="741.59"/>
    <n v="3"/>
    <s v="Walk-in"/>
    <n v="741.59"/>
    <s v="OK"/>
    <x v="2"/>
    <x v="0"/>
    <s v="11–20%"/>
    <x v="2"/>
    <x v="2"/>
  </r>
  <r>
    <x v="1476"/>
    <d v="2025-04-27T00:00:00"/>
    <n v="14"/>
    <s v="T011"/>
    <x v="1"/>
    <n v="928.62"/>
    <x v="3"/>
    <n v="835.76"/>
    <n v="2"/>
    <s v="Member"/>
    <n v="835.76"/>
    <s v="OK"/>
    <x v="4"/>
    <x v="1"/>
    <s v="1–_x000a_10%"/>
    <x v="1"/>
    <x v="10"/>
  </r>
  <r>
    <x v="1477"/>
    <d v="2025-01-25T00:00:00"/>
    <n v="19"/>
    <s v="T029"/>
    <x v="3"/>
    <n v="1561.49"/>
    <x v="1"/>
    <n v="1561.49"/>
    <n v="3"/>
    <s v="Walk-in"/>
    <n v="1561.49"/>
    <s v="OK"/>
    <x v="2"/>
    <x v="1"/>
    <s v="0%"/>
    <x v="0"/>
    <x v="6"/>
  </r>
  <r>
    <x v="1478"/>
    <d v="2025-02-23T00:00:00"/>
    <n v="15"/>
    <s v="T026"/>
    <x v="0"/>
    <n v="732.5"/>
    <x v="1"/>
    <n v="732.5"/>
    <n v="2"/>
    <s v="Walk-in"/>
    <n v="732.5"/>
    <s v="OK"/>
    <x v="0"/>
    <x v="1"/>
    <s v="0%"/>
    <x v="1"/>
    <x v="10"/>
  </r>
  <r>
    <x v="1479"/>
    <d v="2025-02-04T00:00:00"/>
    <n v="19"/>
    <s v="T022"/>
    <x v="1"/>
    <n v="1586.23"/>
    <x v="3"/>
    <n v="1427.61"/>
    <n v="6"/>
    <s v="Member"/>
    <n v="1427.61"/>
    <s v="OK"/>
    <x v="0"/>
    <x v="0"/>
    <s v="1–_x000a_10%"/>
    <x v="4"/>
    <x v="8"/>
  </r>
  <r>
    <x v="1480"/>
    <d v="2025-02-05T00:00:00"/>
    <n v="18"/>
    <s v="T028"/>
    <x v="0"/>
    <n v="742.25"/>
    <x v="1"/>
    <n v="742.25"/>
    <n v="3"/>
    <s v="Walk-in"/>
    <n v="742.25"/>
    <s v="OK"/>
    <x v="0"/>
    <x v="0"/>
    <s v="0%"/>
    <x v="3"/>
    <x v="5"/>
  </r>
  <r>
    <x v="1481"/>
    <d v="2025-03-02T00:00:00"/>
    <n v="16"/>
    <s v="T008"/>
    <x v="0"/>
    <n v="1229.78"/>
    <x v="1"/>
    <n v="1229.78"/>
    <n v="4"/>
    <s v="Walk-in"/>
    <n v="1229.78"/>
    <s v="OK"/>
    <x v="5"/>
    <x v="1"/>
    <s v="0%"/>
    <x v="3"/>
    <x v="5"/>
  </r>
  <r>
    <x v="1482"/>
    <d v="2025-04-20T00:00:00"/>
    <n v="20"/>
    <s v="T024"/>
    <x v="0"/>
    <n v="5134.96"/>
    <x v="1"/>
    <n v="5134.96"/>
    <n v="1"/>
    <s v="Walk-in"/>
    <n v="5134.96"/>
    <s v="OK"/>
    <x v="4"/>
    <x v="1"/>
    <s v="0%"/>
    <x v="0"/>
    <x v="0"/>
  </r>
  <r>
    <x v="1483"/>
    <d v="2025-02-07T00:00:00"/>
    <n v="18"/>
    <s v="T024"/>
    <x v="0"/>
    <n v="757.9"/>
    <x v="1"/>
    <n v="757.9"/>
    <n v="2"/>
    <s v="Walk-in"/>
    <n v="757.9"/>
    <s v="OK"/>
    <x v="0"/>
    <x v="0"/>
    <s v="0%"/>
    <x v="0"/>
    <x v="0"/>
  </r>
  <r>
    <x v="1484"/>
    <d v="2025-05-19T00:00:00"/>
    <n v="21"/>
    <s v="T003"/>
    <x v="3"/>
    <n v="1683.27"/>
    <x v="1"/>
    <n v="1683.27"/>
    <n v="1"/>
    <s v="Member"/>
    <n v="1683.27"/>
    <s v="OK"/>
    <x v="1"/>
    <x v="0"/>
    <s v="0%"/>
    <x v="3"/>
    <x v="3"/>
  </r>
  <r>
    <x v="1485"/>
    <d v="2025-02-17T00:00:00"/>
    <n v="18"/>
    <s v="T011"/>
    <x v="0"/>
    <n v="1131.1099999999999"/>
    <x v="1"/>
    <n v="1131.1099999999999"/>
    <n v="1"/>
    <s v="Walk-in"/>
    <n v="1131.1099999999999"/>
    <s v="OK"/>
    <x v="0"/>
    <x v="0"/>
    <s v="0%"/>
    <x v="1"/>
    <x v="10"/>
  </r>
  <r>
    <x v="1486"/>
    <d v="2025-02-08T00:00:00"/>
    <n v="16"/>
    <s v="T007"/>
    <x v="0"/>
    <n v="1350.73"/>
    <x v="4"/>
    <n v="1080.58"/>
    <n v="1"/>
    <s v="Member"/>
    <n v="1080.58"/>
    <s v="OK"/>
    <x v="0"/>
    <x v="1"/>
    <s v="11–20%"/>
    <x v="4"/>
    <x v="8"/>
  </r>
  <r>
    <x v="1487"/>
    <d v="2025-01-27T00:00:00"/>
    <n v="13"/>
    <s v="T018"/>
    <x v="2"/>
    <n v="508.7"/>
    <x v="1"/>
    <n v="508.7"/>
    <n v="3"/>
    <s v="Walk-in"/>
    <n v="508.7"/>
    <s v="OK"/>
    <x v="2"/>
    <x v="0"/>
    <s v="0%"/>
    <x v="3"/>
    <x v="3"/>
  </r>
  <r>
    <x v="1488"/>
    <d v="2025-02-04T00:00:00"/>
    <n v="12"/>
    <s v="T010"/>
    <x v="2"/>
    <n v="427.79"/>
    <x v="2"/>
    <n v="299.45"/>
    <n v="3"/>
    <s v="Walk-in"/>
    <n v="299.45"/>
    <s v="OK"/>
    <x v="0"/>
    <x v="0"/>
    <s v="&gt;20%"/>
    <x v="2"/>
    <x v="4"/>
  </r>
  <r>
    <x v="1489"/>
    <d v="2025-02-27T00:00:00"/>
    <n v="12"/>
    <s v="T007"/>
    <x v="2"/>
    <n v="810.76"/>
    <x v="5"/>
    <n v="770.22"/>
    <n v="4"/>
    <s v="Walk-in"/>
    <n v="770.22"/>
    <s v="OK"/>
    <x v="0"/>
    <x v="0"/>
    <s v="1–_x000a_10%"/>
    <x v="4"/>
    <x v="8"/>
  </r>
  <r>
    <x v="1490"/>
    <d v="2025-02-06T00:00:00"/>
    <n v="16"/>
    <s v="T028"/>
    <x v="0"/>
    <n v="514.29999999999995"/>
    <x v="3"/>
    <n v="462.87"/>
    <n v="3"/>
    <s v="Walk-in"/>
    <n v="462.87"/>
    <s v="OK"/>
    <x v="0"/>
    <x v="0"/>
    <s v="1–_x000a_10%"/>
    <x v="3"/>
    <x v="5"/>
  </r>
  <r>
    <x v="1491"/>
    <d v="2025-01-14T00:00:00"/>
    <n v="12"/>
    <s v="T007"/>
    <x v="0"/>
    <n v="575.42999999999995"/>
    <x v="1"/>
    <n v="575.42999999999995"/>
    <n v="4"/>
    <s v="Walk-in"/>
    <n v="575.42999999999995"/>
    <s v="OK"/>
    <x v="2"/>
    <x v="0"/>
    <s v="0%"/>
    <x v="4"/>
    <x v="8"/>
  </r>
  <r>
    <x v="1492"/>
    <d v="2025-05-15T00:00:00"/>
    <n v="20"/>
    <s v="T016"/>
    <x v="2"/>
    <n v="386.29"/>
    <x v="3"/>
    <n v="347.66"/>
    <n v="2"/>
    <s v="Walk-in"/>
    <n v="347.66"/>
    <s v="OK"/>
    <x v="1"/>
    <x v="0"/>
    <s v="1–_x000a_10%"/>
    <x v="1"/>
    <x v="1"/>
  </r>
  <r>
    <x v="1493"/>
    <d v="2025-02-08T00:00:00"/>
    <n v="11"/>
    <s v="T020"/>
    <x v="0"/>
    <n v="445.43"/>
    <x v="0"/>
    <n v="378.62"/>
    <n v="1"/>
    <s v="Walk-in"/>
    <n v="378.62"/>
    <s v="OK"/>
    <x v="0"/>
    <x v="1"/>
    <s v="11–20%"/>
    <x v="2"/>
    <x v="2"/>
  </r>
  <r>
    <x v="1494"/>
    <d v="2025-01-31T00:00:00"/>
    <n v="18"/>
    <s v="T022"/>
    <x v="0"/>
    <n v="686.19"/>
    <x v="3"/>
    <n v="617.57000000000005"/>
    <n v="3"/>
    <s v="Walk-in"/>
    <n v="617.57000000000005"/>
    <s v="OK"/>
    <x v="2"/>
    <x v="0"/>
    <s v="1–_x000a_10%"/>
    <x v="4"/>
    <x v="8"/>
  </r>
  <r>
    <x v="1495"/>
    <d v="2025-06-10T00:00:00"/>
    <n v="18"/>
    <s v="T005"/>
    <x v="0"/>
    <n v="763.58"/>
    <x v="0"/>
    <n v="649.04"/>
    <n v="1"/>
    <s v="Member"/>
    <n v="649.04"/>
    <s v="OK"/>
    <x v="3"/>
    <x v="0"/>
    <s v="11–20%"/>
    <x v="2"/>
    <x v="4"/>
  </r>
  <r>
    <x v="1496"/>
    <d v="2025-01-30T00:00:00"/>
    <n v="22"/>
    <s v="T029"/>
    <x v="0"/>
    <n v="996.77"/>
    <x v="1"/>
    <n v="996.77"/>
    <n v="4"/>
    <s v="Walk-in"/>
    <n v="996.77"/>
    <s v="OK"/>
    <x v="2"/>
    <x v="0"/>
    <s v="0%"/>
    <x v="0"/>
    <x v="6"/>
  </r>
  <r>
    <x v="1497"/>
    <d v="2025-03-14T00:00:00"/>
    <n v="20"/>
    <s v="T004"/>
    <x v="0"/>
    <n v="263.07"/>
    <x v="1"/>
    <n v="263.07"/>
    <n v="3"/>
    <s v="Walk-in"/>
    <n v="263.07"/>
    <s v="OK"/>
    <x v="5"/>
    <x v="0"/>
    <s v="0%"/>
    <x v="0"/>
    <x v="0"/>
  </r>
  <r>
    <x v="1498"/>
    <d v="2025-05-02T00:00:00"/>
    <n v="17"/>
    <s v="T007"/>
    <x v="0"/>
    <n v="2550.59"/>
    <x v="1"/>
    <n v="2550.59"/>
    <n v="4"/>
    <s v="Walk-in"/>
    <n v="2550.59"/>
    <s v="OK"/>
    <x v="1"/>
    <x v="0"/>
    <s v="0%"/>
    <x v="4"/>
    <x v="8"/>
  </r>
  <r>
    <x v="1499"/>
    <d v="2025-02-17T00:00:00"/>
    <n v="16"/>
    <s v="T027"/>
    <x v="0"/>
    <n v="1483.03"/>
    <x v="0"/>
    <n v="1260.58"/>
    <n v="4"/>
    <s v="Member"/>
    <n v="1260.58"/>
    <s v="OK"/>
    <x v="0"/>
    <x v="0"/>
    <s v="11–20%"/>
    <x v="4"/>
    <x v="9"/>
  </r>
  <r>
    <x v="1500"/>
    <d v="2025-06-23T00:00:00"/>
    <n v="11"/>
    <s v="T016"/>
    <x v="0"/>
    <n v="2126"/>
    <x v="1"/>
    <n v="2126"/>
    <n v="2"/>
    <s v="Walk-in"/>
    <n v="2126"/>
    <s v="OK"/>
    <x v="3"/>
    <x v="0"/>
    <s v="0%"/>
    <x v="1"/>
    <x v="1"/>
  </r>
  <r>
    <x v="1501"/>
    <d v="2025-04-04T00:00:00"/>
    <n v="17"/>
    <s v="T003"/>
    <x v="0"/>
    <n v="498.37"/>
    <x v="1"/>
    <n v="498.37"/>
    <n v="4"/>
    <s v="Walk-in"/>
    <n v="498.37"/>
    <s v="OK"/>
    <x v="4"/>
    <x v="0"/>
    <s v="0%"/>
    <x v="3"/>
    <x v="3"/>
  </r>
  <r>
    <x v="1502"/>
    <d v="2025-05-27T00:00:00"/>
    <n v="16"/>
    <s v="T010"/>
    <x v="0"/>
    <n v="258.04000000000002"/>
    <x v="3"/>
    <n v="232.24"/>
    <n v="2"/>
    <s v="Walk-in"/>
    <n v="232.24"/>
    <s v="OK"/>
    <x v="1"/>
    <x v="0"/>
    <s v="1–_x000a_10%"/>
    <x v="2"/>
    <x v="4"/>
  </r>
  <r>
    <x v="1503"/>
    <d v="2025-06-27T00:00:00"/>
    <n v="13"/>
    <s v="T008"/>
    <x v="0"/>
    <n v="806.02"/>
    <x v="1"/>
    <n v="806.02"/>
    <n v="3"/>
    <s v="Walk-in"/>
    <n v="806.02"/>
    <s v="OK"/>
    <x v="3"/>
    <x v="0"/>
    <s v="0%"/>
    <x v="3"/>
    <x v="5"/>
  </r>
  <r>
    <x v="1504"/>
    <d v="2025-01-22T00:00:00"/>
    <n v="13"/>
    <s v="T006"/>
    <x v="0"/>
    <n v="2003.82"/>
    <x v="1"/>
    <n v="2003.82"/>
    <n v="4"/>
    <s v="Walk-in"/>
    <n v="2003.82"/>
    <s v="OK"/>
    <x v="2"/>
    <x v="0"/>
    <s v="0%"/>
    <x v="1"/>
    <x v="1"/>
  </r>
  <r>
    <x v="1505"/>
    <d v="2025-06-23T00:00:00"/>
    <n v="20"/>
    <s v="T001"/>
    <x v="2"/>
    <n v="421.72"/>
    <x v="1"/>
    <n v="421.72"/>
    <n v="2"/>
    <s v="Walk-in"/>
    <n v="421.72"/>
    <s v="OK"/>
    <x v="3"/>
    <x v="0"/>
    <s v="0%"/>
    <x v="1"/>
    <x v="7"/>
  </r>
  <r>
    <x v="1506"/>
    <d v="2025-05-29T00:00:00"/>
    <n v="12"/>
    <s v="T030"/>
    <x v="0"/>
    <n v="793.58"/>
    <x v="1"/>
    <n v="793.58"/>
    <n v="1"/>
    <s v="Member"/>
    <n v="793.58"/>
    <s v="OK"/>
    <x v="1"/>
    <x v="0"/>
    <s v="0%"/>
    <x v="2"/>
    <x v="2"/>
  </r>
  <r>
    <x v="1507"/>
    <d v="2025-06-12T00:00:00"/>
    <n v="19"/>
    <s v="T019"/>
    <x v="2"/>
    <n v="5699.89"/>
    <x v="1"/>
    <n v="5699.89"/>
    <n v="2"/>
    <s v="Walk-in"/>
    <n v="5699.89"/>
    <s v="OK"/>
    <x v="3"/>
    <x v="0"/>
    <s v="0%"/>
    <x v="0"/>
    <x v="0"/>
  </r>
  <r>
    <x v="1508"/>
    <d v="2025-05-18T00:00:00"/>
    <n v="13"/>
    <s v="T021"/>
    <x v="2"/>
    <n v="448.6"/>
    <x v="1"/>
    <n v="448.6"/>
    <n v="2"/>
    <s v="Walk-in"/>
    <n v="448.6"/>
    <s v="OK"/>
    <x v="1"/>
    <x v="1"/>
    <s v="0%"/>
    <x v="1"/>
    <x v="1"/>
  </r>
  <r>
    <x v="1509"/>
    <d v="2025-02-23T00:00:00"/>
    <n v="10"/>
    <s v="T015"/>
    <x v="0"/>
    <n v="1226.75"/>
    <x v="4"/>
    <n v="981.4"/>
    <n v="3"/>
    <s v="Walk-in"/>
    <n v="981.4"/>
    <s v="OK"/>
    <x v="0"/>
    <x v="1"/>
    <s v="11–20%"/>
    <x v="2"/>
    <x v="4"/>
  </r>
  <r>
    <x v="1510"/>
    <d v="2025-05-01T00:00:00"/>
    <n v="12"/>
    <s v="T001"/>
    <x v="0"/>
    <n v="2655.57"/>
    <x v="1"/>
    <n v="2655.57"/>
    <n v="3"/>
    <s v="Member"/>
    <n v="2655.57"/>
    <s v="OK"/>
    <x v="1"/>
    <x v="0"/>
    <s v="0%"/>
    <x v="1"/>
    <x v="7"/>
  </r>
  <r>
    <x v="1511"/>
    <d v="2025-04-02T00:00:00"/>
    <n v="10"/>
    <s v="T018"/>
    <x v="0"/>
    <n v="920.4"/>
    <x v="1"/>
    <n v="920.4"/>
    <n v="5"/>
    <s v="Member"/>
    <n v="920.4"/>
    <s v="OK"/>
    <x v="4"/>
    <x v="0"/>
    <s v="0%"/>
    <x v="3"/>
    <x v="3"/>
  </r>
  <r>
    <x v="1512"/>
    <d v="2025-01-06T00:00:00"/>
    <n v="15"/>
    <s v="T016"/>
    <x v="0"/>
    <n v="2210.84"/>
    <x v="3"/>
    <n v="1989.76"/>
    <n v="3"/>
    <s v="Member"/>
    <n v="1989.76"/>
    <s v="OK"/>
    <x v="2"/>
    <x v="0"/>
    <s v="1–_x000a_10%"/>
    <x v="1"/>
    <x v="1"/>
  </r>
  <r>
    <x v="1513"/>
    <d v="2025-04-25T00:00:00"/>
    <n v="20"/>
    <s v="T003"/>
    <x v="2"/>
    <n v="1238.53"/>
    <x v="3"/>
    <n v="1114.68"/>
    <n v="3"/>
    <s v="Member"/>
    <n v="1114.68"/>
    <s v="OK"/>
    <x v="4"/>
    <x v="0"/>
    <s v="1–_x000a_10%"/>
    <x v="3"/>
    <x v="3"/>
  </r>
  <r>
    <x v="1514"/>
    <d v="2025-01-11T00:00:00"/>
    <n v="11"/>
    <s v="T021"/>
    <x v="0"/>
    <n v="2219.9499999999998"/>
    <x v="5"/>
    <n v="2108.9499999999998"/>
    <n v="1"/>
    <s v="Walk-in"/>
    <n v="2108.9499999999998"/>
    <s v="OK"/>
    <x v="2"/>
    <x v="1"/>
    <s v="1–_x000a_10%"/>
    <x v="1"/>
    <x v="1"/>
  </r>
  <r>
    <x v="1515"/>
    <d v="2025-03-03T00:00:00"/>
    <n v="15"/>
    <s v="T027"/>
    <x v="2"/>
    <n v="655.83"/>
    <x v="0"/>
    <n v="557.46"/>
    <n v="3"/>
    <s v="Walk-in"/>
    <n v="557.46"/>
    <s v="OK"/>
    <x v="5"/>
    <x v="0"/>
    <s v="11–20%"/>
    <x v="4"/>
    <x v="9"/>
  </r>
  <r>
    <x v="1516"/>
    <d v="2025-01-19T00:00:00"/>
    <n v="17"/>
    <s v="T016"/>
    <x v="0"/>
    <n v="538.52"/>
    <x v="0"/>
    <n v="457.74"/>
    <n v="5"/>
    <s v="Walk-in"/>
    <n v="457.74"/>
    <s v="OK"/>
    <x v="2"/>
    <x v="1"/>
    <s v="11–20%"/>
    <x v="1"/>
    <x v="1"/>
  </r>
  <r>
    <x v="1517"/>
    <d v="2025-06-23T00:00:00"/>
    <n v="16"/>
    <s v="T001"/>
    <x v="0"/>
    <n v="1355.59"/>
    <x v="3"/>
    <n v="1220.03"/>
    <n v="1"/>
    <s v="Walk-in"/>
    <n v="1220.03"/>
    <s v="OK"/>
    <x v="3"/>
    <x v="0"/>
    <s v="1–_x000a_10%"/>
    <x v="1"/>
    <x v="7"/>
  </r>
  <r>
    <x v="1518"/>
    <d v="2025-01-12T00:00:00"/>
    <n v="15"/>
    <s v="T024"/>
    <x v="2"/>
    <n v="2830.2"/>
    <x v="0"/>
    <n v="2405.67"/>
    <n v="1"/>
    <s v="Walk-in"/>
    <n v="2405.67"/>
    <s v="OK"/>
    <x v="2"/>
    <x v="1"/>
    <s v="11–20%"/>
    <x v="0"/>
    <x v="0"/>
  </r>
  <r>
    <x v="1519"/>
    <d v="2025-04-28T00:00:00"/>
    <n v="12"/>
    <s v="T021"/>
    <x v="0"/>
    <n v="704.07"/>
    <x v="1"/>
    <n v="704.07"/>
    <n v="2"/>
    <s v="Walk-in"/>
    <n v="704.07"/>
    <s v="OK"/>
    <x v="4"/>
    <x v="0"/>
    <s v="0%"/>
    <x v="1"/>
    <x v="1"/>
  </r>
  <r>
    <x v="1520"/>
    <d v="2025-03-28T00:00:00"/>
    <n v="21"/>
    <s v="T009"/>
    <x v="2"/>
    <n v="438.37"/>
    <x v="5"/>
    <n v="416.45"/>
    <n v="1"/>
    <s v="Walk-in"/>
    <n v="416.45"/>
    <s v="OK"/>
    <x v="5"/>
    <x v="0"/>
    <s v="1–_x000a_10%"/>
    <x v="0"/>
    <x v="6"/>
  </r>
  <r>
    <x v="1521"/>
    <d v="2025-06-16T00:00:00"/>
    <n v="21"/>
    <s v="T009"/>
    <x v="0"/>
    <n v="918.55"/>
    <x v="5"/>
    <n v="872.62"/>
    <n v="2"/>
    <s v="Walk-in"/>
    <n v="872.62"/>
    <s v="OK"/>
    <x v="3"/>
    <x v="0"/>
    <s v="1–_x000a_10%"/>
    <x v="0"/>
    <x v="6"/>
  </r>
  <r>
    <x v="1522"/>
    <d v="2025-03-04T00:00:00"/>
    <n v="21"/>
    <s v="T016"/>
    <x v="0"/>
    <n v="1364.04"/>
    <x v="1"/>
    <n v="1364.04"/>
    <n v="2"/>
    <s v="Walk-in"/>
    <n v="1364.04"/>
    <s v="OK"/>
    <x v="5"/>
    <x v="0"/>
    <s v="0%"/>
    <x v="1"/>
    <x v="1"/>
  </r>
  <r>
    <x v="1523"/>
    <d v="2025-01-23T00:00:00"/>
    <n v="13"/>
    <s v="T006"/>
    <x v="2"/>
    <n v="2949.12"/>
    <x v="1"/>
    <n v="2949.12"/>
    <n v="3"/>
    <s v="Walk-in"/>
    <n v="2949.12"/>
    <s v="OK"/>
    <x v="2"/>
    <x v="0"/>
    <s v="0%"/>
    <x v="1"/>
    <x v="1"/>
  </r>
  <r>
    <x v="1524"/>
    <d v="2025-03-24T00:00:00"/>
    <n v="19"/>
    <s v="T029"/>
    <x v="0"/>
    <n v="14020.94"/>
    <x v="1"/>
    <n v="14020.94"/>
    <n v="4"/>
    <s v="Member"/>
    <n v="14020.94"/>
    <s v="OK"/>
    <x v="5"/>
    <x v="0"/>
    <s v="0%"/>
    <x v="0"/>
    <x v="6"/>
  </r>
  <r>
    <x v="1525"/>
    <d v="2025-04-15T00:00:00"/>
    <n v="12"/>
    <s v="T026"/>
    <x v="2"/>
    <n v="429.71"/>
    <x v="3"/>
    <n v="386.74"/>
    <n v="1"/>
    <s v="Walk-in"/>
    <n v="386.74"/>
    <s v="OK"/>
    <x v="4"/>
    <x v="0"/>
    <s v="1–_x000a_10%"/>
    <x v="1"/>
    <x v="10"/>
  </r>
  <r>
    <x v="1526"/>
    <d v="2025-04-02T00:00:00"/>
    <n v="12"/>
    <s v="T012"/>
    <x v="2"/>
    <n v="454.08"/>
    <x v="1"/>
    <n v="454.08"/>
    <n v="3"/>
    <s v="Walk-in"/>
    <n v="454.08"/>
    <s v="OK"/>
    <x v="4"/>
    <x v="0"/>
    <s v="0%"/>
    <x v="4"/>
    <x v="9"/>
  </r>
  <r>
    <x v="1527"/>
    <d v="2025-01-09T00:00:00"/>
    <n v="17"/>
    <s v="T014"/>
    <x v="0"/>
    <n v="1450.45"/>
    <x v="1"/>
    <n v="1450.45"/>
    <n v="6"/>
    <s v="Member"/>
    <n v="1450.45"/>
    <s v="OK"/>
    <x v="2"/>
    <x v="0"/>
    <s v="0%"/>
    <x v="0"/>
    <x v="6"/>
  </r>
  <r>
    <x v="1528"/>
    <d v="2025-02-07T00:00:00"/>
    <n v="11"/>
    <s v="T024"/>
    <x v="2"/>
    <n v="1010.89"/>
    <x v="5"/>
    <n v="960.35"/>
    <n v="4"/>
    <s v="Member"/>
    <n v="960.35"/>
    <s v="OK"/>
    <x v="0"/>
    <x v="0"/>
    <s v="1–_x000a_10%"/>
    <x v="0"/>
    <x v="0"/>
  </r>
  <r>
    <x v="1529"/>
    <d v="2025-01-28T00:00:00"/>
    <n v="12"/>
    <s v="T021"/>
    <x v="0"/>
    <n v="342.76"/>
    <x v="1"/>
    <n v="342.76"/>
    <n v="5"/>
    <s v="Member"/>
    <n v="342.76"/>
    <s v="OK"/>
    <x v="2"/>
    <x v="0"/>
    <s v="0%"/>
    <x v="1"/>
    <x v="1"/>
  </r>
  <r>
    <x v="1530"/>
    <d v="2025-05-07T00:00:00"/>
    <n v="22"/>
    <s v="T013"/>
    <x v="2"/>
    <n v="478.8"/>
    <x v="1"/>
    <n v="478.8"/>
    <n v="3"/>
    <s v="Walk-in"/>
    <n v="478.8"/>
    <s v="OK"/>
    <x v="1"/>
    <x v="0"/>
    <s v="0%"/>
    <x v="3"/>
    <x v="11"/>
  </r>
  <r>
    <x v="1531"/>
    <d v="2025-02-20T00:00:00"/>
    <n v="15"/>
    <s v="T001"/>
    <x v="1"/>
    <n v="369.89"/>
    <x v="4"/>
    <n v="295.91000000000003"/>
    <n v="5"/>
    <s v="Member"/>
    <n v="295.91000000000003"/>
    <s v="OK"/>
    <x v="0"/>
    <x v="0"/>
    <s v="11–20%"/>
    <x v="1"/>
    <x v="7"/>
  </r>
  <r>
    <x v="1532"/>
    <d v="2025-03-05T00:00:00"/>
    <n v="18"/>
    <s v="T030"/>
    <x v="3"/>
    <n v="1502.98"/>
    <x v="0"/>
    <n v="1277.53"/>
    <n v="2"/>
    <s v="Walk-in"/>
    <n v="1277.53"/>
    <s v="OK"/>
    <x v="5"/>
    <x v="0"/>
    <s v="11–20%"/>
    <x v="2"/>
    <x v="2"/>
  </r>
  <r>
    <x v="1533"/>
    <d v="2025-05-01T00:00:00"/>
    <n v="19"/>
    <s v="T030"/>
    <x v="0"/>
    <n v="1294.56"/>
    <x v="0"/>
    <n v="1100.3800000000001"/>
    <n v="2"/>
    <s v="Walk-in"/>
    <n v="1100.3800000000001"/>
    <s v="OK"/>
    <x v="1"/>
    <x v="0"/>
    <s v="11–20%"/>
    <x v="2"/>
    <x v="2"/>
  </r>
  <r>
    <x v="1534"/>
    <d v="2025-03-24T00:00:00"/>
    <n v="15"/>
    <s v="T023"/>
    <x v="2"/>
    <n v="1324"/>
    <x v="0"/>
    <n v="1125.4000000000001"/>
    <n v="1"/>
    <s v="Walk-in"/>
    <n v="1125.4000000000001"/>
    <s v="OK"/>
    <x v="5"/>
    <x v="0"/>
    <s v="11–20%"/>
    <x v="3"/>
    <x v="11"/>
  </r>
  <r>
    <x v="1535"/>
    <d v="2025-05-22T00:00:00"/>
    <n v="21"/>
    <s v="T026"/>
    <x v="3"/>
    <n v="1061.1199999999999"/>
    <x v="4"/>
    <n v="848.9"/>
    <n v="2"/>
    <s v="Walk-in"/>
    <n v="848.9"/>
    <s v="OK"/>
    <x v="1"/>
    <x v="0"/>
    <s v="11–20%"/>
    <x v="1"/>
    <x v="10"/>
  </r>
  <r>
    <x v="1536"/>
    <d v="2025-02-08T00:00:00"/>
    <n v="15"/>
    <s v="T017"/>
    <x v="0"/>
    <n v="848.49"/>
    <x v="1"/>
    <n v="848.49"/>
    <n v="3"/>
    <s v="Member"/>
    <n v="848.49"/>
    <s v="OK"/>
    <x v="0"/>
    <x v="1"/>
    <s v="0%"/>
    <x v="4"/>
    <x v="8"/>
  </r>
  <r>
    <x v="1537"/>
    <d v="2025-02-14T00:00:00"/>
    <n v="15"/>
    <s v="T025"/>
    <x v="1"/>
    <n v="772.38"/>
    <x v="1"/>
    <n v="772.38"/>
    <n v="2"/>
    <s v="Member"/>
    <n v="772.38"/>
    <s v="OK"/>
    <x v="0"/>
    <x v="0"/>
    <s v="0%"/>
    <x v="2"/>
    <x v="2"/>
  </r>
  <r>
    <x v="1538"/>
    <d v="2025-03-21T00:00:00"/>
    <n v="17"/>
    <s v="T030"/>
    <x v="0"/>
    <n v="799.65"/>
    <x v="3"/>
    <n v="719.68"/>
    <n v="3"/>
    <s v="Member"/>
    <n v="719.69"/>
    <s v="OK"/>
    <x v="5"/>
    <x v="0"/>
    <s v="1–_x000a_10%"/>
    <x v="2"/>
    <x v="2"/>
  </r>
  <r>
    <x v="1539"/>
    <d v="2025-05-17T00:00:00"/>
    <n v="16"/>
    <s v="T002"/>
    <x v="0"/>
    <n v="1254.25"/>
    <x v="0"/>
    <n v="1066.1099999999999"/>
    <n v="1"/>
    <s v="Member"/>
    <n v="1066.1099999999999"/>
    <s v="OK"/>
    <x v="1"/>
    <x v="1"/>
    <s v="11–20%"/>
    <x v="4"/>
    <x v="9"/>
  </r>
  <r>
    <x v="1540"/>
    <d v="2025-06-20T00:00:00"/>
    <n v="12"/>
    <s v="T022"/>
    <x v="2"/>
    <n v="654.58000000000004"/>
    <x v="5"/>
    <n v="621.85"/>
    <n v="1"/>
    <s v="Walk-in"/>
    <n v="621.85"/>
    <s v="OK"/>
    <x v="3"/>
    <x v="0"/>
    <s v="1–_x000a_10%"/>
    <x v="4"/>
    <x v="8"/>
  </r>
  <r>
    <x v="1541"/>
    <d v="2025-03-01T00:00:00"/>
    <n v="14"/>
    <s v="T002"/>
    <x v="0"/>
    <n v="3667.01"/>
    <x v="1"/>
    <n v="3667.01"/>
    <n v="2"/>
    <s v="Member"/>
    <n v="3667.01"/>
    <s v="OK"/>
    <x v="5"/>
    <x v="1"/>
    <s v="0%"/>
    <x v="4"/>
    <x v="9"/>
  </r>
  <r>
    <x v="1542"/>
    <d v="2025-04-26T00:00:00"/>
    <n v="17"/>
    <s v="T027"/>
    <x v="0"/>
    <n v="932.96"/>
    <x v="1"/>
    <n v="932.96"/>
    <n v="1"/>
    <s v="Member"/>
    <n v="932.96"/>
    <s v="OK"/>
    <x v="4"/>
    <x v="1"/>
    <s v="0%"/>
    <x v="4"/>
    <x v="9"/>
  </r>
  <r>
    <x v="1543"/>
    <d v="2025-03-23T00:00:00"/>
    <n v="11"/>
    <s v="T009"/>
    <x v="2"/>
    <n v="639.05999999999995"/>
    <x v="4"/>
    <n v="511.25"/>
    <n v="5"/>
    <s v="Member"/>
    <n v="511.25"/>
    <s v="OK"/>
    <x v="5"/>
    <x v="1"/>
    <s v="11–20%"/>
    <x v="0"/>
    <x v="6"/>
  </r>
  <r>
    <x v="1544"/>
    <d v="2025-04-01T00:00:00"/>
    <n v="14"/>
    <s v="T026"/>
    <x v="0"/>
    <n v="4280.57"/>
    <x v="1"/>
    <n v="4280.57"/>
    <n v="2"/>
    <s v="Walk-in"/>
    <n v="4280.57"/>
    <s v="OK"/>
    <x v="4"/>
    <x v="0"/>
    <s v="0%"/>
    <x v="1"/>
    <x v="10"/>
  </r>
  <r>
    <x v="1545"/>
    <d v="2025-05-25T00:00:00"/>
    <n v="18"/>
    <s v="T012"/>
    <x v="0"/>
    <n v="1314.38"/>
    <x v="1"/>
    <n v="1314.38"/>
    <n v="6"/>
    <s v="Member"/>
    <n v="1314.38"/>
    <s v="OK"/>
    <x v="1"/>
    <x v="1"/>
    <s v="0%"/>
    <x v="4"/>
    <x v="9"/>
  </r>
  <r>
    <x v="1546"/>
    <d v="2025-03-16T00:00:00"/>
    <n v="11"/>
    <s v="T008"/>
    <x v="0"/>
    <n v="206.6"/>
    <x v="4"/>
    <n v="165.28"/>
    <n v="5"/>
    <s v="Member"/>
    <n v="165.28"/>
    <s v="OK"/>
    <x v="5"/>
    <x v="1"/>
    <s v="11–20%"/>
    <x v="3"/>
    <x v="5"/>
  </r>
  <r>
    <x v="1547"/>
    <d v="2025-05-18T00:00:00"/>
    <n v="21"/>
    <s v="T023"/>
    <x v="0"/>
    <n v="746.25"/>
    <x v="1"/>
    <n v="746.25"/>
    <n v="6"/>
    <s v="Walk-in"/>
    <n v="746.25"/>
    <s v="OK"/>
    <x v="1"/>
    <x v="1"/>
    <s v="0%"/>
    <x v="3"/>
    <x v="11"/>
  </r>
  <r>
    <x v="1548"/>
    <d v="2025-04-04T00:00:00"/>
    <n v="14"/>
    <s v="T018"/>
    <x v="0"/>
    <n v="2880.38"/>
    <x v="1"/>
    <n v="2880.38"/>
    <n v="1"/>
    <s v="Walk-in"/>
    <n v="2880.38"/>
    <s v="OK"/>
    <x v="4"/>
    <x v="0"/>
    <s v="0%"/>
    <x v="3"/>
    <x v="3"/>
  </r>
  <r>
    <x v="1549"/>
    <d v="2025-03-22T00:00:00"/>
    <n v="17"/>
    <s v="T017"/>
    <x v="0"/>
    <n v="1325.94"/>
    <x v="5"/>
    <n v="1259.6400000000001"/>
    <n v="2"/>
    <s v="Member"/>
    <n v="1259.6400000000001"/>
    <s v="OK"/>
    <x v="5"/>
    <x v="1"/>
    <s v="1–_x000a_10%"/>
    <x v="4"/>
    <x v="8"/>
  </r>
  <r>
    <x v="1550"/>
    <d v="2025-03-16T00:00:00"/>
    <n v="14"/>
    <s v="T019"/>
    <x v="1"/>
    <n v="1199.8900000000001"/>
    <x v="1"/>
    <n v="1199.8900000000001"/>
    <n v="2"/>
    <s v="Walk-in"/>
    <n v="1199.8900000000001"/>
    <s v="OK"/>
    <x v="5"/>
    <x v="1"/>
    <s v="0%"/>
    <x v="0"/>
    <x v="0"/>
  </r>
  <r>
    <x v="1551"/>
    <d v="2025-02-27T00:00:00"/>
    <n v="19"/>
    <s v="T022"/>
    <x v="1"/>
    <n v="840.58"/>
    <x v="1"/>
    <n v="840.58"/>
    <n v="5"/>
    <s v="Member"/>
    <n v="840.58"/>
    <s v="OK"/>
    <x v="0"/>
    <x v="0"/>
    <s v="0%"/>
    <x v="4"/>
    <x v="8"/>
  </r>
  <r>
    <x v="1552"/>
    <d v="2025-04-24T00:00:00"/>
    <n v="19"/>
    <s v="T004"/>
    <x v="2"/>
    <n v="616.04999999999995"/>
    <x v="3"/>
    <n v="554.44000000000005"/>
    <n v="3"/>
    <s v="Walk-in"/>
    <n v="554.45000000000005"/>
    <s v="OK"/>
    <x v="4"/>
    <x v="0"/>
    <s v="1–_x000a_10%"/>
    <x v="0"/>
    <x v="0"/>
  </r>
  <r>
    <x v="1553"/>
    <d v="2025-03-10T00:00:00"/>
    <n v="11"/>
    <s v="T018"/>
    <x v="3"/>
    <n v="1873.99"/>
    <x v="1"/>
    <n v="1873.99"/>
    <n v="2"/>
    <s v="Member"/>
    <n v="1873.99"/>
    <s v="OK"/>
    <x v="5"/>
    <x v="0"/>
    <s v="0%"/>
    <x v="3"/>
    <x v="3"/>
  </r>
  <r>
    <x v="1554"/>
    <d v="2025-05-18T00:00:00"/>
    <n v="10"/>
    <s v="T028"/>
    <x v="2"/>
    <n v="1004.43"/>
    <x v="5"/>
    <n v="954.21"/>
    <n v="3"/>
    <s v="Walk-in"/>
    <n v="954.21"/>
    <s v="OK"/>
    <x v="1"/>
    <x v="1"/>
    <s v="1–_x000a_10%"/>
    <x v="3"/>
    <x v="5"/>
  </r>
  <r>
    <x v="1555"/>
    <d v="2025-01-21T00:00:00"/>
    <n v="14"/>
    <s v="T004"/>
    <x v="3"/>
    <n v="699.22"/>
    <x v="1"/>
    <n v="699.22"/>
    <n v="1"/>
    <s v="Walk-in"/>
    <n v="699.22"/>
    <s v="OK"/>
    <x v="2"/>
    <x v="0"/>
    <s v="0%"/>
    <x v="0"/>
    <x v="0"/>
  </r>
  <r>
    <x v="1556"/>
    <d v="2025-06-15T00:00:00"/>
    <n v="20"/>
    <s v="T022"/>
    <x v="2"/>
    <n v="749.56"/>
    <x v="1"/>
    <n v="749.56"/>
    <n v="6"/>
    <s v="Walk-in"/>
    <n v="749.56"/>
    <s v="OK"/>
    <x v="3"/>
    <x v="1"/>
    <s v="0%"/>
    <x v="4"/>
    <x v="8"/>
  </r>
  <r>
    <x v="1557"/>
    <d v="2025-01-08T00:00:00"/>
    <n v="22"/>
    <s v="T009"/>
    <x v="1"/>
    <n v="927.24"/>
    <x v="1"/>
    <n v="927.24"/>
    <n v="4"/>
    <s v="Member"/>
    <n v="927.24"/>
    <s v="OK"/>
    <x v="2"/>
    <x v="0"/>
    <s v="0%"/>
    <x v="0"/>
    <x v="6"/>
  </r>
  <r>
    <x v="1558"/>
    <d v="2025-01-01T00:00:00"/>
    <n v="11"/>
    <s v="T021"/>
    <x v="0"/>
    <n v="778.46"/>
    <x v="0"/>
    <n v="661.69"/>
    <n v="1"/>
    <s v="Walk-in"/>
    <n v="661.69"/>
    <s v="OK"/>
    <x v="2"/>
    <x v="0"/>
    <s v="11–20%"/>
    <x v="1"/>
    <x v="1"/>
  </r>
  <r>
    <x v="1559"/>
    <d v="2025-04-24T00:00:00"/>
    <n v="16"/>
    <s v="T004"/>
    <x v="0"/>
    <n v="4960.5"/>
    <x v="1"/>
    <n v="4960.5"/>
    <n v="2"/>
    <s v="Walk-in"/>
    <n v="4960.5"/>
    <s v="OK"/>
    <x v="4"/>
    <x v="0"/>
    <s v="0%"/>
    <x v="0"/>
    <x v="0"/>
  </r>
  <r>
    <x v="1560"/>
    <d v="2025-04-23T00:00:00"/>
    <n v="16"/>
    <s v="T012"/>
    <x v="0"/>
    <n v="496.96"/>
    <x v="4"/>
    <n v="397.57"/>
    <n v="2"/>
    <s v="Walk-in"/>
    <n v="397.57"/>
    <s v="OK"/>
    <x v="4"/>
    <x v="0"/>
    <s v="11–20%"/>
    <x v="4"/>
    <x v="9"/>
  </r>
  <r>
    <x v="1561"/>
    <d v="2025-04-20T00:00:00"/>
    <n v="17"/>
    <s v="T013"/>
    <x v="2"/>
    <n v="2625.52"/>
    <x v="3"/>
    <n v="2362.9699999999998"/>
    <n v="1"/>
    <s v="Member"/>
    <n v="2362.9699999999998"/>
    <s v="OK"/>
    <x v="4"/>
    <x v="1"/>
    <s v="1–_x000a_10%"/>
    <x v="3"/>
    <x v="11"/>
  </r>
  <r>
    <x v="1562"/>
    <d v="2025-01-01T00:00:00"/>
    <n v="19"/>
    <s v="T001"/>
    <x v="0"/>
    <n v="1630.95"/>
    <x v="1"/>
    <n v="1630.95"/>
    <n v="3"/>
    <s v="Member"/>
    <n v="1630.95"/>
    <s v="OK"/>
    <x v="2"/>
    <x v="0"/>
    <s v="0%"/>
    <x v="1"/>
    <x v="7"/>
  </r>
  <r>
    <x v="1563"/>
    <d v="2025-05-13T00:00:00"/>
    <n v="14"/>
    <s v="T004"/>
    <x v="0"/>
    <n v="331.45"/>
    <x v="1"/>
    <n v="331.45"/>
    <n v="2"/>
    <s v="Walk-in"/>
    <n v="331.45"/>
    <s v="OK"/>
    <x v="1"/>
    <x v="0"/>
    <s v="0%"/>
    <x v="0"/>
    <x v="0"/>
  </r>
  <r>
    <x v="1564"/>
    <d v="2025-02-22T00:00:00"/>
    <n v="12"/>
    <s v="T006"/>
    <x v="0"/>
    <n v="2204.21"/>
    <x v="2"/>
    <n v="1542.95"/>
    <n v="3"/>
    <s v="Member"/>
    <n v="1542.95"/>
    <s v="OK"/>
    <x v="0"/>
    <x v="1"/>
    <s v="&gt;20%"/>
    <x v="1"/>
    <x v="1"/>
  </r>
  <r>
    <x v="1565"/>
    <d v="2025-05-28T00:00:00"/>
    <n v="21"/>
    <s v="T020"/>
    <x v="0"/>
    <n v="1126.24"/>
    <x v="1"/>
    <n v="1126.24"/>
    <n v="4"/>
    <s v="Walk-in"/>
    <n v="1126.24"/>
    <s v="OK"/>
    <x v="1"/>
    <x v="0"/>
    <s v="0%"/>
    <x v="2"/>
    <x v="2"/>
  </r>
  <r>
    <x v="1566"/>
    <d v="2025-02-01T00:00:00"/>
    <n v="10"/>
    <s v="T016"/>
    <x v="2"/>
    <n v="702.1"/>
    <x v="0"/>
    <n v="596.78"/>
    <n v="2"/>
    <s v="Walk-in"/>
    <n v="596.79"/>
    <s v="OK"/>
    <x v="0"/>
    <x v="1"/>
    <s v="11–20%"/>
    <x v="1"/>
    <x v="1"/>
  </r>
  <r>
    <x v="1567"/>
    <d v="2025-05-29T00:00:00"/>
    <n v="21"/>
    <s v="T028"/>
    <x v="0"/>
    <n v="1217.67"/>
    <x v="1"/>
    <n v="1217.67"/>
    <n v="2"/>
    <s v="Walk-in"/>
    <n v="1217.67"/>
    <s v="OK"/>
    <x v="1"/>
    <x v="0"/>
    <s v="0%"/>
    <x v="3"/>
    <x v="5"/>
  </r>
  <r>
    <x v="1568"/>
    <d v="2025-06-11T00:00:00"/>
    <n v="15"/>
    <s v="T006"/>
    <x v="1"/>
    <n v="780.39"/>
    <x v="1"/>
    <n v="780.39"/>
    <n v="2"/>
    <s v="Walk-in"/>
    <n v="780.39"/>
    <s v="OK"/>
    <x v="3"/>
    <x v="0"/>
    <s v="0%"/>
    <x v="1"/>
    <x v="1"/>
  </r>
  <r>
    <x v="1569"/>
    <d v="2025-06-11T00:00:00"/>
    <n v="11"/>
    <s v="T020"/>
    <x v="0"/>
    <n v="1665.8"/>
    <x v="3"/>
    <n v="1499.22"/>
    <n v="6"/>
    <s v="Member"/>
    <n v="1499.22"/>
    <s v="OK"/>
    <x v="3"/>
    <x v="0"/>
    <s v="1–_x000a_10%"/>
    <x v="2"/>
    <x v="2"/>
  </r>
  <r>
    <x v="1570"/>
    <d v="2025-01-04T00:00:00"/>
    <n v="12"/>
    <s v="T019"/>
    <x v="0"/>
    <n v="964.07"/>
    <x v="3"/>
    <n v="867.66"/>
    <n v="2"/>
    <s v="Walk-in"/>
    <n v="867.66"/>
    <s v="OK"/>
    <x v="2"/>
    <x v="1"/>
    <s v="1–_x000a_10%"/>
    <x v="0"/>
    <x v="0"/>
  </r>
  <r>
    <x v="1571"/>
    <d v="2025-01-13T00:00:00"/>
    <n v="13"/>
    <s v="T019"/>
    <x v="1"/>
    <n v="545.69000000000005"/>
    <x v="5"/>
    <n v="518.41"/>
    <n v="1"/>
    <s v="Walk-in"/>
    <n v="518.41"/>
    <s v="OK"/>
    <x v="2"/>
    <x v="0"/>
    <s v="1–_x000a_10%"/>
    <x v="0"/>
    <x v="0"/>
  </r>
  <r>
    <x v="1572"/>
    <d v="2025-02-03T00:00:00"/>
    <n v="10"/>
    <s v="T029"/>
    <x v="0"/>
    <n v="2024.13"/>
    <x v="1"/>
    <n v="2024.13"/>
    <n v="2"/>
    <s v="Member"/>
    <n v="2024.13"/>
    <s v="OK"/>
    <x v="0"/>
    <x v="0"/>
    <s v="0%"/>
    <x v="0"/>
    <x v="6"/>
  </r>
  <r>
    <x v="1573"/>
    <d v="2025-06-09T00:00:00"/>
    <n v="20"/>
    <s v="T004"/>
    <x v="2"/>
    <n v="1916.55"/>
    <x v="3"/>
    <n v="1724.89"/>
    <n v="2"/>
    <s v="Member"/>
    <n v="1724.9"/>
    <s v="OK"/>
    <x v="3"/>
    <x v="0"/>
    <s v="1–_x000a_10%"/>
    <x v="0"/>
    <x v="0"/>
  </r>
  <r>
    <x v="1574"/>
    <d v="2025-03-30T00:00:00"/>
    <n v="16"/>
    <s v="T006"/>
    <x v="0"/>
    <n v="880.82"/>
    <x v="1"/>
    <n v="880.82"/>
    <n v="1"/>
    <s v="Walk-in"/>
    <n v="880.82"/>
    <s v="OK"/>
    <x v="5"/>
    <x v="1"/>
    <s v="0%"/>
    <x v="1"/>
    <x v="1"/>
  </r>
  <r>
    <x v="1575"/>
    <d v="2025-04-28T00:00:00"/>
    <n v="13"/>
    <s v="T013"/>
    <x v="0"/>
    <n v="752.95"/>
    <x v="1"/>
    <n v="752.95"/>
    <n v="2"/>
    <s v="Walk-in"/>
    <n v="752.95"/>
    <s v="OK"/>
    <x v="4"/>
    <x v="0"/>
    <s v="0%"/>
    <x v="3"/>
    <x v="11"/>
  </r>
  <r>
    <x v="1576"/>
    <d v="2025-04-11T00:00:00"/>
    <n v="16"/>
    <s v="T026"/>
    <x v="2"/>
    <n v="950.54"/>
    <x v="3"/>
    <n v="855.49"/>
    <n v="3"/>
    <s v="Walk-in"/>
    <n v="855.49"/>
    <s v="OK"/>
    <x v="4"/>
    <x v="0"/>
    <s v="1–_x000a_10%"/>
    <x v="1"/>
    <x v="10"/>
  </r>
  <r>
    <x v="1577"/>
    <d v="2025-06-13T00:00:00"/>
    <n v="14"/>
    <s v="T001"/>
    <x v="0"/>
    <n v="861.39"/>
    <x v="0"/>
    <n v="732.18"/>
    <n v="3"/>
    <s v="Walk-in"/>
    <n v="732.18"/>
    <s v="OK"/>
    <x v="3"/>
    <x v="0"/>
    <s v="11–20%"/>
    <x v="1"/>
    <x v="7"/>
  </r>
  <r>
    <x v="1578"/>
    <d v="2025-03-14T00:00:00"/>
    <n v="16"/>
    <s v="T015"/>
    <x v="3"/>
    <n v="652.51"/>
    <x v="1"/>
    <n v="652.51"/>
    <n v="3"/>
    <s v="Walk-in"/>
    <n v="652.51"/>
    <s v="OK"/>
    <x v="5"/>
    <x v="0"/>
    <s v="0%"/>
    <x v="2"/>
    <x v="4"/>
  </r>
  <r>
    <x v="1579"/>
    <d v="2025-03-03T00:00:00"/>
    <n v="16"/>
    <s v="T011"/>
    <x v="0"/>
    <n v="2602.88"/>
    <x v="3"/>
    <n v="2342.59"/>
    <n v="1"/>
    <s v="Member"/>
    <n v="2342.59"/>
    <s v="OK"/>
    <x v="5"/>
    <x v="0"/>
    <s v="1–_x000a_10%"/>
    <x v="1"/>
    <x v="10"/>
  </r>
  <r>
    <x v="1580"/>
    <d v="2025-05-10T00:00:00"/>
    <n v="11"/>
    <s v="T016"/>
    <x v="3"/>
    <n v="1088.49"/>
    <x v="3"/>
    <n v="979.64"/>
    <n v="1"/>
    <s v="Member"/>
    <n v="979.64"/>
    <s v="OK"/>
    <x v="1"/>
    <x v="1"/>
    <s v="1–_x000a_10%"/>
    <x v="1"/>
    <x v="1"/>
  </r>
  <r>
    <x v="1581"/>
    <d v="2025-04-01T00:00:00"/>
    <n v="21"/>
    <s v="T010"/>
    <x v="0"/>
    <n v="1235.21"/>
    <x v="3"/>
    <n v="1111.69"/>
    <n v="6"/>
    <s v="Walk-in"/>
    <n v="1111.69"/>
    <s v="OK"/>
    <x v="4"/>
    <x v="0"/>
    <s v="1–_x000a_10%"/>
    <x v="2"/>
    <x v="4"/>
  </r>
  <r>
    <x v="1582"/>
    <d v="2025-03-22T00:00:00"/>
    <n v="20"/>
    <s v="T021"/>
    <x v="1"/>
    <n v="7047.8"/>
    <x v="5"/>
    <n v="6695.41"/>
    <n v="2"/>
    <s v="Walk-in"/>
    <n v="6695.41"/>
    <s v="OK"/>
    <x v="5"/>
    <x v="1"/>
    <s v="1–_x000a_10%"/>
    <x v="1"/>
    <x v="1"/>
  </r>
  <r>
    <x v="1583"/>
    <d v="2025-05-29T00:00:00"/>
    <n v="19"/>
    <s v="T016"/>
    <x v="0"/>
    <n v="1174.5"/>
    <x v="1"/>
    <n v="1174.5"/>
    <n v="1"/>
    <s v="Walk-in"/>
    <n v="1174.5"/>
    <s v="OK"/>
    <x v="1"/>
    <x v="0"/>
    <s v="0%"/>
    <x v="1"/>
    <x v="1"/>
  </r>
  <r>
    <x v="1584"/>
    <d v="2025-06-20T00:00:00"/>
    <n v="19"/>
    <s v="T001"/>
    <x v="0"/>
    <n v="1174.57"/>
    <x v="4"/>
    <n v="939.66"/>
    <n v="1"/>
    <s v="Walk-in"/>
    <n v="939.66"/>
    <s v="OK"/>
    <x v="3"/>
    <x v="0"/>
    <s v="11–20%"/>
    <x v="1"/>
    <x v="7"/>
  </r>
  <r>
    <x v="1585"/>
    <d v="2025-05-07T00:00:00"/>
    <n v="15"/>
    <s v="T021"/>
    <x v="0"/>
    <n v="295.52999999999997"/>
    <x v="5"/>
    <n v="280.75"/>
    <n v="3"/>
    <s v="Member"/>
    <n v="280.75"/>
    <s v="OK"/>
    <x v="1"/>
    <x v="0"/>
    <s v="1–_x000a_10%"/>
    <x v="1"/>
    <x v="1"/>
  </r>
  <r>
    <x v="1586"/>
    <d v="2025-02-02T00:00:00"/>
    <n v="10"/>
    <s v="T016"/>
    <x v="1"/>
    <n v="845.81"/>
    <x v="1"/>
    <n v="845.81"/>
    <n v="1"/>
    <s v="Member"/>
    <n v="845.81"/>
    <s v="OK"/>
    <x v="0"/>
    <x v="1"/>
    <s v="0%"/>
    <x v="1"/>
    <x v="1"/>
  </r>
  <r>
    <x v="1587"/>
    <d v="2025-01-26T00:00:00"/>
    <n v="11"/>
    <s v="T005"/>
    <x v="3"/>
    <n v="527.49"/>
    <x v="1"/>
    <n v="527.49"/>
    <n v="3"/>
    <s v="Walk-in"/>
    <n v="527.49"/>
    <s v="OK"/>
    <x v="2"/>
    <x v="1"/>
    <s v="0%"/>
    <x v="2"/>
    <x v="4"/>
  </r>
  <r>
    <x v="1588"/>
    <d v="2025-06-09T00:00:00"/>
    <n v="18"/>
    <s v="T020"/>
    <x v="0"/>
    <n v="1626.78"/>
    <x v="2"/>
    <n v="1138.75"/>
    <n v="3"/>
    <s v="Member"/>
    <n v="1138.75"/>
    <s v="OK"/>
    <x v="3"/>
    <x v="0"/>
    <s v="&gt;20%"/>
    <x v="2"/>
    <x v="2"/>
  </r>
  <r>
    <x v="1589"/>
    <d v="2025-06-22T00:00:00"/>
    <n v="17"/>
    <s v="T009"/>
    <x v="0"/>
    <n v="1234.5899999999999"/>
    <x v="4"/>
    <n v="987.67"/>
    <n v="3"/>
    <s v="Walk-in"/>
    <n v="987.67"/>
    <s v="OK"/>
    <x v="3"/>
    <x v="1"/>
    <s v="11–20%"/>
    <x v="0"/>
    <x v="6"/>
  </r>
  <r>
    <x v="1590"/>
    <d v="2025-04-10T00:00:00"/>
    <n v="15"/>
    <s v="T007"/>
    <x v="3"/>
    <n v="961.51"/>
    <x v="3"/>
    <n v="865.36"/>
    <n v="1"/>
    <s v="Member"/>
    <n v="865.36"/>
    <s v="OK"/>
    <x v="4"/>
    <x v="0"/>
    <s v="1–_x000a_10%"/>
    <x v="4"/>
    <x v="8"/>
  </r>
  <r>
    <x v="1591"/>
    <d v="2025-05-18T00:00:00"/>
    <n v="11"/>
    <s v="T014"/>
    <x v="1"/>
    <n v="1390.02"/>
    <x v="5"/>
    <n v="1320.52"/>
    <n v="2"/>
    <s v="Walk-in"/>
    <n v="1320.52"/>
    <s v="OK"/>
    <x v="1"/>
    <x v="1"/>
    <s v="1–_x000a_10%"/>
    <x v="0"/>
    <x v="6"/>
  </r>
  <r>
    <x v="1592"/>
    <d v="2025-01-26T00:00:00"/>
    <n v="22"/>
    <s v="T012"/>
    <x v="0"/>
    <n v="1778.06"/>
    <x v="0"/>
    <n v="1511.35"/>
    <n v="5"/>
    <s v="Walk-in"/>
    <n v="1511.35"/>
    <s v="OK"/>
    <x v="2"/>
    <x v="1"/>
    <s v="11–20%"/>
    <x v="4"/>
    <x v="9"/>
  </r>
  <r>
    <x v="1593"/>
    <d v="2025-04-28T00:00:00"/>
    <n v="12"/>
    <s v="T010"/>
    <x v="0"/>
    <n v="427.42"/>
    <x v="3"/>
    <n v="384.68"/>
    <n v="4"/>
    <s v="Walk-in"/>
    <n v="384.68"/>
    <s v="OK"/>
    <x v="4"/>
    <x v="0"/>
    <s v="1–_x000a_10%"/>
    <x v="2"/>
    <x v="4"/>
  </r>
  <r>
    <x v="1594"/>
    <d v="2025-01-08T00:00:00"/>
    <n v="14"/>
    <s v="T015"/>
    <x v="0"/>
    <n v="243.64"/>
    <x v="5"/>
    <n v="231.46"/>
    <n v="2"/>
    <s v="Walk-in"/>
    <n v="231.46"/>
    <s v="OK"/>
    <x v="2"/>
    <x v="0"/>
    <s v="1–_x000a_10%"/>
    <x v="2"/>
    <x v="4"/>
  </r>
  <r>
    <x v="1595"/>
    <d v="2025-03-16T00:00:00"/>
    <n v="12"/>
    <s v="T030"/>
    <x v="0"/>
    <n v="1590.62"/>
    <x v="1"/>
    <n v="1590.62"/>
    <n v="2"/>
    <s v="Member"/>
    <n v="1590.62"/>
    <s v="OK"/>
    <x v="5"/>
    <x v="1"/>
    <s v="0%"/>
    <x v="2"/>
    <x v="2"/>
  </r>
  <r>
    <x v="1596"/>
    <d v="2025-02-21T00:00:00"/>
    <n v="11"/>
    <s v="T020"/>
    <x v="2"/>
    <n v="1302.3800000000001"/>
    <x v="1"/>
    <n v="1302.3800000000001"/>
    <n v="1"/>
    <s v="Walk-in"/>
    <n v="1302.3800000000001"/>
    <s v="OK"/>
    <x v="0"/>
    <x v="0"/>
    <s v="0%"/>
    <x v="2"/>
    <x v="2"/>
  </r>
  <r>
    <x v="1597"/>
    <d v="2025-01-16T00:00:00"/>
    <n v="19"/>
    <s v="T022"/>
    <x v="3"/>
    <n v="2751.51"/>
    <x v="1"/>
    <n v="2751.51"/>
    <n v="1"/>
    <s v="Walk-in"/>
    <n v="2751.51"/>
    <s v="OK"/>
    <x v="2"/>
    <x v="0"/>
    <s v="0%"/>
    <x v="4"/>
    <x v="8"/>
  </r>
  <r>
    <x v="1598"/>
    <d v="2025-04-15T00:00:00"/>
    <n v="15"/>
    <s v="T025"/>
    <x v="3"/>
    <n v="838.39"/>
    <x v="1"/>
    <n v="838.39"/>
    <n v="1"/>
    <s v="Walk-in"/>
    <n v="838.39"/>
    <s v="OK"/>
    <x v="4"/>
    <x v="0"/>
    <s v="0%"/>
    <x v="2"/>
    <x v="2"/>
  </r>
  <r>
    <x v="1599"/>
    <d v="2025-01-29T00:00:00"/>
    <n v="16"/>
    <s v="T026"/>
    <x v="0"/>
    <n v="514.01"/>
    <x v="3"/>
    <n v="462.61"/>
    <n v="2"/>
    <s v="Walk-in"/>
    <n v="462.61"/>
    <s v="OK"/>
    <x v="2"/>
    <x v="0"/>
    <s v="1–_x000a_10%"/>
    <x v="1"/>
    <x v="10"/>
  </r>
  <r>
    <x v="1600"/>
    <d v="2025-01-02T00:00:00"/>
    <n v="12"/>
    <s v="T008"/>
    <x v="2"/>
    <n v="604.70000000000005"/>
    <x v="2"/>
    <n v="423.29"/>
    <n v="1"/>
    <s v="Walk-in"/>
    <n v="423.29"/>
    <s v="OK"/>
    <x v="2"/>
    <x v="0"/>
    <s v="&gt;20%"/>
    <x v="3"/>
    <x v="5"/>
  </r>
  <r>
    <x v="1601"/>
    <d v="2025-01-10T00:00:00"/>
    <n v="22"/>
    <s v="T019"/>
    <x v="0"/>
    <n v="1066.51"/>
    <x v="4"/>
    <n v="853.21"/>
    <n v="2"/>
    <s v="Member"/>
    <n v="853.21"/>
    <s v="OK"/>
    <x v="2"/>
    <x v="0"/>
    <s v="11–20%"/>
    <x v="0"/>
    <x v="0"/>
  </r>
  <r>
    <x v="1602"/>
    <d v="2025-02-16T00:00:00"/>
    <n v="15"/>
    <s v="T027"/>
    <x v="0"/>
    <n v="485.9"/>
    <x v="1"/>
    <n v="485.9"/>
    <n v="1"/>
    <s v="Member"/>
    <n v="485.9"/>
    <s v="OK"/>
    <x v="0"/>
    <x v="1"/>
    <s v="0%"/>
    <x v="4"/>
    <x v="9"/>
  </r>
  <r>
    <x v="1603"/>
    <d v="2025-01-03T00:00:00"/>
    <n v="21"/>
    <s v="T017"/>
    <x v="2"/>
    <n v="1081.6300000000001"/>
    <x v="1"/>
    <n v="1081.6300000000001"/>
    <n v="2"/>
    <s v="Walk-in"/>
    <n v="1081.6300000000001"/>
    <s v="OK"/>
    <x v="2"/>
    <x v="0"/>
    <s v="0%"/>
    <x v="4"/>
    <x v="8"/>
  </r>
  <r>
    <x v="1604"/>
    <d v="2025-06-28T00:00:00"/>
    <n v="14"/>
    <s v="T010"/>
    <x v="2"/>
    <n v="660.44"/>
    <x v="1"/>
    <n v="660.44"/>
    <n v="3"/>
    <s v="Walk-in"/>
    <n v="660.44"/>
    <s v="OK"/>
    <x v="3"/>
    <x v="1"/>
    <s v="0%"/>
    <x v="2"/>
    <x v="4"/>
  </r>
  <r>
    <x v="1605"/>
    <d v="2025-02-03T00:00:00"/>
    <n v="14"/>
    <s v="T018"/>
    <x v="0"/>
    <n v="1053.1300000000001"/>
    <x v="0"/>
    <n v="895.16"/>
    <n v="1"/>
    <s v="Member"/>
    <n v="895.16"/>
    <s v="OK"/>
    <x v="0"/>
    <x v="0"/>
    <s v="11–20%"/>
    <x v="3"/>
    <x v="3"/>
  </r>
  <r>
    <x v="1606"/>
    <d v="2025-01-01T00:00:00"/>
    <n v="18"/>
    <s v="T007"/>
    <x v="2"/>
    <n v="3642.32"/>
    <x v="3"/>
    <n v="3278.09"/>
    <n v="3"/>
    <s v="Walk-in"/>
    <n v="3278.09"/>
    <s v="OK"/>
    <x v="2"/>
    <x v="0"/>
    <s v="1–_x000a_10%"/>
    <x v="4"/>
    <x v="8"/>
  </r>
  <r>
    <x v="1607"/>
    <d v="2025-05-01T00:00:00"/>
    <n v="22"/>
    <s v="T022"/>
    <x v="0"/>
    <n v="309.89999999999998"/>
    <x v="5"/>
    <n v="294.39999999999998"/>
    <n v="3"/>
    <s v="Walk-in"/>
    <n v="294.41000000000003"/>
    <s v="OK"/>
    <x v="1"/>
    <x v="0"/>
    <s v="1–_x000a_10%"/>
    <x v="4"/>
    <x v="8"/>
  </r>
  <r>
    <x v="1608"/>
    <d v="2025-05-27T00:00:00"/>
    <n v="22"/>
    <s v="T021"/>
    <x v="2"/>
    <n v="1227.76"/>
    <x v="4"/>
    <n v="982.21"/>
    <n v="6"/>
    <s v="Walk-in"/>
    <n v="982.21"/>
    <s v="OK"/>
    <x v="1"/>
    <x v="0"/>
    <s v="11–20%"/>
    <x v="1"/>
    <x v="1"/>
  </r>
  <r>
    <x v="1609"/>
    <d v="2025-06-20T00:00:00"/>
    <n v="10"/>
    <s v="T027"/>
    <x v="0"/>
    <n v="1009.16"/>
    <x v="1"/>
    <n v="1009.16"/>
    <n v="1"/>
    <s v="Walk-in"/>
    <n v="1009.16"/>
    <s v="OK"/>
    <x v="3"/>
    <x v="0"/>
    <s v="0%"/>
    <x v="4"/>
    <x v="9"/>
  </r>
  <r>
    <x v="1610"/>
    <d v="2025-01-21T00:00:00"/>
    <n v="21"/>
    <s v="T001"/>
    <x v="1"/>
    <n v="564.63"/>
    <x v="1"/>
    <n v="564.63"/>
    <n v="6"/>
    <s v="Walk-in"/>
    <n v="564.63"/>
    <s v="OK"/>
    <x v="2"/>
    <x v="0"/>
    <s v="0%"/>
    <x v="1"/>
    <x v="7"/>
  </r>
  <r>
    <x v="1611"/>
    <d v="2025-04-28T00:00:00"/>
    <n v="13"/>
    <s v="T002"/>
    <x v="3"/>
    <n v="494.92"/>
    <x v="1"/>
    <n v="494.92"/>
    <n v="3"/>
    <s v="Walk-in"/>
    <n v="494.92"/>
    <s v="OK"/>
    <x v="4"/>
    <x v="0"/>
    <s v="0%"/>
    <x v="4"/>
    <x v="9"/>
  </r>
  <r>
    <x v="1612"/>
    <d v="2025-06-20T00:00:00"/>
    <n v="21"/>
    <s v="T003"/>
    <x v="1"/>
    <n v="1059.8800000000001"/>
    <x v="5"/>
    <n v="1006.89"/>
    <n v="3"/>
    <s v="Walk-in"/>
    <n v="1006.89"/>
    <s v="OK"/>
    <x v="3"/>
    <x v="0"/>
    <s v="1–_x000a_10%"/>
    <x v="3"/>
    <x v="3"/>
  </r>
  <r>
    <x v="1613"/>
    <d v="2025-03-16T00:00:00"/>
    <n v="12"/>
    <s v="T024"/>
    <x v="2"/>
    <n v="2507.0100000000002"/>
    <x v="1"/>
    <n v="2507.0100000000002"/>
    <n v="3"/>
    <s v="Walk-in"/>
    <n v="2507.0100000000002"/>
    <s v="OK"/>
    <x v="5"/>
    <x v="1"/>
    <s v="0%"/>
    <x v="0"/>
    <x v="0"/>
  </r>
  <r>
    <x v="1614"/>
    <d v="2025-06-07T00:00:00"/>
    <n v="16"/>
    <s v="T014"/>
    <x v="2"/>
    <n v="1196.42"/>
    <x v="0"/>
    <n v="1016.96"/>
    <n v="2"/>
    <s v="Walk-in"/>
    <n v="1016.96"/>
    <s v="OK"/>
    <x v="3"/>
    <x v="1"/>
    <s v="11–20%"/>
    <x v="0"/>
    <x v="6"/>
  </r>
  <r>
    <x v="1615"/>
    <d v="2025-05-05T00:00:00"/>
    <n v="12"/>
    <s v="T005"/>
    <x v="0"/>
    <n v="1334.22"/>
    <x v="0"/>
    <n v="1134.0899999999999"/>
    <n v="4"/>
    <s v="Member"/>
    <n v="1134.0899999999999"/>
    <s v="OK"/>
    <x v="1"/>
    <x v="0"/>
    <s v="11–20%"/>
    <x v="2"/>
    <x v="4"/>
  </r>
  <r>
    <x v="1616"/>
    <d v="2025-06-05T00:00:00"/>
    <n v="18"/>
    <s v="T004"/>
    <x v="0"/>
    <n v="508.77"/>
    <x v="0"/>
    <n v="432.45"/>
    <n v="1"/>
    <s v="Member"/>
    <n v="432.45"/>
    <s v="OK"/>
    <x v="3"/>
    <x v="0"/>
    <s v="11–20%"/>
    <x v="0"/>
    <x v="0"/>
  </r>
  <r>
    <x v="1617"/>
    <d v="2025-05-21T00:00:00"/>
    <n v="12"/>
    <s v="T023"/>
    <x v="0"/>
    <n v="268.81"/>
    <x v="1"/>
    <n v="268.81"/>
    <n v="1"/>
    <s v="Walk-in"/>
    <n v="268.81"/>
    <s v="OK"/>
    <x v="1"/>
    <x v="0"/>
    <s v="0%"/>
    <x v="3"/>
    <x v="11"/>
  </r>
  <r>
    <x v="1618"/>
    <d v="2025-03-09T00:00:00"/>
    <n v="19"/>
    <s v="T021"/>
    <x v="0"/>
    <n v="1332.29"/>
    <x v="3"/>
    <n v="1199.06"/>
    <n v="4"/>
    <s v="Walk-in"/>
    <n v="1199.06"/>
    <s v="OK"/>
    <x v="5"/>
    <x v="1"/>
    <s v="1–_x000a_10%"/>
    <x v="1"/>
    <x v="1"/>
  </r>
  <r>
    <x v="1619"/>
    <d v="2025-06-23T00:00:00"/>
    <n v="11"/>
    <s v="T025"/>
    <x v="2"/>
    <n v="1592.47"/>
    <x v="3"/>
    <n v="1433.22"/>
    <n v="1"/>
    <s v="Walk-in"/>
    <n v="1433.22"/>
    <s v="OK"/>
    <x v="3"/>
    <x v="0"/>
    <s v="1–_x000a_10%"/>
    <x v="2"/>
    <x v="2"/>
  </r>
  <r>
    <x v="1620"/>
    <d v="2025-06-06T00:00:00"/>
    <n v="22"/>
    <s v="T027"/>
    <x v="2"/>
    <n v="354.35"/>
    <x v="1"/>
    <n v="354.35"/>
    <n v="4"/>
    <s v="Walk-in"/>
    <n v="354.35"/>
    <s v="OK"/>
    <x v="3"/>
    <x v="0"/>
    <s v="0%"/>
    <x v="4"/>
    <x v="9"/>
  </r>
  <r>
    <x v="1621"/>
    <d v="2025-02-16T00:00:00"/>
    <n v="21"/>
    <s v="T004"/>
    <x v="0"/>
    <n v="937.15"/>
    <x v="1"/>
    <n v="937.15"/>
    <n v="1"/>
    <s v="Walk-in"/>
    <n v="937.15"/>
    <s v="OK"/>
    <x v="0"/>
    <x v="1"/>
    <s v="0%"/>
    <x v="0"/>
    <x v="0"/>
  </r>
  <r>
    <x v="1622"/>
    <d v="2025-03-16T00:00:00"/>
    <n v="11"/>
    <s v="T003"/>
    <x v="0"/>
    <n v="576.47"/>
    <x v="4"/>
    <n v="461.18"/>
    <n v="3"/>
    <s v="Walk-in"/>
    <n v="461.18"/>
    <s v="OK"/>
    <x v="5"/>
    <x v="1"/>
    <s v="11–20%"/>
    <x v="3"/>
    <x v="3"/>
  </r>
  <r>
    <x v="1623"/>
    <d v="2025-04-14T00:00:00"/>
    <n v="21"/>
    <s v="T010"/>
    <x v="0"/>
    <n v="473.35"/>
    <x v="1"/>
    <n v="473.35"/>
    <n v="1"/>
    <s v="Walk-in"/>
    <n v="473.35"/>
    <s v="OK"/>
    <x v="4"/>
    <x v="0"/>
    <s v="0%"/>
    <x v="2"/>
    <x v="4"/>
  </r>
  <r>
    <x v="1624"/>
    <d v="2025-03-28T00:00:00"/>
    <n v="12"/>
    <s v="T016"/>
    <x v="0"/>
    <n v="248.91"/>
    <x v="5"/>
    <n v="236.46"/>
    <n v="1"/>
    <s v="Walk-in"/>
    <n v="236.46"/>
    <s v="OK"/>
    <x v="5"/>
    <x v="0"/>
    <s v="1–_x000a_10%"/>
    <x v="1"/>
    <x v="1"/>
  </r>
  <r>
    <x v="1625"/>
    <d v="2025-02-28T00:00:00"/>
    <n v="17"/>
    <s v="T027"/>
    <x v="2"/>
    <n v="1919.54"/>
    <x v="1"/>
    <n v="1919.54"/>
    <n v="1"/>
    <s v="Walk-in"/>
    <n v="1919.54"/>
    <s v="OK"/>
    <x v="0"/>
    <x v="0"/>
    <s v="0%"/>
    <x v="4"/>
    <x v="9"/>
  </r>
  <r>
    <x v="1626"/>
    <d v="2025-03-21T00:00:00"/>
    <n v="21"/>
    <s v="T001"/>
    <x v="2"/>
    <n v="1002.56"/>
    <x v="1"/>
    <n v="1002.56"/>
    <n v="2"/>
    <s v="Walk-in"/>
    <n v="1002.56"/>
    <s v="OK"/>
    <x v="5"/>
    <x v="0"/>
    <s v="0%"/>
    <x v="1"/>
    <x v="7"/>
  </r>
  <r>
    <x v="1627"/>
    <d v="2025-02-02T00:00:00"/>
    <n v="14"/>
    <s v="T021"/>
    <x v="2"/>
    <n v="2442.44"/>
    <x v="1"/>
    <n v="2442.44"/>
    <n v="4"/>
    <s v="Walk-in"/>
    <n v="2442.44"/>
    <s v="OK"/>
    <x v="0"/>
    <x v="1"/>
    <s v="0%"/>
    <x v="1"/>
    <x v="1"/>
  </r>
  <r>
    <x v="1628"/>
    <d v="2025-02-04T00:00:00"/>
    <n v="16"/>
    <s v="T010"/>
    <x v="0"/>
    <n v="534.80999999999995"/>
    <x v="1"/>
    <n v="534.80999999999995"/>
    <n v="3"/>
    <s v="Walk-in"/>
    <n v="534.80999999999995"/>
    <s v="OK"/>
    <x v="0"/>
    <x v="0"/>
    <s v="0%"/>
    <x v="2"/>
    <x v="4"/>
  </r>
  <r>
    <x v="1629"/>
    <d v="2025-04-09T00:00:00"/>
    <n v="12"/>
    <s v="T007"/>
    <x v="2"/>
    <n v="3219.78"/>
    <x v="1"/>
    <n v="3219.78"/>
    <n v="2"/>
    <s v="Walk-in"/>
    <n v="3219.78"/>
    <s v="OK"/>
    <x v="4"/>
    <x v="0"/>
    <s v="0%"/>
    <x v="4"/>
    <x v="8"/>
  </r>
  <r>
    <x v="1630"/>
    <d v="2025-04-14T00:00:00"/>
    <n v="22"/>
    <s v="T016"/>
    <x v="0"/>
    <n v="540.6"/>
    <x v="1"/>
    <n v="540.6"/>
    <n v="3"/>
    <s v="Member"/>
    <n v="540.6"/>
    <s v="OK"/>
    <x v="4"/>
    <x v="0"/>
    <s v="0%"/>
    <x v="1"/>
    <x v="1"/>
  </r>
  <r>
    <x v="1631"/>
    <d v="2025-01-15T00:00:00"/>
    <n v="13"/>
    <s v="T016"/>
    <x v="3"/>
    <n v="2255.3000000000002"/>
    <x v="0"/>
    <n v="1917.01"/>
    <n v="2"/>
    <s v="Member"/>
    <n v="1917.01"/>
    <s v="OK"/>
    <x v="2"/>
    <x v="0"/>
    <s v="11–20%"/>
    <x v="1"/>
    <x v="1"/>
  </r>
  <r>
    <x v="1632"/>
    <d v="2025-01-09T00:00:00"/>
    <n v="22"/>
    <s v="T013"/>
    <x v="2"/>
    <n v="518.04"/>
    <x v="2"/>
    <n v="362.63"/>
    <n v="5"/>
    <s v="Walk-in"/>
    <n v="362.63"/>
    <s v="OK"/>
    <x v="2"/>
    <x v="0"/>
    <s v="&gt;20%"/>
    <x v="3"/>
    <x v="11"/>
  </r>
  <r>
    <x v="1633"/>
    <d v="2025-03-25T00:00:00"/>
    <n v="13"/>
    <s v="T004"/>
    <x v="0"/>
    <n v="239"/>
    <x v="1"/>
    <n v="239"/>
    <n v="6"/>
    <s v="Member"/>
    <n v="239"/>
    <s v="OK"/>
    <x v="5"/>
    <x v="0"/>
    <s v="0%"/>
    <x v="0"/>
    <x v="0"/>
  </r>
  <r>
    <x v="1634"/>
    <d v="2025-01-13T00:00:00"/>
    <n v="11"/>
    <s v="T015"/>
    <x v="2"/>
    <n v="616.20000000000005"/>
    <x v="1"/>
    <n v="616.20000000000005"/>
    <n v="3"/>
    <s v="Member"/>
    <n v="616.20000000000005"/>
    <s v="OK"/>
    <x v="2"/>
    <x v="0"/>
    <s v="0%"/>
    <x v="2"/>
    <x v="4"/>
  </r>
  <r>
    <x v="1635"/>
    <d v="2025-04-19T00:00:00"/>
    <n v="10"/>
    <s v="T013"/>
    <x v="2"/>
    <n v="1977.43"/>
    <x v="5"/>
    <n v="1878.56"/>
    <n v="3"/>
    <s v="Walk-in"/>
    <n v="1878.56"/>
    <s v="OK"/>
    <x v="4"/>
    <x v="1"/>
    <s v="1–_x000a_10%"/>
    <x v="3"/>
    <x v="11"/>
  </r>
  <r>
    <x v="1636"/>
    <d v="2025-02-28T00:00:00"/>
    <n v="19"/>
    <s v="T024"/>
    <x v="3"/>
    <n v="2679.85"/>
    <x v="3"/>
    <n v="2411.86"/>
    <n v="2"/>
    <s v="Walk-in"/>
    <n v="2411.87"/>
    <s v="OK"/>
    <x v="0"/>
    <x v="0"/>
    <s v="1–_x000a_10%"/>
    <x v="0"/>
    <x v="0"/>
  </r>
  <r>
    <x v="1637"/>
    <d v="2025-05-15T00:00:00"/>
    <n v="15"/>
    <s v="T026"/>
    <x v="1"/>
    <n v="2089.2199999999998"/>
    <x v="4"/>
    <n v="1671.38"/>
    <n v="1"/>
    <s v="Member"/>
    <n v="1671.38"/>
    <s v="OK"/>
    <x v="1"/>
    <x v="0"/>
    <s v="11–20%"/>
    <x v="1"/>
    <x v="10"/>
  </r>
  <r>
    <x v="1638"/>
    <d v="2025-06-17T00:00:00"/>
    <n v="12"/>
    <s v="T023"/>
    <x v="1"/>
    <n v="920.46"/>
    <x v="4"/>
    <n v="736.37"/>
    <n v="3"/>
    <s v="Member"/>
    <n v="736.37"/>
    <s v="OK"/>
    <x v="3"/>
    <x v="0"/>
    <s v="11–20%"/>
    <x v="3"/>
    <x v="11"/>
  </r>
  <r>
    <x v="1639"/>
    <d v="2025-02-26T00:00:00"/>
    <n v="11"/>
    <s v="T029"/>
    <x v="2"/>
    <n v="1438.68"/>
    <x v="1"/>
    <n v="1438.68"/>
    <n v="2"/>
    <s v="Walk-in"/>
    <n v="1438.68"/>
    <s v="OK"/>
    <x v="0"/>
    <x v="0"/>
    <s v="0%"/>
    <x v="0"/>
    <x v="6"/>
  </r>
  <r>
    <x v="1640"/>
    <d v="2025-03-10T00:00:00"/>
    <n v="20"/>
    <s v="T009"/>
    <x v="2"/>
    <n v="1695.66"/>
    <x v="3"/>
    <n v="1526.09"/>
    <n v="2"/>
    <s v="Walk-in"/>
    <n v="1526.09"/>
    <s v="OK"/>
    <x v="5"/>
    <x v="0"/>
    <s v="1–_x000a_10%"/>
    <x v="0"/>
    <x v="6"/>
  </r>
  <r>
    <x v="1641"/>
    <d v="2025-05-21T00:00:00"/>
    <n v="17"/>
    <s v="T022"/>
    <x v="0"/>
    <n v="1108.48"/>
    <x v="1"/>
    <n v="1108.48"/>
    <n v="3"/>
    <s v="Member"/>
    <n v="1108.48"/>
    <s v="OK"/>
    <x v="1"/>
    <x v="0"/>
    <s v="0%"/>
    <x v="4"/>
    <x v="8"/>
  </r>
  <r>
    <x v="1642"/>
    <d v="2025-04-27T00:00:00"/>
    <n v="12"/>
    <s v="T022"/>
    <x v="2"/>
    <n v="1839.44"/>
    <x v="1"/>
    <n v="1839.44"/>
    <n v="1"/>
    <s v="Walk-in"/>
    <n v="1839.44"/>
    <s v="OK"/>
    <x v="4"/>
    <x v="1"/>
    <s v="0%"/>
    <x v="4"/>
    <x v="8"/>
  </r>
  <r>
    <x v="1643"/>
    <d v="2025-01-18T00:00:00"/>
    <n v="16"/>
    <s v="T022"/>
    <x v="2"/>
    <n v="445.92"/>
    <x v="3"/>
    <n v="401.33"/>
    <n v="2"/>
    <s v="Member"/>
    <n v="401.33"/>
    <s v="OK"/>
    <x v="2"/>
    <x v="1"/>
    <s v="1–_x000a_10%"/>
    <x v="4"/>
    <x v="8"/>
  </r>
  <r>
    <x v="1644"/>
    <d v="2025-03-30T00:00:00"/>
    <n v="18"/>
    <s v="T013"/>
    <x v="0"/>
    <n v="1236.79"/>
    <x v="1"/>
    <n v="1236.79"/>
    <n v="2"/>
    <s v="Member"/>
    <n v="1236.79"/>
    <s v="OK"/>
    <x v="5"/>
    <x v="1"/>
    <s v="0%"/>
    <x v="3"/>
    <x v="11"/>
  </r>
  <r>
    <x v="1645"/>
    <d v="2025-02-28T00:00:00"/>
    <n v="19"/>
    <s v="T020"/>
    <x v="0"/>
    <n v="194.65"/>
    <x v="3"/>
    <n v="175.19"/>
    <n v="2"/>
    <s v="Member"/>
    <n v="175.19"/>
    <s v="OK"/>
    <x v="0"/>
    <x v="0"/>
    <s v="1–_x000a_10%"/>
    <x v="2"/>
    <x v="2"/>
  </r>
  <r>
    <x v="1646"/>
    <d v="2025-01-21T00:00:00"/>
    <n v="12"/>
    <s v="T022"/>
    <x v="0"/>
    <n v="464.29"/>
    <x v="1"/>
    <n v="464.29"/>
    <n v="2"/>
    <s v="Walk-in"/>
    <n v="464.29"/>
    <s v="OK"/>
    <x v="2"/>
    <x v="0"/>
    <s v="0%"/>
    <x v="4"/>
    <x v="8"/>
  </r>
  <r>
    <x v="1647"/>
    <d v="2025-06-21T00:00:00"/>
    <n v="12"/>
    <s v="T004"/>
    <x v="2"/>
    <n v="1977.06"/>
    <x v="1"/>
    <n v="1977.06"/>
    <n v="2"/>
    <s v="Walk-in"/>
    <n v="1977.06"/>
    <s v="OK"/>
    <x v="3"/>
    <x v="1"/>
    <s v="0%"/>
    <x v="0"/>
    <x v="0"/>
  </r>
  <r>
    <x v="1648"/>
    <d v="2025-05-23T00:00:00"/>
    <n v="13"/>
    <s v="T009"/>
    <x v="0"/>
    <n v="619.4"/>
    <x v="1"/>
    <n v="619.4"/>
    <n v="1"/>
    <s v="Member"/>
    <n v="619.4"/>
    <s v="OK"/>
    <x v="1"/>
    <x v="0"/>
    <s v="0%"/>
    <x v="0"/>
    <x v="6"/>
  </r>
  <r>
    <x v="1649"/>
    <d v="2025-04-20T00:00:00"/>
    <n v="18"/>
    <s v="T002"/>
    <x v="3"/>
    <n v="3520.31"/>
    <x v="3"/>
    <n v="3168.28"/>
    <n v="1"/>
    <s v="Member"/>
    <n v="3168.28"/>
    <s v="OK"/>
    <x v="4"/>
    <x v="1"/>
    <s v="1–_x000a_10%"/>
    <x v="4"/>
    <x v="9"/>
  </r>
  <r>
    <x v="1650"/>
    <d v="2025-06-23T00:00:00"/>
    <n v="18"/>
    <s v="T005"/>
    <x v="0"/>
    <n v="298.76"/>
    <x v="5"/>
    <n v="283.82"/>
    <n v="1"/>
    <s v="Walk-in"/>
    <n v="283.82"/>
    <s v="OK"/>
    <x v="3"/>
    <x v="0"/>
    <s v="1–_x000a_10%"/>
    <x v="2"/>
    <x v="4"/>
  </r>
  <r>
    <x v="1651"/>
    <d v="2025-05-15T00:00:00"/>
    <n v="13"/>
    <s v="T007"/>
    <x v="0"/>
    <n v="1465.55"/>
    <x v="4"/>
    <n v="1172.44"/>
    <n v="2"/>
    <s v="Walk-in"/>
    <n v="1172.44"/>
    <s v="OK"/>
    <x v="1"/>
    <x v="0"/>
    <s v="11–20%"/>
    <x v="4"/>
    <x v="8"/>
  </r>
  <r>
    <x v="1652"/>
    <d v="2025-02-11T00:00:00"/>
    <n v="21"/>
    <s v="T021"/>
    <x v="2"/>
    <n v="930.06"/>
    <x v="0"/>
    <n v="790.55"/>
    <n v="3"/>
    <s v="Walk-in"/>
    <n v="790.55"/>
    <s v="OK"/>
    <x v="0"/>
    <x v="0"/>
    <s v="11–20%"/>
    <x v="1"/>
    <x v="1"/>
  </r>
  <r>
    <x v="1653"/>
    <d v="2025-04-08T00:00:00"/>
    <n v="18"/>
    <s v="T014"/>
    <x v="0"/>
    <n v="906.77"/>
    <x v="0"/>
    <n v="770.75"/>
    <n v="1"/>
    <s v="Member"/>
    <n v="770.75"/>
    <s v="OK"/>
    <x v="4"/>
    <x v="0"/>
    <s v="11–20%"/>
    <x v="0"/>
    <x v="6"/>
  </r>
  <r>
    <x v="1654"/>
    <d v="2025-02-13T00:00:00"/>
    <n v="21"/>
    <s v="T008"/>
    <x v="2"/>
    <n v="1060.05"/>
    <x v="1"/>
    <n v="1060.05"/>
    <n v="1"/>
    <s v="Member"/>
    <n v="1060.05"/>
    <s v="OK"/>
    <x v="0"/>
    <x v="0"/>
    <s v="0%"/>
    <x v="3"/>
    <x v="5"/>
  </r>
  <r>
    <x v="1655"/>
    <d v="2025-04-29T00:00:00"/>
    <n v="16"/>
    <s v="T001"/>
    <x v="0"/>
    <n v="474.06"/>
    <x v="1"/>
    <n v="474.06"/>
    <n v="1"/>
    <s v="Member"/>
    <n v="474.06"/>
    <s v="OK"/>
    <x v="4"/>
    <x v="0"/>
    <s v="0%"/>
    <x v="1"/>
    <x v="7"/>
  </r>
  <r>
    <x v="1656"/>
    <d v="2025-05-05T00:00:00"/>
    <n v="22"/>
    <s v="T001"/>
    <x v="1"/>
    <n v="1645"/>
    <x v="1"/>
    <n v="1645"/>
    <n v="3"/>
    <s v="Walk-in"/>
    <n v="1645"/>
    <s v="OK"/>
    <x v="1"/>
    <x v="0"/>
    <s v="0%"/>
    <x v="1"/>
    <x v="7"/>
  </r>
  <r>
    <x v="1657"/>
    <d v="2025-01-23T00:00:00"/>
    <n v="18"/>
    <s v="T028"/>
    <x v="0"/>
    <n v="654.04999999999995"/>
    <x v="1"/>
    <n v="654.04999999999995"/>
    <n v="4"/>
    <s v="Walk-in"/>
    <n v="654.04999999999995"/>
    <s v="OK"/>
    <x v="2"/>
    <x v="0"/>
    <s v="0%"/>
    <x v="3"/>
    <x v="5"/>
  </r>
  <r>
    <x v="1658"/>
    <d v="2025-06-14T00:00:00"/>
    <n v="15"/>
    <s v="T030"/>
    <x v="2"/>
    <n v="1712.29"/>
    <x v="4"/>
    <n v="1369.83"/>
    <n v="4"/>
    <s v="Member"/>
    <n v="1369.83"/>
    <s v="OK"/>
    <x v="3"/>
    <x v="1"/>
    <s v="11–20%"/>
    <x v="2"/>
    <x v="2"/>
  </r>
  <r>
    <x v="1659"/>
    <d v="2025-03-03T00:00:00"/>
    <n v="12"/>
    <s v="T006"/>
    <x v="0"/>
    <n v="535.24"/>
    <x v="0"/>
    <n v="454.95"/>
    <n v="4"/>
    <s v="Member"/>
    <n v="454.95"/>
    <s v="OK"/>
    <x v="5"/>
    <x v="0"/>
    <s v="11–20%"/>
    <x v="1"/>
    <x v="1"/>
  </r>
  <r>
    <x v="1660"/>
    <d v="2025-05-20T00:00:00"/>
    <n v="12"/>
    <s v="T013"/>
    <x v="2"/>
    <n v="451.9"/>
    <x v="4"/>
    <n v="361.52"/>
    <n v="1"/>
    <s v="Walk-in"/>
    <n v="361.52"/>
    <s v="OK"/>
    <x v="1"/>
    <x v="0"/>
    <s v="11–20%"/>
    <x v="3"/>
    <x v="11"/>
  </r>
  <r>
    <x v="1661"/>
    <d v="2025-01-24T00:00:00"/>
    <n v="20"/>
    <s v="T003"/>
    <x v="0"/>
    <n v="5403.73"/>
    <x v="1"/>
    <n v="5403.73"/>
    <n v="2"/>
    <s v="Walk-in"/>
    <n v="5403.73"/>
    <s v="OK"/>
    <x v="2"/>
    <x v="0"/>
    <s v="0%"/>
    <x v="3"/>
    <x v="3"/>
  </r>
  <r>
    <x v="1662"/>
    <d v="2025-04-10T00:00:00"/>
    <n v="21"/>
    <s v="T017"/>
    <x v="0"/>
    <n v="1467.89"/>
    <x v="3"/>
    <n v="1321.1"/>
    <n v="1"/>
    <s v="Member"/>
    <n v="1321.1"/>
    <s v="OK"/>
    <x v="4"/>
    <x v="0"/>
    <s v="1–_x000a_10%"/>
    <x v="4"/>
    <x v="8"/>
  </r>
  <r>
    <x v="1663"/>
    <d v="2025-03-24T00:00:00"/>
    <n v="17"/>
    <s v="T009"/>
    <x v="0"/>
    <n v="852.14"/>
    <x v="3"/>
    <n v="766.93"/>
    <n v="3"/>
    <s v="Member"/>
    <n v="766.93"/>
    <s v="OK"/>
    <x v="5"/>
    <x v="0"/>
    <s v="1–_x000a_10%"/>
    <x v="0"/>
    <x v="6"/>
  </r>
  <r>
    <x v="1664"/>
    <d v="2025-02-18T00:00:00"/>
    <n v="14"/>
    <s v="T015"/>
    <x v="0"/>
    <n v="466.95"/>
    <x v="1"/>
    <n v="466.95"/>
    <n v="3"/>
    <s v="Member"/>
    <n v="466.95"/>
    <s v="OK"/>
    <x v="0"/>
    <x v="0"/>
    <s v="0%"/>
    <x v="2"/>
    <x v="4"/>
  </r>
  <r>
    <x v="1665"/>
    <d v="2025-01-03T00:00:00"/>
    <n v="19"/>
    <s v="T012"/>
    <x v="2"/>
    <n v="470.54"/>
    <x v="5"/>
    <n v="447.01"/>
    <n v="2"/>
    <s v="Walk-in"/>
    <n v="447.01"/>
    <s v="OK"/>
    <x v="2"/>
    <x v="0"/>
    <s v="1–_x000a_10%"/>
    <x v="4"/>
    <x v="9"/>
  </r>
  <r>
    <x v="1666"/>
    <d v="2025-06-04T00:00:00"/>
    <n v="13"/>
    <s v="T024"/>
    <x v="0"/>
    <n v="643.42999999999995"/>
    <x v="1"/>
    <n v="643.42999999999995"/>
    <n v="2"/>
    <s v="Member"/>
    <n v="643.42999999999995"/>
    <s v="OK"/>
    <x v="3"/>
    <x v="0"/>
    <s v="0%"/>
    <x v="0"/>
    <x v="0"/>
  </r>
  <r>
    <x v="1667"/>
    <d v="2025-04-28T00:00:00"/>
    <n v="12"/>
    <s v="T027"/>
    <x v="0"/>
    <n v="979.78"/>
    <x v="4"/>
    <n v="783.82"/>
    <n v="2"/>
    <s v="Walk-in"/>
    <n v="783.82"/>
    <s v="OK"/>
    <x v="4"/>
    <x v="0"/>
    <s v="11–20%"/>
    <x v="4"/>
    <x v="9"/>
  </r>
  <r>
    <x v="1668"/>
    <d v="2025-02-17T00:00:00"/>
    <n v="17"/>
    <s v="T028"/>
    <x v="2"/>
    <n v="688.1"/>
    <x v="1"/>
    <n v="688.1"/>
    <n v="1"/>
    <s v="Walk-in"/>
    <n v="688.1"/>
    <s v="OK"/>
    <x v="0"/>
    <x v="0"/>
    <s v="0%"/>
    <x v="3"/>
    <x v="5"/>
  </r>
  <r>
    <x v="1669"/>
    <d v="2025-01-27T00:00:00"/>
    <n v="21"/>
    <s v="T007"/>
    <x v="2"/>
    <n v="370.34"/>
    <x v="1"/>
    <n v="370.34"/>
    <n v="3"/>
    <s v="Member"/>
    <n v="370.34"/>
    <s v="OK"/>
    <x v="2"/>
    <x v="0"/>
    <s v="0%"/>
    <x v="4"/>
    <x v="8"/>
  </r>
  <r>
    <x v="1670"/>
    <d v="2025-06-06T00:00:00"/>
    <n v="21"/>
    <s v="T008"/>
    <x v="1"/>
    <n v="1504.25"/>
    <x v="1"/>
    <n v="1504.25"/>
    <n v="1"/>
    <s v="Walk-in"/>
    <n v="1504.25"/>
    <s v="OK"/>
    <x v="3"/>
    <x v="0"/>
    <s v="0%"/>
    <x v="3"/>
    <x v="5"/>
  </r>
  <r>
    <x v="1671"/>
    <d v="2025-06-21T00:00:00"/>
    <n v="12"/>
    <s v="T011"/>
    <x v="2"/>
    <n v="775.74"/>
    <x v="1"/>
    <n v="775.74"/>
    <n v="3"/>
    <s v="Walk-in"/>
    <n v="775.74"/>
    <s v="OK"/>
    <x v="3"/>
    <x v="1"/>
    <s v="0%"/>
    <x v="1"/>
    <x v="10"/>
  </r>
  <r>
    <x v="1672"/>
    <d v="2025-03-21T00:00:00"/>
    <n v="16"/>
    <s v="T027"/>
    <x v="0"/>
    <n v="1171.08"/>
    <x v="0"/>
    <n v="995.42"/>
    <n v="2"/>
    <s v="Member"/>
    <n v="995.42"/>
    <s v="OK"/>
    <x v="5"/>
    <x v="0"/>
    <s v="11–20%"/>
    <x v="4"/>
    <x v="9"/>
  </r>
  <r>
    <x v="1673"/>
    <d v="2025-01-25T00:00:00"/>
    <n v="12"/>
    <s v="T009"/>
    <x v="3"/>
    <n v="1520.91"/>
    <x v="1"/>
    <n v="1520.91"/>
    <n v="1"/>
    <s v="Walk-in"/>
    <n v="1520.91"/>
    <s v="OK"/>
    <x v="2"/>
    <x v="1"/>
    <s v="0%"/>
    <x v="0"/>
    <x v="6"/>
  </r>
  <r>
    <x v="1674"/>
    <d v="2025-02-12T00:00:00"/>
    <n v="16"/>
    <s v="T030"/>
    <x v="0"/>
    <n v="2809.82"/>
    <x v="1"/>
    <n v="2809.82"/>
    <n v="1"/>
    <s v="Walk-in"/>
    <n v="2809.82"/>
    <s v="OK"/>
    <x v="0"/>
    <x v="0"/>
    <s v="0%"/>
    <x v="2"/>
    <x v="2"/>
  </r>
  <r>
    <x v="1675"/>
    <d v="2025-06-17T00:00:00"/>
    <n v="15"/>
    <s v="T016"/>
    <x v="2"/>
    <n v="605.84"/>
    <x v="1"/>
    <n v="605.84"/>
    <n v="3"/>
    <s v="Walk-in"/>
    <n v="605.84"/>
    <s v="OK"/>
    <x v="3"/>
    <x v="0"/>
    <s v="0%"/>
    <x v="1"/>
    <x v="1"/>
  </r>
  <r>
    <x v="1676"/>
    <d v="2025-06-28T00:00:00"/>
    <n v="12"/>
    <s v="T005"/>
    <x v="2"/>
    <n v="1173.8399999999999"/>
    <x v="1"/>
    <n v="1173.8399999999999"/>
    <n v="2"/>
    <s v="Walk-in"/>
    <n v="1173.8399999999999"/>
    <s v="OK"/>
    <x v="3"/>
    <x v="1"/>
    <s v="0%"/>
    <x v="2"/>
    <x v="4"/>
  </r>
  <r>
    <x v="1677"/>
    <d v="2025-01-14T00:00:00"/>
    <n v="21"/>
    <s v="T027"/>
    <x v="2"/>
    <n v="434.04"/>
    <x v="1"/>
    <n v="434.04"/>
    <n v="4"/>
    <s v="Member"/>
    <n v="434.04"/>
    <s v="OK"/>
    <x v="2"/>
    <x v="0"/>
    <s v="0%"/>
    <x v="4"/>
    <x v="9"/>
  </r>
  <r>
    <x v="1678"/>
    <d v="2025-05-12T00:00:00"/>
    <n v="16"/>
    <s v="T021"/>
    <x v="0"/>
    <n v="1104.46"/>
    <x v="1"/>
    <n v="1104.46"/>
    <n v="1"/>
    <s v="Walk-in"/>
    <n v="1104.46"/>
    <s v="OK"/>
    <x v="1"/>
    <x v="0"/>
    <s v="0%"/>
    <x v="1"/>
    <x v="1"/>
  </r>
  <r>
    <x v="1679"/>
    <d v="2025-06-12T00:00:00"/>
    <n v="14"/>
    <s v="T013"/>
    <x v="0"/>
    <n v="790.96"/>
    <x v="0"/>
    <n v="672.32"/>
    <n v="3"/>
    <s v="Member"/>
    <n v="672.32"/>
    <s v="OK"/>
    <x v="3"/>
    <x v="0"/>
    <s v="11–20%"/>
    <x v="3"/>
    <x v="11"/>
  </r>
  <r>
    <x v="1680"/>
    <d v="2025-03-28T00:00:00"/>
    <n v="16"/>
    <s v="T004"/>
    <x v="1"/>
    <n v="2315.1999999999998"/>
    <x v="1"/>
    <n v="2315.1999999999998"/>
    <n v="4"/>
    <s v="Member"/>
    <n v="2315.1999999999998"/>
    <s v="OK"/>
    <x v="5"/>
    <x v="0"/>
    <s v="0%"/>
    <x v="0"/>
    <x v="0"/>
  </r>
  <r>
    <x v="1681"/>
    <d v="2025-06-05T00:00:00"/>
    <n v="13"/>
    <s v="T013"/>
    <x v="2"/>
    <n v="766.61"/>
    <x v="5"/>
    <n v="728.28"/>
    <n v="4"/>
    <s v="Member"/>
    <n v="728.28"/>
    <s v="OK"/>
    <x v="3"/>
    <x v="0"/>
    <s v="1–_x000a_10%"/>
    <x v="3"/>
    <x v="11"/>
  </r>
  <r>
    <x v="1682"/>
    <d v="2025-01-04T00:00:00"/>
    <n v="11"/>
    <s v="T004"/>
    <x v="0"/>
    <n v="976.61"/>
    <x v="3"/>
    <n v="878.95"/>
    <n v="1"/>
    <s v="Walk-in"/>
    <n v="878.95"/>
    <s v="OK"/>
    <x v="2"/>
    <x v="1"/>
    <s v="1–_x000a_10%"/>
    <x v="0"/>
    <x v="0"/>
  </r>
  <r>
    <x v="1683"/>
    <d v="2025-05-23T00:00:00"/>
    <n v="20"/>
    <s v="T015"/>
    <x v="1"/>
    <n v="1586.53"/>
    <x v="1"/>
    <n v="1586.53"/>
    <n v="3"/>
    <s v="Walk-in"/>
    <n v="1586.53"/>
    <s v="OK"/>
    <x v="1"/>
    <x v="0"/>
    <s v="0%"/>
    <x v="2"/>
    <x v="4"/>
  </r>
  <r>
    <x v="1684"/>
    <d v="2025-02-18T00:00:00"/>
    <n v="12"/>
    <s v="T010"/>
    <x v="0"/>
    <n v="1055.74"/>
    <x v="5"/>
    <n v="1002.95"/>
    <n v="5"/>
    <s v="Member"/>
    <n v="1002.95"/>
    <s v="OK"/>
    <x v="0"/>
    <x v="0"/>
    <s v="1–_x000a_10%"/>
    <x v="2"/>
    <x v="4"/>
  </r>
  <r>
    <x v="1685"/>
    <d v="2025-02-21T00:00:00"/>
    <n v="22"/>
    <s v="T007"/>
    <x v="0"/>
    <n v="898.1"/>
    <x v="0"/>
    <n v="763.38"/>
    <n v="3"/>
    <s v="Walk-in"/>
    <n v="763.39"/>
    <s v="OK"/>
    <x v="0"/>
    <x v="0"/>
    <s v="11–20%"/>
    <x v="4"/>
    <x v="8"/>
  </r>
  <r>
    <x v="1686"/>
    <d v="2025-01-22T00:00:00"/>
    <n v="19"/>
    <s v="T028"/>
    <x v="0"/>
    <n v="567.91"/>
    <x v="1"/>
    <n v="567.91"/>
    <n v="3"/>
    <s v="Member"/>
    <n v="567.91"/>
    <s v="OK"/>
    <x v="2"/>
    <x v="0"/>
    <s v="0%"/>
    <x v="3"/>
    <x v="5"/>
  </r>
  <r>
    <x v="1687"/>
    <d v="2025-06-20T00:00:00"/>
    <n v="11"/>
    <s v="T030"/>
    <x v="2"/>
    <n v="1648.27"/>
    <x v="3"/>
    <n v="1483.44"/>
    <n v="2"/>
    <s v="Walk-in"/>
    <n v="1483.44"/>
    <s v="OK"/>
    <x v="3"/>
    <x v="0"/>
    <s v="1–_x000a_10%"/>
    <x v="2"/>
    <x v="2"/>
  </r>
  <r>
    <x v="1688"/>
    <d v="2025-01-28T00:00:00"/>
    <n v="14"/>
    <s v="T030"/>
    <x v="2"/>
    <n v="1212.82"/>
    <x v="1"/>
    <n v="1212.82"/>
    <n v="2"/>
    <s v="Walk-in"/>
    <n v="1212.82"/>
    <s v="OK"/>
    <x v="2"/>
    <x v="0"/>
    <s v="0%"/>
    <x v="2"/>
    <x v="2"/>
  </r>
  <r>
    <x v="1689"/>
    <d v="2025-02-28T00:00:00"/>
    <n v="15"/>
    <s v="T002"/>
    <x v="2"/>
    <n v="469.48"/>
    <x v="0"/>
    <n v="399.06"/>
    <n v="2"/>
    <s v="Member"/>
    <n v="399.06"/>
    <s v="OK"/>
    <x v="0"/>
    <x v="0"/>
    <s v="11–20%"/>
    <x v="4"/>
    <x v="9"/>
  </r>
  <r>
    <x v="1690"/>
    <d v="2025-05-20T00:00:00"/>
    <n v="22"/>
    <s v="T016"/>
    <x v="0"/>
    <n v="989.89"/>
    <x v="0"/>
    <n v="841.41"/>
    <n v="1"/>
    <s v="Walk-in"/>
    <n v="841.41"/>
    <s v="OK"/>
    <x v="1"/>
    <x v="0"/>
    <s v="11–20%"/>
    <x v="1"/>
    <x v="1"/>
  </r>
  <r>
    <x v="1691"/>
    <d v="2025-03-11T00:00:00"/>
    <n v="21"/>
    <s v="T007"/>
    <x v="0"/>
    <n v="1369.07"/>
    <x v="1"/>
    <n v="1369.07"/>
    <n v="6"/>
    <s v="Walk-in"/>
    <n v="1369.07"/>
    <s v="OK"/>
    <x v="5"/>
    <x v="0"/>
    <s v="0%"/>
    <x v="4"/>
    <x v="8"/>
  </r>
  <r>
    <x v="1692"/>
    <d v="2025-01-23T00:00:00"/>
    <n v="12"/>
    <s v="T005"/>
    <x v="2"/>
    <n v="2498.4299999999998"/>
    <x v="0"/>
    <n v="2123.67"/>
    <n v="3"/>
    <s v="Walk-in"/>
    <n v="2123.67"/>
    <s v="OK"/>
    <x v="2"/>
    <x v="0"/>
    <s v="11–20%"/>
    <x v="2"/>
    <x v="4"/>
  </r>
  <r>
    <x v="1693"/>
    <d v="2025-05-19T00:00:00"/>
    <n v="12"/>
    <s v="T009"/>
    <x v="0"/>
    <n v="677"/>
    <x v="1"/>
    <n v="677"/>
    <n v="2"/>
    <s v="Walk-in"/>
    <n v="677"/>
    <s v="OK"/>
    <x v="1"/>
    <x v="0"/>
    <s v="0%"/>
    <x v="0"/>
    <x v="6"/>
  </r>
  <r>
    <x v="1694"/>
    <d v="2025-04-18T00:00:00"/>
    <n v="21"/>
    <s v="T026"/>
    <x v="2"/>
    <n v="1161.08"/>
    <x v="1"/>
    <n v="1161.08"/>
    <n v="1"/>
    <s v="Walk-in"/>
    <n v="1161.08"/>
    <s v="OK"/>
    <x v="4"/>
    <x v="0"/>
    <s v="0%"/>
    <x v="1"/>
    <x v="10"/>
  </r>
  <r>
    <x v="1695"/>
    <d v="2025-05-01T00:00:00"/>
    <n v="12"/>
    <s v="T017"/>
    <x v="2"/>
    <n v="317.57"/>
    <x v="0"/>
    <n v="269.93"/>
    <n v="2"/>
    <s v="Walk-in"/>
    <n v="269.93"/>
    <s v="OK"/>
    <x v="1"/>
    <x v="0"/>
    <s v="11–20%"/>
    <x v="4"/>
    <x v="8"/>
  </r>
  <r>
    <x v="1696"/>
    <d v="2025-01-25T00:00:00"/>
    <n v="19"/>
    <s v="T028"/>
    <x v="0"/>
    <n v="1437.27"/>
    <x v="3"/>
    <n v="1293.54"/>
    <n v="2"/>
    <s v="Walk-in"/>
    <n v="1293.54"/>
    <s v="OK"/>
    <x v="2"/>
    <x v="1"/>
    <s v="1–_x000a_10%"/>
    <x v="3"/>
    <x v="5"/>
  </r>
  <r>
    <x v="1697"/>
    <d v="2025-02-09T00:00:00"/>
    <n v="12"/>
    <s v="T005"/>
    <x v="1"/>
    <n v="643.85"/>
    <x v="1"/>
    <n v="643.85"/>
    <n v="2"/>
    <s v="Walk-in"/>
    <n v="643.85"/>
    <s v="OK"/>
    <x v="0"/>
    <x v="1"/>
    <s v="0%"/>
    <x v="2"/>
    <x v="4"/>
  </r>
  <r>
    <x v="1698"/>
    <d v="2025-05-01T00:00:00"/>
    <n v="21"/>
    <s v="T017"/>
    <x v="2"/>
    <n v="1027.06"/>
    <x v="3"/>
    <n v="924.35"/>
    <n v="2"/>
    <s v="Walk-in"/>
    <n v="924.35"/>
    <s v="OK"/>
    <x v="1"/>
    <x v="0"/>
    <s v="1–_x000a_10%"/>
    <x v="4"/>
    <x v="8"/>
  </r>
  <r>
    <x v="1699"/>
    <d v="2025-05-22T00:00:00"/>
    <n v="17"/>
    <s v="T015"/>
    <x v="0"/>
    <n v="892.03"/>
    <x v="1"/>
    <n v="892.03"/>
    <n v="3"/>
    <s v="Walk-in"/>
    <n v="892.03"/>
    <s v="OK"/>
    <x v="1"/>
    <x v="0"/>
    <s v="0%"/>
    <x v="2"/>
    <x v="4"/>
  </r>
  <r>
    <x v="1700"/>
    <d v="2025-02-28T00:00:00"/>
    <n v="21"/>
    <s v="T008"/>
    <x v="0"/>
    <n v="5084.47"/>
    <x v="1"/>
    <n v="5084.47"/>
    <n v="2"/>
    <s v="Member"/>
    <n v="5084.47"/>
    <s v="OK"/>
    <x v="0"/>
    <x v="0"/>
    <s v="0%"/>
    <x v="3"/>
    <x v="5"/>
  </r>
  <r>
    <x v="1701"/>
    <d v="2025-05-05T00:00:00"/>
    <n v="21"/>
    <s v="T005"/>
    <x v="0"/>
    <n v="539.80999999999995"/>
    <x v="3"/>
    <n v="485.83"/>
    <n v="1"/>
    <s v="Member"/>
    <n v="485.83"/>
    <s v="OK"/>
    <x v="1"/>
    <x v="0"/>
    <s v="1–_x000a_10%"/>
    <x v="2"/>
    <x v="4"/>
  </r>
  <r>
    <x v="1702"/>
    <d v="2025-04-03T00:00:00"/>
    <n v="21"/>
    <s v="T012"/>
    <x v="0"/>
    <n v="453.24"/>
    <x v="1"/>
    <n v="453.24"/>
    <n v="2"/>
    <s v="Member"/>
    <n v="453.24"/>
    <s v="OK"/>
    <x v="4"/>
    <x v="0"/>
    <s v="0%"/>
    <x v="4"/>
    <x v="9"/>
  </r>
  <r>
    <x v="1703"/>
    <d v="2025-03-04T00:00:00"/>
    <n v="11"/>
    <s v="T028"/>
    <x v="3"/>
    <n v="933.16"/>
    <x v="3"/>
    <n v="839.84"/>
    <n v="3"/>
    <s v="Member"/>
    <n v="839.84"/>
    <s v="OK"/>
    <x v="5"/>
    <x v="0"/>
    <s v="1–_x000a_10%"/>
    <x v="3"/>
    <x v="5"/>
  </r>
  <r>
    <x v="1704"/>
    <d v="2025-04-27T00:00:00"/>
    <n v="13"/>
    <s v="T030"/>
    <x v="2"/>
    <n v="2219.02"/>
    <x v="5"/>
    <n v="2108.0700000000002"/>
    <n v="6"/>
    <s v="Walk-in"/>
    <n v="2108.0700000000002"/>
    <s v="OK"/>
    <x v="4"/>
    <x v="1"/>
    <s v="1–_x000a_10%"/>
    <x v="2"/>
    <x v="2"/>
  </r>
  <r>
    <x v="1705"/>
    <d v="2025-01-20T00:00:00"/>
    <n v="18"/>
    <s v="T014"/>
    <x v="0"/>
    <n v="2174.29"/>
    <x v="2"/>
    <n v="1522"/>
    <n v="1"/>
    <s v="Walk-in"/>
    <n v="1522"/>
    <s v="OK"/>
    <x v="2"/>
    <x v="0"/>
    <s v="&gt;20%"/>
    <x v="0"/>
    <x v="6"/>
  </r>
  <r>
    <x v="1706"/>
    <d v="2025-02-05T00:00:00"/>
    <n v="16"/>
    <s v="T005"/>
    <x v="0"/>
    <n v="1012.41"/>
    <x v="1"/>
    <n v="1012.41"/>
    <n v="2"/>
    <s v="Walk-in"/>
    <n v="1012.41"/>
    <s v="OK"/>
    <x v="0"/>
    <x v="0"/>
    <s v="0%"/>
    <x v="2"/>
    <x v="4"/>
  </r>
  <r>
    <x v="1707"/>
    <d v="2025-02-13T00:00:00"/>
    <n v="17"/>
    <s v="T003"/>
    <x v="2"/>
    <n v="515.42999999999995"/>
    <x v="4"/>
    <n v="412.34"/>
    <n v="6"/>
    <s v="Member"/>
    <n v="412.34"/>
    <s v="OK"/>
    <x v="0"/>
    <x v="0"/>
    <s v="11–20%"/>
    <x v="3"/>
    <x v="3"/>
  </r>
  <r>
    <x v="1708"/>
    <d v="2025-01-05T00:00:00"/>
    <n v="11"/>
    <s v="T001"/>
    <x v="2"/>
    <n v="1285.79"/>
    <x v="0"/>
    <n v="1092.92"/>
    <n v="3"/>
    <s v="Member"/>
    <n v="1092.92"/>
    <s v="OK"/>
    <x v="2"/>
    <x v="1"/>
    <s v="11–20%"/>
    <x v="1"/>
    <x v="7"/>
  </r>
  <r>
    <x v="1709"/>
    <d v="2025-01-11T00:00:00"/>
    <n v="17"/>
    <s v="T023"/>
    <x v="1"/>
    <n v="4501.92"/>
    <x v="1"/>
    <n v="4501.92"/>
    <n v="2"/>
    <s v="Walk-in"/>
    <n v="4501.92"/>
    <s v="OK"/>
    <x v="2"/>
    <x v="1"/>
    <s v="0%"/>
    <x v="3"/>
    <x v="11"/>
  </r>
  <r>
    <x v="1710"/>
    <d v="2025-06-17T00:00:00"/>
    <n v="15"/>
    <s v="T022"/>
    <x v="0"/>
    <n v="2455.54"/>
    <x v="1"/>
    <n v="2455.54"/>
    <n v="3"/>
    <s v="Walk-in"/>
    <n v="2455.54"/>
    <s v="OK"/>
    <x v="3"/>
    <x v="0"/>
    <s v="0%"/>
    <x v="4"/>
    <x v="8"/>
  </r>
  <r>
    <x v="1711"/>
    <d v="2025-03-18T00:00:00"/>
    <n v="19"/>
    <s v="T006"/>
    <x v="1"/>
    <n v="1688.99"/>
    <x v="1"/>
    <n v="1688.99"/>
    <n v="4"/>
    <s v="Member"/>
    <n v="1688.99"/>
    <s v="OK"/>
    <x v="5"/>
    <x v="0"/>
    <s v="0%"/>
    <x v="1"/>
    <x v="1"/>
  </r>
  <r>
    <x v="1712"/>
    <d v="2025-03-23T00:00:00"/>
    <n v="16"/>
    <s v="T021"/>
    <x v="2"/>
    <n v="2858.65"/>
    <x v="0"/>
    <n v="2429.85"/>
    <n v="1"/>
    <s v="Member"/>
    <n v="2429.85"/>
    <s v="OK"/>
    <x v="5"/>
    <x v="1"/>
    <s v="11–20%"/>
    <x v="1"/>
    <x v="1"/>
  </r>
  <r>
    <x v="1713"/>
    <d v="2025-03-12T00:00:00"/>
    <n v="20"/>
    <s v="T016"/>
    <x v="0"/>
    <n v="885.99"/>
    <x v="1"/>
    <n v="885.99"/>
    <n v="2"/>
    <s v="Walk-in"/>
    <n v="885.99"/>
    <s v="OK"/>
    <x v="5"/>
    <x v="0"/>
    <s v="0%"/>
    <x v="1"/>
    <x v="1"/>
  </r>
  <r>
    <x v="1714"/>
    <d v="2025-01-27T00:00:00"/>
    <n v="16"/>
    <s v="T011"/>
    <x v="1"/>
    <n v="6750.17"/>
    <x v="4"/>
    <n v="5400.14"/>
    <n v="1"/>
    <s v="Walk-in"/>
    <n v="5400.14"/>
    <s v="OK"/>
    <x v="2"/>
    <x v="0"/>
    <s v="11–20%"/>
    <x v="1"/>
    <x v="10"/>
  </r>
  <r>
    <x v="1715"/>
    <d v="2025-03-03T00:00:00"/>
    <n v="11"/>
    <s v="T011"/>
    <x v="0"/>
    <n v="643.74"/>
    <x v="1"/>
    <n v="643.74"/>
    <n v="4"/>
    <s v="Walk-in"/>
    <n v="643.74"/>
    <s v="OK"/>
    <x v="5"/>
    <x v="0"/>
    <s v="0%"/>
    <x v="1"/>
    <x v="10"/>
  </r>
  <r>
    <x v="1716"/>
    <d v="2025-01-22T00:00:00"/>
    <n v="19"/>
    <s v="T029"/>
    <x v="2"/>
    <n v="651.23"/>
    <x v="3"/>
    <n v="586.11"/>
    <n v="2"/>
    <s v="Walk-in"/>
    <n v="586.11"/>
    <s v="OK"/>
    <x v="2"/>
    <x v="0"/>
    <s v="1–_x000a_10%"/>
    <x v="0"/>
    <x v="6"/>
  </r>
  <r>
    <x v="1717"/>
    <d v="2025-02-03T00:00:00"/>
    <n v="22"/>
    <s v="T025"/>
    <x v="2"/>
    <n v="451.75"/>
    <x v="3"/>
    <n v="406.57"/>
    <n v="2"/>
    <s v="Member"/>
    <n v="406.58"/>
    <s v="OK"/>
    <x v="0"/>
    <x v="0"/>
    <s v="1–_x000a_10%"/>
    <x v="2"/>
    <x v="2"/>
  </r>
  <r>
    <x v="1718"/>
    <d v="2025-04-01T00:00:00"/>
    <n v="22"/>
    <s v="T020"/>
    <x v="0"/>
    <n v="1571.85"/>
    <x v="1"/>
    <n v="1571.85"/>
    <n v="5"/>
    <s v="Member"/>
    <n v="1571.85"/>
    <s v="OK"/>
    <x v="4"/>
    <x v="0"/>
    <s v="0%"/>
    <x v="2"/>
    <x v="2"/>
  </r>
  <r>
    <x v="1719"/>
    <d v="2025-04-03T00:00:00"/>
    <n v="12"/>
    <s v="T012"/>
    <x v="2"/>
    <n v="580.54999999999995"/>
    <x v="0"/>
    <n v="493.47"/>
    <n v="1"/>
    <s v="Member"/>
    <n v="493.47"/>
    <s v="OK"/>
    <x v="4"/>
    <x v="0"/>
    <s v="11–20%"/>
    <x v="4"/>
    <x v="9"/>
  </r>
  <r>
    <x v="1720"/>
    <d v="2025-05-04T00:00:00"/>
    <n v="15"/>
    <s v="T023"/>
    <x v="0"/>
    <n v="758.44"/>
    <x v="1"/>
    <n v="758.44"/>
    <n v="2"/>
    <s v="Member"/>
    <n v="758.44"/>
    <s v="OK"/>
    <x v="1"/>
    <x v="1"/>
    <s v="0%"/>
    <x v="3"/>
    <x v="11"/>
  </r>
  <r>
    <x v="1721"/>
    <d v="2025-06-23T00:00:00"/>
    <n v="19"/>
    <s v="T006"/>
    <x v="2"/>
    <n v="841.69"/>
    <x v="1"/>
    <n v="841.69"/>
    <n v="5"/>
    <s v="Walk-in"/>
    <n v="841.69"/>
    <s v="OK"/>
    <x v="3"/>
    <x v="0"/>
    <s v="0%"/>
    <x v="1"/>
    <x v="1"/>
  </r>
  <r>
    <x v="1722"/>
    <d v="2025-03-26T00:00:00"/>
    <n v="19"/>
    <s v="T013"/>
    <x v="0"/>
    <n v="1848.96"/>
    <x v="4"/>
    <n v="1479.17"/>
    <n v="1"/>
    <s v="Walk-in"/>
    <n v="1479.17"/>
    <s v="OK"/>
    <x v="5"/>
    <x v="0"/>
    <s v="11–20%"/>
    <x v="3"/>
    <x v="11"/>
  </r>
  <r>
    <x v="1723"/>
    <d v="2025-01-07T00:00:00"/>
    <n v="11"/>
    <s v="T004"/>
    <x v="0"/>
    <n v="622.15"/>
    <x v="3"/>
    <n v="559.92999999999995"/>
    <n v="1"/>
    <s v="Walk-in"/>
    <n v="559.94000000000005"/>
    <s v="OK"/>
    <x v="2"/>
    <x v="0"/>
    <s v="1–_x000a_10%"/>
    <x v="0"/>
    <x v="0"/>
  </r>
  <r>
    <x v="1724"/>
    <d v="2025-05-06T00:00:00"/>
    <n v="13"/>
    <s v="T007"/>
    <x v="0"/>
    <n v="3430.68"/>
    <x v="1"/>
    <n v="3430.68"/>
    <n v="1"/>
    <s v="Member"/>
    <n v="3430.68"/>
    <s v="OK"/>
    <x v="1"/>
    <x v="0"/>
    <s v="0%"/>
    <x v="4"/>
    <x v="8"/>
  </r>
  <r>
    <x v="1725"/>
    <d v="2025-06-02T00:00:00"/>
    <n v="16"/>
    <s v="T002"/>
    <x v="3"/>
    <n v="3228.97"/>
    <x v="1"/>
    <n v="3228.97"/>
    <n v="2"/>
    <s v="Walk-in"/>
    <n v="3228.97"/>
    <s v="OK"/>
    <x v="3"/>
    <x v="0"/>
    <s v="0%"/>
    <x v="4"/>
    <x v="9"/>
  </r>
  <r>
    <x v="1726"/>
    <d v="2025-01-01T00:00:00"/>
    <n v="10"/>
    <s v="T005"/>
    <x v="0"/>
    <n v="2166.35"/>
    <x v="3"/>
    <n v="1949.71"/>
    <n v="1"/>
    <s v="Member"/>
    <n v="1949.72"/>
    <s v="OK"/>
    <x v="2"/>
    <x v="0"/>
    <s v="1–_x000a_10%"/>
    <x v="2"/>
    <x v="4"/>
  </r>
  <r>
    <x v="1727"/>
    <d v="2025-02-18T00:00:00"/>
    <n v="19"/>
    <s v="T022"/>
    <x v="0"/>
    <n v="1275.29"/>
    <x v="2"/>
    <n v="892.7"/>
    <n v="2"/>
    <s v="Member"/>
    <n v="892.7"/>
    <s v="OK"/>
    <x v="0"/>
    <x v="0"/>
    <s v="&gt;20%"/>
    <x v="4"/>
    <x v="8"/>
  </r>
  <r>
    <x v="1728"/>
    <d v="2025-05-26T00:00:00"/>
    <n v="15"/>
    <s v="T016"/>
    <x v="0"/>
    <n v="2370.54"/>
    <x v="0"/>
    <n v="2014.96"/>
    <n v="4"/>
    <s v="Member"/>
    <n v="2014.96"/>
    <s v="OK"/>
    <x v="1"/>
    <x v="0"/>
    <s v="11–20%"/>
    <x v="1"/>
    <x v="1"/>
  </r>
  <r>
    <x v="1729"/>
    <d v="2025-01-02T00:00:00"/>
    <n v="16"/>
    <s v="T016"/>
    <x v="0"/>
    <n v="886.19"/>
    <x v="1"/>
    <n v="886.19"/>
    <n v="2"/>
    <s v="Walk-in"/>
    <n v="886.19"/>
    <s v="OK"/>
    <x v="2"/>
    <x v="0"/>
    <s v="0%"/>
    <x v="1"/>
    <x v="1"/>
  </r>
  <r>
    <x v="1730"/>
    <d v="2025-01-04T00:00:00"/>
    <n v="20"/>
    <s v="T017"/>
    <x v="2"/>
    <n v="823.08"/>
    <x v="3"/>
    <n v="740.77"/>
    <n v="2"/>
    <s v="Walk-in"/>
    <n v="740.77"/>
    <s v="OK"/>
    <x v="2"/>
    <x v="1"/>
    <s v="1–_x000a_10%"/>
    <x v="4"/>
    <x v="8"/>
  </r>
  <r>
    <x v="1731"/>
    <d v="2025-03-05T00:00:00"/>
    <n v="12"/>
    <s v="T007"/>
    <x v="2"/>
    <n v="595.71"/>
    <x v="3"/>
    <n v="536.14"/>
    <n v="2"/>
    <s v="Walk-in"/>
    <n v="536.14"/>
    <s v="OK"/>
    <x v="5"/>
    <x v="0"/>
    <s v="1–_x000a_10%"/>
    <x v="4"/>
    <x v="8"/>
  </r>
  <r>
    <x v="1732"/>
    <d v="2025-06-08T00:00:00"/>
    <n v="20"/>
    <s v="T021"/>
    <x v="0"/>
    <n v="1628.08"/>
    <x v="1"/>
    <n v="1628.08"/>
    <n v="3"/>
    <s v="Walk-in"/>
    <n v="1628.08"/>
    <s v="OK"/>
    <x v="3"/>
    <x v="1"/>
    <s v="0%"/>
    <x v="1"/>
    <x v="1"/>
  </r>
  <r>
    <x v="1733"/>
    <d v="2025-04-15T00:00:00"/>
    <n v="12"/>
    <s v="T002"/>
    <x v="2"/>
    <n v="131.87"/>
    <x v="5"/>
    <n v="125.28"/>
    <n v="3"/>
    <s v="Walk-in"/>
    <n v="125.28"/>
    <s v="OK"/>
    <x v="4"/>
    <x v="0"/>
    <s v="1–_x000a_10%"/>
    <x v="4"/>
    <x v="9"/>
  </r>
  <r>
    <x v="1734"/>
    <d v="2025-02-27T00:00:00"/>
    <n v="14"/>
    <s v="T023"/>
    <x v="0"/>
    <n v="327"/>
    <x v="1"/>
    <n v="327"/>
    <n v="1"/>
    <s v="Member"/>
    <n v="327"/>
    <s v="OK"/>
    <x v="0"/>
    <x v="0"/>
    <s v="0%"/>
    <x v="3"/>
    <x v="11"/>
  </r>
  <r>
    <x v="1735"/>
    <d v="2025-05-01T00:00:00"/>
    <n v="14"/>
    <s v="T010"/>
    <x v="0"/>
    <n v="256.55"/>
    <x v="1"/>
    <n v="256.55"/>
    <n v="5"/>
    <s v="Walk-in"/>
    <n v="256.55"/>
    <s v="OK"/>
    <x v="1"/>
    <x v="0"/>
    <s v="0%"/>
    <x v="2"/>
    <x v="4"/>
  </r>
  <r>
    <x v="1736"/>
    <d v="2025-01-10T00:00:00"/>
    <n v="13"/>
    <s v="T007"/>
    <x v="0"/>
    <n v="980.08"/>
    <x v="1"/>
    <n v="980.08"/>
    <n v="2"/>
    <s v="Member"/>
    <n v="980.08"/>
    <s v="OK"/>
    <x v="2"/>
    <x v="0"/>
    <s v="0%"/>
    <x v="4"/>
    <x v="8"/>
  </r>
  <r>
    <x v="1737"/>
    <d v="2025-05-18T00:00:00"/>
    <n v="19"/>
    <s v="T029"/>
    <x v="2"/>
    <n v="1358.99"/>
    <x v="5"/>
    <n v="1291.04"/>
    <n v="1"/>
    <s v="Walk-in"/>
    <n v="1291.04"/>
    <s v="OK"/>
    <x v="1"/>
    <x v="1"/>
    <s v="1–_x000a_10%"/>
    <x v="0"/>
    <x v="6"/>
  </r>
  <r>
    <x v="1738"/>
    <d v="2025-01-31T00:00:00"/>
    <n v="16"/>
    <s v="T011"/>
    <x v="0"/>
    <n v="1338.1"/>
    <x v="1"/>
    <n v="1338.1"/>
    <n v="2"/>
    <s v="Walk-in"/>
    <n v="1338.1"/>
    <s v="OK"/>
    <x v="2"/>
    <x v="0"/>
    <s v="0%"/>
    <x v="1"/>
    <x v="10"/>
  </r>
  <r>
    <x v="1739"/>
    <d v="2025-03-03T00:00:00"/>
    <n v="15"/>
    <s v="T023"/>
    <x v="0"/>
    <n v="611.59"/>
    <x v="0"/>
    <n v="519.85"/>
    <n v="3"/>
    <s v="Walk-in"/>
    <n v="519.85"/>
    <s v="OK"/>
    <x v="5"/>
    <x v="0"/>
    <s v="11–20%"/>
    <x v="3"/>
    <x v="11"/>
  </r>
  <r>
    <x v="1740"/>
    <d v="2025-05-03T00:00:00"/>
    <n v="17"/>
    <s v="T007"/>
    <x v="3"/>
    <n v="1912.29"/>
    <x v="4"/>
    <n v="1529.83"/>
    <n v="1"/>
    <s v="Walk-in"/>
    <n v="1529.83"/>
    <s v="OK"/>
    <x v="1"/>
    <x v="1"/>
    <s v="11–20%"/>
    <x v="4"/>
    <x v="8"/>
  </r>
  <r>
    <x v="1741"/>
    <d v="2025-04-06T00:00:00"/>
    <n v="14"/>
    <s v="T009"/>
    <x v="0"/>
    <n v="1070.67"/>
    <x v="2"/>
    <n v="749.47"/>
    <n v="6"/>
    <s v="Walk-in"/>
    <n v="749.47"/>
    <s v="OK"/>
    <x v="4"/>
    <x v="1"/>
    <s v="&gt;20%"/>
    <x v="0"/>
    <x v="6"/>
  </r>
  <r>
    <x v="1742"/>
    <d v="2025-02-04T00:00:00"/>
    <n v="21"/>
    <s v="T028"/>
    <x v="2"/>
    <n v="522.86"/>
    <x v="3"/>
    <n v="470.57"/>
    <n v="2"/>
    <s v="Walk-in"/>
    <n v="470.57"/>
    <s v="OK"/>
    <x v="0"/>
    <x v="0"/>
    <s v="1–_x000a_10%"/>
    <x v="3"/>
    <x v="5"/>
  </r>
  <r>
    <x v="1743"/>
    <d v="2025-06-29T00:00:00"/>
    <n v="12"/>
    <s v="T009"/>
    <x v="0"/>
    <n v="972.53"/>
    <x v="1"/>
    <n v="972.53"/>
    <n v="1"/>
    <s v="Walk-in"/>
    <n v="972.53"/>
    <s v="OK"/>
    <x v="3"/>
    <x v="1"/>
    <s v="0%"/>
    <x v="0"/>
    <x v="6"/>
  </r>
  <r>
    <x v="1744"/>
    <d v="2025-03-22T00:00:00"/>
    <n v="21"/>
    <s v="T020"/>
    <x v="1"/>
    <n v="799.78"/>
    <x v="4"/>
    <n v="639.82000000000005"/>
    <n v="3"/>
    <s v="Member"/>
    <n v="639.82000000000005"/>
    <s v="OK"/>
    <x v="5"/>
    <x v="1"/>
    <s v="11–20%"/>
    <x v="2"/>
    <x v="2"/>
  </r>
  <r>
    <x v="1745"/>
    <d v="2025-06-23T00:00:00"/>
    <n v="22"/>
    <s v="T001"/>
    <x v="0"/>
    <n v="635.04"/>
    <x v="1"/>
    <n v="635.04"/>
    <n v="2"/>
    <s v="Walk-in"/>
    <n v="635.04"/>
    <s v="OK"/>
    <x v="3"/>
    <x v="0"/>
    <s v="0%"/>
    <x v="1"/>
    <x v="7"/>
  </r>
  <r>
    <x v="1746"/>
    <d v="2025-03-27T00:00:00"/>
    <n v="10"/>
    <s v="T001"/>
    <x v="0"/>
    <n v="1668.8"/>
    <x v="1"/>
    <n v="1668.8"/>
    <n v="2"/>
    <s v="Walk-in"/>
    <n v="1668.8"/>
    <s v="OK"/>
    <x v="5"/>
    <x v="0"/>
    <s v="0%"/>
    <x v="1"/>
    <x v="7"/>
  </r>
  <r>
    <x v="1747"/>
    <d v="2025-02-23T00:00:00"/>
    <n v="10"/>
    <s v="T019"/>
    <x v="2"/>
    <n v="613.33000000000004"/>
    <x v="1"/>
    <n v="613.33000000000004"/>
    <n v="6"/>
    <s v="Walk-in"/>
    <n v="613.33000000000004"/>
    <s v="OK"/>
    <x v="0"/>
    <x v="1"/>
    <s v="0%"/>
    <x v="0"/>
    <x v="0"/>
  </r>
  <r>
    <x v="1748"/>
    <d v="2025-01-25T00:00:00"/>
    <n v="22"/>
    <s v="T018"/>
    <x v="2"/>
    <n v="830.35"/>
    <x v="1"/>
    <n v="830.35"/>
    <n v="1"/>
    <s v="Walk-in"/>
    <n v="830.35"/>
    <s v="OK"/>
    <x v="2"/>
    <x v="1"/>
    <s v="0%"/>
    <x v="3"/>
    <x v="3"/>
  </r>
  <r>
    <x v="1749"/>
    <d v="2025-01-12T00:00:00"/>
    <n v="15"/>
    <s v="T013"/>
    <x v="0"/>
    <n v="667.34"/>
    <x v="5"/>
    <n v="633.97"/>
    <n v="1"/>
    <s v="Walk-in"/>
    <n v="633.97"/>
    <s v="OK"/>
    <x v="2"/>
    <x v="1"/>
    <s v="1–_x000a_10%"/>
    <x v="3"/>
    <x v="11"/>
  </r>
  <r>
    <x v="1750"/>
    <d v="2025-01-05T00:00:00"/>
    <n v="13"/>
    <s v="T022"/>
    <x v="0"/>
    <n v="578.35"/>
    <x v="1"/>
    <n v="578.35"/>
    <n v="1"/>
    <s v="Member"/>
    <n v="578.35"/>
    <s v="OK"/>
    <x v="2"/>
    <x v="1"/>
    <s v="0%"/>
    <x v="4"/>
    <x v="8"/>
  </r>
  <r>
    <x v="1751"/>
    <d v="2025-01-18T00:00:00"/>
    <n v="21"/>
    <s v="T028"/>
    <x v="2"/>
    <n v="2014.48"/>
    <x v="0"/>
    <n v="1712.31"/>
    <n v="3"/>
    <s v="Walk-in"/>
    <n v="1712.31"/>
    <s v="OK"/>
    <x v="2"/>
    <x v="1"/>
    <s v="11–20%"/>
    <x v="3"/>
    <x v="5"/>
  </r>
  <r>
    <x v="1752"/>
    <d v="2025-06-08T00:00:00"/>
    <n v="11"/>
    <s v="T027"/>
    <x v="2"/>
    <n v="4768.38"/>
    <x v="0"/>
    <n v="4053.12"/>
    <n v="1"/>
    <s v="Member"/>
    <n v="4053.12"/>
    <s v="OK"/>
    <x v="3"/>
    <x v="1"/>
    <s v="11–20%"/>
    <x v="4"/>
    <x v="9"/>
  </r>
  <r>
    <x v="1753"/>
    <d v="2025-05-25T00:00:00"/>
    <n v="15"/>
    <s v="T014"/>
    <x v="0"/>
    <n v="2893.6"/>
    <x v="1"/>
    <n v="2893.6"/>
    <n v="1"/>
    <s v="Walk-in"/>
    <n v="2893.6"/>
    <s v="OK"/>
    <x v="1"/>
    <x v="1"/>
    <s v="0%"/>
    <x v="0"/>
    <x v="6"/>
  </r>
  <r>
    <x v="1754"/>
    <d v="2025-04-05T00:00:00"/>
    <n v="14"/>
    <s v="T012"/>
    <x v="2"/>
    <n v="537.55999999999995"/>
    <x v="1"/>
    <n v="537.55999999999995"/>
    <n v="3"/>
    <s v="Member"/>
    <n v="537.55999999999995"/>
    <s v="OK"/>
    <x v="4"/>
    <x v="1"/>
    <s v="0%"/>
    <x v="4"/>
    <x v="9"/>
  </r>
  <r>
    <x v="1755"/>
    <d v="2025-02-24T00:00:00"/>
    <n v="16"/>
    <s v="T027"/>
    <x v="3"/>
    <n v="1201.04"/>
    <x v="3"/>
    <n v="1080.94"/>
    <n v="5"/>
    <s v="Member"/>
    <n v="1080.94"/>
    <s v="OK"/>
    <x v="0"/>
    <x v="0"/>
    <s v="1–_x000a_10%"/>
    <x v="4"/>
    <x v="9"/>
  </r>
  <r>
    <x v="1756"/>
    <d v="2025-06-29T00:00:00"/>
    <n v="12"/>
    <s v="T023"/>
    <x v="0"/>
    <n v="937.38"/>
    <x v="4"/>
    <n v="749.9"/>
    <n v="1"/>
    <s v="Member"/>
    <n v="749.9"/>
    <s v="OK"/>
    <x v="3"/>
    <x v="1"/>
    <s v="11–20%"/>
    <x v="3"/>
    <x v="11"/>
  </r>
  <r>
    <x v="1757"/>
    <d v="2025-02-16T00:00:00"/>
    <n v="18"/>
    <s v="T010"/>
    <x v="1"/>
    <n v="739.76"/>
    <x v="1"/>
    <n v="739.76"/>
    <n v="2"/>
    <s v="Walk-in"/>
    <n v="739.76"/>
    <s v="OK"/>
    <x v="0"/>
    <x v="1"/>
    <s v="0%"/>
    <x v="2"/>
    <x v="4"/>
  </r>
  <r>
    <x v="1758"/>
    <d v="2025-05-12T00:00:00"/>
    <n v="20"/>
    <s v="T024"/>
    <x v="0"/>
    <n v="2344.9"/>
    <x v="0"/>
    <n v="1993.16"/>
    <n v="5"/>
    <s v="Member"/>
    <n v="1993.17"/>
    <s v="OK"/>
    <x v="1"/>
    <x v="0"/>
    <s v="11–20%"/>
    <x v="0"/>
    <x v="0"/>
  </r>
  <r>
    <x v="1759"/>
    <d v="2025-01-20T00:00:00"/>
    <n v="15"/>
    <s v="T015"/>
    <x v="0"/>
    <n v="3256.3"/>
    <x v="1"/>
    <n v="3256.3"/>
    <n v="2"/>
    <s v="Member"/>
    <n v="3256.3"/>
    <s v="OK"/>
    <x v="2"/>
    <x v="0"/>
    <s v="0%"/>
    <x v="2"/>
    <x v="4"/>
  </r>
  <r>
    <x v="1760"/>
    <d v="2025-01-22T00:00:00"/>
    <n v="17"/>
    <s v="T021"/>
    <x v="2"/>
    <n v="1601.49"/>
    <x v="5"/>
    <n v="1521.42"/>
    <n v="1"/>
    <s v="Member"/>
    <n v="1521.42"/>
    <s v="OK"/>
    <x v="2"/>
    <x v="0"/>
    <s v="1–_x000a_10%"/>
    <x v="1"/>
    <x v="1"/>
  </r>
  <r>
    <x v="1761"/>
    <d v="2025-02-01T00:00:00"/>
    <n v="20"/>
    <s v="T028"/>
    <x v="0"/>
    <n v="2652.97"/>
    <x v="0"/>
    <n v="2255.02"/>
    <n v="1"/>
    <s v="Member"/>
    <n v="2255.02"/>
    <s v="OK"/>
    <x v="0"/>
    <x v="1"/>
    <s v="11–20%"/>
    <x v="3"/>
    <x v="5"/>
  </r>
  <r>
    <x v="1762"/>
    <d v="2025-01-18T00:00:00"/>
    <n v="13"/>
    <s v="T027"/>
    <x v="0"/>
    <n v="1228.76"/>
    <x v="1"/>
    <n v="1228.76"/>
    <n v="4"/>
    <s v="Walk-in"/>
    <n v="1228.76"/>
    <s v="OK"/>
    <x v="2"/>
    <x v="1"/>
    <s v="0%"/>
    <x v="4"/>
    <x v="9"/>
  </r>
  <r>
    <x v="1763"/>
    <d v="2025-04-07T00:00:00"/>
    <n v="16"/>
    <s v="T005"/>
    <x v="3"/>
    <n v="522.58000000000004"/>
    <x v="1"/>
    <n v="522.58000000000004"/>
    <n v="2"/>
    <s v="Member"/>
    <n v="522.58000000000004"/>
    <s v="OK"/>
    <x v="4"/>
    <x v="0"/>
    <s v="0%"/>
    <x v="2"/>
    <x v="4"/>
  </r>
  <r>
    <x v="1764"/>
    <d v="2025-03-12T00:00:00"/>
    <n v="21"/>
    <s v="T030"/>
    <x v="2"/>
    <n v="345.97"/>
    <x v="1"/>
    <n v="345.97"/>
    <n v="4"/>
    <s v="Walk-in"/>
    <n v="345.97"/>
    <s v="OK"/>
    <x v="5"/>
    <x v="0"/>
    <s v="0%"/>
    <x v="2"/>
    <x v="2"/>
  </r>
  <r>
    <x v="1765"/>
    <d v="2025-03-04T00:00:00"/>
    <n v="14"/>
    <s v="T020"/>
    <x v="0"/>
    <n v="1326.44"/>
    <x v="1"/>
    <n v="1326.44"/>
    <n v="4"/>
    <s v="Member"/>
    <n v="1326.44"/>
    <s v="OK"/>
    <x v="5"/>
    <x v="0"/>
    <s v="0%"/>
    <x v="2"/>
    <x v="2"/>
  </r>
  <r>
    <x v="1766"/>
    <d v="2025-02-17T00:00:00"/>
    <n v="10"/>
    <s v="T012"/>
    <x v="0"/>
    <n v="1038.02"/>
    <x v="1"/>
    <n v="1038.02"/>
    <n v="4"/>
    <s v="Member"/>
    <n v="1038.02"/>
    <s v="OK"/>
    <x v="0"/>
    <x v="0"/>
    <s v="0%"/>
    <x v="4"/>
    <x v="9"/>
  </r>
  <r>
    <x v="1767"/>
    <d v="2025-06-20T00:00:00"/>
    <n v="15"/>
    <s v="T005"/>
    <x v="2"/>
    <n v="998.06"/>
    <x v="1"/>
    <n v="998.06"/>
    <n v="1"/>
    <s v="Walk-in"/>
    <n v="998.06"/>
    <s v="OK"/>
    <x v="3"/>
    <x v="0"/>
    <s v="0%"/>
    <x v="2"/>
    <x v="4"/>
  </r>
  <r>
    <x v="1768"/>
    <d v="2025-03-27T00:00:00"/>
    <n v="10"/>
    <s v="T005"/>
    <x v="0"/>
    <n v="1303.76"/>
    <x v="3"/>
    <n v="1173.3800000000001"/>
    <n v="2"/>
    <s v="Walk-in"/>
    <n v="1173.3800000000001"/>
    <s v="OK"/>
    <x v="5"/>
    <x v="0"/>
    <s v="1–_x000a_10%"/>
    <x v="2"/>
    <x v="4"/>
  </r>
  <r>
    <x v="1769"/>
    <d v="2025-03-28T00:00:00"/>
    <n v="13"/>
    <s v="T021"/>
    <x v="0"/>
    <n v="513.86"/>
    <x v="1"/>
    <n v="513.86"/>
    <n v="3"/>
    <s v="Member"/>
    <n v="513.86"/>
    <s v="OK"/>
    <x v="5"/>
    <x v="0"/>
    <s v="0%"/>
    <x v="1"/>
    <x v="1"/>
  </r>
  <r>
    <x v="1770"/>
    <d v="2025-06-03T00:00:00"/>
    <n v="19"/>
    <s v="T008"/>
    <x v="0"/>
    <n v="837.22"/>
    <x v="3"/>
    <n v="753.5"/>
    <n v="2"/>
    <s v="Walk-in"/>
    <n v="753.5"/>
    <s v="OK"/>
    <x v="3"/>
    <x v="0"/>
    <s v="1–_x000a_10%"/>
    <x v="3"/>
    <x v="5"/>
  </r>
  <r>
    <x v="1771"/>
    <d v="2025-01-10T00:00:00"/>
    <n v="15"/>
    <s v="T002"/>
    <x v="3"/>
    <n v="687.56"/>
    <x v="0"/>
    <n v="584.42999999999995"/>
    <n v="2"/>
    <s v="Member"/>
    <n v="584.42999999999995"/>
    <s v="OK"/>
    <x v="2"/>
    <x v="0"/>
    <s v="11–20%"/>
    <x v="4"/>
    <x v="9"/>
  </r>
  <r>
    <x v="1772"/>
    <d v="2025-05-27T00:00:00"/>
    <n v="17"/>
    <s v="T008"/>
    <x v="0"/>
    <n v="1079.03"/>
    <x v="1"/>
    <n v="1079.03"/>
    <n v="1"/>
    <s v="Walk-in"/>
    <n v="1079.03"/>
    <s v="OK"/>
    <x v="1"/>
    <x v="0"/>
    <s v="0%"/>
    <x v="3"/>
    <x v="5"/>
  </r>
  <r>
    <x v="1773"/>
    <d v="2025-06-07T00:00:00"/>
    <n v="22"/>
    <s v="T001"/>
    <x v="1"/>
    <n v="2114.2800000000002"/>
    <x v="0"/>
    <n v="1797.14"/>
    <n v="2"/>
    <s v="Walk-in"/>
    <n v="1797.14"/>
    <s v="OK"/>
    <x v="3"/>
    <x v="1"/>
    <s v="11–20%"/>
    <x v="1"/>
    <x v="7"/>
  </r>
  <r>
    <x v="1774"/>
    <d v="2025-04-25T00:00:00"/>
    <n v="15"/>
    <s v="T013"/>
    <x v="2"/>
    <n v="1016.39"/>
    <x v="1"/>
    <n v="1016.39"/>
    <n v="4"/>
    <s v="Member"/>
    <n v="1016.39"/>
    <s v="OK"/>
    <x v="4"/>
    <x v="0"/>
    <s v="0%"/>
    <x v="3"/>
    <x v="11"/>
  </r>
  <r>
    <x v="1775"/>
    <d v="2025-01-18T00:00:00"/>
    <n v="17"/>
    <s v="T020"/>
    <x v="2"/>
    <n v="2599.35"/>
    <x v="1"/>
    <n v="2599.35"/>
    <n v="1"/>
    <s v="Walk-in"/>
    <n v="2599.35"/>
    <s v="OK"/>
    <x v="2"/>
    <x v="1"/>
    <s v="0%"/>
    <x v="2"/>
    <x v="2"/>
  </r>
  <r>
    <x v="1776"/>
    <d v="2025-03-18T00:00:00"/>
    <n v="20"/>
    <s v="T009"/>
    <x v="2"/>
    <n v="1696.44"/>
    <x v="1"/>
    <n v="1696.44"/>
    <n v="2"/>
    <s v="Member"/>
    <n v="1696.44"/>
    <s v="OK"/>
    <x v="5"/>
    <x v="0"/>
    <s v="0%"/>
    <x v="0"/>
    <x v="6"/>
  </r>
  <r>
    <x v="1777"/>
    <d v="2025-03-08T00:00:00"/>
    <n v="21"/>
    <s v="T004"/>
    <x v="0"/>
    <n v="371.17"/>
    <x v="1"/>
    <n v="371.17"/>
    <n v="2"/>
    <s v="Walk-in"/>
    <n v="371.17"/>
    <s v="OK"/>
    <x v="5"/>
    <x v="1"/>
    <s v="0%"/>
    <x v="0"/>
    <x v="0"/>
  </r>
  <r>
    <x v="1778"/>
    <d v="2025-06-04T00:00:00"/>
    <n v="22"/>
    <s v="T026"/>
    <x v="0"/>
    <n v="734.99"/>
    <x v="1"/>
    <n v="734.99"/>
    <n v="3"/>
    <s v="Member"/>
    <n v="734.99"/>
    <s v="OK"/>
    <x v="3"/>
    <x v="0"/>
    <s v="0%"/>
    <x v="1"/>
    <x v="10"/>
  </r>
  <r>
    <x v="1779"/>
    <d v="2025-02-17T00:00:00"/>
    <n v="17"/>
    <s v="T004"/>
    <x v="0"/>
    <n v="541.14"/>
    <x v="0"/>
    <n v="459.97"/>
    <n v="1"/>
    <s v="Walk-in"/>
    <n v="459.97"/>
    <s v="OK"/>
    <x v="0"/>
    <x v="0"/>
    <s v="11–20%"/>
    <x v="0"/>
    <x v="0"/>
  </r>
  <r>
    <x v="1780"/>
    <d v="2025-01-20T00:00:00"/>
    <n v="10"/>
    <s v="T018"/>
    <x v="0"/>
    <n v="1858.95"/>
    <x v="0"/>
    <n v="1580.11"/>
    <n v="5"/>
    <s v="Member"/>
    <n v="1580.11"/>
    <s v="OK"/>
    <x v="2"/>
    <x v="0"/>
    <s v="11–20%"/>
    <x v="3"/>
    <x v="3"/>
  </r>
  <r>
    <x v="1781"/>
    <d v="2025-06-12T00:00:00"/>
    <n v="22"/>
    <s v="T026"/>
    <x v="0"/>
    <n v="1532.26"/>
    <x v="1"/>
    <n v="1532.26"/>
    <n v="4"/>
    <s v="Walk-in"/>
    <n v="1532.26"/>
    <s v="OK"/>
    <x v="3"/>
    <x v="0"/>
    <s v="0%"/>
    <x v="1"/>
    <x v="10"/>
  </r>
  <r>
    <x v="1782"/>
    <d v="2025-06-27T00:00:00"/>
    <n v="22"/>
    <s v="T009"/>
    <x v="2"/>
    <n v="411.14"/>
    <x v="1"/>
    <n v="411.14"/>
    <n v="1"/>
    <s v="Walk-in"/>
    <n v="411.14"/>
    <s v="OK"/>
    <x v="3"/>
    <x v="0"/>
    <s v="0%"/>
    <x v="0"/>
    <x v="6"/>
  </r>
  <r>
    <x v="1783"/>
    <d v="2025-01-28T00:00:00"/>
    <n v="22"/>
    <s v="T026"/>
    <x v="3"/>
    <n v="564.54"/>
    <x v="5"/>
    <n v="536.30999999999995"/>
    <n v="4"/>
    <s v="Walk-in"/>
    <n v="536.30999999999995"/>
    <s v="OK"/>
    <x v="2"/>
    <x v="0"/>
    <s v="1–_x000a_10%"/>
    <x v="1"/>
    <x v="10"/>
  </r>
  <r>
    <x v="1784"/>
    <d v="2025-01-20T00:00:00"/>
    <n v="16"/>
    <s v="T001"/>
    <x v="2"/>
    <n v="400.51"/>
    <x v="0"/>
    <n v="340.43"/>
    <n v="3"/>
    <s v="Walk-in"/>
    <n v="340.43"/>
    <s v="OK"/>
    <x v="2"/>
    <x v="0"/>
    <s v="11–20%"/>
    <x v="1"/>
    <x v="7"/>
  </r>
  <r>
    <x v="1785"/>
    <d v="2025-03-09T00:00:00"/>
    <n v="11"/>
    <s v="T004"/>
    <x v="0"/>
    <n v="1005.43"/>
    <x v="4"/>
    <n v="804.34"/>
    <n v="1"/>
    <s v="Walk-in"/>
    <n v="804.34"/>
    <s v="OK"/>
    <x v="5"/>
    <x v="1"/>
    <s v="11–20%"/>
    <x v="0"/>
    <x v="0"/>
  </r>
  <r>
    <x v="1786"/>
    <d v="2025-02-03T00:00:00"/>
    <n v="20"/>
    <s v="T021"/>
    <x v="3"/>
    <n v="1187.5999999999999"/>
    <x v="0"/>
    <n v="1009.46"/>
    <n v="4"/>
    <s v="Member"/>
    <n v="1009.46"/>
    <s v="OK"/>
    <x v="0"/>
    <x v="0"/>
    <s v="11–20%"/>
    <x v="1"/>
    <x v="1"/>
  </r>
  <r>
    <x v="1787"/>
    <d v="2025-03-16T00:00:00"/>
    <n v="14"/>
    <s v="T006"/>
    <x v="2"/>
    <n v="777.51"/>
    <x v="3"/>
    <n v="699.76"/>
    <n v="2"/>
    <s v="Walk-in"/>
    <n v="699.76"/>
    <s v="OK"/>
    <x v="5"/>
    <x v="1"/>
    <s v="1–_x000a_10%"/>
    <x v="1"/>
    <x v="1"/>
  </r>
  <r>
    <x v="1788"/>
    <d v="2025-03-19T00:00:00"/>
    <n v="12"/>
    <s v="T015"/>
    <x v="0"/>
    <n v="1348.66"/>
    <x v="3"/>
    <n v="1213.79"/>
    <n v="3"/>
    <s v="Walk-in"/>
    <n v="1213.79"/>
    <s v="OK"/>
    <x v="5"/>
    <x v="0"/>
    <s v="1–_x000a_10%"/>
    <x v="2"/>
    <x v="4"/>
  </r>
  <r>
    <x v="1789"/>
    <d v="2025-04-04T00:00:00"/>
    <n v="11"/>
    <s v="T027"/>
    <x v="0"/>
    <n v="796.09"/>
    <x v="5"/>
    <n v="756.29"/>
    <n v="4"/>
    <s v="Member"/>
    <n v="756.29"/>
    <s v="OK"/>
    <x v="4"/>
    <x v="0"/>
    <s v="1–_x000a_10%"/>
    <x v="4"/>
    <x v="9"/>
  </r>
  <r>
    <x v="1790"/>
    <d v="2025-04-11T00:00:00"/>
    <n v="22"/>
    <s v="T019"/>
    <x v="0"/>
    <n v="1890.6"/>
    <x v="1"/>
    <n v="1890.6"/>
    <n v="1"/>
    <s v="Walk-in"/>
    <n v="1890.6"/>
    <s v="OK"/>
    <x v="4"/>
    <x v="0"/>
    <s v="0%"/>
    <x v="0"/>
    <x v="0"/>
  </r>
  <r>
    <x v="1791"/>
    <d v="2025-03-18T00:00:00"/>
    <n v="10"/>
    <s v="T018"/>
    <x v="0"/>
    <n v="1479.61"/>
    <x v="1"/>
    <n v="1479.61"/>
    <n v="5"/>
    <s v="Walk-in"/>
    <n v="1479.61"/>
    <s v="OK"/>
    <x v="5"/>
    <x v="0"/>
    <s v="0%"/>
    <x v="3"/>
    <x v="3"/>
  </r>
  <r>
    <x v="1792"/>
    <d v="2025-02-12T00:00:00"/>
    <n v="12"/>
    <s v="T019"/>
    <x v="0"/>
    <n v="423.13"/>
    <x v="4"/>
    <n v="338.5"/>
    <n v="6"/>
    <s v="Member"/>
    <n v="338.5"/>
    <s v="OK"/>
    <x v="0"/>
    <x v="0"/>
    <s v="11–20%"/>
    <x v="0"/>
    <x v="0"/>
  </r>
  <r>
    <x v="1793"/>
    <d v="2025-01-24T00:00:00"/>
    <n v="19"/>
    <s v="T030"/>
    <x v="2"/>
    <n v="264.88"/>
    <x v="3"/>
    <n v="238.39"/>
    <n v="6"/>
    <s v="Member"/>
    <n v="238.39"/>
    <s v="OK"/>
    <x v="2"/>
    <x v="0"/>
    <s v="1–_x000a_10%"/>
    <x v="2"/>
    <x v="2"/>
  </r>
  <r>
    <x v="1794"/>
    <d v="2025-02-23T00:00:00"/>
    <n v="11"/>
    <s v="T019"/>
    <x v="0"/>
    <n v="1783.69"/>
    <x v="1"/>
    <n v="1783.69"/>
    <n v="1"/>
    <s v="Walk-in"/>
    <n v="1783.69"/>
    <s v="OK"/>
    <x v="0"/>
    <x v="1"/>
    <s v="0%"/>
    <x v="0"/>
    <x v="0"/>
  </r>
  <r>
    <x v="1795"/>
    <d v="2025-06-10T00:00:00"/>
    <n v="22"/>
    <s v="T009"/>
    <x v="0"/>
    <n v="1390.78"/>
    <x v="0"/>
    <n v="1182.1600000000001"/>
    <n v="1"/>
    <s v="Member"/>
    <n v="1182.1600000000001"/>
    <s v="OK"/>
    <x v="3"/>
    <x v="0"/>
    <s v="11–20%"/>
    <x v="0"/>
    <x v="6"/>
  </r>
  <r>
    <x v="1796"/>
    <d v="2025-02-24T00:00:00"/>
    <n v="14"/>
    <s v="T026"/>
    <x v="0"/>
    <n v="1053.6400000000001"/>
    <x v="1"/>
    <n v="1053.6400000000001"/>
    <n v="1"/>
    <s v="Member"/>
    <n v="1053.6400000000001"/>
    <s v="OK"/>
    <x v="0"/>
    <x v="0"/>
    <s v="0%"/>
    <x v="1"/>
    <x v="10"/>
  </r>
  <r>
    <x v="1797"/>
    <d v="2025-05-14T00:00:00"/>
    <n v="20"/>
    <s v="T005"/>
    <x v="0"/>
    <n v="1850.9"/>
    <x v="0"/>
    <n v="1573.27"/>
    <n v="2"/>
    <s v="Walk-in"/>
    <n v="1573.27"/>
    <s v="OK"/>
    <x v="1"/>
    <x v="0"/>
    <s v="11–20%"/>
    <x v="2"/>
    <x v="4"/>
  </r>
  <r>
    <x v="1798"/>
    <d v="2025-03-30T00:00:00"/>
    <n v="20"/>
    <s v="T008"/>
    <x v="0"/>
    <n v="553.12"/>
    <x v="1"/>
    <n v="553.12"/>
    <n v="5"/>
    <s v="Walk-in"/>
    <n v="553.12"/>
    <s v="OK"/>
    <x v="5"/>
    <x v="1"/>
    <s v="0%"/>
    <x v="3"/>
    <x v="5"/>
  </r>
  <r>
    <x v="1799"/>
    <d v="2025-03-02T00:00:00"/>
    <n v="17"/>
    <s v="T029"/>
    <x v="2"/>
    <n v="504.79"/>
    <x v="3"/>
    <n v="454.31"/>
    <n v="5"/>
    <s v="Walk-in"/>
    <n v="454.31"/>
    <s v="OK"/>
    <x v="5"/>
    <x v="1"/>
    <s v="1–_x000a_10%"/>
    <x v="0"/>
    <x v="6"/>
  </r>
  <r>
    <x v="1800"/>
    <d v="2025-06-27T00:00:00"/>
    <n v="16"/>
    <s v="T024"/>
    <x v="2"/>
    <n v="1210.3599999999999"/>
    <x v="3"/>
    <n v="1089.32"/>
    <n v="3"/>
    <s v="Walk-in"/>
    <n v="1089.32"/>
    <s v="OK"/>
    <x v="3"/>
    <x v="0"/>
    <s v="1–_x000a_10%"/>
    <x v="0"/>
    <x v="0"/>
  </r>
  <r>
    <x v="1801"/>
    <d v="2025-06-16T00:00:00"/>
    <n v="22"/>
    <s v="T010"/>
    <x v="2"/>
    <n v="233.61"/>
    <x v="1"/>
    <n v="233.61"/>
    <n v="6"/>
    <s v="Walk-in"/>
    <n v="233.61"/>
    <s v="OK"/>
    <x v="3"/>
    <x v="0"/>
    <s v="0%"/>
    <x v="2"/>
    <x v="4"/>
  </r>
  <r>
    <x v="1802"/>
    <d v="2025-04-21T00:00:00"/>
    <n v="11"/>
    <s v="T010"/>
    <x v="0"/>
    <n v="505.33"/>
    <x v="1"/>
    <n v="505.33"/>
    <n v="1"/>
    <s v="Walk-in"/>
    <n v="505.33"/>
    <s v="OK"/>
    <x v="4"/>
    <x v="0"/>
    <s v="0%"/>
    <x v="2"/>
    <x v="4"/>
  </r>
  <r>
    <x v="1803"/>
    <d v="2025-02-01T00:00:00"/>
    <n v="14"/>
    <s v="T005"/>
    <x v="0"/>
    <n v="1218"/>
    <x v="5"/>
    <n v="1157.0999999999999"/>
    <n v="2"/>
    <s v="Member"/>
    <n v="1157.0999999999999"/>
    <s v="OK"/>
    <x v="0"/>
    <x v="1"/>
    <s v="1–_x000a_10%"/>
    <x v="2"/>
    <x v="4"/>
  </r>
  <r>
    <x v="1804"/>
    <d v="2025-06-10T00:00:00"/>
    <n v="17"/>
    <s v="T001"/>
    <x v="0"/>
    <n v="2321.34"/>
    <x v="1"/>
    <n v="2321.34"/>
    <n v="2"/>
    <s v="Member"/>
    <n v="2321.34"/>
    <s v="OK"/>
    <x v="3"/>
    <x v="0"/>
    <s v="0%"/>
    <x v="1"/>
    <x v="7"/>
  </r>
  <r>
    <x v="1805"/>
    <d v="2025-02-09T00:00:00"/>
    <n v="14"/>
    <s v="T020"/>
    <x v="1"/>
    <n v="315.52"/>
    <x v="1"/>
    <n v="315.52"/>
    <n v="1"/>
    <s v="Member"/>
    <n v="315.52"/>
    <s v="OK"/>
    <x v="0"/>
    <x v="1"/>
    <s v="0%"/>
    <x v="2"/>
    <x v="2"/>
  </r>
  <r>
    <x v="1806"/>
    <d v="2025-04-19T00:00:00"/>
    <n v="14"/>
    <s v="T016"/>
    <x v="0"/>
    <n v="263.67"/>
    <x v="0"/>
    <n v="224.12"/>
    <n v="5"/>
    <s v="Member"/>
    <n v="224.12"/>
    <s v="OK"/>
    <x v="4"/>
    <x v="1"/>
    <s v="11–20%"/>
    <x v="1"/>
    <x v="1"/>
  </r>
  <r>
    <x v="1807"/>
    <d v="2025-01-12T00:00:00"/>
    <n v="12"/>
    <s v="T023"/>
    <x v="0"/>
    <n v="2019.58"/>
    <x v="2"/>
    <n v="1413.71"/>
    <n v="3"/>
    <s v="Member"/>
    <n v="1413.71"/>
    <s v="OK"/>
    <x v="2"/>
    <x v="1"/>
    <s v="&gt;20%"/>
    <x v="3"/>
    <x v="11"/>
  </r>
  <r>
    <x v="1808"/>
    <d v="2025-01-22T00:00:00"/>
    <n v="11"/>
    <s v="T020"/>
    <x v="2"/>
    <n v="966.68"/>
    <x v="3"/>
    <n v="870.01"/>
    <n v="1"/>
    <s v="Walk-in"/>
    <n v="870.01"/>
    <s v="OK"/>
    <x v="2"/>
    <x v="0"/>
    <s v="1–_x000a_10%"/>
    <x v="2"/>
    <x v="2"/>
  </r>
  <r>
    <x v="1809"/>
    <d v="2025-01-16T00:00:00"/>
    <n v="19"/>
    <s v="T020"/>
    <x v="0"/>
    <n v="330.86"/>
    <x v="2"/>
    <n v="231.6"/>
    <n v="3"/>
    <s v="Member"/>
    <n v="231.6"/>
    <s v="OK"/>
    <x v="2"/>
    <x v="0"/>
    <s v="&gt;20%"/>
    <x v="2"/>
    <x v="2"/>
  </r>
  <r>
    <x v="1810"/>
    <d v="2025-01-16T00:00:00"/>
    <n v="15"/>
    <s v="T028"/>
    <x v="2"/>
    <n v="401.28"/>
    <x v="1"/>
    <n v="401.28"/>
    <n v="4"/>
    <s v="Walk-in"/>
    <n v="401.28"/>
    <s v="OK"/>
    <x v="2"/>
    <x v="0"/>
    <s v="0%"/>
    <x v="3"/>
    <x v="5"/>
  </r>
  <r>
    <x v="1811"/>
    <d v="2025-03-20T00:00:00"/>
    <n v="16"/>
    <s v="T021"/>
    <x v="2"/>
    <n v="283.17"/>
    <x v="4"/>
    <n v="226.54"/>
    <n v="2"/>
    <s v="Walk-in"/>
    <n v="226.54"/>
    <s v="OK"/>
    <x v="5"/>
    <x v="0"/>
    <s v="11–20%"/>
    <x v="1"/>
    <x v="1"/>
  </r>
  <r>
    <x v="1812"/>
    <d v="2025-04-02T00:00:00"/>
    <n v="20"/>
    <s v="T019"/>
    <x v="1"/>
    <n v="4581.1099999999997"/>
    <x v="3"/>
    <n v="4123"/>
    <n v="2"/>
    <s v="Member"/>
    <n v="4123"/>
    <s v="OK"/>
    <x v="4"/>
    <x v="0"/>
    <s v="1–_x000a_10%"/>
    <x v="0"/>
    <x v="0"/>
  </r>
  <r>
    <x v="1813"/>
    <d v="2025-06-07T00:00:00"/>
    <n v="17"/>
    <s v="T021"/>
    <x v="1"/>
    <n v="2654.12"/>
    <x v="5"/>
    <n v="2521.41"/>
    <n v="1"/>
    <s v="Member"/>
    <n v="2521.41"/>
    <s v="OK"/>
    <x v="3"/>
    <x v="1"/>
    <s v="1–_x000a_10%"/>
    <x v="1"/>
    <x v="1"/>
  </r>
  <r>
    <x v="1814"/>
    <d v="2025-01-30T00:00:00"/>
    <n v="20"/>
    <s v="T026"/>
    <x v="0"/>
    <n v="1268.55"/>
    <x v="1"/>
    <n v="1268.55"/>
    <n v="2"/>
    <s v="Walk-in"/>
    <n v="1268.55"/>
    <s v="OK"/>
    <x v="2"/>
    <x v="0"/>
    <s v="0%"/>
    <x v="1"/>
    <x v="10"/>
  </r>
  <r>
    <x v="1815"/>
    <d v="2025-02-04T00:00:00"/>
    <n v="13"/>
    <s v="T029"/>
    <x v="2"/>
    <n v="1195.42"/>
    <x v="3"/>
    <n v="1075.8800000000001"/>
    <n v="3"/>
    <s v="Member"/>
    <n v="1075.8800000000001"/>
    <s v="OK"/>
    <x v="0"/>
    <x v="0"/>
    <s v="1–_x000a_10%"/>
    <x v="0"/>
    <x v="6"/>
  </r>
  <r>
    <x v="1816"/>
    <d v="2025-06-07T00:00:00"/>
    <n v="21"/>
    <s v="T011"/>
    <x v="2"/>
    <n v="4711.59"/>
    <x v="2"/>
    <n v="3298.11"/>
    <n v="2"/>
    <s v="Walk-in"/>
    <n v="3298.11"/>
    <s v="OK"/>
    <x v="3"/>
    <x v="1"/>
    <s v="&gt;20%"/>
    <x v="1"/>
    <x v="10"/>
  </r>
  <r>
    <x v="1817"/>
    <d v="2025-03-13T00:00:00"/>
    <n v="14"/>
    <s v="T023"/>
    <x v="0"/>
    <n v="580.04999999999995"/>
    <x v="0"/>
    <n v="493.04"/>
    <n v="3"/>
    <s v="Walk-in"/>
    <n v="493.04"/>
    <s v="OK"/>
    <x v="5"/>
    <x v="0"/>
    <s v="11–20%"/>
    <x v="3"/>
    <x v="11"/>
  </r>
  <r>
    <x v="1818"/>
    <d v="2025-02-16T00:00:00"/>
    <n v="13"/>
    <s v="T030"/>
    <x v="2"/>
    <n v="1596.27"/>
    <x v="1"/>
    <n v="1596.27"/>
    <n v="2"/>
    <s v="Member"/>
    <n v="1596.27"/>
    <s v="OK"/>
    <x v="0"/>
    <x v="1"/>
    <s v="0%"/>
    <x v="2"/>
    <x v="2"/>
  </r>
  <r>
    <x v="1819"/>
    <d v="2025-06-01T00:00:00"/>
    <n v="11"/>
    <s v="T008"/>
    <x v="1"/>
    <n v="1071.46"/>
    <x v="1"/>
    <n v="1071.46"/>
    <n v="1"/>
    <s v="Walk-in"/>
    <n v="1071.46"/>
    <s v="OK"/>
    <x v="3"/>
    <x v="1"/>
    <s v="0%"/>
    <x v="3"/>
    <x v="5"/>
  </r>
  <r>
    <x v="1820"/>
    <d v="2025-02-21T00:00:00"/>
    <n v="19"/>
    <s v="T008"/>
    <x v="0"/>
    <n v="1025.4100000000001"/>
    <x v="1"/>
    <n v="1025.4100000000001"/>
    <n v="3"/>
    <s v="Member"/>
    <n v="1025.4100000000001"/>
    <s v="OK"/>
    <x v="0"/>
    <x v="0"/>
    <s v="0%"/>
    <x v="3"/>
    <x v="5"/>
  </r>
  <r>
    <x v="1821"/>
    <d v="2025-03-12T00:00:00"/>
    <n v="20"/>
    <s v="T022"/>
    <x v="2"/>
    <n v="574.04"/>
    <x v="3"/>
    <n v="516.64"/>
    <n v="1"/>
    <s v="Member"/>
    <n v="516.64"/>
    <s v="OK"/>
    <x v="5"/>
    <x v="0"/>
    <s v="1–_x000a_10%"/>
    <x v="4"/>
    <x v="8"/>
  </r>
  <r>
    <x v="1822"/>
    <d v="2025-03-25T00:00:00"/>
    <n v="15"/>
    <s v="T010"/>
    <x v="2"/>
    <n v="474.87"/>
    <x v="2"/>
    <n v="332.41"/>
    <n v="3"/>
    <s v="Walk-in"/>
    <n v="332.41"/>
    <s v="OK"/>
    <x v="5"/>
    <x v="0"/>
    <s v="&gt;20%"/>
    <x v="2"/>
    <x v="4"/>
  </r>
  <r>
    <x v="1823"/>
    <d v="2025-01-17T00:00:00"/>
    <n v="16"/>
    <s v="T024"/>
    <x v="1"/>
    <n v="1191.24"/>
    <x v="5"/>
    <n v="1131.68"/>
    <n v="1"/>
    <s v="Walk-in"/>
    <n v="1131.68"/>
    <s v="OK"/>
    <x v="2"/>
    <x v="0"/>
    <s v="1–_x000a_10%"/>
    <x v="0"/>
    <x v="0"/>
  </r>
  <r>
    <x v="1824"/>
    <d v="2025-02-12T00:00:00"/>
    <n v="10"/>
    <s v="T030"/>
    <x v="0"/>
    <n v="1329.65"/>
    <x v="1"/>
    <n v="1329.65"/>
    <n v="3"/>
    <s v="Member"/>
    <n v="1329.65"/>
    <s v="OK"/>
    <x v="0"/>
    <x v="0"/>
    <s v="0%"/>
    <x v="2"/>
    <x v="2"/>
  </r>
  <r>
    <x v="1825"/>
    <d v="2025-06-02T00:00:00"/>
    <n v="18"/>
    <s v="T020"/>
    <x v="0"/>
    <n v="1049.81"/>
    <x v="1"/>
    <n v="1049.81"/>
    <n v="1"/>
    <s v="Walk-in"/>
    <n v="1049.81"/>
    <s v="OK"/>
    <x v="3"/>
    <x v="0"/>
    <s v="0%"/>
    <x v="2"/>
    <x v="2"/>
  </r>
  <r>
    <x v="1826"/>
    <d v="2025-05-26T00:00:00"/>
    <n v="22"/>
    <s v="T026"/>
    <x v="0"/>
    <n v="1513.8"/>
    <x v="0"/>
    <n v="1286.73"/>
    <n v="2"/>
    <s v="Walk-in"/>
    <n v="1286.73"/>
    <s v="OK"/>
    <x v="1"/>
    <x v="0"/>
    <s v="11–20%"/>
    <x v="1"/>
    <x v="10"/>
  </r>
  <r>
    <x v="1827"/>
    <d v="2025-05-26T00:00:00"/>
    <n v="11"/>
    <s v="T027"/>
    <x v="2"/>
    <n v="219.62"/>
    <x v="3"/>
    <n v="197.66"/>
    <n v="3"/>
    <s v="Member"/>
    <n v="197.66"/>
    <s v="OK"/>
    <x v="1"/>
    <x v="0"/>
    <s v="1–_x000a_10%"/>
    <x v="4"/>
    <x v="9"/>
  </r>
  <r>
    <x v="1828"/>
    <d v="2025-03-11T00:00:00"/>
    <n v="14"/>
    <s v="T023"/>
    <x v="2"/>
    <n v="2196.61"/>
    <x v="4"/>
    <n v="1757.29"/>
    <n v="2"/>
    <s v="Member"/>
    <n v="1757.29"/>
    <s v="OK"/>
    <x v="5"/>
    <x v="0"/>
    <s v="11–20%"/>
    <x v="3"/>
    <x v="11"/>
  </r>
  <r>
    <x v="1829"/>
    <d v="2025-02-14T00:00:00"/>
    <n v="14"/>
    <s v="T022"/>
    <x v="1"/>
    <n v="1336.39"/>
    <x v="3"/>
    <n v="1202.75"/>
    <n v="1"/>
    <s v="Walk-in"/>
    <n v="1202.75"/>
    <s v="OK"/>
    <x v="0"/>
    <x v="0"/>
    <s v="1–_x000a_10%"/>
    <x v="4"/>
    <x v="8"/>
  </r>
  <r>
    <x v="1830"/>
    <d v="2025-02-06T00:00:00"/>
    <n v="11"/>
    <s v="T026"/>
    <x v="0"/>
    <n v="674.3"/>
    <x v="0"/>
    <n v="573.15"/>
    <n v="1"/>
    <s v="Member"/>
    <n v="573.16"/>
    <s v="OK"/>
    <x v="0"/>
    <x v="0"/>
    <s v="11–20%"/>
    <x v="1"/>
    <x v="10"/>
  </r>
  <r>
    <x v="1831"/>
    <d v="2025-03-22T00:00:00"/>
    <n v="17"/>
    <s v="T011"/>
    <x v="1"/>
    <n v="2125.5"/>
    <x v="1"/>
    <n v="2125.5"/>
    <n v="2"/>
    <s v="Walk-in"/>
    <n v="2125.5"/>
    <s v="OK"/>
    <x v="5"/>
    <x v="1"/>
    <s v="0%"/>
    <x v="1"/>
    <x v="10"/>
  </r>
  <r>
    <x v="1832"/>
    <d v="2025-03-25T00:00:00"/>
    <n v="11"/>
    <s v="T027"/>
    <x v="0"/>
    <n v="905.47"/>
    <x v="5"/>
    <n v="860.2"/>
    <n v="1"/>
    <s v="Walk-in"/>
    <n v="860.2"/>
    <s v="OK"/>
    <x v="5"/>
    <x v="0"/>
    <s v="1–_x000a_10%"/>
    <x v="4"/>
    <x v="9"/>
  </r>
  <r>
    <x v="1833"/>
    <d v="2025-02-19T00:00:00"/>
    <n v="14"/>
    <s v="T003"/>
    <x v="0"/>
    <n v="1707.38"/>
    <x v="1"/>
    <n v="1707.38"/>
    <n v="2"/>
    <s v="Walk-in"/>
    <n v="1707.38"/>
    <s v="OK"/>
    <x v="0"/>
    <x v="0"/>
    <s v="0%"/>
    <x v="3"/>
    <x v="3"/>
  </r>
  <r>
    <x v="1834"/>
    <d v="2025-01-03T00:00:00"/>
    <n v="14"/>
    <s v="T018"/>
    <x v="0"/>
    <n v="262.3"/>
    <x v="4"/>
    <n v="209.84"/>
    <n v="5"/>
    <s v="Walk-in"/>
    <n v="209.84"/>
    <s v="OK"/>
    <x v="2"/>
    <x v="0"/>
    <s v="11–20%"/>
    <x v="3"/>
    <x v="3"/>
  </r>
  <r>
    <x v="1835"/>
    <d v="2025-05-06T00:00:00"/>
    <n v="21"/>
    <s v="T013"/>
    <x v="2"/>
    <n v="1886.23"/>
    <x v="1"/>
    <n v="1886.23"/>
    <n v="2"/>
    <s v="Member"/>
    <n v="1886.23"/>
    <s v="OK"/>
    <x v="1"/>
    <x v="0"/>
    <s v="0%"/>
    <x v="3"/>
    <x v="11"/>
  </r>
  <r>
    <x v="1836"/>
    <d v="2025-05-26T00:00:00"/>
    <n v="10"/>
    <s v="T012"/>
    <x v="2"/>
    <n v="675.6"/>
    <x v="1"/>
    <n v="675.6"/>
    <n v="2"/>
    <s v="Member"/>
    <n v="675.6"/>
    <s v="OK"/>
    <x v="1"/>
    <x v="0"/>
    <s v="0%"/>
    <x v="4"/>
    <x v="9"/>
  </r>
  <r>
    <x v="1837"/>
    <d v="2025-05-05T00:00:00"/>
    <n v="22"/>
    <s v="T003"/>
    <x v="0"/>
    <n v="652.28"/>
    <x v="1"/>
    <n v="652.28"/>
    <n v="2"/>
    <s v="Walk-in"/>
    <n v="652.28"/>
    <s v="OK"/>
    <x v="1"/>
    <x v="0"/>
    <s v="0%"/>
    <x v="3"/>
    <x v="3"/>
  </r>
  <r>
    <x v="1838"/>
    <d v="2025-03-13T00:00:00"/>
    <n v="22"/>
    <s v="T001"/>
    <x v="2"/>
    <n v="273.62"/>
    <x v="1"/>
    <n v="273.62"/>
    <n v="1"/>
    <s v="Walk-in"/>
    <n v="273.62"/>
    <s v="OK"/>
    <x v="5"/>
    <x v="0"/>
    <s v="0%"/>
    <x v="1"/>
    <x v="7"/>
  </r>
  <r>
    <x v="1839"/>
    <d v="2025-06-29T00:00:00"/>
    <n v="14"/>
    <s v="T017"/>
    <x v="2"/>
    <n v="645.17999999999995"/>
    <x v="0"/>
    <n v="548.4"/>
    <n v="2"/>
    <s v="Walk-in"/>
    <n v="548.4"/>
    <s v="OK"/>
    <x v="3"/>
    <x v="1"/>
    <s v="11–20%"/>
    <x v="4"/>
    <x v="8"/>
  </r>
  <r>
    <x v="1840"/>
    <d v="2025-05-20T00:00:00"/>
    <n v="17"/>
    <s v="T021"/>
    <x v="2"/>
    <n v="1016.2"/>
    <x v="1"/>
    <n v="1016.2"/>
    <n v="2"/>
    <s v="Walk-in"/>
    <n v="1016.2"/>
    <s v="OK"/>
    <x v="1"/>
    <x v="0"/>
    <s v="0%"/>
    <x v="1"/>
    <x v="1"/>
  </r>
  <r>
    <x v="1841"/>
    <d v="2025-02-28T00:00:00"/>
    <n v="17"/>
    <s v="T029"/>
    <x v="2"/>
    <n v="1349.23"/>
    <x v="5"/>
    <n v="1281.77"/>
    <n v="2"/>
    <s v="Walk-in"/>
    <n v="1281.77"/>
    <s v="OK"/>
    <x v="0"/>
    <x v="0"/>
    <s v="1–_x000a_10%"/>
    <x v="0"/>
    <x v="6"/>
  </r>
  <r>
    <x v="1842"/>
    <d v="2025-03-29T00:00:00"/>
    <n v="20"/>
    <s v="T010"/>
    <x v="0"/>
    <n v="3034.25"/>
    <x v="4"/>
    <n v="2427.4"/>
    <n v="3"/>
    <s v="Member"/>
    <n v="2427.4"/>
    <s v="OK"/>
    <x v="5"/>
    <x v="1"/>
    <s v="11–20%"/>
    <x v="2"/>
    <x v="4"/>
  </r>
  <r>
    <x v="1843"/>
    <d v="2025-05-19T00:00:00"/>
    <n v="10"/>
    <s v="T001"/>
    <x v="0"/>
    <n v="1602.28"/>
    <x v="0"/>
    <n v="1361.94"/>
    <n v="5"/>
    <s v="Walk-in"/>
    <n v="1361.94"/>
    <s v="OK"/>
    <x v="1"/>
    <x v="0"/>
    <s v="11–20%"/>
    <x v="1"/>
    <x v="7"/>
  </r>
  <r>
    <x v="1844"/>
    <d v="2025-02-08T00:00:00"/>
    <n v="16"/>
    <s v="T028"/>
    <x v="3"/>
    <n v="1471.54"/>
    <x v="4"/>
    <n v="1177.23"/>
    <n v="3"/>
    <s v="Member"/>
    <n v="1177.23"/>
    <s v="OK"/>
    <x v="0"/>
    <x v="1"/>
    <s v="11–20%"/>
    <x v="3"/>
    <x v="5"/>
  </r>
  <r>
    <x v="1845"/>
    <d v="2025-05-31T00:00:00"/>
    <n v="15"/>
    <s v="T007"/>
    <x v="3"/>
    <n v="1082.5"/>
    <x v="1"/>
    <n v="1082.5"/>
    <n v="1"/>
    <s v="Walk-in"/>
    <n v="1082.5"/>
    <s v="OK"/>
    <x v="1"/>
    <x v="1"/>
    <s v="0%"/>
    <x v="4"/>
    <x v="8"/>
  </r>
  <r>
    <x v="1846"/>
    <d v="2025-03-09T00:00:00"/>
    <n v="19"/>
    <s v="T015"/>
    <x v="2"/>
    <n v="814.16"/>
    <x v="2"/>
    <n v="569.91"/>
    <n v="1"/>
    <s v="Walk-in"/>
    <n v="569.91"/>
    <s v="OK"/>
    <x v="5"/>
    <x v="1"/>
    <s v="&gt;20%"/>
    <x v="2"/>
    <x v="4"/>
  </r>
  <r>
    <x v="1847"/>
    <d v="2025-03-17T00:00:00"/>
    <n v="20"/>
    <s v="T025"/>
    <x v="0"/>
    <n v="1064.07"/>
    <x v="1"/>
    <n v="1064.07"/>
    <n v="1"/>
    <s v="Walk-in"/>
    <n v="1064.07"/>
    <s v="OK"/>
    <x v="5"/>
    <x v="0"/>
    <s v="0%"/>
    <x v="2"/>
    <x v="2"/>
  </r>
  <r>
    <x v="1848"/>
    <d v="2025-01-29T00:00:00"/>
    <n v="14"/>
    <s v="T008"/>
    <x v="2"/>
    <n v="1946.11"/>
    <x v="2"/>
    <n v="1362.28"/>
    <n v="1"/>
    <s v="Walk-in"/>
    <n v="1362.28"/>
    <s v="OK"/>
    <x v="2"/>
    <x v="0"/>
    <s v="&gt;20%"/>
    <x v="3"/>
    <x v="5"/>
  </r>
  <r>
    <x v="1849"/>
    <d v="2025-06-13T00:00:00"/>
    <n v="19"/>
    <s v="T010"/>
    <x v="0"/>
    <n v="497.83"/>
    <x v="1"/>
    <n v="497.83"/>
    <n v="6"/>
    <s v="Walk-in"/>
    <n v="497.83"/>
    <s v="OK"/>
    <x v="3"/>
    <x v="0"/>
    <s v="0%"/>
    <x v="2"/>
    <x v="4"/>
  </r>
  <r>
    <x v="1850"/>
    <d v="2025-04-26T00:00:00"/>
    <n v="10"/>
    <s v="T007"/>
    <x v="0"/>
    <n v="482.41"/>
    <x v="1"/>
    <n v="482.41"/>
    <n v="2"/>
    <s v="Member"/>
    <n v="482.41"/>
    <s v="OK"/>
    <x v="4"/>
    <x v="1"/>
    <s v="0%"/>
    <x v="4"/>
    <x v="8"/>
  </r>
  <r>
    <x v="1851"/>
    <d v="2025-04-11T00:00:00"/>
    <n v="13"/>
    <s v="T019"/>
    <x v="0"/>
    <n v="735.81"/>
    <x v="1"/>
    <n v="735.81"/>
    <n v="2"/>
    <s v="Walk-in"/>
    <n v="735.81"/>
    <s v="OK"/>
    <x v="4"/>
    <x v="0"/>
    <s v="0%"/>
    <x v="0"/>
    <x v="0"/>
  </r>
  <r>
    <x v="1852"/>
    <d v="2025-02-26T00:00:00"/>
    <n v="20"/>
    <s v="T021"/>
    <x v="1"/>
    <n v="500.49"/>
    <x v="1"/>
    <n v="500.49"/>
    <n v="6"/>
    <s v="Walk-in"/>
    <n v="500.49"/>
    <s v="OK"/>
    <x v="0"/>
    <x v="0"/>
    <s v="0%"/>
    <x v="1"/>
    <x v="1"/>
  </r>
  <r>
    <x v="1853"/>
    <d v="2025-05-30T00:00:00"/>
    <n v="18"/>
    <s v="T012"/>
    <x v="2"/>
    <n v="847.61"/>
    <x v="1"/>
    <n v="847.61"/>
    <n v="5"/>
    <s v="Walk-in"/>
    <n v="847.61"/>
    <s v="OK"/>
    <x v="1"/>
    <x v="0"/>
    <s v="0%"/>
    <x v="4"/>
    <x v="9"/>
  </r>
  <r>
    <x v="1854"/>
    <d v="2025-04-14T00:00:00"/>
    <n v="16"/>
    <s v="T013"/>
    <x v="1"/>
    <n v="966.92"/>
    <x v="1"/>
    <n v="966.92"/>
    <n v="3"/>
    <s v="Member"/>
    <n v="966.92"/>
    <s v="OK"/>
    <x v="4"/>
    <x v="0"/>
    <s v="0%"/>
    <x v="3"/>
    <x v="11"/>
  </r>
  <r>
    <x v="1855"/>
    <d v="2025-03-08T00:00:00"/>
    <n v="19"/>
    <s v="T007"/>
    <x v="0"/>
    <n v="1055.6400000000001"/>
    <x v="3"/>
    <n v="950.08"/>
    <n v="2"/>
    <s v="Walk-in"/>
    <n v="950.08"/>
    <s v="OK"/>
    <x v="5"/>
    <x v="1"/>
    <s v="1–_x000a_10%"/>
    <x v="4"/>
    <x v="8"/>
  </r>
  <r>
    <x v="1856"/>
    <d v="2025-04-04T00:00:00"/>
    <n v="14"/>
    <s v="T022"/>
    <x v="0"/>
    <n v="929.23"/>
    <x v="1"/>
    <n v="929.23"/>
    <n v="2"/>
    <s v="Walk-in"/>
    <n v="929.23"/>
    <s v="OK"/>
    <x v="4"/>
    <x v="0"/>
    <s v="0%"/>
    <x v="4"/>
    <x v="8"/>
  </r>
  <r>
    <x v="1857"/>
    <d v="2025-05-05T00:00:00"/>
    <n v="18"/>
    <s v="T019"/>
    <x v="1"/>
    <n v="498.33"/>
    <x v="1"/>
    <n v="498.33"/>
    <n v="1"/>
    <s v="Walk-in"/>
    <n v="498.33"/>
    <s v="OK"/>
    <x v="1"/>
    <x v="0"/>
    <s v="0%"/>
    <x v="0"/>
    <x v="0"/>
  </r>
  <r>
    <x v="1858"/>
    <d v="2025-04-03T00:00:00"/>
    <n v="22"/>
    <s v="T025"/>
    <x v="0"/>
    <n v="1826.61"/>
    <x v="4"/>
    <n v="1461.29"/>
    <n v="6"/>
    <s v="Walk-in"/>
    <n v="1461.29"/>
    <s v="OK"/>
    <x v="4"/>
    <x v="0"/>
    <s v="11–20%"/>
    <x v="2"/>
    <x v="2"/>
  </r>
  <r>
    <x v="1859"/>
    <d v="2025-05-27T00:00:00"/>
    <n v="15"/>
    <s v="T024"/>
    <x v="1"/>
    <n v="1239.82"/>
    <x v="1"/>
    <n v="1239.82"/>
    <n v="5"/>
    <s v="Walk-in"/>
    <n v="1239.82"/>
    <s v="OK"/>
    <x v="1"/>
    <x v="0"/>
    <s v="0%"/>
    <x v="0"/>
    <x v="0"/>
  </r>
  <r>
    <x v="1860"/>
    <d v="2025-01-23T00:00:00"/>
    <n v="14"/>
    <s v="T012"/>
    <x v="0"/>
    <n v="2144.16"/>
    <x v="5"/>
    <n v="2036.95"/>
    <n v="1"/>
    <s v="Member"/>
    <n v="2036.95"/>
    <s v="OK"/>
    <x v="2"/>
    <x v="0"/>
    <s v="1–_x000a_10%"/>
    <x v="4"/>
    <x v="9"/>
  </r>
  <r>
    <x v="1861"/>
    <d v="2025-03-09T00:00:00"/>
    <n v="12"/>
    <s v="T028"/>
    <x v="0"/>
    <n v="1118.1500000000001"/>
    <x v="1"/>
    <n v="1118.1500000000001"/>
    <n v="3"/>
    <s v="Walk-in"/>
    <n v="1118.1500000000001"/>
    <s v="OK"/>
    <x v="5"/>
    <x v="1"/>
    <s v="0%"/>
    <x v="3"/>
    <x v="5"/>
  </r>
  <r>
    <x v="1862"/>
    <d v="2025-03-25T00:00:00"/>
    <n v="16"/>
    <s v="T023"/>
    <x v="2"/>
    <n v="1079.42"/>
    <x v="0"/>
    <n v="917.51"/>
    <n v="2"/>
    <s v="Walk-in"/>
    <n v="917.51"/>
    <s v="OK"/>
    <x v="5"/>
    <x v="0"/>
    <s v="11–20%"/>
    <x v="3"/>
    <x v="11"/>
  </r>
  <r>
    <x v="1863"/>
    <d v="2025-05-10T00:00:00"/>
    <n v="15"/>
    <s v="T024"/>
    <x v="0"/>
    <n v="1240.81"/>
    <x v="1"/>
    <n v="1240.81"/>
    <n v="2"/>
    <s v="Walk-in"/>
    <n v="1240.81"/>
    <s v="OK"/>
    <x v="1"/>
    <x v="1"/>
    <s v="0%"/>
    <x v="0"/>
    <x v="0"/>
  </r>
  <r>
    <x v="1864"/>
    <d v="2025-04-13T00:00:00"/>
    <n v="17"/>
    <s v="T015"/>
    <x v="2"/>
    <n v="602.84"/>
    <x v="1"/>
    <n v="602.84"/>
    <n v="2"/>
    <s v="Member"/>
    <n v="602.84"/>
    <s v="OK"/>
    <x v="4"/>
    <x v="1"/>
    <s v="0%"/>
    <x v="2"/>
    <x v="4"/>
  </r>
  <r>
    <x v="1865"/>
    <d v="2025-03-09T00:00:00"/>
    <n v="11"/>
    <s v="T002"/>
    <x v="2"/>
    <n v="2470.12"/>
    <x v="1"/>
    <n v="2470.12"/>
    <n v="2"/>
    <s v="Walk-in"/>
    <n v="2470.12"/>
    <s v="OK"/>
    <x v="5"/>
    <x v="1"/>
    <s v="0%"/>
    <x v="4"/>
    <x v="9"/>
  </r>
  <r>
    <x v="1866"/>
    <d v="2025-06-28T00:00:00"/>
    <n v="13"/>
    <s v="T020"/>
    <x v="0"/>
    <n v="1258.75"/>
    <x v="1"/>
    <n v="1258.75"/>
    <n v="5"/>
    <s v="Walk-in"/>
    <n v="1258.75"/>
    <s v="OK"/>
    <x v="3"/>
    <x v="1"/>
    <s v="0%"/>
    <x v="2"/>
    <x v="2"/>
  </r>
  <r>
    <x v="1867"/>
    <d v="2025-05-23T00:00:00"/>
    <n v="11"/>
    <s v="T030"/>
    <x v="3"/>
    <n v="1566.05"/>
    <x v="4"/>
    <n v="1252.8399999999999"/>
    <n v="4"/>
    <s v="Member"/>
    <n v="1252.8399999999999"/>
    <s v="OK"/>
    <x v="1"/>
    <x v="0"/>
    <s v="11–20%"/>
    <x v="2"/>
    <x v="2"/>
  </r>
  <r>
    <x v="1868"/>
    <d v="2025-02-19T00:00:00"/>
    <n v="11"/>
    <s v="T024"/>
    <x v="3"/>
    <n v="1796.69"/>
    <x v="1"/>
    <n v="1796.69"/>
    <n v="2"/>
    <s v="Walk-in"/>
    <n v="1796.69"/>
    <s v="OK"/>
    <x v="0"/>
    <x v="0"/>
    <s v="0%"/>
    <x v="0"/>
    <x v="0"/>
  </r>
  <r>
    <x v="1869"/>
    <d v="2025-05-06T00:00:00"/>
    <n v="12"/>
    <s v="T014"/>
    <x v="1"/>
    <n v="1428.36"/>
    <x v="1"/>
    <n v="1428.36"/>
    <n v="1"/>
    <s v="Walk-in"/>
    <n v="1428.36"/>
    <s v="OK"/>
    <x v="1"/>
    <x v="0"/>
    <s v="0%"/>
    <x v="0"/>
    <x v="6"/>
  </r>
  <r>
    <x v="1870"/>
    <d v="2025-02-24T00:00:00"/>
    <n v="13"/>
    <s v="T009"/>
    <x v="2"/>
    <n v="593.45000000000005"/>
    <x v="1"/>
    <n v="593.45000000000005"/>
    <n v="3"/>
    <s v="Walk-in"/>
    <n v="593.45000000000005"/>
    <s v="OK"/>
    <x v="0"/>
    <x v="0"/>
    <s v="0%"/>
    <x v="0"/>
    <x v="6"/>
  </r>
  <r>
    <x v="1871"/>
    <d v="2025-03-14T00:00:00"/>
    <n v="14"/>
    <s v="T025"/>
    <x v="0"/>
    <n v="321.22000000000003"/>
    <x v="4"/>
    <n v="256.98"/>
    <n v="4"/>
    <s v="Walk-in"/>
    <n v="256.98"/>
    <s v="OK"/>
    <x v="5"/>
    <x v="0"/>
    <s v="11–20%"/>
    <x v="2"/>
    <x v="2"/>
  </r>
  <r>
    <x v="1872"/>
    <d v="2025-02-12T00:00:00"/>
    <n v="18"/>
    <s v="T026"/>
    <x v="2"/>
    <n v="1804.6"/>
    <x v="3"/>
    <n v="1624.14"/>
    <n v="6"/>
    <s v="Member"/>
    <n v="1624.14"/>
    <s v="OK"/>
    <x v="0"/>
    <x v="0"/>
    <s v="1–_x000a_10%"/>
    <x v="1"/>
    <x v="10"/>
  </r>
  <r>
    <x v="1873"/>
    <d v="2025-03-28T00:00:00"/>
    <n v="20"/>
    <s v="T026"/>
    <x v="2"/>
    <n v="898.45"/>
    <x v="1"/>
    <n v="898.45"/>
    <n v="4"/>
    <s v="Walk-in"/>
    <n v="898.45"/>
    <s v="OK"/>
    <x v="5"/>
    <x v="0"/>
    <s v="0%"/>
    <x v="1"/>
    <x v="10"/>
  </r>
  <r>
    <x v="1874"/>
    <d v="2025-06-04T00:00:00"/>
    <n v="20"/>
    <s v="T026"/>
    <x v="1"/>
    <n v="1633.18"/>
    <x v="4"/>
    <n v="1306.54"/>
    <n v="1"/>
    <s v="Walk-in"/>
    <n v="1306.54"/>
    <s v="OK"/>
    <x v="3"/>
    <x v="0"/>
    <s v="11–20%"/>
    <x v="1"/>
    <x v="10"/>
  </r>
  <r>
    <x v="1875"/>
    <d v="2025-04-27T00:00:00"/>
    <n v="21"/>
    <s v="T009"/>
    <x v="2"/>
    <n v="523.92999999999995"/>
    <x v="1"/>
    <n v="523.92999999999995"/>
    <n v="3"/>
    <s v="Walk-in"/>
    <n v="523.92999999999995"/>
    <s v="OK"/>
    <x v="4"/>
    <x v="1"/>
    <s v="0%"/>
    <x v="0"/>
    <x v="6"/>
  </r>
  <r>
    <x v="1876"/>
    <d v="2025-03-18T00:00:00"/>
    <n v="16"/>
    <s v="T023"/>
    <x v="1"/>
    <n v="627.59"/>
    <x v="5"/>
    <n v="596.21"/>
    <n v="3"/>
    <s v="Member"/>
    <n v="596.21"/>
    <s v="OK"/>
    <x v="5"/>
    <x v="0"/>
    <s v="1–_x000a_10%"/>
    <x v="3"/>
    <x v="11"/>
  </r>
  <r>
    <x v="1877"/>
    <d v="2025-04-23T00:00:00"/>
    <n v="14"/>
    <s v="T020"/>
    <x v="2"/>
    <n v="505.31"/>
    <x v="0"/>
    <n v="429.51"/>
    <n v="4"/>
    <s v="Walk-in"/>
    <n v="429.51"/>
    <s v="OK"/>
    <x v="4"/>
    <x v="0"/>
    <s v="11–20%"/>
    <x v="2"/>
    <x v="2"/>
  </r>
  <r>
    <x v="1878"/>
    <d v="2025-01-30T00:00:00"/>
    <n v="22"/>
    <s v="T008"/>
    <x v="2"/>
    <n v="3720.81"/>
    <x v="3"/>
    <n v="3348.73"/>
    <n v="2"/>
    <s v="Walk-in"/>
    <n v="3348.73"/>
    <s v="OK"/>
    <x v="2"/>
    <x v="0"/>
    <s v="1–_x000a_10%"/>
    <x v="3"/>
    <x v="5"/>
  </r>
  <r>
    <x v="1879"/>
    <d v="2025-02-10T00:00:00"/>
    <n v="15"/>
    <s v="T027"/>
    <x v="1"/>
    <n v="1064.6600000000001"/>
    <x v="5"/>
    <n v="1011.43"/>
    <n v="2"/>
    <s v="Member"/>
    <n v="1011.43"/>
    <s v="OK"/>
    <x v="0"/>
    <x v="0"/>
    <s v="1–_x000a_10%"/>
    <x v="4"/>
    <x v="9"/>
  </r>
  <r>
    <x v="1880"/>
    <d v="2025-01-29T00:00:00"/>
    <n v="12"/>
    <s v="T028"/>
    <x v="2"/>
    <n v="776.46"/>
    <x v="1"/>
    <n v="776.46"/>
    <n v="4"/>
    <s v="Member"/>
    <n v="776.46"/>
    <s v="OK"/>
    <x v="2"/>
    <x v="0"/>
    <s v="0%"/>
    <x v="3"/>
    <x v="5"/>
  </r>
  <r>
    <x v="1881"/>
    <d v="2025-03-20T00:00:00"/>
    <n v="20"/>
    <s v="T005"/>
    <x v="1"/>
    <n v="1202.47"/>
    <x v="4"/>
    <n v="961.98"/>
    <n v="4"/>
    <s v="Member"/>
    <n v="961.98"/>
    <s v="OK"/>
    <x v="5"/>
    <x v="0"/>
    <s v="11–20%"/>
    <x v="2"/>
    <x v="4"/>
  </r>
  <r>
    <x v="1882"/>
    <d v="2025-02-12T00:00:00"/>
    <n v="17"/>
    <s v="T010"/>
    <x v="1"/>
    <n v="1407.3"/>
    <x v="3"/>
    <n v="1266.57"/>
    <n v="4"/>
    <s v="Walk-in"/>
    <n v="1266.57"/>
    <s v="OK"/>
    <x v="0"/>
    <x v="0"/>
    <s v="1–_x000a_10%"/>
    <x v="2"/>
    <x v="4"/>
  </r>
  <r>
    <x v="1883"/>
    <d v="2025-04-07T00:00:00"/>
    <n v="21"/>
    <s v="T006"/>
    <x v="3"/>
    <n v="1684.74"/>
    <x v="0"/>
    <n v="1432.03"/>
    <n v="1"/>
    <s v="Member"/>
    <n v="1432.03"/>
    <s v="OK"/>
    <x v="4"/>
    <x v="0"/>
    <s v="11–20%"/>
    <x v="1"/>
    <x v="1"/>
  </r>
  <r>
    <x v="1884"/>
    <d v="2025-02-12T00:00:00"/>
    <n v="22"/>
    <s v="T024"/>
    <x v="0"/>
    <n v="735.28"/>
    <x v="1"/>
    <n v="735.28"/>
    <n v="2"/>
    <s v="Walk-in"/>
    <n v="735.28"/>
    <s v="OK"/>
    <x v="0"/>
    <x v="0"/>
    <s v="0%"/>
    <x v="0"/>
    <x v="0"/>
  </r>
  <r>
    <x v="1885"/>
    <d v="2025-02-18T00:00:00"/>
    <n v="18"/>
    <s v="T004"/>
    <x v="0"/>
    <n v="2252.5500000000002"/>
    <x v="1"/>
    <n v="2252.5500000000002"/>
    <n v="1"/>
    <s v="Walk-in"/>
    <n v="2252.5500000000002"/>
    <s v="OK"/>
    <x v="0"/>
    <x v="0"/>
    <s v="0%"/>
    <x v="0"/>
    <x v="0"/>
  </r>
  <r>
    <x v="1886"/>
    <d v="2025-02-11T00:00:00"/>
    <n v="19"/>
    <s v="T029"/>
    <x v="0"/>
    <n v="775.32"/>
    <x v="2"/>
    <n v="542.72"/>
    <n v="4"/>
    <s v="Member"/>
    <n v="542.72"/>
    <s v="OK"/>
    <x v="0"/>
    <x v="0"/>
    <s v="&gt;20%"/>
    <x v="0"/>
    <x v="6"/>
  </r>
  <r>
    <x v="1887"/>
    <d v="2025-01-03T00:00:00"/>
    <n v="21"/>
    <s v="T025"/>
    <x v="0"/>
    <n v="1729.3"/>
    <x v="0"/>
    <n v="1469.9"/>
    <n v="1"/>
    <s v="Walk-in"/>
    <n v="1469.91"/>
    <s v="OK"/>
    <x v="2"/>
    <x v="0"/>
    <s v="11–20%"/>
    <x v="2"/>
    <x v="2"/>
  </r>
  <r>
    <x v="1888"/>
    <d v="2025-04-08T00:00:00"/>
    <n v="22"/>
    <s v="T029"/>
    <x v="0"/>
    <n v="414.11"/>
    <x v="3"/>
    <n v="372.7"/>
    <n v="1"/>
    <s v="Walk-in"/>
    <n v="372.7"/>
    <s v="OK"/>
    <x v="4"/>
    <x v="0"/>
    <s v="1–_x000a_10%"/>
    <x v="0"/>
    <x v="6"/>
  </r>
  <r>
    <x v="1889"/>
    <d v="2025-01-02T00:00:00"/>
    <n v="13"/>
    <s v="T029"/>
    <x v="2"/>
    <n v="1510.78"/>
    <x v="3"/>
    <n v="1359.7"/>
    <n v="2"/>
    <s v="Member"/>
    <n v="1359.7"/>
    <s v="OK"/>
    <x v="2"/>
    <x v="0"/>
    <s v="1–_x000a_10%"/>
    <x v="0"/>
    <x v="6"/>
  </r>
  <r>
    <x v="1890"/>
    <d v="2025-01-08T00:00:00"/>
    <n v="10"/>
    <s v="T014"/>
    <x v="3"/>
    <n v="3256.67"/>
    <x v="1"/>
    <n v="3256.67"/>
    <n v="1"/>
    <s v="Walk-in"/>
    <n v="3256.67"/>
    <s v="OK"/>
    <x v="2"/>
    <x v="0"/>
    <s v="0%"/>
    <x v="0"/>
    <x v="6"/>
  </r>
  <r>
    <x v="1891"/>
    <d v="2025-06-13T00:00:00"/>
    <n v="15"/>
    <s v="T021"/>
    <x v="2"/>
    <n v="636.54"/>
    <x v="5"/>
    <n v="604.71"/>
    <n v="1"/>
    <s v="Member"/>
    <n v="604.71"/>
    <s v="OK"/>
    <x v="3"/>
    <x v="0"/>
    <s v="1–_x000a_10%"/>
    <x v="1"/>
    <x v="1"/>
  </r>
  <r>
    <x v="1892"/>
    <d v="2025-03-14T00:00:00"/>
    <n v="13"/>
    <s v="T021"/>
    <x v="2"/>
    <n v="2321.9899999999998"/>
    <x v="0"/>
    <n v="1973.69"/>
    <n v="2"/>
    <s v="Walk-in"/>
    <n v="1973.69"/>
    <s v="OK"/>
    <x v="5"/>
    <x v="0"/>
    <s v="11–20%"/>
    <x v="1"/>
    <x v="1"/>
  </r>
  <r>
    <x v="1893"/>
    <d v="2025-06-02T00:00:00"/>
    <n v="20"/>
    <s v="T029"/>
    <x v="0"/>
    <n v="859.46"/>
    <x v="2"/>
    <n v="601.62"/>
    <n v="3"/>
    <s v="Walk-in"/>
    <n v="601.62"/>
    <s v="OK"/>
    <x v="3"/>
    <x v="0"/>
    <s v="&gt;20%"/>
    <x v="0"/>
    <x v="6"/>
  </r>
  <r>
    <x v="1894"/>
    <d v="2025-04-19T00:00:00"/>
    <n v="22"/>
    <s v="T006"/>
    <x v="0"/>
    <n v="1008.95"/>
    <x v="1"/>
    <n v="1008.95"/>
    <n v="3"/>
    <s v="Walk-in"/>
    <n v="1008.95"/>
    <s v="OK"/>
    <x v="4"/>
    <x v="1"/>
    <s v="0%"/>
    <x v="1"/>
    <x v="1"/>
  </r>
  <r>
    <x v="1895"/>
    <d v="2025-03-23T00:00:00"/>
    <n v="16"/>
    <s v="T030"/>
    <x v="0"/>
    <n v="1411.1"/>
    <x v="3"/>
    <n v="1269.99"/>
    <n v="2"/>
    <s v="Member"/>
    <n v="1269.99"/>
    <s v="OK"/>
    <x v="5"/>
    <x v="1"/>
    <s v="1–_x000a_10%"/>
    <x v="2"/>
    <x v="2"/>
  </r>
  <r>
    <x v="1896"/>
    <d v="2025-03-17T00:00:00"/>
    <n v="13"/>
    <s v="T027"/>
    <x v="0"/>
    <n v="760.02"/>
    <x v="3"/>
    <n v="684.02"/>
    <n v="4"/>
    <s v="Member"/>
    <n v="684.02"/>
    <s v="OK"/>
    <x v="5"/>
    <x v="0"/>
    <s v="1–_x000a_10%"/>
    <x v="4"/>
    <x v="9"/>
  </r>
  <r>
    <x v="1897"/>
    <d v="2025-06-07T00:00:00"/>
    <n v="14"/>
    <s v="T006"/>
    <x v="3"/>
    <n v="4057.96"/>
    <x v="3"/>
    <n v="3652.16"/>
    <n v="3"/>
    <s v="Walk-in"/>
    <n v="3652.16"/>
    <s v="OK"/>
    <x v="3"/>
    <x v="1"/>
    <s v="1–_x000a_10%"/>
    <x v="1"/>
    <x v="1"/>
  </r>
  <r>
    <x v="1898"/>
    <d v="2025-04-16T00:00:00"/>
    <n v="20"/>
    <s v="T009"/>
    <x v="3"/>
    <n v="539.13"/>
    <x v="5"/>
    <n v="512.16999999999996"/>
    <n v="2"/>
    <s v="Member"/>
    <n v="512.16999999999996"/>
    <s v="OK"/>
    <x v="4"/>
    <x v="0"/>
    <s v="1–_x000a_10%"/>
    <x v="0"/>
    <x v="6"/>
  </r>
  <r>
    <x v="1899"/>
    <d v="2025-02-18T00:00:00"/>
    <n v="10"/>
    <s v="T021"/>
    <x v="2"/>
    <n v="1243.6300000000001"/>
    <x v="0"/>
    <n v="1057.0899999999999"/>
    <n v="5"/>
    <s v="Member"/>
    <n v="1057.0899999999999"/>
    <s v="OK"/>
    <x v="0"/>
    <x v="0"/>
    <s v="11–20%"/>
    <x v="1"/>
    <x v="1"/>
  </r>
  <r>
    <x v="1900"/>
    <d v="2025-02-21T00:00:00"/>
    <n v="18"/>
    <s v="T019"/>
    <x v="2"/>
    <n v="489.99"/>
    <x v="3"/>
    <n v="440.99"/>
    <n v="3"/>
    <s v="Walk-in"/>
    <n v="440.99"/>
    <s v="OK"/>
    <x v="0"/>
    <x v="0"/>
    <s v="1–_x000a_10%"/>
    <x v="0"/>
    <x v="0"/>
  </r>
  <r>
    <x v="1901"/>
    <d v="2025-04-06T00:00:00"/>
    <n v="14"/>
    <s v="T012"/>
    <x v="0"/>
    <n v="2515.86"/>
    <x v="3"/>
    <n v="2264.27"/>
    <n v="1"/>
    <s v="Walk-in"/>
    <n v="2264.27"/>
    <s v="OK"/>
    <x v="4"/>
    <x v="1"/>
    <s v="1–_x000a_10%"/>
    <x v="4"/>
    <x v="9"/>
  </r>
  <r>
    <x v="1902"/>
    <d v="2025-06-23T00:00:00"/>
    <n v="21"/>
    <s v="T006"/>
    <x v="0"/>
    <n v="375.44"/>
    <x v="3"/>
    <n v="337.9"/>
    <n v="1"/>
    <s v="Member"/>
    <n v="337.9"/>
    <s v="OK"/>
    <x v="3"/>
    <x v="0"/>
    <s v="1–_x000a_10%"/>
    <x v="1"/>
    <x v="1"/>
  </r>
  <r>
    <x v="1903"/>
    <d v="2025-01-14T00:00:00"/>
    <n v="15"/>
    <s v="T013"/>
    <x v="0"/>
    <n v="1427.24"/>
    <x v="1"/>
    <n v="1427.24"/>
    <n v="3"/>
    <s v="Member"/>
    <n v="1427.24"/>
    <s v="OK"/>
    <x v="2"/>
    <x v="0"/>
    <s v="0%"/>
    <x v="3"/>
    <x v="11"/>
  </r>
  <r>
    <x v="1904"/>
    <d v="2025-04-17T00:00:00"/>
    <n v="21"/>
    <s v="T013"/>
    <x v="0"/>
    <n v="1103.5"/>
    <x v="1"/>
    <n v="1103.5"/>
    <n v="4"/>
    <s v="Walk-in"/>
    <n v="1103.5"/>
    <s v="OK"/>
    <x v="4"/>
    <x v="0"/>
    <s v="0%"/>
    <x v="3"/>
    <x v="11"/>
  </r>
  <r>
    <x v="1905"/>
    <d v="2025-03-11T00:00:00"/>
    <n v="21"/>
    <s v="T002"/>
    <x v="2"/>
    <n v="1060.8"/>
    <x v="0"/>
    <n v="901.68"/>
    <n v="1"/>
    <s v="Walk-in"/>
    <n v="901.68"/>
    <s v="OK"/>
    <x v="5"/>
    <x v="0"/>
    <s v="11–20%"/>
    <x v="4"/>
    <x v="9"/>
  </r>
  <r>
    <x v="1906"/>
    <d v="2025-04-20T00:00:00"/>
    <n v="11"/>
    <s v="T024"/>
    <x v="0"/>
    <n v="834.38"/>
    <x v="2"/>
    <n v="584.07000000000005"/>
    <n v="1"/>
    <s v="Member"/>
    <n v="584.07000000000005"/>
    <s v="OK"/>
    <x v="4"/>
    <x v="1"/>
    <s v="&gt;20%"/>
    <x v="0"/>
    <x v="0"/>
  </r>
  <r>
    <x v="1907"/>
    <d v="2025-01-23T00:00:00"/>
    <n v="22"/>
    <s v="T007"/>
    <x v="2"/>
    <n v="1620.53"/>
    <x v="1"/>
    <n v="1620.53"/>
    <n v="4"/>
    <s v="Walk-in"/>
    <n v="1620.53"/>
    <s v="OK"/>
    <x v="2"/>
    <x v="0"/>
    <s v="0%"/>
    <x v="4"/>
    <x v="8"/>
  </r>
  <r>
    <x v="1908"/>
    <d v="2025-06-23T00:00:00"/>
    <n v="21"/>
    <s v="T028"/>
    <x v="3"/>
    <n v="1148.1600000000001"/>
    <x v="3"/>
    <n v="1033.3399999999999"/>
    <n v="1"/>
    <s v="Member"/>
    <n v="1033.3399999999999"/>
    <s v="OK"/>
    <x v="3"/>
    <x v="0"/>
    <s v="1–_x000a_10%"/>
    <x v="3"/>
    <x v="5"/>
  </r>
  <r>
    <x v="1909"/>
    <d v="2025-03-03T00:00:00"/>
    <n v="15"/>
    <s v="T016"/>
    <x v="1"/>
    <n v="1064.6500000000001"/>
    <x v="3"/>
    <n v="958.19"/>
    <n v="2"/>
    <s v="Walk-in"/>
    <n v="958.19"/>
    <s v="OK"/>
    <x v="5"/>
    <x v="0"/>
    <s v="1–_x000a_10%"/>
    <x v="1"/>
    <x v="1"/>
  </r>
  <r>
    <x v="1910"/>
    <d v="2025-05-26T00:00:00"/>
    <n v="22"/>
    <s v="T013"/>
    <x v="2"/>
    <n v="301.72000000000003"/>
    <x v="1"/>
    <n v="301.72000000000003"/>
    <n v="2"/>
    <s v="Walk-in"/>
    <n v="301.72000000000003"/>
    <s v="OK"/>
    <x v="1"/>
    <x v="0"/>
    <s v="0%"/>
    <x v="3"/>
    <x v="11"/>
  </r>
  <r>
    <x v="1911"/>
    <d v="2025-01-09T00:00:00"/>
    <n v="14"/>
    <s v="T030"/>
    <x v="0"/>
    <n v="1293.23"/>
    <x v="3"/>
    <n v="1163.9100000000001"/>
    <n v="2"/>
    <s v="Walk-in"/>
    <n v="1163.9100000000001"/>
    <s v="OK"/>
    <x v="2"/>
    <x v="0"/>
    <s v="1–_x000a_10%"/>
    <x v="2"/>
    <x v="2"/>
  </r>
  <r>
    <x v="1912"/>
    <d v="2025-05-02T00:00:00"/>
    <n v="19"/>
    <s v="T023"/>
    <x v="0"/>
    <n v="259.01"/>
    <x v="3"/>
    <n v="233.11"/>
    <n v="3"/>
    <s v="Member"/>
    <n v="233.11"/>
    <s v="OK"/>
    <x v="1"/>
    <x v="0"/>
    <s v="1–_x000a_10%"/>
    <x v="3"/>
    <x v="11"/>
  </r>
  <r>
    <x v="1913"/>
    <d v="2025-01-24T00:00:00"/>
    <n v="13"/>
    <s v="T021"/>
    <x v="3"/>
    <n v="1005.8"/>
    <x v="0"/>
    <n v="854.93"/>
    <n v="4"/>
    <s v="Member"/>
    <n v="854.93"/>
    <s v="OK"/>
    <x v="2"/>
    <x v="0"/>
    <s v="11–20%"/>
    <x v="1"/>
    <x v="1"/>
  </r>
  <r>
    <x v="1914"/>
    <d v="2025-05-29T00:00:00"/>
    <n v="10"/>
    <s v="T019"/>
    <x v="0"/>
    <n v="972.02"/>
    <x v="3"/>
    <n v="874.82"/>
    <n v="1"/>
    <s v="Walk-in"/>
    <n v="874.82"/>
    <s v="OK"/>
    <x v="1"/>
    <x v="0"/>
    <s v="1–_x000a_10%"/>
    <x v="0"/>
    <x v="0"/>
  </r>
  <r>
    <x v="1915"/>
    <d v="2025-03-04T00:00:00"/>
    <n v="11"/>
    <s v="T030"/>
    <x v="2"/>
    <n v="311.37"/>
    <x v="4"/>
    <n v="249.1"/>
    <n v="2"/>
    <s v="Member"/>
    <n v="249.1"/>
    <s v="OK"/>
    <x v="5"/>
    <x v="0"/>
    <s v="11–20%"/>
    <x v="2"/>
    <x v="2"/>
  </r>
  <r>
    <x v="1916"/>
    <d v="2025-02-03T00:00:00"/>
    <n v="13"/>
    <s v="T028"/>
    <x v="0"/>
    <n v="509.8"/>
    <x v="1"/>
    <n v="509.8"/>
    <n v="2"/>
    <s v="Member"/>
    <n v="509.8"/>
    <s v="OK"/>
    <x v="0"/>
    <x v="0"/>
    <s v="0%"/>
    <x v="3"/>
    <x v="5"/>
  </r>
  <r>
    <x v="1917"/>
    <d v="2025-06-19T00:00:00"/>
    <n v="11"/>
    <s v="T015"/>
    <x v="0"/>
    <n v="796.75"/>
    <x v="3"/>
    <n v="717.08"/>
    <n v="3"/>
    <s v="Walk-in"/>
    <n v="717.08"/>
    <s v="OK"/>
    <x v="3"/>
    <x v="0"/>
    <s v="1–_x000a_10%"/>
    <x v="2"/>
    <x v="4"/>
  </r>
  <r>
    <x v="1918"/>
    <d v="2025-01-24T00:00:00"/>
    <n v="20"/>
    <s v="T027"/>
    <x v="2"/>
    <n v="777.38"/>
    <x v="0"/>
    <n v="660.77"/>
    <n v="2"/>
    <s v="Walk-in"/>
    <n v="660.77"/>
    <s v="OK"/>
    <x v="2"/>
    <x v="0"/>
    <s v="11–20%"/>
    <x v="4"/>
    <x v="9"/>
  </r>
  <r>
    <x v="1919"/>
    <d v="2025-01-27T00:00:00"/>
    <n v="12"/>
    <s v="T008"/>
    <x v="0"/>
    <n v="710.47"/>
    <x v="1"/>
    <n v="710.47"/>
    <n v="3"/>
    <s v="Member"/>
    <n v="710.47"/>
    <s v="OK"/>
    <x v="2"/>
    <x v="0"/>
    <s v="0%"/>
    <x v="3"/>
    <x v="5"/>
  </r>
  <r>
    <x v="1920"/>
    <d v="2025-04-30T00:00:00"/>
    <n v="10"/>
    <s v="T022"/>
    <x v="2"/>
    <n v="656.27"/>
    <x v="3"/>
    <n v="590.64"/>
    <n v="5"/>
    <s v="Member"/>
    <n v="590.64"/>
    <s v="OK"/>
    <x v="4"/>
    <x v="0"/>
    <s v="1–_x000a_10%"/>
    <x v="4"/>
    <x v="8"/>
  </r>
  <r>
    <x v="1921"/>
    <d v="2025-05-12T00:00:00"/>
    <n v="17"/>
    <s v="T017"/>
    <x v="0"/>
    <n v="303.77"/>
    <x v="1"/>
    <n v="303.77"/>
    <n v="1"/>
    <s v="Walk-in"/>
    <n v="303.77"/>
    <s v="OK"/>
    <x v="1"/>
    <x v="0"/>
    <s v="0%"/>
    <x v="4"/>
    <x v="8"/>
  </r>
  <r>
    <x v="1922"/>
    <d v="2025-02-27T00:00:00"/>
    <n v="22"/>
    <s v="T011"/>
    <x v="0"/>
    <n v="1386.44"/>
    <x v="3"/>
    <n v="1247.8"/>
    <n v="3"/>
    <s v="Walk-in"/>
    <n v="1247.8"/>
    <s v="OK"/>
    <x v="0"/>
    <x v="0"/>
    <s v="1–_x000a_10%"/>
    <x v="1"/>
    <x v="10"/>
  </r>
  <r>
    <x v="1923"/>
    <d v="2025-04-29T00:00:00"/>
    <n v="11"/>
    <s v="T015"/>
    <x v="3"/>
    <n v="645.91"/>
    <x v="1"/>
    <n v="645.91"/>
    <n v="2"/>
    <s v="Member"/>
    <n v="645.91"/>
    <s v="OK"/>
    <x v="4"/>
    <x v="0"/>
    <s v="0%"/>
    <x v="2"/>
    <x v="4"/>
  </r>
  <r>
    <x v="1924"/>
    <d v="2025-04-03T00:00:00"/>
    <n v="10"/>
    <s v="T005"/>
    <x v="0"/>
    <n v="1264.19"/>
    <x v="1"/>
    <n v="1264.19"/>
    <n v="4"/>
    <s v="Member"/>
    <n v="1264.19"/>
    <s v="OK"/>
    <x v="4"/>
    <x v="0"/>
    <s v="0%"/>
    <x v="2"/>
    <x v="4"/>
  </r>
  <r>
    <x v="1925"/>
    <d v="2025-05-24T00:00:00"/>
    <n v="16"/>
    <s v="T021"/>
    <x v="1"/>
    <n v="973.66"/>
    <x v="3"/>
    <n v="876.29"/>
    <n v="1"/>
    <s v="Walk-in"/>
    <n v="876.29"/>
    <s v="OK"/>
    <x v="1"/>
    <x v="1"/>
    <s v="1–_x000a_10%"/>
    <x v="1"/>
    <x v="1"/>
  </r>
  <r>
    <x v="1926"/>
    <d v="2025-03-03T00:00:00"/>
    <n v="20"/>
    <s v="T021"/>
    <x v="0"/>
    <n v="1525.91"/>
    <x v="0"/>
    <n v="1297.02"/>
    <n v="3"/>
    <s v="Walk-in"/>
    <n v="1297.02"/>
    <s v="OK"/>
    <x v="5"/>
    <x v="0"/>
    <s v="11–20%"/>
    <x v="1"/>
    <x v="1"/>
  </r>
  <r>
    <x v="1927"/>
    <d v="2025-02-26T00:00:00"/>
    <n v="21"/>
    <s v="T015"/>
    <x v="2"/>
    <n v="1024.1199999999999"/>
    <x v="1"/>
    <n v="1024.1199999999999"/>
    <n v="6"/>
    <s v="Member"/>
    <n v="1024.1199999999999"/>
    <s v="OK"/>
    <x v="0"/>
    <x v="0"/>
    <s v="0%"/>
    <x v="2"/>
    <x v="4"/>
  </r>
  <r>
    <x v="1928"/>
    <d v="2025-04-01T00:00:00"/>
    <n v="16"/>
    <s v="T015"/>
    <x v="2"/>
    <n v="1133.95"/>
    <x v="1"/>
    <n v="1133.95"/>
    <n v="5"/>
    <s v="Walk-in"/>
    <n v="1133.95"/>
    <s v="OK"/>
    <x v="4"/>
    <x v="0"/>
    <s v="0%"/>
    <x v="2"/>
    <x v="4"/>
  </r>
  <r>
    <x v="1929"/>
    <d v="2025-06-17T00:00:00"/>
    <n v="18"/>
    <s v="T026"/>
    <x v="2"/>
    <n v="880.18"/>
    <x v="1"/>
    <n v="880.18"/>
    <n v="5"/>
    <s v="Walk-in"/>
    <n v="880.18"/>
    <s v="OK"/>
    <x v="3"/>
    <x v="0"/>
    <s v="0%"/>
    <x v="1"/>
    <x v="10"/>
  </r>
  <r>
    <x v="1930"/>
    <d v="2025-01-02T00:00:00"/>
    <n v="22"/>
    <s v="T030"/>
    <x v="2"/>
    <n v="1138.6600000000001"/>
    <x v="3"/>
    <n v="1024.79"/>
    <n v="3"/>
    <s v="Member"/>
    <n v="1024.79"/>
    <s v="OK"/>
    <x v="2"/>
    <x v="0"/>
    <s v="1–_x000a_10%"/>
    <x v="2"/>
    <x v="2"/>
  </r>
  <r>
    <x v="1931"/>
    <d v="2025-04-10T00:00:00"/>
    <n v="11"/>
    <s v="T020"/>
    <x v="0"/>
    <n v="477.88"/>
    <x v="1"/>
    <n v="477.88"/>
    <n v="1"/>
    <s v="Walk-in"/>
    <n v="477.88"/>
    <s v="OK"/>
    <x v="4"/>
    <x v="0"/>
    <s v="0%"/>
    <x v="2"/>
    <x v="2"/>
  </r>
  <r>
    <x v="1932"/>
    <d v="2025-01-15T00:00:00"/>
    <n v="18"/>
    <s v="T029"/>
    <x v="0"/>
    <n v="964.61"/>
    <x v="4"/>
    <n v="771.69"/>
    <n v="1"/>
    <s v="Member"/>
    <n v="771.69"/>
    <s v="OK"/>
    <x v="2"/>
    <x v="0"/>
    <s v="11–20%"/>
    <x v="0"/>
    <x v="6"/>
  </r>
  <r>
    <x v="1933"/>
    <d v="2025-06-09T00:00:00"/>
    <n v="11"/>
    <s v="T009"/>
    <x v="1"/>
    <n v="1125.52"/>
    <x v="1"/>
    <n v="1125.52"/>
    <n v="3"/>
    <s v="Member"/>
    <n v="1125.52"/>
    <s v="OK"/>
    <x v="3"/>
    <x v="0"/>
    <s v="0%"/>
    <x v="0"/>
    <x v="6"/>
  </r>
  <r>
    <x v="1934"/>
    <d v="2025-04-18T00:00:00"/>
    <n v="20"/>
    <s v="T030"/>
    <x v="3"/>
    <n v="590.24"/>
    <x v="0"/>
    <n v="501.7"/>
    <n v="3"/>
    <s v="Walk-in"/>
    <n v="501.7"/>
    <s v="OK"/>
    <x v="4"/>
    <x v="0"/>
    <s v="11–20%"/>
    <x v="2"/>
    <x v="2"/>
  </r>
  <r>
    <x v="1935"/>
    <d v="2025-05-23T00:00:00"/>
    <n v="10"/>
    <s v="T005"/>
    <x v="0"/>
    <n v="1611.52"/>
    <x v="5"/>
    <n v="1530.94"/>
    <n v="1"/>
    <s v="Member"/>
    <n v="1530.94"/>
    <s v="OK"/>
    <x v="1"/>
    <x v="0"/>
    <s v="1–_x000a_10%"/>
    <x v="2"/>
    <x v="4"/>
  </r>
  <r>
    <x v="1936"/>
    <d v="2025-05-25T00:00:00"/>
    <n v="20"/>
    <s v="T009"/>
    <x v="2"/>
    <n v="705.91"/>
    <x v="1"/>
    <n v="705.91"/>
    <n v="3"/>
    <s v="Member"/>
    <n v="705.91"/>
    <s v="OK"/>
    <x v="1"/>
    <x v="1"/>
    <s v="0%"/>
    <x v="0"/>
    <x v="6"/>
  </r>
  <r>
    <x v="1937"/>
    <d v="2025-05-27T00:00:00"/>
    <n v="20"/>
    <s v="T013"/>
    <x v="2"/>
    <n v="807.06"/>
    <x v="1"/>
    <n v="807.06"/>
    <n v="5"/>
    <s v="Walk-in"/>
    <n v="807.06"/>
    <s v="OK"/>
    <x v="1"/>
    <x v="0"/>
    <s v="0%"/>
    <x v="3"/>
    <x v="11"/>
  </r>
  <r>
    <x v="1938"/>
    <d v="2025-01-04T00:00:00"/>
    <n v="10"/>
    <s v="T024"/>
    <x v="0"/>
    <n v="404.61"/>
    <x v="5"/>
    <n v="384.38"/>
    <n v="1"/>
    <s v="Walk-in"/>
    <n v="384.38"/>
    <s v="OK"/>
    <x v="2"/>
    <x v="1"/>
    <s v="1–_x000a_10%"/>
    <x v="0"/>
    <x v="0"/>
  </r>
  <r>
    <x v="1939"/>
    <d v="2025-04-30T00:00:00"/>
    <n v="22"/>
    <s v="T003"/>
    <x v="0"/>
    <n v="1668.66"/>
    <x v="1"/>
    <n v="1668.66"/>
    <n v="2"/>
    <s v="Member"/>
    <n v="1668.66"/>
    <s v="OK"/>
    <x v="4"/>
    <x v="0"/>
    <s v="0%"/>
    <x v="3"/>
    <x v="3"/>
  </r>
  <r>
    <x v="1940"/>
    <d v="2025-03-08T00:00:00"/>
    <n v="22"/>
    <s v="T020"/>
    <x v="2"/>
    <n v="2537.0300000000002"/>
    <x v="1"/>
    <n v="2537.0300000000002"/>
    <n v="2"/>
    <s v="Walk-in"/>
    <n v="2537.0300000000002"/>
    <s v="OK"/>
    <x v="5"/>
    <x v="1"/>
    <s v="0%"/>
    <x v="2"/>
    <x v="2"/>
  </r>
  <r>
    <x v="1941"/>
    <d v="2025-02-19T00:00:00"/>
    <n v="18"/>
    <s v="T014"/>
    <x v="2"/>
    <n v="554.27"/>
    <x v="1"/>
    <n v="554.27"/>
    <n v="1"/>
    <s v="Walk-in"/>
    <n v="554.27"/>
    <s v="OK"/>
    <x v="0"/>
    <x v="0"/>
    <s v="0%"/>
    <x v="0"/>
    <x v="6"/>
  </r>
  <r>
    <x v="1942"/>
    <d v="2025-01-24T00:00:00"/>
    <n v="17"/>
    <s v="T014"/>
    <x v="1"/>
    <n v="685.74"/>
    <x v="2"/>
    <n v="480.02"/>
    <n v="1"/>
    <s v="Walk-in"/>
    <n v="480.02"/>
    <s v="OK"/>
    <x v="2"/>
    <x v="0"/>
    <s v="&gt;20%"/>
    <x v="0"/>
    <x v="6"/>
  </r>
  <r>
    <x v="1943"/>
    <d v="2025-05-20T00:00:00"/>
    <n v="12"/>
    <s v="T019"/>
    <x v="2"/>
    <n v="1246"/>
    <x v="5"/>
    <n v="1183.7"/>
    <n v="3"/>
    <s v="Walk-in"/>
    <n v="1183.7"/>
    <s v="OK"/>
    <x v="1"/>
    <x v="0"/>
    <s v="1–_x000a_10%"/>
    <x v="0"/>
    <x v="0"/>
  </r>
  <r>
    <x v="1944"/>
    <d v="2025-03-06T00:00:00"/>
    <n v="19"/>
    <s v="T017"/>
    <x v="0"/>
    <n v="455.06"/>
    <x v="4"/>
    <n v="364.05"/>
    <n v="2"/>
    <s v="Walk-in"/>
    <n v="364.05"/>
    <s v="OK"/>
    <x v="5"/>
    <x v="0"/>
    <s v="11–20%"/>
    <x v="4"/>
    <x v="8"/>
  </r>
  <r>
    <x v="1945"/>
    <d v="2025-06-02T00:00:00"/>
    <n v="22"/>
    <s v="T023"/>
    <x v="0"/>
    <n v="877.49"/>
    <x v="1"/>
    <n v="877.49"/>
    <n v="1"/>
    <s v="Walk-in"/>
    <n v="877.49"/>
    <s v="OK"/>
    <x v="3"/>
    <x v="0"/>
    <s v="0%"/>
    <x v="3"/>
    <x v="11"/>
  </r>
  <r>
    <x v="1946"/>
    <d v="2025-03-08T00:00:00"/>
    <n v="17"/>
    <s v="T002"/>
    <x v="0"/>
    <n v="482.93"/>
    <x v="3"/>
    <n v="434.64"/>
    <n v="3"/>
    <s v="Walk-in"/>
    <n v="434.64"/>
    <s v="OK"/>
    <x v="5"/>
    <x v="1"/>
    <s v="1–_x000a_10%"/>
    <x v="4"/>
    <x v="9"/>
  </r>
  <r>
    <x v="1947"/>
    <d v="2025-03-15T00:00:00"/>
    <n v="22"/>
    <s v="T002"/>
    <x v="0"/>
    <n v="237.63"/>
    <x v="2"/>
    <n v="166.34"/>
    <n v="3"/>
    <s v="Walk-in"/>
    <n v="166.34"/>
    <s v="OK"/>
    <x v="5"/>
    <x v="1"/>
    <s v="&gt;20%"/>
    <x v="4"/>
    <x v="9"/>
  </r>
  <r>
    <x v="1948"/>
    <d v="2025-01-29T00:00:00"/>
    <n v="20"/>
    <s v="T022"/>
    <x v="1"/>
    <n v="563.03"/>
    <x v="1"/>
    <n v="563.03"/>
    <n v="4"/>
    <s v="Member"/>
    <n v="563.03"/>
    <s v="OK"/>
    <x v="2"/>
    <x v="0"/>
    <s v="0%"/>
    <x v="4"/>
    <x v="8"/>
  </r>
  <r>
    <x v="1949"/>
    <d v="2025-01-09T00:00:00"/>
    <n v="18"/>
    <s v="T017"/>
    <x v="0"/>
    <n v="3575.8"/>
    <x v="3"/>
    <n v="3218.22"/>
    <n v="4"/>
    <s v="Walk-in"/>
    <n v="3218.22"/>
    <s v="OK"/>
    <x v="2"/>
    <x v="0"/>
    <s v="1–_x000a_10%"/>
    <x v="4"/>
    <x v="8"/>
  </r>
  <r>
    <x v="1950"/>
    <d v="2025-01-20T00:00:00"/>
    <n v="12"/>
    <s v="T022"/>
    <x v="3"/>
    <n v="1225.8699999999999"/>
    <x v="3"/>
    <n v="1103.28"/>
    <n v="1"/>
    <s v="Walk-in"/>
    <n v="1103.28"/>
    <s v="OK"/>
    <x v="2"/>
    <x v="0"/>
    <s v="1–_x000a_10%"/>
    <x v="4"/>
    <x v="8"/>
  </r>
  <r>
    <x v="1951"/>
    <d v="2025-01-27T00:00:00"/>
    <n v="21"/>
    <s v="T011"/>
    <x v="0"/>
    <n v="1155.17"/>
    <x v="3"/>
    <n v="1039.6500000000001"/>
    <n v="2"/>
    <s v="Walk-in"/>
    <n v="1039.6500000000001"/>
    <s v="OK"/>
    <x v="2"/>
    <x v="0"/>
    <s v="1–_x000a_10%"/>
    <x v="1"/>
    <x v="10"/>
  </r>
  <r>
    <x v="1952"/>
    <d v="2025-06-04T00:00:00"/>
    <n v="22"/>
    <s v="T003"/>
    <x v="0"/>
    <n v="497.89"/>
    <x v="2"/>
    <n v="348.52"/>
    <n v="1"/>
    <s v="Walk-in"/>
    <n v="348.52"/>
    <s v="OK"/>
    <x v="3"/>
    <x v="0"/>
    <s v="&gt;20%"/>
    <x v="3"/>
    <x v="3"/>
  </r>
  <r>
    <x v="1953"/>
    <d v="2025-03-01T00:00:00"/>
    <n v="16"/>
    <s v="T011"/>
    <x v="0"/>
    <n v="1376.49"/>
    <x v="5"/>
    <n v="1307.67"/>
    <n v="2"/>
    <s v="Member"/>
    <n v="1307.67"/>
    <s v="OK"/>
    <x v="5"/>
    <x v="1"/>
    <s v="1–_x000a_10%"/>
    <x v="1"/>
    <x v="10"/>
  </r>
  <r>
    <x v="1954"/>
    <d v="2025-06-20T00:00:00"/>
    <n v="11"/>
    <s v="T025"/>
    <x v="0"/>
    <n v="336.22"/>
    <x v="1"/>
    <n v="336.22"/>
    <n v="2"/>
    <s v="Walk-in"/>
    <n v="336.22"/>
    <s v="OK"/>
    <x v="3"/>
    <x v="0"/>
    <s v="0%"/>
    <x v="2"/>
    <x v="2"/>
  </r>
  <r>
    <x v="1955"/>
    <d v="2025-03-24T00:00:00"/>
    <n v="22"/>
    <s v="T018"/>
    <x v="2"/>
    <n v="1662.62"/>
    <x v="3"/>
    <n v="1496.36"/>
    <n v="1"/>
    <s v="Walk-in"/>
    <n v="1496.36"/>
    <s v="OK"/>
    <x v="5"/>
    <x v="0"/>
    <s v="1–_x000a_10%"/>
    <x v="3"/>
    <x v="3"/>
  </r>
  <r>
    <x v="1956"/>
    <d v="2025-04-16T00:00:00"/>
    <n v="16"/>
    <s v="T026"/>
    <x v="0"/>
    <n v="601.07000000000005"/>
    <x v="4"/>
    <n v="480.86"/>
    <n v="5"/>
    <s v="Member"/>
    <n v="480.86"/>
    <s v="OK"/>
    <x v="4"/>
    <x v="0"/>
    <s v="11–20%"/>
    <x v="1"/>
    <x v="10"/>
  </r>
  <r>
    <x v="1957"/>
    <d v="2025-05-10T00:00:00"/>
    <n v="17"/>
    <s v="T026"/>
    <x v="1"/>
    <n v="1322.24"/>
    <x v="4"/>
    <n v="1057.79"/>
    <n v="1"/>
    <s v="Walk-in"/>
    <n v="1057.79"/>
    <s v="OK"/>
    <x v="1"/>
    <x v="1"/>
    <s v="11–20%"/>
    <x v="1"/>
    <x v="10"/>
  </r>
  <r>
    <x v="1958"/>
    <d v="2025-02-24T00:00:00"/>
    <n v="13"/>
    <s v="T007"/>
    <x v="1"/>
    <n v="861.76"/>
    <x v="3"/>
    <n v="775.58"/>
    <n v="2"/>
    <s v="Walk-in"/>
    <n v="775.58"/>
    <s v="OK"/>
    <x v="0"/>
    <x v="0"/>
    <s v="1–_x000a_10%"/>
    <x v="4"/>
    <x v="8"/>
  </r>
  <r>
    <x v="1959"/>
    <d v="2025-02-02T00:00:00"/>
    <n v="22"/>
    <s v="T021"/>
    <x v="0"/>
    <n v="894.5"/>
    <x v="3"/>
    <n v="805.05"/>
    <n v="1"/>
    <s v="Member"/>
    <n v="805.05"/>
    <s v="OK"/>
    <x v="0"/>
    <x v="1"/>
    <s v="1–_x000a_10%"/>
    <x v="1"/>
    <x v="1"/>
  </r>
  <r>
    <x v="1960"/>
    <d v="2025-05-25T00:00:00"/>
    <n v="18"/>
    <s v="T010"/>
    <x v="0"/>
    <n v="2316.66"/>
    <x v="5"/>
    <n v="2200.83"/>
    <n v="3"/>
    <s v="Walk-in"/>
    <n v="2200.83"/>
    <s v="OK"/>
    <x v="1"/>
    <x v="1"/>
    <s v="1–_x000a_10%"/>
    <x v="2"/>
    <x v="4"/>
  </r>
  <r>
    <x v="1961"/>
    <d v="2025-05-05T00:00:00"/>
    <n v="12"/>
    <s v="T022"/>
    <x v="2"/>
    <n v="1281.3599999999999"/>
    <x v="1"/>
    <n v="1281.3599999999999"/>
    <n v="3"/>
    <s v="Member"/>
    <n v="1281.3599999999999"/>
    <s v="OK"/>
    <x v="1"/>
    <x v="0"/>
    <s v="0%"/>
    <x v="4"/>
    <x v="8"/>
  </r>
  <r>
    <x v="1962"/>
    <d v="2025-05-18T00:00:00"/>
    <n v="13"/>
    <s v="T011"/>
    <x v="2"/>
    <n v="1050.57"/>
    <x v="1"/>
    <n v="1050.57"/>
    <n v="1"/>
    <s v="Walk-in"/>
    <n v="1050.57"/>
    <s v="OK"/>
    <x v="1"/>
    <x v="1"/>
    <s v="0%"/>
    <x v="1"/>
    <x v="10"/>
  </r>
  <r>
    <x v="1963"/>
    <d v="2025-05-11T00:00:00"/>
    <n v="16"/>
    <s v="T027"/>
    <x v="2"/>
    <n v="4550.3999999999996"/>
    <x v="4"/>
    <n v="3640.32"/>
    <n v="3"/>
    <s v="Member"/>
    <n v="3640.32"/>
    <s v="OK"/>
    <x v="1"/>
    <x v="1"/>
    <s v="11–20%"/>
    <x v="4"/>
    <x v="9"/>
  </r>
  <r>
    <x v="1964"/>
    <d v="2025-06-21T00:00:00"/>
    <n v="13"/>
    <s v="T005"/>
    <x v="2"/>
    <n v="524.94000000000005"/>
    <x v="3"/>
    <n v="472.45"/>
    <n v="2"/>
    <s v="Member"/>
    <n v="472.45"/>
    <s v="OK"/>
    <x v="3"/>
    <x v="1"/>
    <s v="1–_x000a_10%"/>
    <x v="2"/>
    <x v="4"/>
  </r>
  <r>
    <x v="1965"/>
    <d v="2025-02-19T00:00:00"/>
    <n v="20"/>
    <s v="T017"/>
    <x v="2"/>
    <n v="382.34"/>
    <x v="5"/>
    <n v="363.22"/>
    <n v="2"/>
    <s v="Walk-in"/>
    <n v="363.22"/>
    <s v="OK"/>
    <x v="0"/>
    <x v="0"/>
    <s v="1–_x000a_10%"/>
    <x v="4"/>
    <x v="8"/>
  </r>
  <r>
    <x v="1966"/>
    <d v="2025-05-30T00:00:00"/>
    <n v="15"/>
    <s v="T025"/>
    <x v="1"/>
    <n v="1389.81"/>
    <x v="5"/>
    <n v="1320.32"/>
    <n v="1"/>
    <s v="Member"/>
    <n v="1320.32"/>
    <s v="OK"/>
    <x v="1"/>
    <x v="0"/>
    <s v="1–_x000a_10%"/>
    <x v="2"/>
    <x v="2"/>
  </r>
  <r>
    <x v="1967"/>
    <d v="2025-06-22T00:00:00"/>
    <n v="14"/>
    <s v="T020"/>
    <x v="1"/>
    <n v="1054.81"/>
    <x v="4"/>
    <n v="843.85"/>
    <n v="1"/>
    <s v="Walk-in"/>
    <n v="843.85"/>
    <s v="OK"/>
    <x v="3"/>
    <x v="1"/>
    <s v="11–20%"/>
    <x v="2"/>
    <x v="2"/>
  </r>
  <r>
    <x v="1968"/>
    <d v="2025-04-13T00:00:00"/>
    <n v="21"/>
    <s v="T001"/>
    <x v="2"/>
    <n v="1718.44"/>
    <x v="1"/>
    <n v="1718.44"/>
    <n v="1"/>
    <s v="Member"/>
    <n v="1718.44"/>
    <s v="OK"/>
    <x v="4"/>
    <x v="1"/>
    <s v="0%"/>
    <x v="1"/>
    <x v="7"/>
  </r>
  <r>
    <x v="1969"/>
    <d v="2025-04-07T00:00:00"/>
    <n v="20"/>
    <s v="T028"/>
    <x v="0"/>
    <n v="1027.9100000000001"/>
    <x v="1"/>
    <n v="1027.9100000000001"/>
    <n v="1"/>
    <s v="Walk-in"/>
    <n v="1027.9100000000001"/>
    <s v="OK"/>
    <x v="4"/>
    <x v="0"/>
    <s v="0%"/>
    <x v="3"/>
    <x v="5"/>
  </r>
  <r>
    <x v="1970"/>
    <d v="2025-03-23T00:00:00"/>
    <n v="22"/>
    <s v="T014"/>
    <x v="2"/>
    <n v="585.22"/>
    <x v="0"/>
    <n v="497.44"/>
    <n v="1"/>
    <s v="Walk-in"/>
    <n v="497.44"/>
    <s v="OK"/>
    <x v="5"/>
    <x v="1"/>
    <s v="11–20%"/>
    <x v="0"/>
    <x v="6"/>
  </r>
  <r>
    <x v="1971"/>
    <d v="2025-01-16T00:00:00"/>
    <n v="10"/>
    <s v="T026"/>
    <x v="2"/>
    <n v="606.41999999999996"/>
    <x v="3"/>
    <n v="545.78"/>
    <n v="4"/>
    <s v="Member"/>
    <n v="545.78"/>
    <s v="OK"/>
    <x v="2"/>
    <x v="0"/>
    <s v="1–_x000a_10%"/>
    <x v="1"/>
    <x v="10"/>
  </r>
  <r>
    <x v="1972"/>
    <d v="2025-01-17T00:00:00"/>
    <n v="10"/>
    <s v="T013"/>
    <x v="2"/>
    <n v="1599.54"/>
    <x v="4"/>
    <n v="1279.6300000000001"/>
    <n v="3"/>
    <s v="Walk-in"/>
    <n v="1279.6300000000001"/>
    <s v="OK"/>
    <x v="2"/>
    <x v="0"/>
    <s v="11–20%"/>
    <x v="3"/>
    <x v="11"/>
  </r>
  <r>
    <x v="1973"/>
    <d v="2025-03-31T00:00:00"/>
    <n v="21"/>
    <s v="T018"/>
    <x v="2"/>
    <n v="1919.69"/>
    <x v="1"/>
    <n v="1919.69"/>
    <n v="2"/>
    <s v="Member"/>
    <n v="1919.69"/>
    <s v="OK"/>
    <x v="5"/>
    <x v="0"/>
    <s v="0%"/>
    <x v="3"/>
    <x v="3"/>
  </r>
  <r>
    <x v="1974"/>
    <d v="2025-01-31T00:00:00"/>
    <n v="10"/>
    <s v="T025"/>
    <x v="0"/>
    <n v="244.94"/>
    <x v="1"/>
    <n v="244.94"/>
    <n v="1"/>
    <s v="Walk-in"/>
    <n v="244.94"/>
    <s v="OK"/>
    <x v="2"/>
    <x v="0"/>
    <s v="0%"/>
    <x v="2"/>
    <x v="2"/>
  </r>
  <r>
    <x v="1975"/>
    <d v="2025-05-02T00:00:00"/>
    <n v="19"/>
    <s v="T010"/>
    <x v="2"/>
    <n v="873.37"/>
    <x v="1"/>
    <n v="873.37"/>
    <n v="1"/>
    <s v="Walk-in"/>
    <n v="873.37"/>
    <s v="OK"/>
    <x v="1"/>
    <x v="0"/>
    <s v="0%"/>
    <x v="2"/>
    <x v="4"/>
  </r>
  <r>
    <x v="1976"/>
    <d v="2025-03-28T00:00:00"/>
    <n v="12"/>
    <s v="T009"/>
    <x v="0"/>
    <n v="3061.66"/>
    <x v="1"/>
    <n v="3061.66"/>
    <n v="3"/>
    <s v="Walk-in"/>
    <n v="3061.66"/>
    <s v="OK"/>
    <x v="5"/>
    <x v="0"/>
    <s v="0%"/>
    <x v="0"/>
    <x v="6"/>
  </r>
  <r>
    <x v="1977"/>
    <d v="2025-01-18T00:00:00"/>
    <n v="16"/>
    <s v="T008"/>
    <x v="2"/>
    <n v="382.73"/>
    <x v="1"/>
    <n v="382.73"/>
    <n v="2"/>
    <s v="Walk-in"/>
    <n v="382.73"/>
    <s v="OK"/>
    <x v="2"/>
    <x v="1"/>
    <s v="0%"/>
    <x v="3"/>
    <x v="5"/>
  </r>
  <r>
    <x v="1978"/>
    <d v="2025-02-13T00:00:00"/>
    <n v="11"/>
    <s v="T015"/>
    <x v="0"/>
    <n v="1055.18"/>
    <x v="0"/>
    <n v="896.9"/>
    <n v="5"/>
    <s v="Walk-in"/>
    <n v="896.9"/>
    <s v="OK"/>
    <x v="0"/>
    <x v="0"/>
    <s v="11–20%"/>
    <x v="2"/>
    <x v="4"/>
  </r>
  <r>
    <x v="1979"/>
    <d v="2025-01-18T00:00:00"/>
    <n v="17"/>
    <s v="T024"/>
    <x v="1"/>
    <n v="1974.8"/>
    <x v="1"/>
    <n v="1974.8"/>
    <n v="2"/>
    <s v="Walk-in"/>
    <n v="1974.8"/>
    <s v="OK"/>
    <x v="2"/>
    <x v="1"/>
    <s v="0%"/>
    <x v="0"/>
    <x v="0"/>
  </r>
  <r>
    <x v="1980"/>
    <d v="2025-02-18T00:00:00"/>
    <n v="15"/>
    <s v="T010"/>
    <x v="0"/>
    <n v="642.03"/>
    <x v="1"/>
    <n v="642.03"/>
    <n v="2"/>
    <s v="Walk-in"/>
    <n v="642.03"/>
    <s v="OK"/>
    <x v="0"/>
    <x v="0"/>
    <s v="0%"/>
    <x v="2"/>
    <x v="4"/>
  </r>
  <r>
    <x v="1981"/>
    <d v="2025-01-12T00:00:00"/>
    <n v="10"/>
    <s v="T020"/>
    <x v="0"/>
    <n v="769.46"/>
    <x v="1"/>
    <n v="769.46"/>
    <n v="1"/>
    <s v="Member"/>
    <n v="769.46"/>
    <s v="OK"/>
    <x v="2"/>
    <x v="1"/>
    <s v="0%"/>
    <x v="2"/>
    <x v="2"/>
  </r>
  <r>
    <x v="1982"/>
    <d v="2025-06-02T00:00:00"/>
    <n v="20"/>
    <s v="T018"/>
    <x v="1"/>
    <n v="2656.39"/>
    <x v="3"/>
    <n v="2390.75"/>
    <n v="3"/>
    <s v="Walk-in"/>
    <n v="2390.75"/>
    <s v="OK"/>
    <x v="3"/>
    <x v="0"/>
    <s v="1–_x000a_10%"/>
    <x v="3"/>
    <x v="3"/>
  </r>
  <r>
    <x v="1983"/>
    <d v="2025-02-19T00:00:00"/>
    <n v="12"/>
    <s v="T004"/>
    <x v="0"/>
    <n v="415.16"/>
    <x v="5"/>
    <n v="394.4"/>
    <n v="3"/>
    <s v="Member"/>
    <n v="394.4"/>
    <s v="OK"/>
    <x v="0"/>
    <x v="0"/>
    <s v="1–_x000a_10%"/>
    <x v="0"/>
    <x v="0"/>
  </r>
  <r>
    <x v="1984"/>
    <d v="2025-06-29T00:00:00"/>
    <n v="17"/>
    <s v="T005"/>
    <x v="0"/>
    <n v="853.09"/>
    <x v="1"/>
    <n v="853.09"/>
    <n v="2"/>
    <s v="Member"/>
    <n v="853.09"/>
    <s v="OK"/>
    <x v="3"/>
    <x v="1"/>
    <s v="0%"/>
    <x v="2"/>
    <x v="4"/>
  </r>
  <r>
    <x v="1985"/>
    <d v="2025-03-21T00:00:00"/>
    <n v="17"/>
    <s v="T022"/>
    <x v="2"/>
    <n v="588.86"/>
    <x v="4"/>
    <n v="471.09"/>
    <n v="2"/>
    <s v="Walk-in"/>
    <n v="471.09"/>
    <s v="OK"/>
    <x v="5"/>
    <x v="0"/>
    <s v="11–20%"/>
    <x v="4"/>
    <x v="8"/>
  </r>
  <r>
    <x v="1986"/>
    <d v="2025-02-19T00:00:00"/>
    <n v="18"/>
    <s v="T028"/>
    <x v="0"/>
    <n v="3831.21"/>
    <x v="1"/>
    <n v="3831.21"/>
    <n v="3"/>
    <s v="Member"/>
    <n v="3831.21"/>
    <s v="OK"/>
    <x v="0"/>
    <x v="0"/>
    <s v="0%"/>
    <x v="3"/>
    <x v="5"/>
  </r>
  <r>
    <x v="1987"/>
    <d v="2025-05-18T00:00:00"/>
    <n v="11"/>
    <s v="T004"/>
    <x v="2"/>
    <n v="1473.5"/>
    <x v="3"/>
    <n v="1326.15"/>
    <n v="4"/>
    <s v="Walk-in"/>
    <n v="1326.15"/>
    <s v="OK"/>
    <x v="1"/>
    <x v="1"/>
    <s v="1–_x000a_10%"/>
    <x v="0"/>
    <x v="0"/>
  </r>
  <r>
    <x v="1988"/>
    <d v="2025-04-12T00:00:00"/>
    <n v="18"/>
    <s v="T014"/>
    <x v="1"/>
    <n v="4969.74"/>
    <x v="1"/>
    <n v="4969.74"/>
    <n v="2"/>
    <s v="Walk-in"/>
    <n v="4969.74"/>
    <s v="OK"/>
    <x v="4"/>
    <x v="1"/>
    <s v="0%"/>
    <x v="0"/>
    <x v="6"/>
  </r>
  <r>
    <x v="1989"/>
    <d v="2025-01-31T00:00:00"/>
    <n v="10"/>
    <s v="T007"/>
    <x v="2"/>
    <n v="503.38"/>
    <x v="1"/>
    <n v="503.38"/>
    <n v="4"/>
    <s v="Walk-in"/>
    <n v="503.38"/>
    <s v="OK"/>
    <x v="2"/>
    <x v="0"/>
    <s v="0%"/>
    <x v="4"/>
    <x v="8"/>
  </r>
  <r>
    <x v="1990"/>
    <d v="2025-02-11T00:00:00"/>
    <n v="19"/>
    <s v="T003"/>
    <x v="2"/>
    <n v="377.39"/>
    <x v="1"/>
    <n v="377.39"/>
    <n v="1"/>
    <s v="Walk-in"/>
    <n v="377.39"/>
    <s v="OK"/>
    <x v="0"/>
    <x v="0"/>
    <s v="0%"/>
    <x v="3"/>
    <x v="3"/>
  </r>
  <r>
    <x v="1991"/>
    <d v="2025-04-26T00:00:00"/>
    <n v="18"/>
    <s v="T027"/>
    <x v="2"/>
    <n v="1170.49"/>
    <x v="1"/>
    <n v="1170.49"/>
    <n v="2"/>
    <s v="Member"/>
    <n v="1170.49"/>
    <s v="OK"/>
    <x v="4"/>
    <x v="1"/>
    <s v="0%"/>
    <x v="4"/>
    <x v="9"/>
  </r>
  <r>
    <x v="1992"/>
    <d v="2025-06-18T00:00:00"/>
    <n v="15"/>
    <s v="T007"/>
    <x v="0"/>
    <n v="772.79"/>
    <x v="1"/>
    <n v="772.79"/>
    <n v="2"/>
    <s v="Walk-in"/>
    <n v="772.79"/>
    <s v="OK"/>
    <x v="3"/>
    <x v="0"/>
    <s v="0%"/>
    <x v="4"/>
    <x v="8"/>
  </r>
  <r>
    <x v="1993"/>
    <d v="2025-05-28T00:00:00"/>
    <n v="14"/>
    <s v="T006"/>
    <x v="2"/>
    <n v="2033.15"/>
    <x v="1"/>
    <n v="2033.15"/>
    <n v="2"/>
    <s v="Walk-in"/>
    <n v="2033.15"/>
    <s v="OK"/>
    <x v="1"/>
    <x v="0"/>
    <s v="0%"/>
    <x v="1"/>
    <x v="1"/>
  </r>
  <r>
    <x v="1994"/>
    <d v="2025-04-06T00:00:00"/>
    <n v="12"/>
    <s v="T014"/>
    <x v="1"/>
    <n v="1417.25"/>
    <x v="1"/>
    <n v="1417.25"/>
    <n v="1"/>
    <s v="Walk-in"/>
    <n v="1417.25"/>
    <s v="OK"/>
    <x v="4"/>
    <x v="1"/>
    <s v="0%"/>
    <x v="0"/>
    <x v="6"/>
  </r>
  <r>
    <x v="1995"/>
    <d v="2025-02-05T00:00:00"/>
    <n v="10"/>
    <s v="T016"/>
    <x v="2"/>
    <n v="849.55"/>
    <x v="1"/>
    <n v="849.55"/>
    <n v="1"/>
    <s v="Walk-in"/>
    <n v="849.55"/>
    <s v="OK"/>
    <x v="0"/>
    <x v="0"/>
    <s v="0%"/>
    <x v="1"/>
    <x v="1"/>
  </r>
  <r>
    <x v="1996"/>
    <d v="2025-02-01T00:00:00"/>
    <n v="13"/>
    <s v="T028"/>
    <x v="0"/>
    <n v="1395.61"/>
    <x v="1"/>
    <n v="1395.61"/>
    <n v="1"/>
    <s v="Walk-in"/>
    <n v="1395.61"/>
    <s v="OK"/>
    <x v="0"/>
    <x v="1"/>
    <s v="0%"/>
    <x v="3"/>
    <x v="5"/>
  </r>
  <r>
    <x v="1997"/>
    <d v="2025-05-24T00:00:00"/>
    <n v="20"/>
    <s v="T011"/>
    <x v="2"/>
    <n v="1888.98"/>
    <x v="0"/>
    <n v="1605.63"/>
    <n v="2"/>
    <s v="Member"/>
    <n v="1605.63"/>
    <s v="OK"/>
    <x v="1"/>
    <x v="1"/>
    <s v="11–20%"/>
    <x v="1"/>
    <x v="10"/>
  </r>
  <r>
    <x v="1998"/>
    <d v="2025-06-20T00:00:00"/>
    <n v="19"/>
    <s v="T022"/>
    <x v="1"/>
    <n v="332.3"/>
    <x v="1"/>
    <n v="332.3"/>
    <n v="1"/>
    <s v="Member"/>
    <n v="332.3"/>
    <s v="OK"/>
    <x v="3"/>
    <x v="0"/>
    <s v="0%"/>
    <x v="4"/>
    <x v="8"/>
  </r>
  <r>
    <x v="1999"/>
    <d v="2025-02-27T00:00:00"/>
    <n v="11"/>
    <s v="T013"/>
    <x v="2"/>
    <n v="1548.11"/>
    <x v="2"/>
    <n v="1083.68"/>
    <n v="3"/>
    <s v="Walk-in"/>
    <n v="1083.68"/>
    <s v="OK"/>
    <x v="0"/>
    <x v="0"/>
    <s v="&gt;20%"/>
    <x v="3"/>
    <x v="11"/>
  </r>
  <r>
    <x v="2000"/>
    <d v="2025-01-27T00:00:00"/>
    <n v="12"/>
    <s v="T011"/>
    <x v="2"/>
    <n v="787.31"/>
    <x v="2"/>
    <n v="551.12"/>
    <n v="2"/>
    <s v="Walk-in"/>
    <n v="551.12"/>
    <s v="OK"/>
    <x v="2"/>
    <x v="0"/>
    <s v="&gt;20%"/>
    <x v="1"/>
    <x v="10"/>
  </r>
  <r>
    <x v="2001"/>
    <d v="2025-05-14T00:00:00"/>
    <n v="11"/>
    <s v="T025"/>
    <x v="1"/>
    <n v="2271.13"/>
    <x v="3"/>
    <n v="2044.02"/>
    <n v="3"/>
    <s v="Member"/>
    <n v="2044.02"/>
    <s v="OK"/>
    <x v="1"/>
    <x v="0"/>
    <s v="1–_x000a_10%"/>
    <x v="2"/>
    <x v="2"/>
  </r>
  <r>
    <x v="2002"/>
    <d v="2025-03-23T00:00:00"/>
    <n v="20"/>
    <s v="T022"/>
    <x v="1"/>
    <n v="1744.6"/>
    <x v="3"/>
    <n v="1570.14"/>
    <n v="4"/>
    <s v="Member"/>
    <n v="1570.14"/>
    <s v="OK"/>
    <x v="5"/>
    <x v="1"/>
    <s v="1–_x000a_10%"/>
    <x v="4"/>
    <x v="8"/>
  </r>
  <r>
    <x v="2003"/>
    <d v="2025-06-05T00:00:00"/>
    <n v="16"/>
    <s v="T027"/>
    <x v="0"/>
    <n v="2949.84"/>
    <x v="4"/>
    <n v="2359.87"/>
    <n v="1"/>
    <s v="Member"/>
    <n v="2359.87"/>
    <s v="OK"/>
    <x v="3"/>
    <x v="0"/>
    <s v="11–20%"/>
    <x v="4"/>
    <x v="9"/>
  </r>
  <r>
    <x v="2004"/>
    <d v="2025-02-07T00:00:00"/>
    <n v="19"/>
    <s v="T024"/>
    <x v="0"/>
    <n v="503.79"/>
    <x v="1"/>
    <n v="503.79"/>
    <n v="1"/>
    <s v="Member"/>
    <n v="503.79"/>
    <s v="OK"/>
    <x v="0"/>
    <x v="0"/>
    <s v="0%"/>
    <x v="0"/>
    <x v="0"/>
  </r>
  <r>
    <x v="2005"/>
    <d v="2025-06-04T00:00:00"/>
    <n v="20"/>
    <s v="T019"/>
    <x v="0"/>
    <n v="2987.34"/>
    <x v="1"/>
    <n v="2987.34"/>
    <n v="5"/>
    <s v="Walk-in"/>
    <n v="2987.34"/>
    <s v="OK"/>
    <x v="3"/>
    <x v="0"/>
    <s v="0%"/>
    <x v="0"/>
    <x v="0"/>
  </r>
  <r>
    <x v="2006"/>
    <d v="2025-03-01T00:00:00"/>
    <n v="16"/>
    <s v="T014"/>
    <x v="2"/>
    <n v="1285.49"/>
    <x v="1"/>
    <n v="1285.49"/>
    <n v="2"/>
    <s v="Walk-in"/>
    <n v="1285.49"/>
    <s v="OK"/>
    <x v="5"/>
    <x v="1"/>
    <s v="0%"/>
    <x v="0"/>
    <x v="6"/>
  </r>
  <r>
    <x v="2007"/>
    <d v="2025-05-27T00:00:00"/>
    <n v="14"/>
    <s v="T024"/>
    <x v="0"/>
    <n v="3130.03"/>
    <x v="1"/>
    <n v="3130.03"/>
    <n v="4"/>
    <s v="Walk-in"/>
    <n v="3130.03"/>
    <s v="OK"/>
    <x v="1"/>
    <x v="0"/>
    <s v="0%"/>
    <x v="0"/>
    <x v="0"/>
  </r>
  <r>
    <x v="2008"/>
    <d v="2025-06-20T00:00:00"/>
    <n v="15"/>
    <s v="T023"/>
    <x v="0"/>
    <n v="710.39"/>
    <x v="0"/>
    <n v="603.83000000000004"/>
    <n v="2"/>
    <s v="Walk-in"/>
    <n v="603.83000000000004"/>
    <s v="OK"/>
    <x v="3"/>
    <x v="0"/>
    <s v="11–20%"/>
    <x v="3"/>
    <x v="11"/>
  </r>
  <r>
    <x v="2009"/>
    <d v="2025-05-08T00:00:00"/>
    <n v="17"/>
    <s v="T010"/>
    <x v="0"/>
    <n v="1044.9100000000001"/>
    <x v="5"/>
    <n v="992.66"/>
    <n v="1"/>
    <s v="Walk-in"/>
    <n v="992.66"/>
    <s v="OK"/>
    <x v="1"/>
    <x v="0"/>
    <s v="1–_x000a_10%"/>
    <x v="2"/>
    <x v="4"/>
  </r>
  <r>
    <x v="2010"/>
    <d v="2025-02-02T00:00:00"/>
    <n v="18"/>
    <s v="T001"/>
    <x v="1"/>
    <n v="368.27"/>
    <x v="1"/>
    <n v="368.27"/>
    <n v="2"/>
    <s v="Walk-in"/>
    <n v="368.27"/>
    <s v="OK"/>
    <x v="0"/>
    <x v="1"/>
    <s v="0%"/>
    <x v="1"/>
    <x v="7"/>
  </r>
  <r>
    <x v="2011"/>
    <d v="2025-03-12T00:00:00"/>
    <n v="11"/>
    <s v="T004"/>
    <x v="1"/>
    <n v="1108.6300000000001"/>
    <x v="3"/>
    <n v="997.77"/>
    <n v="1"/>
    <s v="Member"/>
    <n v="997.77"/>
    <s v="OK"/>
    <x v="5"/>
    <x v="0"/>
    <s v="1–_x000a_10%"/>
    <x v="0"/>
    <x v="0"/>
  </r>
  <r>
    <x v="2012"/>
    <d v="2025-02-17T00:00:00"/>
    <n v="12"/>
    <s v="T020"/>
    <x v="2"/>
    <n v="2012.62"/>
    <x v="0"/>
    <n v="1710.73"/>
    <n v="2"/>
    <s v="Walk-in"/>
    <n v="1710.73"/>
    <s v="OK"/>
    <x v="0"/>
    <x v="0"/>
    <s v="11–20%"/>
    <x v="2"/>
    <x v="2"/>
  </r>
  <r>
    <x v="2013"/>
    <d v="2025-06-02T00:00:00"/>
    <n v="21"/>
    <s v="T023"/>
    <x v="1"/>
    <n v="562.71"/>
    <x v="0"/>
    <n v="478.3"/>
    <n v="1"/>
    <s v="Member"/>
    <n v="478.3"/>
    <s v="OK"/>
    <x v="3"/>
    <x v="0"/>
    <s v="11–20%"/>
    <x v="3"/>
    <x v="11"/>
  </r>
  <r>
    <x v="2014"/>
    <d v="2025-04-03T00:00:00"/>
    <n v="18"/>
    <s v="T030"/>
    <x v="2"/>
    <n v="1349.49"/>
    <x v="1"/>
    <n v="1349.49"/>
    <n v="4"/>
    <s v="Walk-in"/>
    <n v="1349.49"/>
    <s v="OK"/>
    <x v="4"/>
    <x v="0"/>
    <s v="0%"/>
    <x v="2"/>
    <x v="2"/>
  </r>
  <r>
    <x v="2015"/>
    <d v="2025-04-01T00:00:00"/>
    <n v="10"/>
    <s v="T015"/>
    <x v="1"/>
    <n v="518.30999999999995"/>
    <x v="1"/>
    <n v="518.30999999999995"/>
    <n v="1"/>
    <s v="Walk-in"/>
    <n v="518.30999999999995"/>
    <s v="OK"/>
    <x v="4"/>
    <x v="0"/>
    <s v="0%"/>
    <x v="2"/>
    <x v="4"/>
  </r>
  <r>
    <x v="2016"/>
    <d v="2025-01-27T00:00:00"/>
    <n v="18"/>
    <s v="T018"/>
    <x v="2"/>
    <n v="945.52"/>
    <x v="3"/>
    <n v="850.97"/>
    <n v="1"/>
    <s v="Member"/>
    <n v="850.97"/>
    <s v="OK"/>
    <x v="2"/>
    <x v="0"/>
    <s v="1–_x000a_10%"/>
    <x v="3"/>
    <x v="3"/>
  </r>
  <r>
    <x v="2017"/>
    <d v="2025-05-09T00:00:00"/>
    <n v="17"/>
    <s v="T017"/>
    <x v="0"/>
    <n v="1356.63"/>
    <x v="0"/>
    <n v="1153.1400000000001"/>
    <n v="4"/>
    <s v="Member"/>
    <n v="1153.1400000000001"/>
    <s v="OK"/>
    <x v="1"/>
    <x v="0"/>
    <s v="11–20%"/>
    <x v="4"/>
    <x v="8"/>
  </r>
  <r>
    <x v="2018"/>
    <d v="2025-03-13T00:00:00"/>
    <n v="15"/>
    <s v="T024"/>
    <x v="2"/>
    <n v="719.72"/>
    <x v="5"/>
    <n v="683.73"/>
    <n v="1"/>
    <s v="Walk-in"/>
    <n v="683.73"/>
    <s v="OK"/>
    <x v="5"/>
    <x v="0"/>
    <s v="1–_x000a_10%"/>
    <x v="0"/>
    <x v="0"/>
  </r>
  <r>
    <x v="2019"/>
    <d v="2025-02-27T00:00:00"/>
    <n v="17"/>
    <s v="T017"/>
    <x v="2"/>
    <n v="4506.7"/>
    <x v="3"/>
    <n v="4056.03"/>
    <n v="4"/>
    <s v="Member"/>
    <n v="4056.03"/>
    <s v="OK"/>
    <x v="0"/>
    <x v="0"/>
    <s v="1–_x000a_10%"/>
    <x v="4"/>
    <x v="8"/>
  </r>
  <r>
    <x v="2020"/>
    <d v="2025-02-06T00:00:00"/>
    <n v="16"/>
    <s v="T019"/>
    <x v="0"/>
    <n v="814.14"/>
    <x v="0"/>
    <n v="692.02"/>
    <n v="3"/>
    <s v="Walk-in"/>
    <n v="692.02"/>
    <s v="OK"/>
    <x v="0"/>
    <x v="0"/>
    <s v="11–20%"/>
    <x v="0"/>
    <x v="0"/>
  </r>
  <r>
    <x v="2021"/>
    <d v="2025-01-05T00:00:00"/>
    <n v="13"/>
    <s v="T030"/>
    <x v="0"/>
    <n v="1569.52"/>
    <x v="0"/>
    <n v="1334.09"/>
    <n v="2"/>
    <s v="Walk-in"/>
    <n v="1334.09"/>
    <s v="OK"/>
    <x v="2"/>
    <x v="1"/>
    <s v="11–20%"/>
    <x v="2"/>
    <x v="2"/>
  </r>
  <r>
    <x v="2022"/>
    <d v="2025-04-21T00:00:00"/>
    <n v="10"/>
    <s v="T028"/>
    <x v="3"/>
    <n v="626.05999999999995"/>
    <x v="5"/>
    <n v="594.76"/>
    <n v="2"/>
    <s v="Walk-in"/>
    <n v="594.76"/>
    <s v="OK"/>
    <x v="4"/>
    <x v="0"/>
    <s v="1–_x000a_10%"/>
    <x v="3"/>
    <x v="5"/>
  </r>
  <r>
    <x v="2023"/>
    <d v="2025-01-12T00:00:00"/>
    <n v="13"/>
    <s v="T010"/>
    <x v="2"/>
    <n v="2336.48"/>
    <x v="1"/>
    <n v="2336.48"/>
    <n v="2"/>
    <s v="Walk-in"/>
    <n v="2336.48"/>
    <s v="OK"/>
    <x v="2"/>
    <x v="1"/>
    <s v="0%"/>
    <x v="2"/>
    <x v="4"/>
  </r>
  <r>
    <x v="2024"/>
    <d v="2025-03-31T00:00:00"/>
    <n v="11"/>
    <s v="T026"/>
    <x v="2"/>
    <n v="1179.77"/>
    <x v="1"/>
    <n v="1179.77"/>
    <n v="1"/>
    <s v="Walk-in"/>
    <n v="1179.77"/>
    <s v="OK"/>
    <x v="5"/>
    <x v="0"/>
    <s v="0%"/>
    <x v="1"/>
    <x v="10"/>
  </r>
  <r>
    <x v="2025"/>
    <d v="2025-03-17T00:00:00"/>
    <n v="16"/>
    <s v="T022"/>
    <x v="0"/>
    <n v="671.9"/>
    <x v="3"/>
    <n v="604.71"/>
    <n v="1"/>
    <s v="Walk-in"/>
    <n v="604.71"/>
    <s v="OK"/>
    <x v="5"/>
    <x v="0"/>
    <s v="1–_x000a_10%"/>
    <x v="4"/>
    <x v="8"/>
  </r>
  <r>
    <x v="2026"/>
    <d v="2025-03-12T00:00:00"/>
    <n v="18"/>
    <s v="T013"/>
    <x v="0"/>
    <n v="1929.48"/>
    <x v="4"/>
    <n v="1543.58"/>
    <n v="2"/>
    <s v="Member"/>
    <n v="1543.58"/>
    <s v="OK"/>
    <x v="5"/>
    <x v="0"/>
    <s v="11–20%"/>
    <x v="3"/>
    <x v="11"/>
  </r>
  <r>
    <x v="2027"/>
    <d v="2025-01-09T00:00:00"/>
    <n v="22"/>
    <s v="T005"/>
    <x v="3"/>
    <n v="610.15"/>
    <x v="1"/>
    <n v="610.15"/>
    <n v="1"/>
    <s v="Walk-in"/>
    <n v="610.15"/>
    <s v="OK"/>
    <x v="2"/>
    <x v="0"/>
    <s v="0%"/>
    <x v="2"/>
    <x v="4"/>
  </r>
  <r>
    <x v="2028"/>
    <d v="2025-01-28T00:00:00"/>
    <n v="20"/>
    <s v="T026"/>
    <x v="0"/>
    <n v="2666.02"/>
    <x v="3"/>
    <n v="2399.42"/>
    <n v="2"/>
    <s v="Walk-in"/>
    <n v="2399.42"/>
    <s v="OK"/>
    <x v="2"/>
    <x v="0"/>
    <s v="1–_x000a_10%"/>
    <x v="1"/>
    <x v="10"/>
  </r>
  <r>
    <x v="2029"/>
    <d v="2025-05-24T00:00:00"/>
    <n v="11"/>
    <s v="T006"/>
    <x v="2"/>
    <n v="729.41"/>
    <x v="1"/>
    <n v="729.41"/>
    <n v="1"/>
    <s v="Member"/>
    <n v="729.41"/>
    <s v="OK"/>
    <x v="1"/>
    <x v="1"/>
    <s v="0%"/>
    <x v="1"/>
    <x v="1"/>
  </r>
  <r>
    <x v="2030"/>
    <d v="2025-01-10T00:00:00"/>
    <n v="13"/>
    <s v="T020"/>
    <x v="2"/>
    <n v="367.47"/>
    <x v="3"/>
    <n v="330.72"/>
    <n v="2"/>
    <s v="Walk-in"/>
    <n v="330.72"/>
    <s v="OK"/>
    <x v="2"/>
    <x v="0"/>
    <s v="1–_x000a_10%"/>
    <x v="2"/>
    <x v="2"/>
  </r>
  <r>
    <x v="2031"/>
    <d v="2025-03-14T00:00:00"/>
    <n v="10"/>
    <s v="T027"/>
    <x v="0"/>
    <n v="1066.1300000000001"/>
    <x v="1"/>
    <n v="1066.1300000000001"/>
    <n v="2"/>
    <s v="Member"/>
    <n v="1066.1300000000001"/>
    <s v="OK"/>
    <x v="5"/>
    <x v="0"/>
    <s v="0%"/>
    <x v="4"/>
    <x v="9"/>
  </r>
  <r>
    <x v="2032"/>
    <d v="2025-02-23T00:00:00"/>
    <n v="22"/>
    <s v="T014"/>
    <x v="3"/>
    <n v="1715.86"/>
    <x v="0"/>
    <n v="1458.48"/>
    <n v="2"/>
    <s v="Member"/>
    <n v="1458.48"/>
    <s v="OK"/>
    <x v="0"/>
    <x v="1"/>
    <s v="11–20%"/>
    <x v="0"/>
    <x v="6"/>
  </r>
  <r>
    <x v="2033"/>
    <d v="2025-04-19T00:00:00"/>
    <n v="20"/>
    <s v="T029"/>
    <x v="0"/>
    <n v="465.83"/>
    <x v="1"/>
    <n v="465.83"/>
    <n v="2"/>
    <s v="Member"/>
    <n v="465.83"/>
    <s v="OK"/>
    <x v="4"/>
    <x v="1"/>
    <s v="0%"/>
    <x v="0"/>
    <x v="6"/>
  </r>
  <r>
    <x v="2034"/>
    <d v="2025-06-22T00:00:00"/>
    <n v="21"/>
    <s v="T010"/>
    <x v="0"/>
    <n v="776.17"/>
    <x v="0"/>
    <n v="659.74"/>
    <n v="1"/>
    <s v="Walk-in"/>
    <n v="659.74"/>
    <s v="OK"/>
    <x v="3"/>
    <x v="1"/>
    <s v="11–20%"/>
    <x v="2"/>
    <x v="4"/>
  </r>
  <r>
    <x v="2035"/>
    <d v="2025-06-18T00:00:00"/>
    <n v="11"/>
    <s v="T009"/>
    <x v="2"/>
    <n v="2652.91"/>
    <x v="3"/>
    <n v="2387.62"/>
    <n v="1"/>
    <s v="Walk-in"/>
    <n v="2387.62"/>
    <s v="OK"/>
    <x v="3"/>
    <x v="0"/>
    <s v="1–_x000a_10%"/>
    <x v="0"/>
    <x v="6"/>
  </r>
  <r>
    <x v="2036"/>
    <d v="2025-02-22T00:00:00"/>
    <n v="18"/>
    <s v="T020"/>
    <x v="2"/>
    <n v="602.54"/>
    <x v="1"/>
    <n v="602.54"/>
    <n v="1"/>
    <s v="Walk-in"/>
    <n v="602.54"/>
    <s v="OK"/>
    <x v="0"/>
    <x v="1"/>
    <s v="0%"/>
    <x v="2"/>
    <x v="2"/>
  </r>
  <r>
    <x v="2037"/>
    <d v="2025-05-16T00:00:00"/>
    <n v="18"/>
    <s v="T002"/>
    <x v="0"/>
    <n v="985.01"/>
    <x v="5"/>
    <n v="935.76"/>
    <n v="4"/>
    <s v="Member"/>
    <n v="935.76"/>
    <s v="OK"/>
    <x v="1"/>
    <x v="0"/>
    <s v="1–_x000a_10%"/>
    <x v="4"/>
    <x v="9"/>
  </r>
  <r>
    <x v="2038"/>
    <d v="2025-04-24T00:00:00"/>
    <n v="18"/>
    <s v="T016"/>
    <x v="2"/>
    <n v="1592.66"/>
    <x v="3"/>
    <n v="1433.39"/>
    <n v="2"/>
    <s v="Member"/>
    <n v="1433.39"/>
    <s v="OK"/>
    <x v="4"/>
    <x v="0"/>
    <s v="1–_x000a_10%"/>
    <x v="1"/>
    <x v="1"/>
  </r>
  <r>
    <x v="2039"/>
    <d v="2025-05-03T00:00:00"/>
    <n v="14"/>
    <s v="T021"/>
    <x v="2"/>
    <n v="1352.49"/>
    <x v="0"/>
    <n v="1149.6199999999999"/>
    <n v="4"/>
    <s v="Member"/>
    <n v="1149.6199999999999"/>
    <s v="OK"/>
    <x v="1"/>
    <x v="1"/>
    <s v="11–20%"/>
    <x v="1"/>
    <x v="1"/>
  </r>
  <r>
    <x v="2040"/>
    <d v="2025-03-26T00:00:00"/>
    <n v="17"/>
    <s v="T016"/>
    <x v="2"/>
    <n v="656.39"/>
    <x v="4"/>
    <n v="525.11"/>
    <n v="3"/>
    <s v="Member"/>
    <n v="525.11"/>
    <s v="OK"/>
    <x v="5"/>
    <x v="0"/>
    <s v="11–20%"/>
    <x v="1"/>
    <x v="1"/>
  </r>
  <r>
    <x v="2041"/>
    <d v="2025-05-02T00:00:00"/>
    <n v="17"/>
    <s v="T020"/>
    <x v="3"/>
    <n v="1617.89"/>
    <x v="1"/>
    <n v="1617.89"/>
    <n v="5"/>
    <s v="Walk-in"/>
    <n v="1617.89"/>
    <s v="OK"/>
    <x v="1"/>
    <x v="0"/>
    <s v="0%"/>
    <x v="2"/>
    <x v="2"/>
  </r>
  <r>
    <x v="2042"/>
    <d v="2025-01-11T00:00:00"/>
    <n v="19"/>
    <s v="T025"/>
    <x v="2"/>
    <n v="800.21"/>
    <x v="3"/>
    <n v="720.19"/>
    <n v="1"/>
    <s v="Walk-in"/>
    <n v="720.19"/>
    <s v="OK"/>
    <x v="2"/>
    <x v="1"/>
    <s v="1–_x000a_10%"/>
    <x v="2"/>
    <x v="2"/>
  </r>
  <r>
    <x v="2043"/>
    <d v="2025-01-22T00:00:00"/>
    <n v="13"/>
    <s v="T027"/>
    <x v="2"/>
    <n v="1608.29"/>
    <x v="1"/>
    <n v="1608.29"/>
    <n v="1"/>
    <s v="Member"/>
    <n v="1608.29"/>
    <s v="OK"/>
    <x v="2"/>
    <x v="0"/>
    <s v="0%"/>
    <x v="4"/>
    <x v="9"/>
  </r>
  <r>
    <x v="2044"/>
    <d v="2025-05-30T00:00:00"/>
    <n v="12"/>
    <s v="T006"/>
    <x v="0"/>
    <n v="512.71"/>
    <x v="4"/>
    <n v="410.17"/>
    <n v="1"/>
    <s v="Member"/>
    <n v="410.17"/>
    <s v="OK"/>
    <x v="1"/>
    <x v="0"/>
    <s v="11–20%"/>
    <x v="1"/>
    <x v="1"/>
  </r>
  <r>
    <x v="2045"/>
    <d v="2025-03-29T00:00:00"/>
    <n v="14"/>
    <s v="T014"/>
    <x v="0"/>
    <n v="2812.49"/>
    <x v="1"/>
    <n v="2812.49"/>
    <n v="1"/>
    <s v="Walk-in"/>
    <n v="2812.49"/>
    <s v="OK"/>
    <x v="5"/>
    <x v="1"/>
    <s v="0%"/>
    <x v="0"/>
    <x v="6"/>
  </r>
  <r>
    <x v="2046"/>
    <d v="2025-01-10T00:00:00"/>
    <n v="21"/>
    <s v="T003"/>
    <x v="0"/>
    <n v="446.69"/>
    <x v="3"/>
    <n v="402.02"/>
    <n v="4"/>
    <s v="Walk-in"/>
    <n v="402.02"/>
    <s v="OK"/>
    <x v="2"/>
    <x v="0"/>
    <s v="1–_x000a_10%"/>
    <x v="3"/>
    <x v="3"/>
  </r>
  <r>
    <x v="2047"/>
    <d v="2025-06-08T00:00:00"/>
    <n v="22"/>
    <s v="T016"/>
    <x v="3"/>
    <n v="681.48"/>
    <x v="1"/>
    <n v="681.48"/>
    <n v="4"/>
    <s v="Member"/>
    <n v="681.48"/>
    <s v="OK"/>
    <x v="3"/>
    <x v="1"/>
    <s v="0%"/>
    <x v="1"/>
    <x v="1"/>
  </r>
  <r>
    <x v="2048"/>
    <d v="2025-05-12T00:00:00"/>
    <n v="22"/>
    <s v="T005"/>
    <x v="0"/>
    <n v="1170.75"/>
    <x v="1"/>
    <n v="1170.75"/>
    <n v="3"/>
    <s v="Member"/>
    <n v="1170.75"/>
    <s v="OK"/>
    <x v="1"/>
    <x v="0"/>
    <s v="0%"/>
    <x v="2"/>
    <x v="4"/>
  </r>
  <r>
    <x v="2049"/>
    <d v="2025-05-20T00:00:00"/>
    <n v="19"/>
    <s v="T016"/>
    <x v="0"/>
    <n v="809.67"/>
    <x v="4"/>
    <n v="647.74"/>
    <n v="1"/>
    <s v="Member"/>
    <n v="647.74"/>
    <s v="OK"/>
    <x v="1"/>
    <x v="0"/>
    <s v="11–20%"/>
    <x v="1"/>
    <x v="1"/>
  </r>
  <r>
    <x v="2050"/>
    <d v="2025-04-20T00:00:00"/>
    <n v="19"/>
    <s v="T003"/>
    <x v="1"/>
    <n v="893.27"/>
    <x v="1"/>
    <n v="893.27"/>
    <n v="1"/>
    <s v="Member"/>
    <n v="893.27"/>
    <s v="OK"/>
    <x v="4"/>
    <x v="1"/>
    <s v="0%"/>
    <x v="3"/>
    <x v="3"/>
  </r>
  <r>
    <x v="2051"/>
    <d v="2025-02-06T00:00:00"/>
    <n v="18"/>
    <s v="T019"/>
    <x v="2"/>
    <n v="849.32"/>
    <x v="0"/>
    <n v="721.92"/>
    <n v="1"/>
    <s v="Walk-in"/>
    <n v="721.92"/>
    <s v="OK"/>
    <x v="0"/>
    <x v="0"/>
    <s v="11–20%"/>
    <x v="0"/>
    <x v="0"/>
  </r>
  <r>
    <x v="2052"/>
    <d v="2025-05-22T00:00:00"/>
    <n v="14"/>
    <s v="T026"/>
    <x v="2"/>
    <n v="172.28"/>
    <x v="0"/>
    <n v="146.44"/>
    <n v="3"/>
    <s v="Member"/>
    <n v="146.44"/>
    <s v="OK"/>
    <x v="1"/>
    <x v="0"/>
    <s v="11–20%"/>
    <x v="1"/>
    <x v="10"/>
  </r>
  <r>
    <x v="2053"/>
    <d v="2025-03-16T00:00:00"/>
    <n v="15"/>
    <s v="T024"/>
    <x v="2"/>
    <n v="499.09"/>
    <x v="3"/>
    <n v="449.18"/>
    <n v="2"/>
    <s v="Member"/>
    <n v="449.18"/>
    <s v="OK"/>
    <x v="5"/>
    <x v="1"/>
    <s v="1–_x000a_10%"/>
    <x v="0"/>
    <x v="0"/>
  </r>
  <r>
    <x v="2054"/>
    <d v="2025-06-25T00:00:00"/>
    <n v="20"/>
    <s v="T028"/>
    <x v="2"/>
    <n v="496.11"/>
    <x v="1"/>
    <n v="496.11"/>
    <n v="1"/>
    <s v="Walk-in"/>
    <n v="496.11"/>
    <s v="OK"/>
    <x v="3"/>
    <x v="0"/>
    <s v="0%"/>
    <x v="3"/>
    <x v="5"/>
  </r>
  <r>
    <x v="2055"/>
    <d v="2025-01-19T00:00:00"/>
    <n v="18"/>
    <s v="T015"/>
    <x v="0"/>
    <n v="1062"/>
    <x v="3"/>
    <n v="955.8"/>
    <n v="1"/>
    <s v="Walk-in"/>
    <n v="955.8"/>
    <s v="OK"/>
    <x v="2"/>
    <x v="1"/>
    <s v="1–_x000a_10%"/>
    <x v="2"/>
    <x v="4"/>
  </r>
  <r>
    <x v="2056"/>
    <d v="2025-04-12T00:00:00"/>
    <n v="10"/>
    <s v="T007"/>
    <x v="3"/>
    <n v="1009.44"/>
    <x v="3"/>
    <n v="908.5"/>
    <n v="2"/>
    <s v="Member"/>
    <n v="908.5"/>
    <s v="OK"/>
    <x v="4"/>
    <x v="1"/>
    <s v="1–_x000a_10%"/>
    <x v="4"/>
    <x v="8"/>
  </r>
  <r>
    <x v="2057"/>
    <d v="2025-02-07T00:00:00"/>
    <n v="16"/>
    <s v="T030"/>
    <x v="0"/>
    <n v="323.3"/>
    <x v="1"/>
    <n v="323.3"/>
    <n v="2"/>
    <s v="Member"/>
    <n v="323.3"/>
    <s v="OK"/>
    <x v="0"/>
    <x v="0"/>
    <s v="0%"/>
    <x v="2"/>
    <x v="2"/>
  </r>
  <r>
    <x v="2058"/>
    <d v="2025-01-10T00:00:00"/>
    <n v="12"/>
    <s v="T005"/>
    <x v="0"/>
    <n v="567.66"/>
    <x v="4"/>
    <n v="454.13"/>
    <n v="2"/>
    <s v="Member"/>
    <n v="454.13"/>
    <s v="OK"/>
    <x v="2"/>
    <x v="0"/>
    <s v="11–20%"/>
    <x v="2"/>
    <x v="4"/>
  </r>
  <r>
    <x v="2059"/>
    <d v="2025-05-13T00:00:00"/>
    <n v="14"/>
    <s v="T016"/>
    <x v="1"/>
    <n v="761.98"/>
    <x v="1"/>
    <n v="761.98"/>
    <n v="2"/>
    <s v="Walk-in"/>
    <n v="761.98"/>
    <s v="OK"/>
    <x v="1"/>
    <x v="0"/>
    <s v="0%"/>
    <x v="1"/>
    <x v="1"/>
  </r>
  <r>
    <x v="2060"/>
    <d v="2025-01-12T00:00:00"/>
    <n v="19"/>
    <s v="T027"/>
    <x v="2"/>
    <n v="2163.06"/>
    <x v="4"/>
    <n v="1730.45"/>
    <n v="1"/>
    <s v="Member"/>
    <n v="1730.45"/>
    <s v="OK"/>
    <x v="2"/>
    <x v="1"/>
    <s v="11–20%"/>
    <x v="4"/>
    <x v="9"/>
  </r>
  <r>
    <x v="2061"/>
    <d v="2025-05-26T00:00:00"/>
    <n v="21"/>
    <s v="T004"/>
    <x v="0"/>
    <n v="427.96"/>
    <x v="4"/>
    <n v="342.37"/>
    <n v="3"/>
    <s v="Member"/>
    <n v="342.37"/>
    <s v="OK"/>
    <x v="1"/>
    <x v="0"/>
    <s v="11–20%"/>
    <x v="0"/>
    <x v="0"/>
  </r>
  <r>
    <x v="2062"/>
    <d v="2025-06-27T00:00:00"/>
    <n v="16"/>
    <s v="T029"/>
    <x v="0"/>
    <n v="1256.48"/>
    <x v="1"/>
    <n v="1256.48"/>
    <n v="1"/>
    <s v="Walk-in"/>
    <n v="1256.48"/>
    <s v="OK"/>
    <x v="3"/>
    <x v="0"/>
    <s v="0%"/>
    <x v="0"/>
    <x v="6"/>
  </r>
  <r>
    <x v="2063"/>
    <d v="2025-06-06T00:00:00"/>
    <n v="20"/>
    <s v="T001"/>
    <x v="0"/>
    <n v="378.84"/>
    <x v="3"/>
    <n v="340.96"/>
    <n v="1"/>
    <s v="Walk-in"/>
    <n v="340.96"/>
    <s v="OK"/>
    <x v="3"/>
    <x v="0"/>
    <s v="1–_x000a_10%"/>
    <x v="1"/>
    <x v="7"/>
  </r>
  <r>
    <x v="2064"/>
    <d v="2025-01-31T00:00:00"/>
    <n v="10"/>
    <s v="T004"/>
    <x v="2"/>
    <n v="2610.06"/>
    <x v="1"/>
    <n v="2610.06"/>
    <n v="1"/>
    <s v="Walk-in"/>
    <n v="2610.06"/>
    <s v="OK"/>
    <x v="2"/>
    <x v="0"/>
    <s v="0%"/>
    <x v="0"/>
    <x v="0"/>
  </r>
  <r>
    <x v="2065"/>
    <d v="2025-06-03T00:00:00"/>
    <n v="20"/>
    <s v="T003"/>
    <x v="0"/>
    <n v="881.22"/>
    <x v="2"/>
    <n v="616.85"/>
    <n v="1"/>
    <s v="Walk-in"/>
    <n v="616.85"/>
    <s v="OK"/>
    <x v="3"/>
    <x v="0"/>
    <s v="&gt;20%"/>
    <x v="3"/>
    <x v="3"/>
  </r>
  <r>
    <x v="2066"/>
    <d v="2025-01-12T00:00:00"/>
    <n v="19"/>
    <s v="T005"/>
    <x v="0"/>
    <n v="541.38"/>
    <x v="3"/>
    <n v="487.24"/>
    <n v="1"/>
    <s v="Member"/>
    <n v="487.24"/>
    <s v="OK"/>
    <x v="2"/>
    <x v="1"/>
    <s v="1–_x000a_10%"/>
    <x v="2"/>
    <x v="4"/>
  </r>
  <r>
    <x v="2067"/>
    <d v="2025-06-11T00:00:00"/>
    <n v="11"/>
    <s v="T010"/>
    <x v="2"/>
    <n v="2055.46"/>
    <x v="3"/>
    <n v="1849.91"/>
    <n v="3"/>
    <s v="Member"/>
    <n v="1849.91"/>
    <s v="OK"/>
    <x v="3"/>
    <x v="0"/>
    <s v="1–_x000a_10%"/>
    <x v="2"/>
    <x v="4"/>
  </r>
  <r>
    <x v="2068"/>
    <d v="2025-02-17T00:00:00"/>
    <n v="12"/>
    <s v="T005"/>
    <x v="0"/>
    <n v="1649.1"/>
    <x v="0"/>
    <n v="1401.73"/>
    <n v="3"/>
    <s v="Member"/>
    <n v="1401.74"/>
    <s v="OK"/>
    <x v="0"/>
    <x v="0"/>
    <s v="11–20%"/>
    <x v="2"/>
    <x v="4"/>
  </r>
  <r>
    <x v="2069"/>
    <d v="2025-03-01T00:00:00"/>
    <n v="17"/>
    <s v="T018"/>
    <x v="0"/>
    <n v="1243.53"/>
    <x v="5"/>
    <n v="1181.3499999999999"/>
    <n v="4"/>
    <s v="Walk-in"/>
    <n v="1181.3499999999999"/>
    <s v="OK"/>
    <x v="5"/>
    <x v="1"/>
    <s v="1–_x000a_10%"/>
    <x v="3"/>
    <x v="3"/>
  </r>
  <r>
    <x v="2070"/>
    <d v="2025-01-08T00:00:00"/>
    <n v="22"/>
    <s v="T002"/>
    <x v="3"/>
    <n v="1071.47"/>
    <x v="0"/>
    <n v="910.75"/>
    <n v="4"/>
    <s v="Member"/>
    <n v="910.75"/>
    <s v="OK"/>
    <x v="2"/>
    <x v="0"/>
    <s v="11–20%"/>
    <x v="4"/>
    <x v="9"/>
  </r>
  <r>
    <x v="2071"/>
    <d v="2025-04-30T00:00:00"/>
    <n v="14"/>
    <s v="T004"/>
    <x v="3"/>
    <n v="521.95000000000005"/>
    <x v="5"/>
    <n v="495.85"/>
    <n v="3"/>
    <s v="Member"/>
    <n v="495.85"/>
    <s v="OK"/>
    <x v="4"/>
    <x v="0"/>
    <s v="1–_x000a_10%"/>
    <x v="0"/>
    <x v="0"/>
  </r>
  <r>
    <x v="2072"/>
    <d v="2025-06-24T00:00:00"/>
    <n v="15"/>
    <s v="T029"/>
    <x v="0"/>
    <n v="1869.86"/>
    <x v="1"/>
    <n v="1869.86"/>
    <n v="2"/>
    <s v="Walk-in"/>
    <n v="1869.86"/>
    <s v="OK"/>
    <x v="3"/>
    <x v="0"/>
    <s v="0%"/>
    <x v="0"/>
    <x v="6"/>
  </r>
  <r>
    <x v="2073"/>
    <d v="2025-06-13T00:00:00"/>
    <n v="22"/>
    <s v="T012"/>
    <x v="2"/>
    <n v="1036.3399999999999"/>
    <x v="1"/>
    <n v="1036.3399999999999"/>
    <n v="4"/>
    <s v="Member"/>
    <n v="1036.3399999999999"/>
    <s v="OK"/>
    <x v="3"/>
    <x v="0"/>
    <s v="0%"/>
    <x v="4"/>
    <x v="9"/>
  </r>
  <r>
    <x v="2074"/>
    <d v="2025-05-01T00:00:00"/>
    <n v="16"/>
    <s v="T007"/>
    <x v="0"/>
    <n v="347.23"/>
    <x v="0"/>
    <n v="295.14999999999998"/>
    <n v="2"/>
    <s v="Walk-in"/>
    <n v="295.14999999999998"/>
    <s v="OK"/>
    <x v="1"/>
    <x v="0"/>
    <s v="11–20%"/>
    <x v="4"/>
    <x v="8"/>
  </r>
  <r>
    <x v="2075"/>
    <d v="2025-03-04T00:00:00"/>
    <n v="17"/>
    <s v="T006"/>
    <x v="1"/>
    <n v="1215.49"/>
    <x v="1"/>
    <n v="1215.49"/>
    <n v="1"/>
    <s v="Walk-in"/>
    <n v="1215.49"/>
    <s v="OK"/>
    <x v="5"/>
    <x v="0"/>
    <s v="0%"/>
    <x v="1"/>
    <x v="1"/>
  </r>
  <r>
    <x v="2076"/>
    <d v="2025-02-10T00:00:00"/>
    <n v="18"/>
    <s v="T002"/>
    <x v="0"/>
    <n v="913.47"/>
    <x v="1"/>
    <n v="913.47"/>
    <n v="3"/>
    <s v="Walk-in"/>
    <n v="913.47"/>
    <s v="OK"/>
    <x v="0"/>
    <x v="0"/>
    <s v="0%"/>
    <x v="4"/>
    <x v="9"/>
  </r>
  <r>
    <x v="2077"/>
    <d v="2025-02-10T00:00:00"/>
    <n v="16"/>
    <s v="T006"/>
    <x v="1"/>
    <n v="707.06"/>
    <x v="1"/>
    <n v="707.06"/>
    <n v="1"/>
    <s v="Member"/>
    <n v="707.06"/>
    <s v="OK"/>
    <x v="0"/>
    <x v="0"/>
    <s v="0%"/>
    <x v="1"/>
    <x v="1"/>
  </r>
  <r>
    <x v="2078"/>
    <d v="2025-03-01T00:00:00"/>
    <n v="22"/>
    <s v="T003"/>
    <x v="0"/>
    <n v="644.14"/>
    <x v="3"/>
    <n v="579.73"/>
    <n v="4"/>
    <s v="Member"/>
    <n v="579.73"/>
    <s v="OK"/>
    <x v="5"/>
    <x v="1"/>
    <s v="1–_x000a_10%"/>
    <x v="3"/>
    <x v="3"/>
  </r>
  <r>
    <x v="2079"/>
    <d v="2025-01-23T00:00:00"/>
    <n v="17"/>
    <s v="T003"/>
    <x v="2"/>
    <n v="2131.19"/>
    <x v="4"/>
    <n v="1704.95"/>
    <n v="1"/>
    <s v="Walk-in"/>
    <n v="1704.95"/>
    <s v="OK"/>
    <x v="2"/>
    <x v="0"/>
    <s v="11–20%"/>
    <x v="3"/>
    <x v="3"/>
  </r>
  <r>
    <x v="2080"/>
    <d v="2025-06-08T00:00:00"/>
    <n v="10"/>
    <s v="T013"/>
    <x v="0"/>
    <n v="2099.4299999999998"/>
    <x v="3"/>
    <n v="1889.49"/>
    <n v="2"/>
    <s v="Member"/>
    <n v="1889.49"/>
    <s v="OK"/>
    <x v="3"/>
    <x v="1"/>
    <s v="1–_x000a_10%"/>
    <x v="3"/>
    <x v="11"/>
  </r>
  <r>
    <x v="2081"/>
    <d v="2025-05-10T00:00:00"/>
    <n v="17"/>
    <s v="T027"/>
    <x v="3"/>
    <n v="489.34"/>
    <x v="1"/>
    <n v="489.34"/>
    <n v="1"/>
    <s v="Walk-in"/>
    <n v="489.34"/>
    <s v="OK"/>
    <x v="1"/>
    <x v="1"/>
    <s v="0%"/>
    <x v="4"/>
    <x v="9"/>
  </r>
  <r>
    <x v="2082"/>
    <d v="2025-03-17T00:00:00"/>
    <n v="16"/>
    <s v="T028"/>
    <x v="0"/>
    <n v="1442.52"/>
    <x v="1"/>
    <n v="1442.52"/>
    <n v="3"/>
    <s v="Walk-in"/>
    <n v="1442.52"/>
    <s v="OK"/>
    <x v="5"/>
    <x v="0"/>
    <s v="0%"/>
    <x v="3"/>
    <x v="5"/>
  </r>
  <r>
    <x v="2083"/>
    <d v="2025-02-28T00:00:00"/>
    <n v="14"/>
    <s v="T027"/>
    <x v="2"/>
    <n v="631.72"/>
    <x v="1"/>
    <n v="631.72"/>
    <n v="2"/>
    <s v="Member"/>
    <n v="631.72"/>
    <s v="OK"/>
    <x v="0"/>
    <x v="0"/>
    <s v="0%"/>
    <x v="4"/>
    <x v="9"/>
  </r>
  <r>
    <x v="2084"/>
    <d v="2025-04-12T00:00:00"/>
    <n v="18"/>
    <s v="T023"/>
    <x v="0"/>
    <n v="1902.84"/>
    <x v="3"/>
    <n v="1712.56"/>
    <n v="3"/>
    <s v="Walk-in"/>
    <n v="1712.56"/>
    <s v="OK"/>
    <x v="4"/>
    <x v="1"/>
    <s v="1–_x000a_10%"/>
    <x v="3"/>
    <x v="11"/>
  </r>
  <r>
    <x v="2085"/>
    <d v="2025-03-18T00:00:00"/>
    <n v="15"/>
    <s v="T010"/>
    <x v="0"/>
    <n v="1194.94"/>
    <x v="5"/>
    <n v="1135.19"/>
    <n v="5"/>
    <s v="Walk-in"/>
    <n v="1135.19"/>
    <s v="OK"/>
    <x v="5"/>
    <x v="0"/>
    <s v="1–_x000a_10%"/>
    <x v="2"/>
    <x v="4"/>
  </r>
  <r>
    <x v="2086"/>
    <d v="2025-01-21T00:00:00"/>
    <n v="16"/>
    <s v="T003"/>
    <x v="2"/>
    <n v="1690.22"/>
    <x v="0"/>
    <n v="1436.69"/>
    <n v="1"/>
    <s v="Walk-in"/>
    <n v="1436.69"/>
    <s v="OK"/>
    <x v="2"/>
    <x v="0"/>
    <s v="11–20%"/>
    <x v="3"/>
    <x v="3"/>
  </r>
  <r>
    <x v="2087"/>
    <d v="2025-01-20T00:00:00"/>
    <n v="22"/>
    <s v="T026"/>
    <x v="0"/>
    <n v="2233.31"/>
    <x v="5"/>
    <n v="2121.64"/>
    <n v="2"/>
    <s v="Walk-in"/>
    <n v="2121.64"/>
    <s v="OK"/>
    <x v="2"/>
    <x v="0"/>
    <s v="1–_x000a_10%"/>
    <x v="1"/>
    <x v="10"/>
  </r>
  <r>
    <x v="2088"/>
    <d v="2025-05-16T00:00:00"/>
    <n v="21"/>
    <s v="T007"/>
    <x v="2"/>
    <n v="1466.02"/>
    <x v="1"/>
    <n v="1466.02"/>
    <n v="3"/>
    <s v="Member"/>
    <n v="1466.02"/>
    <s v="OK"/>
    <x v="1"/>
    <x v="0"/>
    <s v="0%"/>
    <x v="4"/>
    <x v="8"/>
  </r>
  <r>
    <x v="2089"/>
    <d v="2025-05-15T00:00:00"/>
    <n v="17"/>
    <s v="T013"/>
    <x v="2"/>
    <n v="883.49"/>
    <x v="3"/>
    <n v="795.14"/>
    <n v="4"/>
    <s v="Member"/>
    <n v="795.14"/>
    <s v="OK"/>
    <x v="1"/>
    <x v="0"/>
    <s v="1–_x000a_10%"/>
    <x v="3"/>
    <x v="11"/>
  </r>
  <r>
    <x v="2090"/>
    <d v="2025-02-06T00:00:00"/>
    <n v="14"/>
    <s v="T002"/>
    <x v="2"/>
    <n v="2048.2399999999998"/>
    <x v="1"/>
    <n v="2048.2399999999998"/>
    <n v="5"/>
    <s v="Walk-in"/>
    <n v="2048.2399999999998"/>
    <s v="OK"/>
    <x v="0"/>
    <x v="0"/>
    <s v="0%"/>
    <x v="4"/>
    <x v="9"/>
  </r>
  <r>
    <x v="2091"/>
    <d v="2025-06-12T00:00:00"/>
    <n v="20"/>
    <s v="T022"/>
    <x v="0"/>
    <n v="2288.66"/>
    <x v="5"/>
    <n v="2174.23"/>
    <n v="1"/>
    <s v="Member"/>
    <n v="2174.23"/>
    <s v="OK"/>
    <x v="3"/>
    <x v="0"/>
    <s v="1–_x000a_10%"/>
    <x v="4"/>
    <x v="8"/>
  </r>
  <r>
    <x v="2092"/>
    <d v="2025-05-27T00:00:00"/>
    <n v="16"/>
    <s v="T029"/>
    <x v="0"/>
    <n v="1094.51"/>
    <x v="0"/>
    <n v="930.33"/>
    <n v="6"/>
    <s v="Member"/>
    <n v="930.33"/>
    <s v="OK"/>
    <x v="1"/>
    <x v="0"/>
    <s v="11–20%"/>
    <x v="0"/>
    <x v="6"/>
  </r>
  <r>
    <x v="2093"/>
    <d v="2025-04-02T00:00:00"/>
    <n v="17"/>
    <s v="T002"/>
    <x v="0"/>
    <n v="2300.46"/>
    <x v="1"/>
    <n v="2300.46"/>
    <n v="3"/>
    <s v="Member"/>
    <n v="2300.46"/>
    <s v="OK"/>
    <x v="4"/>
    <x v="0"/>
    <s v="0%"/>
    <x v="4"/>
    <x v="9"/>
  </r>
  <r>
    <x v="2094"/>
    <d v="2025-01-16T00:00:00"/>
    <n v="17"/>
    <s v="T025"/>
    <x v="0"/>
    <n v="944.09"/>
    <x v="1"/>
    <n v="944.09"/>
    <n v="4"/>
    <s v="Walk-in"/>
    <n v="944.09"/>
    <s v="OK"/>
    <x v="2"/>
    <x v="0"/>
    <s v="0%"/>
    <x v="2"/>
    <x v="2"/>
  </r>
  <r>
    <x v="2095"/>
    <d v="2025-02-21T00:00:00"/>
    <n v="10"/>
    <s v="T020"/>
    <x v="2"/>
    <n v="646.61"/>
    <x v="5"/>
    <n v="614.28"/>
    <n v="1"/>
    <s v="Member"/>
    <n v="614.28"/>
    <s v="OK"/>
    <x v="0"/>
    <x v="0"/>
    <s v="1–_x000a_10%"/>
    <x v="2"/>
    <x v="2"/>
  </r>
  <r>
    <x v="2096"/>
    <d v="2025-04-28T00:00:00"/>
    <n v="14"/>
    <s v="T011"/>
    <x v="0"/>
    <n v="325.25"/>
    <x v="3"/>
    <n v="292.73"/>
    <n v="3"/>
    <s v="Member"/>
    <n v="292.73"/>
    <s v="OK"/>
    <x v="4"/>
    <x v="0"/>
    <s v="1–_x000a_10%"/>
    <x v="1"/>
    <x v="10"/>
  </r>
  <r>
    <x v="2097"/>
    <d v="2025-02-20T00:00:00"/>
    <n v="17"/>
    <s v="T018"/>
    <x v="2"/>
    <n v="1117.3499999999999"/>
    <x v="1"/>
    <n v="1117.3499999999999"/>
    <n v="1"/>
    <s v="Walk-in"/>
    <n v="1117.3499999999999"/>
    <s v="OK"/>
    <x v="0"/>
    <x v="0"/>
    <s v="0%"/>
    <x v="3"/>
    <x v="3"/>
  </r>
  <r>
    <x v="2098"/>
    <d v="2025-04-10T00:00:00"/>
    <n v="19"/>
    <s v="T005"/>
    <x v="2"/>
    <n v="750.73"/>
    <x v="5"/>
    <n v="713.19"/>
    <n v="3"/>
    <s v="Walk-in"/>
    <n v="713.19"/>
    <s v="OK"/>
    <x v="4"/>
    <x v="0"/>
    <s v="1–_x000a_10%"/>
    <x v="2"/>
    <x v="4"/>
  </r>
  <r>
    <x v="2099"/>
    <d v="2025-01-06T00:00:00"/>
    <n v="12"/>
    <s v="T024"/>
    <x v="1"/>
    <n v="2145.15"/>
    <x v="1"/>
    <n v="2145.15"/>
    <n v="2"/>
    <s v="Member"/>
    <n v="2145.15"/>
    <s v="OK"/>
    <x v="2"/>
    <x v="0"/>
    <s v="0%"/>
    <x v="0"/>
    <x v="0"/>
  </r>
  <r>
    <x v="2100"/>
    <d v="2025-04-18T00:00:00"/>
    <n v="18"/>
    <s v="T023"/>
    <x v="2"/>
    <n v="1361.39"/>
    <x v="5"/>
    <n v="1293.32"/>
    <n v="3"/>
    <s v="Member"/>
    <n v="1293.32"/>
    <s v="OK"/>
    <x v="4"/>
    <x v="0"/>
    <s v="1–_x000a_10%"/>
    <x v="3"/>
    <x v="11"/>
  </r>
  <r>
    <x v="2101"/>
    <d v="2025-03-23T00:00:00"/>
    <n v="18"/>
    <s v="T018"/>
    <x v="1"/>
    <n v="1288.29"/>
    <x v="1"/>
    <n v="1288.29"/>
    <n v="3"/>
    <s v="Walk-in"/>
    <n v="1288.29"/>
    <s v="OK"/>
    <x v="5"/>
    <x v="1"/>
    <s v="0%"/>
    <x v="3"/>
    <x v="3"/>
  </r>
  <r>
    <x v="2102"/>
    <d v="2025-02-10T00:00:00"/>
    <n v="11"/>
    <s v="T022"/>
    <x v="0"/>
    <n v="2086.38"/>
    <x v="1"/>
    <n v="2086.38"/>
    <n v="2"/>
    <s v="Member"/>
    <n v="2086.38"/>
    <s v="OK"/>
    <x v="0"/>
    <x v="0"/>
    <s v="0%"/>
    <x v="4"/>
    <x v="8"/>
  </r>
  <r>
    <x v="2103"/>
    <d v="2025-03-11T00:00:00"/>
    <n v="10"/>
    <s v="T013"/>
    <x v="2"/>
    <n v="1288.92"/>
    <x v="1"/>
    <n v="1288.92"/>
    <n v="4"/>
    <s v="Walk-in"/>
    <n v="1288.92"/>
    <s v="OK"/>
    <x v="5"/>
    <x v="0"/>
    <s v="0%"/>
    <x v="3"/>
    <x v="11"/>
  </r>
  <r>
    <x v="2104"/>
    <d v="2025-04-11T00:00:00"/>
    <n v="18"/>
    <s v="T006"/>
    <x v="0"/>
    <n v="440.74"/>
    <x v="0"/>
    <n v="374.63"/>
    <n v="1"/>
    <s v="Walk-in"/>
    <n v="374.63"/>
    <s v="OK"/>
    <x v="4"/>
    <x v="0"/>
    <s v="11–20%"/>
    <x v="1"/>
    <x v="1"/>
  </r>
  <r>
    <x v="2105"/>
    <d v="2025-06-03T00:00:00"/>
    <n v="12"/>
    <s v="T017"/>
    <x v="2"/>
    <n v="1232.31"/>
    <x v="3"/>
    <n v="1109.08"/>
    <n v="6"/>
    <s v="Walk-in"/>
    <n v="1109.08"/>
    <s v="OK"/>
    <x v="3"/>
    <x v="0"/>
    <s v="1–_x000a_10%"/>
    <x v="4"/>
    <x v="8"/>
  </r>
  <r>
    <x v="2106"/>
    <d v="2025-03-03T00:00:00"/>
    <n v="15"/>
    <s v="T028"/>
    <x v="2"/>
    <n v="775.6"/>
    <x v="1"/>
    <n v="775.6"/>
    <n v="6"/>
    <s v="Member"/>
    <n v="775.6"/>
    <s v="OK"/>
    <x v="5"/>
    <x v="0"/>
    <s v="0%"/>
    <x v="3"/>
    <x v="5"/>
  </r>
  <r>
    <x v="2107"/>
    <d v="2025-05-24T00:00:00"/>
    <n v="14"/>
    <s v="T028"/>
    <x v="2"/>
    <n v="967.96"/>
    <x v="1"/>
    <n v="967.96"/>
    <n v="2"/>
    <s v="Member"/>
    <n v="967.96"/>
    <s v="OK"/>
    <x v="1"/>
    <x v="1"/>
    <s v="0%"/>
    <x v="3"/>
    <x v="5"/>
  </r>
  <r>
    <x v="2108"/>
    <d v="2025-01-24T00:00:00"/>
    <n v="15"/>
    <s v="T005"/>
    <x v="2"/>
    <n v="504.99"/>
    <x v="1"/>
    <n v="504.99"/>
    <n v="3"/>
    <s v="Walk-in"/>
    <n v="504.99"/>
    <s v="OK"/>
    <x v="2"/>
    <x v="0"/>
    <s v="0%"/>
    <x v="2"/>
    <x v="4"/>
  </r>
  <r>
    <x v="2109"/>
    <d v="2025-05-15T00:00:00"/>
    <n v="10"/>
    <s v="T017"/>
    <x v="0"/>
    <n v="1349.35"/>
    <x v="1"/>
    <n v="1349.35"/>
    <n v="5"/>
    <s v="Member"/>
    <n v="1349.35"/>
    <s v="OK"/>
    <x v="1"/>
    <x v="0"/>
    <s v="0%"/>
    <x v="4"/>
    <x v="8"/>
  </r>
  <r>
    <x v="2110"/>
    <d v="2025-06-07T00:00:00"/>
    <n v="21"/>
    <s v="T008"/>
    <x v="0"/>
    <n v="704.96"/>
    <x v="1"/>
    <n v="704.96"/>
    <n v="4"/>
    <s v="Walk-in"/>
    <n v="704.96"/>
    <s v="OK"/>
    <x v="3"/>
    <x v="1"/>
    <s v="0%"/>
    <x v="3"/>
    <x v="5"/>
  </r>
  <r>
    <x v="2111"/>
    <d v="2025-01-29T00:00:00"/>
    <n v="19"/>
    <s v="T019"/>
    <x v="2"/>
    <n v="1126.23"/>
    <x v="1"/>
    <n v="1126.23"/>
    <n v="1"/>
    <s v="Walk-in"/>
    <n v="1126.23"/>
    <s v="OK"/>
    <x v="2"/>
    <x v="0"/>
    <s v="0%"/>
    <x v="0"/>
    <x v="0"/>
  </r>
  <r>
    <x v="2112"/>
    <d v="2025-02-27T00:00:00"/>
    <n v="19"/>
    <s v="T029"/>
    <x v="0"/>
    <n v="745.8"/>
    <x v="0"/>
    <n v="633.92999999999995"/>
    <n v="3"/>
    <s v="Walk-in"/>
    <n v="633.92999999999995"/>
    <s v="OK"/>
    <x v="0"/>
    <x v="0"/>
    <s v="11–20%"/>
    <x v="0"/>
    <x v="6"/>
  </r>
  <r>
    <x v="2113"/>
    <d v="2025-04-24T00:00:00"/>
    <n v="14"/>
    <s v="T018"/>
    <x v="0"/>
    <n v="954.46"/>
    <x v="2"/>
    <n v="668.12"/>
    <n v="2"/>
    <s v="Walk-in"/>
    <n v="668.12"/>
    <s v="OK"/>
    <x v="4"/>
    <x v="0"/>
    <s v="&gt;20%"/>
    <x v="3"/>
    <x v="3"/>
  </r>
  <r>
    <x v="2114"/>
    <d v="2025-06-23T00:00:00"/>
    <n v="11"/>
    <s v="T019"/>
    <x v="2"/>
    <n v="564.30999999999995"/>
    <x v="1"/>
    <n v="564.30999999999995"/>
    <n v="3"/>
    <s v="Walk-in"/>
    <n v="564.30999999999995"/>
    <s v="OK"/>
    <x v="3"/>
    <x v="0"/>
    <s v="0%"/>
    <x v="0"/>
    <x v="0"/>
  </r>
  <r>
    <x v="2115"/>
    <d v="2025-05-29T00:00:00"/>
    <n v="10"/>
    <s v="T014"/>
    <x v="3"/>
    <n v="373.13"/>
    <x v="0"/>
    <n v="317.16000000000003"/>
    <n v="1"/>
    <s v="Member"/>
    <n v="317.16000000000003"/>
    <s v="OK"/>
    <x v="1"/>
    <x v="0"/>
    <s v="11–20%"/>
    <x v="0"/>
    <x v="6"/>
  </r>
  <r>
    <x v="2116"/>
    <d v="2025-04-04T00:00:00"/>
    <n v="13"/>
    <s v="T020"/>
    <x v="2"/>
    <n v="447.83"/>
    <x v="2"/>
    <n v="313.48"/>
    <n v="1"/>
    <s v="Walk-in"/>
    <n v="313.48"/>
    <s v="OK"/>
    <x v="4"/>
    <x v="0"/>
    <s v="&gt;20%"/>
    <x v="2"/>
    <x v="2"/>
  </r>
  <r>
    <x v="2117"/>
    <d v="2025-03-17T00:00:00"/>
    <n v="20"/>
    <s v="T029"/>
    <x v="3"/>
    <n v="565.4"/>
    <x v="1"/>
    <n v="565.4"/>
    <n v="1"/>
    <s v="Walk-in"/>
    <n v="565.4"/>
    <s v="OK"/>
    <x v="5"/>
    <x v="0"/>
    <s v="0%"/>
    <x v="0"/>
    <x v="6"/>
  </r>
  <r>
    <x v="2118"/>
    <d v="2025-04-25T00:00:00"/>
    <n v="21"/>
    <s v="T017"/>
    <x v="0"/>
    <n v="801.1"/>
    <x v="0"/>
    <n v="680.93"/>
    <n v="1"/>
    <s v="Walk-in"/>
    <n v="680.94"/>
    <s v="OK"/>
    <x v="4"/>
    <x v="0"/>
    <s v="11–20%"/>
    <x v="4"/>
    <x v="8"/>
  </r>
  <r>
    <x v="2119"/>
    <d v="2025-04-20T00:00:00"/>
    <n v="19"/>
    <s v="T003"/>
    <x v="0"/>
    <n v="850.45"/>
    <x v="1"/>
    <n v="850.45"/>
    <n v="4"/>
    <s v="Walk-in"/>
    <n v="850.45"/>
    <s v="OK"/>
    <x v="4"/>
    <x v="1"/>
    <s v="0%"/>
    <x v="3"/>
    <x v="3"/>
  </r>
  <r>
    <x v="2120"/>
    <d v="2025-01-26T00:00:00"/>
    <n v="17"/>
    <s v="T017"/>
    <x v="0"/>
    <n v="1783.29"/>
    <x v="1"/>
    <n v="1783.29"/>
    <n v="3"/>
    <s v="Member"/>
    <n v="1783.29"/>
    <s v="OK"/>
    <x v="2"/>
    <x v="1"/>
    <s v="0%"/>
    <x v="4"/>
    <x v="8"/>
  </r>
  <r>
    <x v="2121"/>
    <d v="2025-02-19T00:00:00"/>
    <n v="13"/>
    <s v="T008"/>
    <x v="2"/>
    <n v="1837.54"/>
    <x v="1"/>
    <n v="1837.54"/>
    <n v="2"/>
    <s v="Member"/>
    <n v="1837.54"/>
    <s v="OK"/>
    <x v="0"/>
    <x v="0"/>
    <s v="0%"/>
    <x v="3"/>
    <x v="5"/>
  </r>
  <r>
    <x v="2122"/>
    <d v="2025-03-18T00:00:00"/>
    <n v="11"/>
    <s v="T001"/>
    <x v="3"/>
    <n v="2063.9899999999998"/>
    <x v="5"/>
    <n v="1960.79"/>
    <n v="1"/>
    <s v="Walk-in"/>
    <n v="1960.79"/>
    <s v="OK"/>
    <x v="5"/>
    <x v="0"/>
    <s v="1–_x000a_10%"/>
    <x v="1"/>
    <x v="7"/>
  </r>
  <r>
    <x v="2123"/>
    <d v="2025-05-10T00:00:00"/>
    <n v="11"/>
    <s v="T025"/>
    <x v="0"/>
    <n v="2126.8000000000002"/>
    <x v="0"/>
    <n v="1807.78"/>
    <n v="6"/>
    <s v="Walk-in"/>
    <n v="1807.78"/>
    <s v="OK"/>
    <x v="1"/>
    <x v="1"/>
    <s v="11–20%"/>
    <x v="2"/>
    <x v="2"/>
  </r>
  <r>
    <x v="2124"/>
    <d v="2025-02-02T00:00:00"/>
    <n v="10"/>
    <s v="T012"/>
    <x v="0"/>
    <n v="953.91"/>
    <x v="3"/>
    <n v="858.52"/>
    <n v="2"/>
    <s v="Member"/>
    <n v="858.52"/>
    <s v="OK"/>
    <x v="0"/>
    <x v="1"/>
    <s v="1–_x000a_10%"/>
    <x v="4"/>
    <x v="9"/>
  </r>
  <r>
    <x v="2125"/>
    <d v="2025-03-31T00:00:00"/>
    <n v="22"/>
    <s v="T011"/>
    <x v="2"/>
    <n v="1888.82"/>
    <x v="5"/>
    <n v="1794.38"/>
    <n v="3"/>
    <s v="Walk-in"/>
    <n v="1794.38"/>
    <s v="OK"/>
    <x v="5"/>
    <x v="0"/>
    <s v="1–_x000a_10%"/>
    <x v="1"/>
    <x v="10"/>
  </r>
  <r>
    <x v="2126"/>
    <d v="2025-05-11T00:00:00"/>
    <n v="20"/>
    <s v="T029"/>
    <x v="0"/>
    <n v="755.06"/>
    <x v="1"/>
    <n v="755.06"/>
    <n v="3"/>
    <s v="Member"/>
    <n v="755.06"/>
    <s v="OK"/>
    <x v="1"/>
    <x v="1"/>
    <s v="0%"/>
    <x v="0"/>
    <x v="6"/>
  </r>
  <r>
    <x v="2127"/>
    <d v="2025-05-04T00:00:00"/>
    <n v="21"/>
    <s v="T007"/>
    <x v="0"/>
    <n v="2837.82"/>
    <x v="3"/>
    <n v="2554.04"/>
    <n v="6"/>
    <s v="Walk-in"/>
    <n v="2554.04"/>
    <s v="OK"/>
    <x v="1"/>
    <x v="1"/>
    <s v="1–_x000a_10%"/>
    <x v="4"/>
    <x v="8"/>
  </r>
  <r>
    <x v="2128"/>
    <d v="2025-05-27T00:00:00"/>
    <n v="15"/>
    <s v="T025"/>
    <x v="0"/>
    <n v="583.91999999999996"/>
    <x v="1"/>
    <n v="583.91999999999996"/>
    <n v="3"/>
    <s v="Walk-in"/>
    <n v="583.91999999999996"/>
    <s v="OK"/>
    <x v="1"/>
    <x v="0"/>
    <s v="0%"/>
    <x v="2"/>
    <x v="2"/>
  </r>
  <r>
    <x v="2129"/>
    <d v="2025-01-10T00:00:00"/>
    <n v="14"/>
    <s v="T022"/>
    <x v="2"/>
    <n v="2499.6799999999998"/>
    <x v="1"/>
    <n v="2499.6799999999998"/>
    <n v="2"/>
    <s v="Walk-in"/>
    <n v="2499.6799999999998"/>
    <s v="OK"/>
    <x v="2"/>
    <x v="0"/>
    <s v="0%"/>
    <x v="4"/>
    <x v="8"/>
  </r>
  <r>
    <x v="2130"/>
    <d v="2025-05-06T00:00:00"/>
    <n v="16"/>
    <s v="T001"/>
    <x v="2"/>
    <n v="1505.4"/>
    <x v="0"/>
    <n v="1279.5899999999999"/>
    <n v="3"/>
    <s v="Member"/>
    <n v="1279.5899999999999"/>
    <s v="OK"/>
    <x v="1"/>
    <x v="0"/>
    <s v="11–20%"/>
    <x v="1"/>
    <x v="7"/>
  </r>
  <r>
    <x v="2131"/>
    <d v="2025-02-27T00:00:00"/>
    <n v="18"/>
    <s v="T014"/>
    <x v="2"/>
    <n v="377.74"/>
    <x v="4"/>
    <n v="302.19"/>
    <n v="1"/>
    <s v="Walk-in"/>
    <n v="302.19"/>
    <s v="OK"/>
    <x v="0"/>
    <x v="0"/>
    <s v="11–20%"/>
    <x v="0"/>
    <x v="6"/>
  </r>
  <r>
    <x v="2132"/>
    <d v="2025-01-11T00:00:00"/>
    <n v="10"/>
    <s v="T011"/>
    <x v="2"/>
    <n v="575.97"/>
    <x v="3"/>
    <n v="518.37"/>
    <n v="1"/>
    <s v="Walk-in"/>
    <n v="518.37"/>
    <s v="OK"/>
    <x v="2"/>
    <x v="1"/>
    <s v="1–_x000a_10%"/>
    <x v="1"/>
    <x v="10"/>
  </r>
  <r>
    <x v="2133"/>
    <d v="2025-01-05T00:00:00"/>
    <n v="22"/>
    <s v="T023"/>
    <x v="2"/>
    <n v="1940.79"/>
    <x v="5"/>
    <n v="1843.75"/>
    <n v="2"/>
    <s v="Member"/>
    <n v="1843.75"/>
    <s v="OK"/>
    <x v="2"/>
    <x v="1"/>
    <s v="1–_x000a_10%"/>
    <x v="3"/>
    <x v="11"/>
  </r>
  <r>
    <x v="2134"/>
    <d v="2025-04-18T00:00:00"/>
    <n v="11"/>
    <s v="T028"/>
    <x v="3"/>
    <n v="2393.35"/>
    <x v="1"/>
    <n v="2393.35"/>
    <n v="5"/>
    <s v="Member"/>
    <n v="2393.35"/>
    <s v="OK"/>
    <x v="4"/>
    <x v="0"/>
    <s v="0%"/>
    <x v="3"/>
    <x v="5"/>
  </r>
  <r>
    <x v="2135"/>
    <d v="2025-02-04T00:00:00"/>
    <n v="13"/>
    <s v="T029"/>
    <x v="3"/>
    <n v="418.73"/>
    <x v="1"/>
    <n v="418.73"/>
    <n v="5"/>
    <s v="Walk-in"/>
    <n v="418.73"/>
    <s v="OK"/>
    <x v="0"/>
    <x v="0"/>
    <s v="0%"/>
    <x v="0"/>
    <x v="6"/>
  </r>
  <r>
    <x v="2136"/>
    <d v="2025-01-29T00:00:00"/>
    <n v="10"/>
    <s v="T003"/>
    <x v="1"/>
    <n v="325.27"/>
    <x v="2"/>
    <n v="227.69"/>
    <n v="2"/>
    <s v="Walk-in"/>
    <n v="227.69"/>
    <s v="OK"/>
    <x v="2"/>
    <x v="0"/>
    <s v="&gt;20%"/>
    <x v="3"/>
    <x v="3"/>
  </r>
  <r>
    <x v="2137"/>
    <d v="2025-03-09T00:00:00"/>
    <n v="18"/>
    <s v="T028"/>
    <x v="0"/>
    <n v="2849.35"/>
    <x v="5"/>
    <n v="2706.88"/>
    <n v="2"/>
    <s v="Walk-in"/>
    <n v="2706.88"/>
    <s v="OK"/>
    <x v="5"/>
    <x v="1"/>
    <s v="1–_x000a_10%"/>
    <x v="3"/>
    <x v="5"/>
  </r>
  <r>
    <x v="2138"/>
    <d v="2025-03-06T00:00:00"/>
    <n v="18"/>
    <s v="T007"/>
    <x v="3"/>
    <n v="256.02999999999997"/>
    <x v="1"/>
    <n v="256.02999999999997"/>
    <n v="3"/>
    <s v="Walk-in"/>
    <n v="256.02999999999997"/>
    <s v="OK"/>
    <x v="5"/>
    <x v="0"/>
    <s v="0%"/>
    <x v="4"/>
    <x v="8"/>
  </r>
  <r>
    <x v="2139"/>
    <d v="2025-04-30T00:00:00"/>
    <n v="22"/>
    <s v="T029"/>
    <x v="0"/>
    <n v="784.36"/>
    <x v="0"/>
    <n v="666.71"/>
    <n v="2"/>
    <s v="Member"/>
    <n v="666.71"/>
    <s v="OK"/>
    <x v="4"/>
    <x v="0"/>
    <s v="11–20%"/>
    <x v="0"/>
    <x v="6"/>
  </r>
  <r>
    <x v="2140"/>
    <d v="2025-03-06T00:00:00"/>
    <n v="16"/>
    <s v="T025"/>
    <x v="0"/>
    <n v="1875.57"/>
    <x v="3"/>
    <n v="1688.01"/>
    <n v="5"/>
    <s v="Member"/>
    <n v="1688.01"/>
    <s v="OK"/>
    <x v="5"/>
    <x v="0"/>
    <s v="1–_x000a_10%"/>
    <x v="2"/>
    <x v="2"/>
  </r>
  <r>
    <x v="2141"/>
    <d v="2025-06-17T00:00:00"/>
    <n v="14"/>
    <s v="T030"/>
    <x v="2"/>
    <n v="890.97"/>
    <x v="1"/>
    <n v="890.97"/>
    <n v="4"/>
    <s v="Walk-in"/>
    <n v="890.97"/>
    <s v="OK"/>
    <x v="3"/>
    <x v="0"/>
    <s v="0%"/>
    <x v="2"/>
    <x v="2"/>
  </r>
  <r>
    <x v="2142"/>
    <d v="2025-01-23T00:00:00"/>
    <n v="13"/>
    <s v="T006"/>
    <x v="0"/>
    <n v="2048.61"/>
    <x v="1"/>
    <n v="2048.61"/>
    <n v="1"/>
    <s v="Walk-in"/>
    <n v="2048.61"/>
    <s v="OK"/>
    <x v="2"/>
    <x v="0"/>
    <s v="0%"/>
    <x v="1"/>
    <x v="1"/>
  </r>
  <r>
    <x v="2143"/>
    <d v="2025-03-30T00:00:00"/>
    <n v="22"/>
    <s v="T001"/>
    <x v="2"/>
    <n v="668.5"/>
    <x v="1"/>
    <n v="668.5"/>
    <n v="1"/>
    <s v="Member"/>
    <n v="668.5"/>
    <s v="OK"/>
    <x v="5"/>
    <x v="1"/>
    <s v="0%"/>
    <x v="1"/>
    <x v="7"/>
  </r>
  <r>
    <x v="2144"/>
    <d v="2025-03-21T00:00:00"/>
    <n v="21"/>
    <s v="T013"/>
    <x v="2"/>
    <n v="2455.25"/>
    <x v="3"/>
    <n v="2209.7199999999998"/>
    <n v="5"/>
    <s v="Member"/>
    <n v="2209.73"/>
    <s v="OK"/>
    <x v="5"/>
    <x v="0"/>
    <s v="1–_x000a_10%"/>
    <x v="3"/>
    <x v="11"/>
  </r>
  <r>
    <x v="2145"/>
    <d v="2025-02-18T00:00:00"/>
    <n v="20"/>
    <s v="T010"/>
    <x v="1"/>
    <n v="276.54000000000002"/>
    <x v="1"/>
    <n v="276.54000000000002"/>
    <n v="1"/>
    <s v="Walk-in"/>
    <n v="276.54000000000002"/>
    <s v="OK"/>
    <x v="0"/>
    <x v="0"/>
    <s v="0%"/>
    <x v="2"/>
    <x v="4"/>
  </r>
  <r>
    <x v="2146"/>
    <d v="2025-05-17T00:00:00"/>
    <n v="14"/>
    <s v="T003"/>
    <x v="1"/>
    <n v="1852.16"/>
    <x v="3"/>
    <n v="1666.94"/>
    <n v="3"/>
    <s v="Walk-in"/>
    <n v="1666.94"/>
    <s v="OK"/>
    <x v="1"/>
    <x v="1"/>
    <s v="1–_x000a_10%"/>
    <x v="3"/>
    <x v="3"/>
  </r>
  <r>
    <x v="2147"/>
    <d v="2025-06-05T00:00:00"/>
    <n v="12"/>
    <s v="T014"/>
    <x v="0"/>
    <n v="876.79"/>
    <x v="5"/>
    <n v="832.95"/>
    <n v="5"/>
    <s v="Member"/>
    <n v="832.95"/>
    <s v="OK"/>
    <x v="3"/>
    <x v="0"/>
    <s v="1–_x000a_10%"/>
    <x v="0"/>
    <x v="6"/>
  </r>
  <r>
    <x v="2148"/>
    <d v="2025-04-24T00:00:00"/>
    <n v="21"/>
    <s v="T001"/>
    <x v="0"/>
    <n v="683.63"/>
    <x v="3"/>
    <n v="615.27"/>
    <n v="2"/>
    <s v="Walk-in"/>
    <n v="615.27"/>
    <s v="OK"/>
    <x v="4"/>
    <x v="0"/>
    <s v="1–_x000a_10%"/>
    <x v="1"/>
    <x v="7"/>
  </r>
  <r>
    <x v="2149"/>
    <d v="2025-05-12T00:00:00"/>
    <n v="13"/>
    <s v="T001"/>
    <x v="0"/>
    <n v="407.15"/>
    <x v="1"/>
    <n v="407.15"/>
    <n v="1"/>
    <s v="Member"/>
    <n v="407.15"/>
    <s v="OK"/>
    <x v="1"/>
    <x v="0"/>
    <s v="0%"/>
    <x v="1"/>
    <x v="7"/>
  </r>
  <r>
    <x v="2150"/>
    <d v="2025-03-29T00:00:00"/>
    <n v="10"/>
    <s v="T008"/>
    <x v="2"/>
    <n v="1149.6199999999999"/>
    <x v="3"/>
    <n v="1034.6600000000001"/>
    <n v="1"/>
    <s v="Walk-in"/>
    <n v="1034.6600000000001"/>
    <s v="OK"/>
    <x v="5"/>
    <x v="1"/>
    <s v="1–_x000a_10%"/>
    <x v="3"/>
    <x v="5"/>
  </r>
  <r>
    <x v="2151"/>
    <d v="2025-02-02T00:00:00"/>
    <n v="21"/>
    <s v="T004"/>
    <x v="0"/>
    <n v="1862.9"/>
    <x v="3"/>
    <n v="1676.61"/>
    <n v="1"/>
    <s v="Walk-in"/>
    <n v="1676.61"/>
    <s v="OK"/>
    <x v="0"/>
    <x v="1"/>
    <s v="1–_x000a_10%"/>
    <x v="0"/>
    <x v="0"/>
  </r>
  <r>
    <x v="2152"/>
    <d v="2025-03-04T00:00:00"/>
    <n v="18"/>
    <s v="T018"/>
    <x v="1"/>
    <n v="328.66"/>
    <x v="2"/>
    <n v="230.06"/>
    <n v="2"/>
    <s v="Member"/>
    <n v="230.06"/>
    <s v="OK"/>
    <x v="5"/>
    <x v="0"/>
    <s v="&gt;20%"/>
    <x v="3"/>
    <x v="3"/>
  </r>
  <r>
    <x v="2153"/>
    <d v="2025-03-04T00:00:00"/>
    <n v="10"/>
    <s v="T007"/>
    <x v="2"/>
    <n v="596.6"/>
    <x v="1"/>
    <n v="596.6"/>
    <n v="3"/>
    <s v="Walk-in"/>
    <n v="596.6"/>
    <s v="OK"/>
    <x v="5"/>
    <x v="0"/>
    <s v="0%"/>
    <x v="4"/>
    <x v="8"/>
  </r>
  <r>
    <x v="2154"/>
    <d v="2025-03-31T00:00:00"/>
    <n v="10"/>
    <s v="T017"/>
    <x v="0"/>
    <n v="925.87"/>
    <x v="5"/>
    <n v="879.58"/>
    <n v="6"/>
    <s v="Member"/>
    <n v="879.58"/>
    <s v="OK"/>
    <x v="5"/>
    <x v="0"/>
    <s v="1–_x000a_10%"/>
    <x v="4"/>
    <x v="8"/>
  </r>
  <r>
    <x v="2155"/>
    <d v="2025-06-07T00:00:00"/>
    <n v="12"/>
    <s v="T030"/>
    <x v="0"/>
    <n v="1460.11"/>
    <x v="1"/>
    <n v="1460.11"/>
    <n v="1"/>
    <s v="Walk-in"/>
    <n v="1460.11"/>
    <s v="OK"/>
    <x v="3"/>
    <x v="1"/>
    <s v="0%"/>
    <x v="2"/>
    <x v="2"/>
  </r>
  <r>
    <x v="2156"/>
    <d v="2025-02-13T00:00:00"/>
    <n v="22"/>
    <s v="T018"/>
    <x v="3"/>
    <n v="1623.57"/>
    <x v="5"/>
    <n v="1542.39"/>
    <n v="1"/>
    <s v="Walk-in"/>
    <n v="1542.39"/>
    <s v="OK"/>
    <x v="0"/>
    <x v="0"/>
    <s v="1–_x000a_10%"/>
    <x v="3"/>
    <x v="3"/>
  </r>
  <r>
    <x v="2157"/>
    <d v="2025-02-07T00:00:00"/>
    <n v="16"/>
    <s v="T019"/>
    <x v="0"/>
    <n v="2199.41"/>
    <x v="2"/>
    <n v="1539.59"/>
    <n v="3"/>
    <s v="Walk-in"/>
    <n v="1539.59"/>
    <s v="OK"/>
    <x v="0"/>
    <x v="0"/>
    <s v="&gt;20%"/>
    <x v="0"/>
    <x v="0"/>
  </r>
  <r>
    <x v="2158"/>
    <d v="2025-05-06T00:00:00"/>
    <n v="22"/>
    <s v="T020"/>
    <x v="0"/>
    <n v="3729.85"/>
    <x v="1"/>
    <n v="3729.85"/>
    <n v="5"/>
    <s v="Walk-in"/>
    <n v="3729.85"/>
    <s v="OK"/>
    <x v="1"/>
    <x v="0"/>
    <s v="0%"/>
    <x v="2"/>
    <x v="2"/>
  </r>
  <r>
    <x v="2159"/>
    <d v="2025-01-16T00:00:00"/>
    <n v="13"/>
    <s v="T015"/>
    <x v="0"/>
    <n v="1284.92"/>
    <x v="3"/>
    <n v="1156.43"/>
    <n v="2"/>
    <s v="Walk-in"/>
    <n v="1156.43"/>
    <s v="OK"/>
    <x v="2"/>
    <x v="0"/>
    <s v="1–_x000a_10%"/>
    <x v="2"/>
    <x v="4"/>
  </r>
  <r>
    <x v="2160"/>
    <d v="2025-02-05T00:00:00"/>
    <n v="19"/>
    <s v="T007"/>
    <x v="2"/>
    <n v="1102.3499999999999"/>
    <x v="1"/>
    <n v="1102.3499999999999"/>
    <n v="3"/>
    <s v="Walk-in"/>
    <n v="1102.3499999999999"/>
    <s v="OK"/>
    <x v="0"/>
    <x v="0"/>
    <s v="0%"/>
    <x v="4"/>
    <x v="8"/>
  </r>
  <r>
    <x v="2161"/>
    <d v="2025-01-01T00:00:00"/>
    <n v="12"/>
    <s v="T023"/>
    <x v="2"/>
    <n v="2505.67"/>
    <x v="4"/>
    <n v="2004.54"/>
    <n v="6"/>
    <s v="Walk-in"/>
    <n v="2004.54"/>
    <s v="OK"/>
    <x v="2"/>
    <x v="0"/>
    <s v="11–20%"/>
    <x v="3"/>
    <x v="11"/>
  </r>
  <r>
    <x v="2162"/>
    <d v="2025-02-21T00:00:00"/>
    <n v="10"/>
    <s v="T025"/>
    <x v="1"/>
    <n v="3495.36"/>
    <x v="3"/>
    <n v="3145.82"/>
    <n v="4"/>
    <s v="Member"/>
    <n v="3145.82"/>
    <s v="OK"/>
    <x v="0"/>
    <x v="0"/>
    <s v="1–_x000a_10%"/>
    <x v="2"/>
    <x v="2"/>
  </r>
  <r>
    <x v="2163"/>
    <d v="2025-03-31T00:00:00"/>
    <n v="13"/>
    <s v="T023"/>
    <x v="0"/>
    <n v="889.05"/>
    <x v="4"/>
    <n v="711.24"/>
    <n v="1"/>
    <s v="Walk-in"/>
    <n v="711.24"/>
    <s v="OK"/>
    <x v="5"/>
    <x v="0"/>
    <s v="11–20%"/>
    <x v="3"/>
    <x v="11"/>
  </r>
  <r>
    <x v="2164"/>
    <d v="2025-01-05T00:00:00"/>
    <n v="19"/>
    <s v="T003"/>
    <x v="0"/>
    <n v="621.52"/>
    <x v="5"/>
    <n v="590.44000000000005"/>
    <n v="4"/>
    <s v="Walk-in"/>
    <n v="590.44000000000005"/>
    <s v="OK"/>
    <x v="2"/>
    <x v="1"/>
    <s v="1–_x000a_10%"/>
    <x v="3"/>
    <x v="3"/>
  </r>
  <r>
    <x v="2165"/>
    <d v="2025-02-04T00:00:00"/>
    <n v="16"/>
    <s v="T028"/>
    <x v="2"/>
    <n v="441.31"/>
    <x v="4"/>
    <n v="353.05"/>
    <n v="3"/>
    <s v="Walk-in"/>
    <n v="353.05"/>
    <s v="OK"/>
    <x v="0"/>
    <x v="0"/>
    <s v="11–20%"/>
    <x v="3"/>
    <x v="5"/>
  </r>
  <r>
    <x v="2166"/>
    <d v="2025-04-28T00:00:00"/>
    <n v="22"/>
    <s v="T030"/>
    <x v="1"/>
    <n v="2742.3"/>
    <x v="1"/>
    <n v="2742.3"/>
    <n v="3"/>
    <s v="Walk-in"/>
    <n v="2742.3"/>
    <s v="OK"/>
    <x v="4"/>
    <x v="0"/>
    <s v="0%"/>
    <x v="2"/>
    <x v="2"/>
  </r>
  <r>
    <x v="2167"/>
    <d v="2025-06-22T00:00:00"/>
    <n v="15"/>
    <s v="T027"/>
    <x v="2"/>
    <n v="1071.08"/>
    <x v="1"/>
    <n v="1071.08"/>
    <n v="2"/>
    <s v="Member"/>
    <n v="1071.08"/>
    <s v="OK"/>
    <x v="3"/>
    <x v="1"/>
    <s v="0%"/>
    <x v="4"/>
    <x v="9"/>
  </r>
  <r>
    <x v="2168"/>
    <d v="2025-01-06T00:00:00"/>
    <n v="14"/>
    <s v="T029"/>
    <x v="0"/>
    <n v="1236.96"/>
    <x v="0"/>
    <n v="1051.42"/>
    <n v="1"/>
    <s v="Walk-in"/>
    <n v="1051.42"/>
    <s v="OK"/>
    <x v="2"/>
    <x v="0"/>
    <s v="11–20%"/>
    <x v="0"/>
    <x v="6"/>
  </r>
  <r>
    <x v="2169"/>
    <d v="2025-02-20T00:00:00"/>
    <n v="15"/>
    <s v="T007"/>
    <x v="2"/>
    <n v="3327.72"/>
    <x v="3"/>
    <n v="2994.95"/>
    <n v="1"/>
    <s v="Member"/>
    <n v="2994.95"/>
    <s v="OK"/>
    <x v="0"/>
    <x v="0"/>
    <s v="1–_x000a_10%"/>
    <x v="4"/>
    <x v="8"/>
  </r>
  <r>
    <x v="2170"/>
    <d v="2025-02-23T00:00:00"/>
    <n v="10"/>
    <s v="T004"/>
    <x v="2"/>
    <n v="2345.9"/>
    <x v="1"/>
    <n v="2345.9"/>
    <n v="4"/>
    <s v="Walk-in"/>
    <n v="2345.9"/>
    <s v="OK"/>
    <x v="0"/>
    <x v="1"/>
    <s v="0%"/>
    <x v="0"/>
    <x v="0"/>
  </r>
  <r>
    <x v="2171"/>
    <d v="2025-05-07T00:00:00"/>
    <n v="16"/>
    <s v="T029"/>
    <x v="2"/>
    <n v="776.11"/>
    <x v="1"/>
    <n v="776.11"/>
    <n v="1"/>
    <s v="Member"/>
    <n v="776.11"/>
    <s v="OK"/>
    <x v="1"/>
    <x v="0"/>
    <s v="0%"/>
    <x v="0"/>
    <x v="6"/>
  </r>
  <r>
    <x v="2172"/>
    <d v="2025-06-17T00:00:00"/>
    <n v="16"/>
    <s v="T030"/>
    <x v="0"/>
    <n v="756.59"/>
    <x v="1"/>
    <n v="756.59"/>
    <n v="2"/>
    <s v="Member"/>
    <n v="756.59"/>
    <s v="OK"/>
    <x v="3"/>
    <x v="0"/>
    <s v="0%"/>
    <x v="2"/>
    <x v="2"/>
  </r>
  <r>
    <x v="2173"/>
    <d v="2025-06-20T00:00:00"/>
    <n v="15"/>
    <s v="T016"/>
    <x v="0"/>
    <n v="2051.23"/>
    <x v="3"/>
    <n v="1846.11"/>
    <n v="1"/>
    <s v="Member"/>
    <n v="1846.11"/>
    <s v="OK"/>
    <x v="3"/>
    <x v="0"/>
    <s v="1–_x000a_10%"/>
    <x v="1"/>
    <x v="1"/>
  </r>
  <r>
    <x v="2174"/>
    <d v="2025-03-27T00:00:00"/>
    <n v="11"/>
    <s v="T019"/>
    <x v="1"/>
    <n v="975.29"/>
    <x v="1"/>
    <n v="975.29"/>
    <n v="5"/>
    <s v="Walk-in"/>
    <n v="975.29"/>
    <s v="OK"/>
    <x v="5"/>
    <x v="0"/>
    <s v="0%"/>
    <x v="0"/>
    <x v="0"/>
  </r>
  <r>
    <x v="2175"/>
    <d v="2025-05-06T00:00:00"/>
    <n v="16"/>
    <s v="T006"/>
    <x v="0"/>
    <n v="1325.37"/>
    <x v="4"/>
    <n v="1060.3"/>
    <n v="2"/>
    <s v="Member"/>
    <n v="1060.3"/>
    <s v="OK"/>
    <x v="1"/>
    <x v="0"/>
    <s v="11–20%"/>
    <x v="1"/>
    <x v="1"/>
  </r>
  <r>
    <x v="2176"/>
    <d v="2025-01-13T00:00:00"/>
    <n v="17"/>
    <s v="T030"/>
    <x v="3"/>
    <n v="716.69"/>
    <x v="0"/>
    <n v="609.19000000000005"/>
    <n v="1"/>
    <s v="Member"/>
    <n v="609.19000000000005"/>
    <s v="OK"/>
    <x v="2"/>
    <x v="0"/>
    <s v="11–20%"/>
    <x v="2"/>
    <x v="2"/>
  </r>
  <r>
    <x v="2177"/>
    <d v="2025-02-23T00:00:00"/>
    <n v="18"/>
    <s v="T006"/>
    <x v="0"/>
    <n v="1939.32"/>
    <x v="4"/>
    <n v="1551.46"/>
    <n v="2"/>
    <s v="Walk-in"/>
    <n v="1551.46"/>
    <s v="OK"/>
    <x v="0"/>
    <x v="1"/>
    <s v="11–20%"/>
    <x v="1"/>
    <x v="1"/>
  </r>
  <r>
    <x v="2178"/>
    <d v="2025-03-23T00:00:00"/>
    <n v="18"/>
    <s v="T001"/>
    <x v="0"/>
    <n v="760.82"/>
    <x v="1"/>
    <n v="760.82"/>
    <n v="3"/>
    <s v="Walk-in"/>
    <n v="760.82"/>
    <s v="OK"/>
    <x v="5"/>
    <x v="1"/>
    <s v="0%"/>
    <x v="1"/>
    <x v="7"/>
  </r>
  <r>
    <x v="2179"/>
    <d v="2025-02-05T00:00:00"/>
    <n v="12"/>
    <s v="T022"/>
    <x v="2"/>
    <n v="1357.57"/>
    <x v="4"/>
    <n v="1086.06"/>
    <n v="2"/>
    <s v="Member"/>
    <n v="1086.06"/>
    <s v="OK"/>
    <x v="0"/>
    <x v="0"/>
    <s v="11–20%"/>
    <x v="4"/>
    <x v="8"/>
  </r>
  <r>
    <x v="2180"/>
    <d v="2025-05-17T00:00:00"/>
    <n v="22"/>
    <s v="T030"/>
    <x v="0"/>
    <n v="2957.53"/>
    <x v="1"/>
    <n v="2957.53"/>
    <n v="1"/>
    <s v="Member"/>
    <n v="2957.53"/>
    <s v="OK"/>
    <x v="1"/>
    <x v="1"/>
    <s v="0%"/>
    <x v="2"/>
    <x v="2"/>
  </r>
  <r>
    <x v="2181"/>
    <d v="2025-01-17T00:00:00"/>
    <n v="12"/>
    <s v="T021"/>
    <x v="2"/>
    <n v="2122.0500000000002"/>
    <x v="1"/>
    <n v="2122.0500000000002"/>
    <n v="2"/>
    <s v="Walk-in"/>
    <n v="2122.0500000000002"/>
    <s v="OK"/>
    <x v="2"/>
    <x v="0"/>
    <s v="0%"/>
    <x v="1"/>
    <x v="1"/>
  </r>
  <r>
    <x v="2182"/>
    <d v="2025-04-26T00:00:00"/>
    <n v="19"/>
    <s v="T008"/>
    <x v="0"/>
    <n v="993.14"/>
    <x v="4"/>
    <n v="794.51"/>
    <n v="1"/>
    <s v="Walk-in"/>
    <n v="794.51"/>
    <s v="OK"/>
    <x v="4"/>
    <x v="1"/>
    <s v="11–20%"/>
    <x v="3"/>
    <x v="5"/>
  </r>
  <r>
    <x v="2183"/>
    <d v="2025-06-22T00:00:00"/>
    <n v="11"/>
    <s v="T027"/>
    <x v="2"/>
    <n v="670.93"/>
    <x v="1"/>
    <n v="670.93"/>
    <n v="4"/>
    <s v="Member"/>
    <n v="670.93"/>
    <s v="OK"/>
    <x v="3"/>
    <x v="1"/>
    <s v="0%"/>
    <x v="4"/>
    <x v="9"/>
  </r>
  <r>
    <x v="2184"/>
    <d v="2025-06-14T00:00:00"/>
    <n v="17"/>
    <s v="T029"/>
    <x v="0"/>
    <n v="1410.6"/>
    <x v="1"/>
    <n v="1410.6"/>
    <n v="5"/>
    <s v="Walk-in"/>
    <n v="1410.6"/>
    <s v="OK"/>
    <x v="3"/>
    <x v="1"/>
    <s v="0%"/>
    <x v="0"/>
    <x v="6"/>
  </r>
  <r>
    <x v="2185"/>
    <d v="2025-03-15T00:00:00"/>
    <n v="18"/>
    <s v="T004"/>
    <x v="3"/>
    <n v="2094.04"/>
    <x v="1"/>
    <n v="2094.04"/>
    <n v="5"/>
    <s v="Walk-in"/>
    <n v="2094.04"/>
    <s v="OK"/>
    <x v="5"/>
    <x v="1"/>
    <s v="0%"/>
    <x v="0"/>
    <x v="0"/>
  </r>
  <r>
    <x v="2186"/>
    <d v="2025-03-28T00:00:00"/>
    <n v="14"/>
    <s v="T015"/>
    <x v="2"/>
    <n v="611.91999999999996"/>
    <x v="1"/>
    <n v="611.91999999999996"/>
    <n v="4"/>
    <s v="Walk-in"/>
    <n v="611.91999999999996"/>
    <s v="OK"/>
    <x v="5"/>
    <x v="0"/>
    <s v="0%"/>
    <x v="2"/>
    <x v="4"/>
  </r>
  <r>
    <x v="2187"/>
    <d v="2025-01-25T00:00:00"/>
    <n v="12"/>
    <s v="T014"/>
    <x v="3"/>
    <n v="652.54"/>
    <x v="1"/>
    <n v="652.54"/>
    <n v="4"/>
    <s v="Walk-in"/>
    <n v="652.54"/>
    <s v="OK"/>
    <x v="2"/>
    <x v="1"/>
    <s v="0%"/>
    <x v="0"/>
    <x v="6"/>
  </r>
  <r>
    <x v="2188"/>
    <d v="2025-05-13T00:00:00"/>
    <n v="22"/>
    <s v="T018"/>
    <x v="0"/>
    <n v="1833.73"/>
    <x v="1"/>
    <n v="1833.73"/>
    <n v="1"/>
    <s v="Walk-in"/>
    <n v="1833.73"/>
    <s v="OK"/>
    <x v="1"/>
    <x v="0"/>
    <s v="0%"/>
    <x v="3"/>
    <x v="3"/>
  </r>
  <r>
    <x v="2189"/>
    <d v="2025-02-03T00:00:00"/>
    <n v="14"/>
    <s v="T019"/>
    <x v="2"/>
    <n v="3139.44"/>
    <x v="3"/>
    <n v="2825.5"/>
    <n v="5"/>
    <s v="Member"/>
    <n v="2825.5"/>
    <s v="OK"/>
    <x v="0"/>
    <x v="0"/>
    <s v="1–_x000a_10%"/>
    <x v="0"/>
    <x v="0"/>
  </r>
  <r>
    <x v="2190"/>
    <d v="2025-05-15T00:00:00"/>
    <n v="22"/>
    <s v="T020"/>
    <x v="0"/>
    <n v="944.79"/>
    <x v="0"/>
    <n v="803.07"/>
    <n v="1"/>
    <s v="Walk-in"/>
    <n v="803.07"/>
    <s v="OK"/>
    <x v="1"/>
    <x v="0"/>
    <s v="11–20%"/>
    <x v="2"/>
    <x v="2"/>
  </r>
  <r>
    <x v="2191"/>
    <d v="2025-04-01T00:00:00"/>
    <n v="18"/>
    <s v="T024"/>
    <x v="2"/>
    <n v="1059.32"/>
    <x v="1"/>
    <n v="1059.32"/>
    <n v="2"/>
    <s v="Member"/>
    <n v="1059.32"/>
    <s v="OK"/>
    <x v="4"/>
    <x v="0"/>
    <s v="0%"/>
    <x v="0"/>
    <x v="0"/>
  </r>
  <r>
    <x v="2192"/>
    <d v="2025-02-27T00:00:00"/>
    <n v="17"/>
    <s v="T016"/>
    <x v="0"/>
    <n v="1087.1300000000001"/>
    <x v="0"/>
    <n v="924.06"/>
    <n v="6"/>
    <s v="Walk-in"/>
    <n v="924.06"/>
    <s v="OK"/>
    <x v="0"/>
    <x v="0"/>
    <s v="11–20%"/>
    <x v="1"/>
    <x v="1"/>
  </r>
  <r>
    <x v="2193"/>
    <d v="2025-03-20T00:00:00"/>
    <n v="13"/>
    <s v="T016"/>
    <x v="1"/>
    <n v="1313.19"/>
    <x v="1"/>
    <n v="1313.19"/>
    <n v="1"/>
    <s v="Walk-in"/>
    <n v="1313.19"/>
    <s v="OK"/>
    <x v="5"/>
    <x v="0"/>
    <s v="0%"/>
    <x v="1"/>
    <x v="1"/>
  </r>
  <r>
    <x v="2194"/>
    <d v="2025-01-23T00:00:00"/>
    <n v="15"/>
    <s v="T030"/>
    <x v="0"/>
    <n v="3860.11"/>
    <x v="0"/>
    <n v="3281.09"/>
    <n v="5"/>
    <s v="Walk-in"/>
    <n v="3281.09"/>
    <s v="OK"/>
    <x v="2"/>
    <x v="0"/>
    <s v="11–20%"/>
    <x v="2"/>
    <x v="2"/>
  </r>
  <r>
    <x v="2195"/>
    <d v="2025-03-31T00:00:00"/>
    <n v="21"/>
    <s v="T021"/>
    <x v="0"/>
    <n v="425.39"/>
    <x v="1"/>
    <n v="425.39"/>
    <n v="2"/>
    <s v="Walk-in"/>
    <n v="425.39"/>
    <s v="OK"/>
    <x v="5"/>
    <x v="0"/>
    <s v="0%"/>
    <x v="1"/>
    <x v="1"/>
  </r>
  <r>
    <x v="2196"/>
    <d v="2025-06-23T00:00:00"/>
    <n v="21"/>
    <s v="T003"/>
    <x v="2"/>
    <n v="870.72"/>
    <x v="0"/>
    <n v="740.11"/>
    <n v="2"/>
    <s v="Member"/>
    <n v="740.11"/>
    <s v="OK"/>
    <x v="3"/>
    <x v="0"/>
    <s v="11–20%"/>
    <x v="3"/>
    <x v="3"/>
  </r>
  <r>
    <x v="2197"/>
    <d v="2025-02-01T00:00:00"/>
    <n v="12"/>
    <s v="T002"/>
    <x v="0"/>
    <n v="1316.15"/>
    <x v="3"/>
    <n v="1184.54"/>
    <n v="4"/>
    <s v="Walk-in"/>
    <n v="1184.54"/>
    <s v="OK"/>
    <x v="0"/>
    <x v="1"/>
    <s v="1–_x000a_10%"/>
    <x v="4"/>
    <x v="9"/>
  </r>
  <r>
    <x v="2198"/>
    <d v="2025-02-21T00:00:00"/>
    <n v="11"/>
    <s v="T003"/>
    <x v="3"/>
    <n v="1020.7"/>
    <x v="2"/>
    <n v="714.49"/>
    <n v="1"/>
    <s v="Walk-in"/>
    <n v="714.49"/>
    <s v="OK"/>
    <x v="0"/>
    <x v="0"/>
    <s v="&gt;20%"/>
    <x v="3"/>
    <x v="3"/>
  </r>
  <r>
    <x v="2199"/>
    <d v="2025-01-08T00:00:00"/>
    <n v="12"/>
    <s v="T028"/>
    <x v="3"/>
    <n v="1432.91"/>
    <x v="0"/>
    <n v="1217.97"/>
    <n v="6"/>
    <s v="Member"/>
    <n v="1217.97"/>
    <s v="OK"/>
    <x v="2"/>
    <x v="0"/>
    <s v="11–20%"/>
    <x v="3"/>
    <x v="5"/>
  </r>
  <r>
    <x v="2200"/>
    <d v="2025-03-22T00:00:00"/>
    <n v="12"/>
    <s v="T020"/>
    <x v="3"/>
    <n v="825.86"/>
    <x v="1"/>
    <n v="825.86"/>
    <n v="3"/>
    <s v="Member"/>
    <n v="825.86"/>
    <s v="OK"/>
    <x v="5"/>
    <x v="1"/>
    <s v="0%"/>
    <x v="2"/>
    <x v="2"/>
  </r>
  <r>
    <x v="2201"/>
    <d v="2025-01-27T00:00:00"/>
    <n v="22"/>
    <s v="T012"/>
    <x v="0"/>
    <n v="1257.24"/>
    <x v="1"/>
    <n v="1257.24"/>
    <n v="3"/>
    <s v="Walk-in"/>
    <n v="1257.24"/>
    <s v="OK"/>
    <x v="2"/>
    <x v="0"/>
    <s v="0%"/>
    <x v="4"/>
    <x v="9"/>
  </r>
  <r>
    <x v="2202"/>
    <d v="2025-05-26T00:00:00"/>
    <n v="14"/>
    <s v="T014"/>
    <x v="0"/>
    <n v="835.87"/>
    <x v="1"/>
    <n v="835.87"/>
    <n v="1"/>
    <s v="Member"/>
    <n v="835.87"/>
    <s v="OK"/>
    <x v="1"/>
    <x v="0"/>
    <s v="0%"/>
    <x v="0"/>
    <x v="6"/>
  </r>
  <r>
    <x v="2203"/>
    <d v="2025-04-01T00:00:00"/>
    <n v="18"/>
    <s v="T030"/>
    <x v="0"/>
    <n v="598"/>
    <x v="1"/>
    <n v="598"/>
    <n v="6"/>
    <s v="Member"/>
    <n v="598"/>
    <s v="OK"/>
    <x v="4"/>
    <x v="0"/>
    <s v="0%"/>
    <x v="2"/>
    <x v="2"/>
  </r>
  <r>
    <x v="2204"/>
    <d v="2025-06-21T00:00:00"/>
    <n v="21"/>
    <s v="T013"/>
    <x v="0"/>
    <n v="2230.08"/>
    <x v="3"/>
    <n v="2007.07"/>
    <n v="4"/>
    <s v="Walk-in"/>
    <n v="2007.07"/>
    <s v="OK"/>
    <x v="3"/>
    <x v="1"/>
    <s v="1–_x000a_10%"/>
    <x v="3"/>
    <x v="11"/>
  </r>
  <r>
    <x v="2205"/>
    <d v="2025-03-20T00:00:00"/>
    <n v="16"/>
    <s v="T005"/>
    <x v="3"/>
    <n v="230.79"/>
    <x v="2"/>
    <n v="161.55000000000001"/>
    <n v="3"/>
    <s v="Walk-in"/>
    <n v="161.55000000000001"/>
    <s v="OK"/>
    <x v="5"/>
    <x v="0"/>
    <s v="&gt;20%"/>
    <x v="2"/>
    <x v="4"/>
  </r>
  <r>
    <x v="2206"/>
    <d v="2025-04-16T00:00:00"/>
    <n v="16"/>
    <s v="T027"/>
    <x v="2"/>
    <n v="385.53"/>
    <x v="1"/>
    <n v="385.53"/>
    <n v="3"/>
    <s v="Walk-in"/>
    <n v="385.53"/>
    <s v="OK"/>
    <x v="4"/>
    <x v="0"/>
    <s v="0%"/>
    <x v="4"/>
    <x v="9"/>
  </r>
  <r>
    <x v="2207"/>
    <d v="2025-06-29T00:00:00"/>
    <n v="14"/>
    <s v="T003"/>
    <x v="0"/>
    <n v="1363.11"/>
    <x v="3"/>
    <n v="1226.8"/>
    <n v="3"/>
    <s v="Member"/>
    <n v="1226.8"/>
    <s v="OK"/>
    <x v="3"/>
    <x v="1"/>
    <s v="1–_x000a_10%"/>
    <x v="3"/>
    <x v="3"/>
  </r>
  <r>
    <x v="2208"/>
    <d v="2025-01-09T00:00:00"/>
    <n v="12"/>
    <s v="T015"/>
    <x v="0"/>
    <n v="610.70000000000005"/>
    <x v="3"/>
    <n v="549.63"/>
    <n v="1"/>
    <s v="Walk-in"/>
    <n v="549.63"/>
    <s v="OK"/>
    <x v="2"/>
    <x v="0"/>
    <s v="1–_x000a_10%"/>
    <x v="2"/>
    <x v="4"/>
  </r>
  <r>
    <x v="2209"/>
    <d v="2025-01-27T00:00:00"/>
    <n v="22"/>
    <s v="T008"/>
    <x v="0"/>
    <n v="1245.3599999999999"/>
    <x v="0"/>
    <n v="1058.56"/>
    <n v="1"/>
    <s v="Walk-in"/>
    <n v="1058.56"/>
    <s v="OK"/>
    <x v="2"/>
    <x v="0"/>
    <s v="11–20%"/>
    <x v="3"/>
    <x v="5"/>
  </r>
  <r>
    <x v="2210"/>
    <d v="2025-01-25T00:00:00"/>
    <n v="18"/>
    <s v="T016"/>
    <x v="0"/>
    <n v="218.85"/>
    <x v="5"/>
    <n v="207.91"/>
    <n v="1"/>
    <s v="Walk-in"/>
    <n v="207.91"/>
    <s v="OK"/>
    <x v="2"/>
    <x v="1"/>
    <s v="1–_x000a_10%"/>
    <x v="1"/>
    <x v="1"/>
  </r>
  <r>
    <x v="2211"/>
    <d v="2025-05-02T00:00:00"/>
    <n v="10"/>
    <s v="T012"/>
    <x v="3"/>
    <n v="592.59"/>
    <x v="0"/>
    <n v="503.7"/>
    <n v="2"/>
    <s v="Member"/>
    <n v="503.7"/>
    <s v="OK"/>
    <x v="1"/>
    <x v="0"/>
    <s v="11–20%"/>
    <x v="4"/>
    <x v="9"/>
  </r>
  <r>
    <x v="2212"/>
    <d v="2025-06-16T00:00:00"/>
    <n v="18"/>
    <s v="T015"/>
    <x v="0"/>
    <n v="721.01"/>
    <x v="4"/>
    <n v="576.80999999999995"/>
    <n v="3"/>
    <s v="Member"/>
    <n v="576.80999999999995"/>
    <s v="OK"/>
    <x v="3"/>
    <x v="0"/>
    <s v="11–20%"/>
    <x v="2"/>
    <x v="4"/>
  </r>
  <r>
    <x v="2213"/>
    <d v="2025-05-09T00:00:00"/>
    <n v="16"/>
    <s v="T010"/>
    <x v="0"/>
    <n v="798.23"/>
    <x v="1"/>
    <n v="798.23"/>
    <n v="4"/>
    <s v="Walk-in"/>
    <n v="798.23"/>
    <s v="OK"/>
    <x v="1"/>
    <x v="0"/>
    <s v="0%"/>
    <x v="2"/>
    <x v="4"/>
  </r>
  <r>
    <x v="2214"/>
    <d v="2025-06-15T00:00:00"/>
    <n v="18"/>
    <s v="T010"/>
    <x v="0"/>
    <n v="1312.82"/>
    <x v="1"/>
    <n v="1312.82"/>
    <n v="1"/>
    <s v="Member"/>
    <n v="1312.82"/>
    <s v="OK"/>
    <x v="3"/>
    <x v="1"/>
    <s v="0%"/>
    <x v="2"/>
    <x v="4"/>
  </r>
  <r>
    <x v="2215"/>
    <d v="2025-04-01T00:00:00"/>
    <n v="18"/>
    <s v="T009"/>
    <x v="2"/>
    <n v="885.89"/>
    <x v="3"/>
    <n v="797.3"/>
    <n v="4"/>
    <s v="Member"/>
    <n v="797.3"/>
    <s v="OK"/>
    <x v="4"/>
    <x v="0"/>
    <s v="1–_x000a_10%"/>
    <x v="0"/>
    <x v="6"/>
  </r>
  <r>
    <x v="2216"/>
    <d v="2025-03-18T00:00:00"/>
    <n v="13"/>
    <s v="T010"/>
    <x v="0"/>
    <n v="763.95"/>
    <x v="1"/>
    <n v="763.95"/>
    <n v="4"/>
    <s v="Member"/>
    <n v="763.95"/>
    <s v="OK"/>
    <x v="5"/>
    <x v="0"/>
    <s v="0%"/>
    <x v="2"/>
    <x v="4"/>
  </r>
  <r>
    <x v="2217"/>
    <d v="2025-06-29T00:00:00"/>
    <n v="15"/>
    <s v="T003"/>
    <x v="0"/>
    <n v="643.19000000000005"/>
    <x v="1"/>
    <n v="643.19000000000005"/>
    <n v="3"/>
    <s v="Walk-in"/>
    <n v="643.19000000000005"/>
    <s v="OK"/>
    <x v="3"/>
    <x v="1"/>
    <s v="0%"/>
    <x v="3"/>
    <x v="3"/>
  </r>
  <r>
    <x v="2218"/>
    <d v="2025-06-19T00:00:00"/>
    <n v="21"/>
    <s v="T026"/>
    <x v="0"/>
    <n v="758.07"/>
    <x v="5"/>
    <n v="720.17"/>
    <n v="1"/>
    <s v="Walk-in"/>
    <n v="720.17"/>
    <s v="OK"/>
    <x v="3"/>
    <x v="0"/>
    <s v="1–_x000a_10%"/>
    <x v="1"/>
    <x v="10"/>
  </r>
  <r>
    <x v="2219"/>
    <d v="2025-06-26T00:00:00"/>
    <n v="17"/>
    <s v="T010"/>
    <x v="1"/>
    <n v="1134.9000000000001"/>
    <x v="3"/>
    <n v="1021.41"/>
    <n v="1"/>
    <s v="Walk-in"/>
    <n v="1021.41"/>
    <s v="OK"/>
    <x v="3"/>
    <x v="0"/>
    <s v="1–_x000a_10%"/>
    <x v="2"/>
    <x v="4"/>
  </r>
  <r>
    <x v="2220"/>
    <d v="2025-01-24T00:00:00"/>
    <n v="17"/>
    <s v="T017"/>
    <x v="0"/>
    <n v="339.5"/>
    <x v="1"/>
    <n v="339.5"/>
    <n v="3"/>
    <s v="Walk-in"/>
    <n v="339.5"/>
    <s v="OK"/>
    <x v="2"/>
    <x v="0"/>
    <s v="0%"/>
    <x v="4"/>
    <x v="8"/>
  </r>
  <r>
    <x v="2221"/>
    <d v="2025-02-24T00:00:00"/>
    <n v="11"/>
    <s v="T006"/>
    <x v="3"/>
    <n v="979.05"/>
    <x v="3"/>
    <n v="881.14"/>
    <n v="2"/>
    <s v="Walk-in"/>
    <n v="881.15"/>
    <s v="OK"/>
    <x v="0"/>
    <x v="0"/>
    <s v="1–_x000a_10%"/>
    <x v="1"/>
    <x v="1"/>
  </r>
  <r>
    <x v="2222"/>
    <d v="2025-03-30T00:00:00"/>
    <n v="19"/>
    <s v="T015"/>
    <x v="3"/>
    <n v="2248.96"/>
    <x v="1"/>
    <n v="2248.96"/>
    <n v="3"/>
    <s v="Walk-in"/>
    <n v="2248.96"/>
    <s v="OK"/>
    <x v="5"/>
    <x v="1"/>
    <s v="0%"/>
    <x v="2"/>
    <x v="4"/>
  </r>
  <r>
    <x v="2223"/>
    <d v="2025-01-25T00:00:00"/>
    <n v="16"/>
    <s v="T020"/>
    <x v="0"/>
    <n v="2199.83"/>
    <x v="1"/>
    <n v="2199.83"/>
    <n v="1"/>
    <s v="Member"/>
    <n v="2199.83"/>
    <s v="OK"/>
    <x v="2"/>
    <x v="1"/>
    <s v="0%"/>
    <x v="2"/>
    <x v="2"/>
  </r>
  <r>
    <x v="2224"/>
    <d v="2025-01-18T00:00:00"/>
    <n v="15"/>
    <s v="T001"/>
    <x v="1"/>
    <n v="1110.44"/>
    <x v="1"/>
    <n v="1110.44"/>
    <n v="1"/>
    <s v="Walk-in"/>
    <n v="1110.44"/>
    <s v="OK"/>
    <x v="2"/>
    <x v="1"/>
    <s v="0%"/>
    <x v="1"/>
    <x v="7"/>
  </r>
  <r>
    <x v="2225"/>
    <d v="2025-05-30T00:00:00"/>
    <n v="15"/>
    <s v="T001"/>
    <x v="0"/>
    <n v="621.16999999999996"/>
    <x v="5"/>
    <n v="590.11"/>
    <n v="1"/>
    <s v="Walk-in"/>
    <n v="590.11"/>
    <s v="OK"/>
    <x v="1"/>
    <x v="0"/>
    <s v="1–_x000a_10%"/>
    <x v="1"/>
    <x v="7"/>
  </r>
  <r>
    <x v="2226"/>
    <d v="2025-01-31T00:00:00"/>
    <n v="14"/>
    <s v="T007"/>
    <x v="0"/>
    <n v="1627.11"/>
    <x v="1"/>
    <n v="1627.11"/>
    <n v="1"/>
    <s v="Member"/>
    <n v="1627.11"/>
    <s v="OK"/>
    <x v="2"/>
    <x v="0"/>
    <s v="0%"/>
    <x v="4"/>
    <x v="8"/>
  </r>
  <r>
    <x v="2227"/>
    <d v="2025-04-26T00:00:00"/>
    <n v="13"/>
    <s v="T013"/>
    <x v="0"/>
    <n v="1310.1099999999999"/>
    <x v="3"/>
    <n v="1179.0999999999999"/>
    <n v="2"/>
    <s v="Member"/>
    <n v="1179.0999999999999"/>
    <s v="OK"/>
    <x v="4"/>
    <x v="1"/>
    <s v="1–_x000a_10%"/>
    <x v="3"/>
    <x v="11"/>
  </r>
  <r>
    <x v="2228"/>
    <d v="2025-06-02T00:00:00"/>
    <n v="12"/>
    <s v="T022"/>
    <x v="0"/>
    <n v="1648.39"/>
    <x v="4"/>
    <n v="1318.71"/>
    <n v="1"/>
    <s v="Walk-in"/>
    <n v="1318.71"/>
    <s v="OK"/>
    <x v="3"/>
    <x v="0"/>
    <s v="11–20%"/>
    <x v="4"/>
    <x v="8"/>
  </r>
  <r>
    <x v="2229"/>
    <d v="2025-06-09T00:00:00"/>
    <n v="11"/>
    <s v="T026"/>
    <x v="2"/>
    <n v="1260.1300000000001"/>
    <x v="1"/>
    <n v="1260.1300000000001"/>
    <n v="3"/>
    <s v="Walk-in"/>
    <n v="1260.1300000000001"/>
    <s v="OK"/>
    <x v="3"/>
    <x v="0"/>
    <s v="0%"/>
    <x v="1"/>
    <x v="10"/>
  </r>
  <r>
    <x v="2230"/>
    <d v="2025-05-11T00:00:00"/>
    <n v="22"/>
    <s v="T011"/>
    <x v="0"/>
    <n v="1320.31"/>
    <x v="1"/>
    <n v="1320.31"/>
    <n v="5"/>
    <s v="Walk-in"/>
    <n v="1320.31"/>
    <s v="OK"/>
    <x v="1"/>
    <x v="1"/>
    <s v="0%"/>
    <x v="1"/>
    <x v="10"/>
  </r>
  <r>
    <x v="2231"/>
    <d v="2025-05-21T00:00:00"/>
    <n v="20"/>
    <s v="T027"/>
    <x v="2"/>
    <n v="2363.61"/>
    <x v="5"/>
    <n v="2245.4299999999998"/>
    <n v="2"/>
    <s v="Walk-in"/>
    <n v="2245.4299999999998"/>
    <s v="OK"/>
    <x v="1"/>
    <x v="0"/>
    <s v="1–_x000a_10%"/>
    <x v="4"/>
    <x v="9"/>
  </r>
  <r>
    <x v="2232"/>
    <d v="2025-01-16T00:00:00"/>
    <n v="12"/>
    <s v="T025"/>
    <x v="3"/>
    <n v="1593.86"/>
    <x v="1"/>
    <n v="1593.86"/>
    <n v="3"/>
    <s v="Walk-in"/>
    <n v="1593.86"/>
    <s v="OK"/>
    <x v="2"/>
    <x v="0"/>
    <s v="0%"/>
    <x v="2"/>
    <x v="2"/>
  </r>
  <r>
    <x v="2233"/>
    <d v="2025-06-24T00:00:00"/>
    <n v="16"/>
    <s v="T017"/>
    <x v="0"/>
    <n v="941.6"/>
    <x v="5"/>
    <n v="894.52"/>
    <n v="2"/>
    <s v="Walk-in"/>
    <n v="894.52"/>
    <s v="OK"/>
    <x v="3"/>
    <x v="0"/>
    <s v="1–_x000a_10%"/>
    <x v="4"/>
    <x v="8"/>
  </r>
  <r>
    <x v="2234"/>
    <d v="2025-03-19T00:00:00"/>
    <n v="16"/>
    <s v="T004"/>
    <x v="3"/>
    <n v="965.32"/>
    <x v="3"/>
    <n v="868.79"/>
    <n v="1"/>
    <s v="Walk-in"/>
    <n v="868.79"/>
    <s v="OK"/>
    <x v="5"/>
    <x v="0"/>
    <s v="1–_x000a_10%"/>
    <x v="0"/>
    <x v="0"/>
  </r>
  <r>
    <x v="2235"/>
    <d v="2025-05-23T00:00:00"/>
    <n v="12"/>
    <s v="T022"/>
    <x v="0"/>
    <n v="875.08"/>
    <x v="3"/>
    <n v="787.57"/>
    <n v="4"/>
    <s v="Member"/>
    <n v="787.57"/>
    <s v="OK"/>
    <x v="1"/>
    <x v="0"/>
    <s v="1–_x000a_10%"/>
    <x v="4"/>
    <x v="8"/>
  </r>
  <r>
    <x v="2236"/>
    <d v="2025-06-03T00:00:00"/>
    <n v="21"/>
    <s v="T007"/>
    <x v="0"/>
    <n v="1549.64"/>
    <x v="1"/>
    <n v="1549.64"/>
    <n v="2"/>
    <s v="Walk-in"/>
    <n v="1549.64"/>
    <s v="OK"/>
    <x v="3"/>
    <x v="0"/>
    <s v="0%"/>
    <x v="4"/>
    <x v="8"/>
  </r>
  <r>
    <x v="2237"/>
    <d v="2025-02-20T00:00:00"/>
    <n v="11"/>
    <s v="T017"/>
    <x v="2"/>
    <n v="292.07"/>
    <x v="3"/>
    <n v="262.86"/>
    <n v="2"/>
    <s v="Walk-in"/>
    <n v="262.86"/>
    <s v="OK"/>
    <x v="0"/>
    <x v="0"/>
    <s v="1–_x000a_10%"/>
    <x v="4"/>
    <x v="8"/>
  </r>
  <r>
    <x v="2238"/>
    <d v="2025-04-13T00:00:00"/>
    <n v="22"/>
    <s v="T026"/>
    <x v="2"/>
    <n v="914.15"/>
    <x v="0"/>
    <n v="777.03"/>
    <n v="2"/>
    <s v="Member"/>
    <n v="777.03"/>
    <s v="OK"/>
    <x v="4"/>
    <x v="1"/>
    <s v="11–20%"/>
    <x v="1"/>
    <x v="10"/>
  </r>
  <r>
    <x v="2239"/>
    <d v="2025-01-12T00:00:00"/>
    <n v="11"/>
    <s v="T026"/>
    <x v="2"/>
    <n v="426.12"/>
    <x v="1"/>
    <n v="426.12"/>
    <n v="1"/>
    <s v="Walk-in"/>
    <n v="426.12"/>
    <s v="OK"/>
    <x v="2"/>
    <x v="1"/>
    <s v="0%"/>
    <x v="1"/>
    <x v="10"/>
  </r>
  <r>
    <x v="2240"/>
    <d v="2025-03-29T00:00:00"/>
    <n v="20"/>
    <s v="T027"/>
    <x v="1"/>
    <n v="1786.01"/>
    <x v="1"/>
    <n v="1786.01"/>
    <n v="2"/>
    <s v="Member"/>
    <n v="1786.01"/>
    <s v="OK"/>
    <x v="5"/>
    <x v="1"/>
    <s v="0%"/>
    <x v="4"/>
    <x v="9"/>
  </r>
  <r>
    <x v="2241"/>
    <d v="2025-03-15T00:00:00"/>
    <n v="22"/>
    <s v="T025"/>
    <x v="3"/>
    <n v="324.52"/>
    <x v="4"/>
    <n v="259.62"/>
    <n v="2"/>
    <s v="Member"/>
    <n v="259.62"/>
    <s v="OK"/>
    <x v="5"/>
    <x v="1"/>
    <s v="11–20%"/>
    <x v="2"/>
    <x v="2"/>
  </r>
  <r>
    <x v="2242"/>
    <d v="2025-06-23T00:00:00"/>
    <n v="17"/>
    <s v="T015"/>
    <x v="2"/>
    <n v="1685.84"/>
    <x v="5"/>
    <n v="1601.55"/>
    <n v="3"/>
    <s v="Walk-in"/>
    <n v="1601.55"/>
    <s v="OK"/>
    <x v="3"/>
    <x v="0"/>
    <s v="1–_x000a_10%"/>
    <x v="2"/>
    <x v="4"/>
  </r>
  <r>
    <x v="2243"/>
    <d v="2025-02-11T00:00:00"/>
    <n v="20"/>
    <s v="T008"/>
    <x v="2"/>
    <n v="371.24"/>
    <x v="1"/>
    <n v="371.24"/>
    <n v="1"/>
    <s v="Member"/>
    <n v="371.24"/>
    <s v="OK"/>
    <x v="0"/>
    <x v="0"/>
    <s v="0%"/>
    <x v="3"/>
    <x v="5"/>
  </r>
  <r>
    <x v="2244"/>
    <d v="2025-02-03T00:00:00"/>
    <n v="22"/>
    <s v="T023"/>
    <x v="3"/>
    <n v="455.44"/>
    <x v="1"/>
    <n v="455.44"/>
    <n v="3"/>
    <s v="Member"/>
    <n v="455.44"/>
    <s v="OK"/>
    <x v="0"/>
    <x v="0"/>
    <s v="0%"/>
    <x v="3"/>
    <x v="11"/>
  </r>
  <r>
    <x v="2245"/>
    <d v="2025-04-02T00:00:00"/>
    <n v="16"/>
    <s v="T002"/>
    <x v="2"/>
    <n v="870.24"/>
    <x v="1"/>
    <n v="870.24"/>
    <n v="3"/>
    <s v="Walk-in"/>
    <n v="870.24"/>
    <s v="OK"/>
    <x v="4"/>
    <x v="0"/>
    <s v="0%"/>
    <x v="4"/>
    <x v="9"/>
  </r>
  <r>
    <x v="2246"/>
    <d v="2025-03-29T00:00:00"/>
    <n v="13"/>
    <s v="T005"/>
    <x v="0"/>
    <n v="1529"/>
    <x v="1"/>
    <n v="1529"/>
    <n v="2"/>
    <s v="Member"/>
    <n v="1529"/>
    <s v="OK"/>
    <x v="5"/>
    <x v="1"/>
    <s v="0%"/>
    <x v="2"/>
    <x v="4"/>
  </r>
  <r>
    <x v="2247"/>
    <d v="2025-01-10T00:00:00"/>
    <n v="20"/>
    <s v="T010"/>
    <x v="1"/>
    <n v="2418.98"/>
    <x v="1"/>
    <n v="2418.98"/>
    <n v="6"/>
    <s v="Member"/>
    <n v="2418.98"/>
    <s v="OK"/>
    <x v="2"/>
    <x v="0"/>
    <s v="0%"/>
    <x v="2"/>
    <x v="4"/>
  </r>
  <r>
    <x v="2248"/>
    <d v="2025-02-26T00:00:00"/>
    <n v="20"/>
    <s v="T022"/>
    <x v="1"/>
    <n v="4717.7299999999996"/>
    <x v="0"/>
    <n v="4010.07"/>
    <n v="3"/>
    <s v="Member"/>
    <n v="4010.07"/>
    <s v="OK"/>
    <x v="0"/>
    <x v="0"/>
    <s v="11–20%"/>
    <x v="4"/>
    <x v="8"/>
  </r>
  <r>
    <x v="2249"/>
    <d v="2025-04-01T00:00:00"/>
    <n v="12"/>
    <s v="T027"/>
    <x v="0"/>
    <n v="997.97"/>
    <x v="1"/>
    <n v="997.97"/>
    <n v="1"/>
    <s v="Walk-in"/>
    <n v="997.97"/>
    <s v="OK"/>
    <x v="4"/>
    <x v="0"/>
    <s v="0%"/>
    <x v="4"/>
    <x v="9"/>
  </r>
  <r>
    <x v="2250"/>
    <d v="2025-03-27T00:00:00"/>
    <n v="19"/>
    <s v="T022"/>
    <x v="0"/>
    <n v="497.37"/>
    <x v="1"/>
    <n v="497.37"/>
    <n v="3"/>
    <s v="Member"/>
    <n v="497.37"/>
    <s v="OK"/>
    <x v="5"/>
    <x v="0"/>
    <s v="0%"/>
    <x v="4"/>
    <x v="8"/>
  </r>
  <r>
    <x v="2251"/>
    <d v="2025-01-24T00:00:00"/>
    <n v="22"/>
    <s v="T006"/>
    <x v="1"/>
    <n v="707.48"/>
    <x v="1"/>
    <n v="707.48"/>
    <n v="2"/>
    <s v="Member"/>
    <n v="707.48"/>
    <s v="OK"/>
    <x v="2"/>
    <x v="0"/>
    <s v="0%"/>
    <x v="1"/>
    <x v="1"/>
  </r>
  <r>
    <x v="2252"/>
    <d v="2025-03-10T00:00:00"/>
    <n v="13"/>
    <s v="T004"/>
    <x v="2"/>
    <n v="713.15"/>
    <x v="1"/>
    <n v="713.15"/>
    <n v="4"/>
    <s v="Walk-in"/>
    <n v="713.15"/>
    <s v="OK"/>
    <x v="5"/>
    <x v="0"/>
    <s v="0%"/>
    <x v="0"/>
    <x v="0"/>
  </r>
  <r>
    <x v="2253"/>
    <d v="2025-05-29T00:00:00"/>
    <n v="20"/>
    <s v="T004"/>
    <x v="2"/>
    <n v="1247.19"/>
    <x v="5"/>
    <n v="1184.83"/>
    <n v="3"/>
    <s v="Member"/>
    <n v="1184.83"/>
    <s v="OK"/>
    <x v="1"/>
    <x v="0"/>
    <s v="1–_x000a_10%"/>
    <x v="0"/>
    <x v="0"/>
  </r>
  <r>
    <x v="2254"/>
    <d v="2025-04-15T00:00:00"/>
    <n v="12"/>
    <s v="T021"/>
    <x v="0"/>
    <n v="776.68"/>
    <x v="5"/>
    <n v="737.85"/>
    <n v="1"/>
    <s v="Member"/>
    <n v="737.85"/>
    <s v="OK"/>
    <x v="4"/>
    <x v="0"/>
    <s v="1–_x000a_10%"/>
    <x v="1"/>
    <x v="1"/>
  </r>
  <r>
    <x v="2255"/>
    <d v="2025-01-21T00:00:00"/>
    <n v="10"/>
    <s v="T010"/>
    <x v="0"/>
    <n v="992.81"/>
    <x v="3"/>
    <n v="893.53"/>
    <n v="6"/>
    <s v="Walk-in"/>
    <n v="893.53"/>
    <s v="OK"/>
    <x v="2"/>
    <x v="0"/>
    <s v="1–_x000a_10%"/>
    <x v="2"/>
    <x v="4"/>
  </r>
  <r>
    <x v="2256"/>
    <d v="2025-03-09T00:00:00"/>
    <n v="22"/>
    <s v="T005"/>
    <x v="2"/>
    <n v="1400.53"/>
    <x v="1"/>
    <n v="1400.53"/>
    <n v="3"/>
    <s v="Walk-in"/>
    <n v="1400.53"/>
    <s v="OK"/>
    <x v="5"/>
    <x v="1"/>
    <s v="0%"/>
    <x v="2"/>
    <x v="4"/>
  </r>
  <r>
    <x v="2257"/>
    <d v="2025-03-07T00:00:00"/>
    <n v="14"/>
    <s v="T012"/>
    <x v="1"/>
    <n v="437.73"/>
    <x v="1"/>
    <n v="437.73"/>
    <n v="6"/>
    <s v="Member"/>
    <n v="437.73"/>
    <s v="OK"/>
    <x v="5"/>
    <x v="0"/>
    <s v="0%"/>
    <x v="4"/>
    <x v="9"/>
  </r>
  <r>
    <x v="2258"/>
    <d v="2025-05-06T00:00:00"/>
    <n v="21"/>
    <s v="T024"/>
    <x v="2"/>
    <n v="1808.33"/>
    <x v="5"/>
    <n v="1717.91"/>
    <n v="2"/>
    <s v="Member"/>
    <n v="1717.91"/>
    <s v="OK"/>
    <x v="1"/>
    <x v="0"/>
    <s v="1–_x000a_10%"/>
    <x v="0"/>
    <x v="0"/>
  </r>
  <r>
    <x v="2259"/>
    <d v="2025-01-16T00:00:00"/>
    <n v="18"/>
    <s v="T027"/>
    <x v="3"/>
    <n v="462.96"/>
    <x v="1"/>
    <n v="462.96"/>
    <n v="1"/>
    <s v="Walk-in"/>
    <n v="462.96"/>
    <s v="OK"/>
    <x v="2"/>
    <x v="0"/>
    <s v="0%"/>
    <x v="4"/>
    <x v="9"/>
  </r>
  <r>
    <x v="2260"/>
    <d v="2025-01-26T00:00:00"/>
    <n v="16"/>
    <s v="T021"/>
    <x v="2"/>
    <n v="2388.02"/>
    <x v="0"/>
    <n v="2029.82"/>
    <n v="2"/>
    <s v="Walk-in"/>
    <n v="2029.82"/>
    <s v="OK"/>
    <x v="2"/>
    <x v="1"/>
    <s v="11–20%"/>
    <x v="1"/>
    <x v="1"/>
  </r>
  <r>
    <x v="2261"/>
    <d v="2025-04-27T00:00:00"/>
    <n v="21"/>
    <s v="T003"/>
    <x v="2"/>
    <n v="2130.12"/>
    <x v="1"/>
    <n v="2130.12"/>
    <n v="5"/>
    <s v="Walk-in"/>
    <n v="2130.12"/>
    <s v="OK"/>
    <x v="4"/>
    <x v="1"/>
    <s v="0%"/>
    <x v="3"/>
    <x v="3"/>
  </r>
  <r>
    <x v="2262"/>
    <d v="2025-05-30T00:00:00"/>
    <n v="12"/>
    <s v="T012"/>
    <x v="2"/>
    <n v="863.75"/>
    <x v="1"/>
    <n v="863.75"/>
    <n v="2"/>
    <s v="Walk-in"/>
    <n v="863.75"/>
    <s v="OK"/>
    <x v="1"/>
    <x v="0"/>
    <s v="0%"/>
    <x v="4"/>
    <x v="9"/>
  </r>
  <r>
    <x v="2263"/>
    <d v="2025-02-18T00:00:00"/>
    <n v="15"/>
    <s v="T001"/>
    <x v="0"/>
    <n v="602.48"/>
    <x v="2"/>
    <n v="421.74"/>
    <n v="2"/>
    <s v="Walk-in"/>
    <n v="421.74"/>
    <s v="OK"/>
    <x v="0"/>
    <x v="0"/>
    <s v="&gt;20%"/>
    <x v="1"/>
    <x v="7"/>
  </r>
  <r>
    <x v="2264"/>
    <d v="2025-05-08T00:00:00"/>
    <n v="11"/>
    <s v="T005"/>
    <x v="1"/>
    <n v="1524.09"/>
    <x v="3"/>
    <n v="1371.68"/>
    <n v="2"/>
    <s v="Member"/>
    <n v="1371.68"/>
    <s v="OK"/>
    <x v="1"/>
    <x v="0"/>
    <s v="1–_x000a_10%"/>
    <x v="2"/>
    <x v="4"/>
  </r>
  <r>
    <x v="2265"/>
    <d v="2025-01-27T00:00:00"/>
    <n v="12"/>
    <s v="T018"/>
    <x v="0"/>
    <n v="721.57"/>
    <x v="4"/>
    <n v="577.26"/>
    <n v="1"/>
    <s v="Member"/>
    <n v="577.26"/>
    <s v="OK"/>
    <x v="2"/>
    <x v="0"/>
    <s v="11–20%"/>
    <x v="3"/>
    <x v="3"/>
  </r>
  <r>
    <x v="2266"/>
    <d v="2025-06-16T00:00:00"/>
    <n v="14"/>
    <s v="T020"/>
    <x v="0"/>
    <n v="267.64"/>
    <x v="1"/>
    <n v="267.64"/>
    <n v="3"/>
    <s v="Walk-in"/>
    <n v="267.64"/>
    <s v="OK"/>
    <x v="3"/>
    <x v="0"/>
    <s v="0%"/>
    <x v="2"/>
    <x v="2"/>
  </r>
  <r>
    <x v="2267"/>
    <d v="2025-03-02T00:00:00"/>
    <n v="12"/>
    <s v="T012"/>
    <x v="2"/>
    <n v="565.20000000000005"/>
    <x v="5"/>
    <n v="536.94000000000005"/>
    <n v="1"/>
    <s v="Member"/>
    <n v="536.94000000000005"/>
    <s v="OK"/>
    <x v="5"/>
    <x v="1"/>
    <s v="1–_x000a_10%"/>
    <x v="4"/>
    <x v="9"/>
  </r>
  <r>
    <x v="2268"/>
    <d v="2025-06-06T00:00:00"/>
    <n v="11"/>
    <s v="T016"/>
    <x v="0"/>
    <n v="834.89"/>
    <x v="3"/>
    <n v="751.4"/>
    <n v="3"/>
    <s v="Walk-in"/>
    <n v="751.4"/>
    <s v="OK"/>
    <x v="3"/>
    <x v="0"/>
    <s v="1–_x000a_10%"/>
    <x v="1"/>
    <x v="1"/>
  </r>
  <r>
    <x v="2269"/>
    <d v="2025-03-09T00:00:00"/>
    <n v="12"/>
    <s v="T009"/>
    <x v="1"/>
    <n v="1512.14"/>
    <x v="1"/>
    <n v="1512.14"/>
    <n v="1"/>
    <s v="Walk-in"/>
    <n v="1512.14"/>
    <s v="OK"/>
    <x v="5"/>
    <x v="1"/>
    <s v="0%"/>
    <x v="0"/>
    <x v="6"/>
  </r>
  <r>
    <x v="2270"/>
    <d v="2025-04-24T00:00:00"/>
    <n v="13"/>
    <s v="T025"/>
    <x v="2"/>
    <n v="2751.78"/>
    <x v="5"/>
    <n v="2614.19"/>
    <n v="2"/>
    <s v="Walk-in"/>
    <n v="2614.19"/>
    <s v="OK"/>
    <x v="4"/>
    <x v="0"/>
    <s v="1–_x000a_10%"/>
    <x v="2"/>
    <x v="2"/>
  </r>
  <r>
    <x v="2271"/>
    <d v="2025-04-28T00:00:00"/>
    <n v="19"/>
    <s v="T029"/>
    <x v="1"/>
    <n v="2587.88"/>
    <x v="0"/>
    <n v="2199.6999999999998"/>
    <n v="3"/>
    <s v="Walk-in"/>
    <n v="2199.6999999999998"/>
    <s v="OK"/>
    <x v="4"/>
    <x v="0"/>
    <s v="11–20%"/>
    <x v="0"/>
    <x v="6"/>
  </r>
  <r>
    <x v="2272"/>
    <d v="2025-03-12T00:00:00"/>
    <n v="21"/>
    <s v="T027"/>
    <x v="0"/>
    <n v="1896.36"/>
    <x v="1"/>
    <n v="1896.36"/>
    <n v="5"/>
    <s v="Walk-in"/>
    <n v="1896.36"/>
    <s v="OK"/>
    <x v="5"/>
    <x v="0"/>
    <s v="0%"/>
    <x v="4"/>
    <x v="9"/>
  </r>
  <r>
    <x v="2273"/>
    <d v="2025-04-15T00:00:00"/>
    <n v="17"/>
    <s v="T013"/>
    <x v="0"/>
    <n v="444.43"/>
    <x v="5"/>
    <n v="422.21"/>
    <n v="3"/>
    <s v="Walk-in"/>
    <n v="422.21"/>
    <s v="OK"/>
    <x v="4"/>
    <x v="0"/>
    <s v="1–_x000a_10%"/>
    <x v="3"/>
    <x v="11"/>
  </r>
  <r>
    <x v="2274"/>
    <d v="2025-02-13T00:00:00"/>
    <n v="22"/>
    <s v="T015"/>
    <x v="1"/>
    <n v="971.15"/>
    <x v="5"/>
    <n v="922.59"/>
    <n v="5"/>
    <s v="Walk-in"/>
    <n v="922.59"/>
    <s v="OK"/>
    <x v="0"/>
    <x v="0"/>
    <s v="1–_x000a_10%"/>
    <x v="2"/>
    <x v="4"/>
  </r>
  <r>
    <x v="2275"/>
    <d v="2025-03-25T00:00:00"/>
    <n v="14"/>
    <s v="T005"/>
    <x v="3"/>
    <n v="1484.06"/>
    <x v="4"/>
    <n v="1187.25"/>
    <n v="1"/>
    <s v="Walk-in"/>
    <n v="1187.25"/>
    <s v="OK"/>
    <x v="5"/>
    <x v="0"/>
    <s v="11–20%"/>
    <x v="2"/>
    <x v="4"/>
  </r>
  <r>
    <x v="2276"/>
    <d v="2025-06-18T00:00:00"/>
    <n v="17"/>
    <s v="T013"/>
    <x v="3"/>
    <n v="1181.83"/>
    <x v="2"/>
    <n v="827.28"/>
    <n v="1"/>
    <s v="Walk-in"/>
    <n v="827.28"/>
    <s v="OK"/>
    <x v="3"/>
    <x v="0"/>
    <s v="&gt;20%"/>
    <x v="3"/>
    <x v="11"/>
  </r>
  <r>
    <x v="2277"/>
    <d v="2025-06-17T00:00:00"/>
    <n v="21"/>
    <s v="T003"/>
    <x v="2"/>
    <n v="751.62"/>
    <x v="1"/>
    <n v="751.62"/>
    <n v="1"/>
    <s v="Walk-in"/>
    <n v="751.62"/>
    <s v="OK"/>
    <x v="3"/>
    <x v="0"/>
    <s v="0%"/>
    <x v="3"/>
    <x v="3"/>
  </r>
  <r>
    <x v="2278"/>
    <d v="2025-01-17T00:00:00"/>
    <n v="18"/>
    <s v="T026"/>
    <x v="2"/>
    <n v="899.44"/>
    <x v="1"/>
    <n v="899.44"/>
    <n v="2"/>
    <s v="Member"/>
    <n v="899.44"/>
    <s v="OK"/>
    <x v="2"/>
    <x v="0"/>
    <s v="0%"/>
    <x v="1"/>
    <x v="10"/>
  </r>
  <r>
    <x v="2279"/>
    <d v="2025-04-04T00:00:00"/>
    <n v="19"/>
    <s v="T021"/>
    <x v="2"/>
    <n v="204.57"/>
    <x v="3"/>
    <n v="184.11"/>
    <n v="2"/>
    <s v="Walk-in"/>
    <n v="184.11"/>
    <s v="OK"/>
    <x v="4"/>
    <x v="0"/>
    <s v="1–_x000a_10%"/>
    <x v="1"/>
    <x v="1"/>
  </r>
  <r>
    <x v="2280"/>
    <d v="2025-05-26T00:00:00"/>
    <n v="13"/>
    <s v="T021"/>
    <x v="0"/>
    <n v="480.13"/>
    <x v="3"/>
    <n v="432.12"/>
    <n v="2"/>
    <s v="Walk-in"/>
    <n v="432.12"/>
    <s v="OK"/>
    <x v="1"/>
    <x v="0"/>
    <s v="1–_x000a_10%"/>
    <x v="1"/>
    <x v="1"/>
  </r>
  <r>
    <x v="2281"/>
    <d v="2025-03-20T00:00:00"/>
    <n v="15"/>
    <s v="T023"/>
    <x v="0"/>
    <n v="355.4"/>
    <x v="3"/>
    <n v="319.86"/>
    <n v="5"/>
    <s v="Walk-in"/>
    <n v="319.86"/>
    <s v="OK"/>
    <x v="5"/>
    <x v="0"/>
    <s v="1–_x000a_10%"/>
    <x v="3"/>
    <x v="11"/>
  </r>
  <r>
    <x v="2282"/>
    <d v="2025-04-16T00:00:00"/>
    <n v="17"/>
    <s v="T002"/>
    <x v="3"/>
    <n v="807.51"/>
    <x v="1"/>
    <n v="807.51"/>
    <n v="4"/>
    <s v="Walk-in"/>
    <n v="807.51"/>
    <s v="OK"/>
    <x v="4"/>
    <x v="0"/>
    <s v="0%"/>
    <x v="4"/>
    <x v="9"/>
  </r>
  <r>
    <x v="2283"/>
    <d v="2025-06-17T00:00:00"/>
    <n v="21"/>
    <s v="T012"/>
    <x v="0"/>
    <n v="808.08"/>
    <x v="4"/>
    <n v="646.46"/>
    <n v="5"/>
    <s v="Walk-in"/>
    <n v="646.46"/>
    <s v="OK"/>
    <x v="3"/>
    <x v="0"/>
    <s v="11–20%"/>
    <x v="4"/>
    <x v="9"/>
  </r>
  <r>
    <x v="2284"/>
    <d v="2025-04-20T00:00:00"/>
    <n v="14"/>
    <s v="T010"/>
    <x v="2"/>
    <n v="819.86"/>
    <x v="1"/>
    <n v="819.86"/>
    <n v="1"/>
    <s v="Walk-in"/>
    <n v="819.86"/>
    <s v="OK"/>
    <x v="4"/>
    <x v="1"/>
    <s v="0%"/>
    <x v="2"/>
    <x v="4"/>
  </r>
  <r>
    <x v="2285"/>
    <d v="2025-04-10T00:00:00"/>
    <n v="18"/>
    <s v="T021"/>
    <x v="0"/>
    <n v="1010.53"/>
    <x v="3"/>
    <n v="909.48"/>
    <n v="4"/>
    <s v="Walk-in"/>
    <n v="909.48"/>
    <s v="OK"/>
    <x v="4"/>
    <x v="0"/>
    <s v="1–_x000a_10%"/>
    <x v="1"/>
    <x v="1"/>
  </r>
  <r>
    <x v="2286"/>
    <d v="2025-04-02T00:00:00"/>
    <n v="18"/>
    <s v="T015"/>
    <x v="1"/>
    <n v="900.42"/>
    <x v="1"/>
    <n v="900.42"/>
    <n v="1"/>
    <s v="Walk-in"/>
    <n v="900.42"/>
    <s v="OK"/>
    <x v="4"/>
    <x v="0"/>
    <s v="0%"/>
    <x v="2"/>
    <x v="4"/>
  </r>
  <r>
    <x v="2287"/>
    <d v="2025-03-04T00:00:00"/>
    <n v="13"/>
    <s v="T023"/>
    <x v="0"/>
    <n v="792.73"/>
    <x v="0"/>
    <n v="673.82"/>
    <n v="1"/>
    <s v="Member"/>
    <n v="673.82"/>
    <s v="OK"/>
    <x v="5"/>
    <x v="0"/>
    <s v="11–20%"/>
    <x v="3"/>
    <x v="11"/>
  </r>
  <r>
    <x v="2288"/>
    <d v="2025-05-20T00:00:00"/>
    <n v="18"/>
    <s v="T005"/>
    <x v="0"/>
    <n v="699.55"/>
    <x v="0"/>
    <n v="594.62"/>
    <n v="3"/>
    <s v="Walk-in"/>
    <n v="594.62"/>
    <s v="OK"/>
    <x v="1"/>
    <x v="0"/>
    <s v="11–20%"/>
    <x v="2"/>
    <x v="4"/>
  </r>
  <r>
    <x v="2289"/>
    <d v="2025-04-08T00:00:00"/>
    <n v="15"/>
    <s v="T025"/>
    <x v="0"/>
    <n v="304.14999999999998"/>
    <x v="0"/>
    <n v="258.52999999999997"/>
    <n v="4"/>
    <s v="Walk-in"/>
    <n v="258.52999999999997"/>
    <s v="OK"/>
    <x v="4"/>
    <x v="0"/>
    <s v="11–20%"/>
    <x v="2"/>
    <x v="2"/>
  </r>
  <r>
    <x v="2290"/>
    <d v="2025-04-26T00:00:00"/>
    <n v="13"/>
    <s v="T027"/>
    <x v="0"/>
    <n v="525"/>
    <x v="1"/>
    <n v="525"/>
    <n v="2"/>
    <s v="Walk-in"/>
    <n v="525"/>
    <s v="OK"/>
    <x v="4"/>
    <x v="1"/>
    <s v="0%"/>
    <x v="4"/>
    <x v="9"/>
  </r>
  <r>
    <x v="2291"/>
    <d v="2025-06-07T00:00:00"/>
    <n v="10"/>
    <s v="T013"/>
    <x v="2"/>
    <n v="964.37"/>
    <x v="4"/>
    <n v="771.5"/>
    <n v="2"/>
    <s v="Walk-in"/>
    <n v="771.5"/>
    <s v="OK"/>
    <x v="3"/>
    <x v="1"/>
    <s v="11–20%"/>
    <x v="3"/>
    <x v="11"/>
  </r>
  <r>
    <x v="2292"/>
    <d v="2025-03-27T00:00:00"/>
    <n v="12"/>
    <s v="T021"/>
    <x v="0"/>
    <n v="384.97"/>
    <x v="3"/>
    <n v="346.47"/>
    <n v="3"/>
    <s v="Member"/>
    <n v="346.47"/>
    <s v="OK"/>
    <x v="5"/>
    <x v="0"/>
    <s v="1–_x000a_10%"/>
    <x v="1"/>
    <x v="1"/>
  </r>
  <r>
    <x v="2293"/>
    <d v="2025-01-11T00:00:00"/>
    <n v="10"/>
    <s v="T027"/>
    <x v="2"/>
    <n v="6074.39"/>
    <x v="1"/>
    <n v="6074.39"/>
    <n v="1"/>
    <s v="Walk-in"/>
    <n v="6074.39"/>
    <s v="OK"/>
    <x v="2"/>
    <x v="1"/>
    <s v="0%"/>
    <x v="4"/>
    <x v="9"/>
  </r>
  <r>
    <x v="2294"/>
    <d v="2025-01-03T00:00:00"/>
    <n v="20"/>
    <s v="T027"/>
    <x v="0"/>
    <n v="307.20999999999998"/>
    <x v="0"/>
    <n v="261.13"/>
    <n v="2"/>
    <s v="Member"/>
    <n v="261.13"/>
    <s v="OK"/>
    <x v="2"/>
    <x v="0"/>
    <s v="11–20%"/>
    <x v="4"/>
    <x v="9"/>
  </r>
  <r>
    <x v="2295"/>
    <d v="2025-01-29T00:00:00"/>
    <n v="10"/>
    <s v="T017"/>
    <x v="3"/>
    <n v="1039.45"/>
    <x v="0"/>
    <n v="883.53"/>
    <n v="5"/>
    <s v="Walk-in"/>
    <n v="883.53"/>
    <s v="OK"/>
    <x v="2"/>
    <x v="0"/>
    <s v="11–20%"/>
    <x v="4"/>
    <x v="8"/>
  </r>
  <r>
    <x v="2296"/>
    <d v="2025-01-25T00:00:00"/>
    <n v="17"/>
    <s v="T005"/>
    <x v="0"/>
    <n v="1176.24"/>
    <x v="5"/>
    <n v="1117.43"/>
    <n v="1"/>
    <s v="Walk-in"/>
    <n v="1117.43"/>
    <s v="OK"/>
    <x v="2"/>
    <x v="1"/>
    <s v="1–_x000a_10%"/>
    <x v="2"/>
    <x v="4"/>
  </r>
  <r>
    <x v="2297"/>
    <d v="2025-06-04T00:00:00"/>
    <n v="21"/>
    <s v="T030"/>
    <x v="0"/>
    <n v="2608.12"/>
    <x v="3"/>
    <n v="2347.31"/>
    <n v="2"/>
    <s v="Walk-in"/>
    <n v="2347.31"/>
    <s v="OK"/>
    <x v="3"/>
    <x v="0"/>
    <s v="1–_x000a_10%"/>
    <x v="2"/>
    <x v="2"/>
  </r>
  <r>
    <x v="2298"/>
    <d v="2025-01-12T00:00:00"/>
    <n v="10"/>
    <s v="T024"/>
    <x v="0"/>
    <n v="1057.9000000000001"/>
    <x v="1"/>
    <n v="1057.9000000000001"/>
    <n v="1"/>
    <s v="Member"/>
    <n v="1057.9000000000001"/>
    <s v="OK"/>
    <x v="2"/>
    <x v="1"/>
    <s v="0%"/>
    <x v="0"/>
    <x v="0"/>
  </r>
  <r>
    <x v="2299"/>
    <d v="2025-02-18T00:00:00"/>
    <n v="12"/>
    <s v="T004"/>
    <x v="2"/>
    <n v="669.02"/>
    <x v="0"/>
    <n v="568.66999999999996"/>
    <n v="3"/>
    <s v="Walk-in"/>
    <n v="568.66999999999996"/>
    <s v="OK"/>
    <x v="0"/>
    <x v="0"/>
    <s v="11–20%"/>
    <x v="0"/>
    <x v="0"/>
  </r>
  <r>
    <x v="2300"/>
    <d v="2025-04-16T00:00:00"/>
    <n v="16"/>
    <s v="T029"/>
    <x v="1"/>
    <n v="794.23"/>
    <x v="1"/>
    <n v="794.23"/>
    <n v="1"/>
    <s v="Member"/>
    <n v="794.23"/>
    <s v="OK"/>
    <x v="4"/>
    <x v="0"/>
    <s v="0%"/>
    <x v="0"/>
    <x v="6"/>
  </r>
  <r>
    <x v="2301"/>
    <d v="2025-01-28T00:00:00"/>
    <n v="16"/>
    <s v="T004"/>
    <x v="2"/>
    <n v="1588.74"/>
    <x v="3"/>
    <n v="1429.87"/>
    <n v="2"/>
    <s v="Walk-in"/>
    <n v="1429.87"/>
    <s v="OK"/>
    <x v="2"/>
    <x v="0"/>
    <s v="1–_x000a_10%"/>
    <x v="0"/>
    <x v="0"/>
  </r>
  <r>
    <x v="2302"/>
    <d v="2025-04-26T00:00:00"/>
    <n v="17"/>
    <s v="T003"/>
    <x v="3"/>
    <n v="450.68"/>
    <x v="3"/>
    <n v="405.61"/>
    <n v="5"/>
    <s v="Walk-in"/>
    <n v="405.61"/>
    <s v="OK"/>
    <x v="4"/>
    <x v="1"/>
    <s v="1–_x000a_10%"/>
    <x v="3"/>
    <x v="3"/>
  </r>
  <r>
    <x v="2303"/>
    <d v="2025-02-10T00:00:00"/>
    <n v="21"/>
    <s v="T019"/>
    <x v="0"/>
    <n v="963.33"/>
    <x v="1"/>
    <n v="963.33"/>
    <n v="4"/>
    <s v="Walk-in"/>
    <n v="963.33"/>
    <s v="OK"/>
    <x v="0"/>
    <x v="0"/>
    <s v="0%"/>
    <x v="0"/>
    <x v="0"/>
  </r>
  <r>
    <x v="2304"/>
    <d v="2025-05-27T00:00:00"/>
    <n v="20"/>
    <s v="T030"/>
    <x v="0"/>
    <n v="1196.1600000000001"/>
    <x v="3"/>
    <n v="1076.54"/>
    <n v="2"/>
    <s v="Walk-in"/>
    <n v="1076.54"/>
    <s v="OK"/>
    <x v="1"/>
    <x v="0"/>
    <s v="1–_x000a_10%"/>
    <x v="2"/>
    <x v="2"/>
  </r>
  <r>
    <x v="2305"/>
    <d v="2025-01-26T00:00:00"/>
    <n v="12"/>
    <s v="T001"/>
    <x v="0"/>
    <n v="833.83"/>
    <x v="3"/>
    <n v="750.45"/>
    <n v="4"/>
    <s v="Walk-in"/>
    <n v="750.45"/>
    <s v="OK"/>
    <x v="2"/>
    <x v="1"/>
    <s v="1–_x000a_10%"/>
    <x v="1"/>
    <x v="7"/>
  </r>
  <r>
    <x v="2306"/>
    <d v="2025-01-15T00:00:00"/>
    <n v="17"/>
    <s v="T022"/>
    <x v="2"/>
    <n v="1098.33"/>
    <x v="1"/>
    <n v="1098.33"/>
    <n v="3"/>
    <s v="Walk-in"/>
    <n v="1098.33"/>
    <s v="OK"/>
    <x v="2"/>
    <x v="0"/>
    <s v="0%"/>
    <x v="4"/>
    <x v="8"/>
  </r>
  <r>
    <x v="2307"/>
    <d v="2025-01-03T00:00:00"/>
    <n v="21"/>
    <s v="T009"/>
    <x v="0"/>
    <n v="687.49"/>
    <x v="2"/>
    <n v="481.24"/>
    <n v="1"/>
    <s v="Walk-in"/>
    <n v="481.24"/>
    <s v="OK"/>
    <x v="2"/>
    <x v="0"/>
    <s v="&gt;20%"/>
    <x v="0"/>
    <x v="6"/>
  </r>
  <r>
    <x v="2308"/>
    <d v="2025-01-10T00:00:00"/>
    <n v="12"/>
    <s v="T028"/>
    <x v="0"/>
    <n v="611.02"/>
    <x v="0"/>
    <n v="519.37"/>
    <n v="1"/>
    <s v="Walk-in"/>
    <n v="519.37"/>
    <s v="OK"/>
    <x v="2"/>
    <x v="0"/>
    <s v="11–20%"/>
    <x v="3"/>
    <x v="5"/>
  </r>
  <r>
    <x v="2309"/>
    <d v="2025-02-06T00:00:00"/>
    <n v="16"/>
    <s v="T017"/>
    <x v="2"/>
    <n v="574.64"/>
    <x v="5"/>
    <n v="545.91"/>
    <n v="3"/>
    <s v="Walk-in"/>
    <n v="545.91"/>
    <s v="OK"/>
    <x v="0"/>
    <x v="0"/>
    <s v="1–_x000a_10%"/>
    <x v="4"/>
    <x v="8"/>
  </r>
  <r>
    <x v="2310"/>
    <d v="2025-05-25T00:00:00"/>
    <n v="20"/>
    <s v="T010"/>
    <x v="0"/>
    <n v="690.2"/>
    <x v="3"/>
    <n v="621.17999999999995"/>
    <n v="5"/>
    <s v="Walk-in"/>
    <n v="621.17999999999995"/>
    <s v="OK"/>
    <x v="1"/>
    <x v="1"/>
    <s v="1–_x000a_10%"/>
    <x v="2"/>
    <x v="4"/>
  </r>
  <r>
    <x v="2311"/>
    <d v="2025-02-18T00:00:00"/>
    <n v="12"/>
    <s v="T019"/>
    <x v="0"/>
    <n v="1434.13"/>
    <x v="3"/>
    <n v="1290.72"/>
    <n v="1"/>
    <s v="Walk-in"/>
    <n v="1290.72"/>
    <s v="OK"/>
    <x v="0"/>
    <x v="0"/>
    <s v="1–_x000a_10%"/>
    <x v="0"/>
    <x v="0"/>
  </r>
  <r>
    <x v="2312"/>
    <d v="2025-05-25T00:00:00"/>
    <n v="19"/>
    <s v="T016"/>
    <x v="2"/>
    <n v="593.62"/>
    <x v="0"/>
    <n v="504.58"/>
    <n v="1"/>
    <s v="Member"/>
    <n v="504.58"/>
    <s v="OK"/>
    <x v="1"/>
    <x v="1"/>
    <s v="11–20%"/>
    <x v="1"/>
    <x v="1"/>
  </r>
  <r>
    <x v="2313"/>
    <d v="2025-03-26T00:00:00"/>
    <n v="12"/>
    <s v="T027"/>
    <x v="1"/>
    <n v="1694.14"/>
    <x v="3"/>
    <n v="1524.73"/>
    <n v="1"/>
    <s v="Walk-in"/>
    <n v="1524.73"/>
    <s v="OK"/>
    <x v="5"/>
    <x v="0"/>
    <s v="1–_x000a_10%"/>
    <x v="4"/>
    <x v="9"/>
  </r>
  <r>
    <x v="2314"/>
    <d v="2025-06-16T00:00:00"/>
    <n v="13"/>
    <s v="T015"/>
    <x v="0"/>
    <n v="1198.68"/>
    <x v="1"/>
    <n v="1198.68"/>
    <n v="1"/>
    <s v="Walk-in"/>
    <n v="1198.68"/>
    <s v="OK"/>
    <x v="3"/>
    <x v="0"/>
    <s v="0%"/>
    <x v="2"/>
    <x v="4"/>
  </r>
  <r>
    <x v="2315"/>
    <d v="2025-04-22T00:00:00"/>
    <n v="11"/>
    <s v="T021"/>
    <x v="0"/>
    <n v="865.63"/>
    <x v="4"/>
    <n v="692.5"/>
    <n v="2"/>
    <s v="Walk-in"/>
    <n v="692.5"/>
    <s v="OK"/>
    <x v="4"/>
    <x v="0"/>
    <s v="11–20%"/>
    <x v="1"/>
    <x v="1"/>
  </r>
  <r>
    <x v="2316"/>
    <d v="2025-06-27T00:00:00"/>
    <n v="12"/>
    <s v="T023"/>
    <x v="0"/>
    <n v="1727.8"/>
    <x v="3"/>
    <n v="1555.02"/>
    <n v="3"/>
    <s v="Walk-in"/>
    <n v="1555.02"/>
    <s v="OK"/>
    <x v="3"/>
    <x v="0"/>
    <s v="1–_x000a_10%"/>
    <x v="3"/>
    <x v="11"/>
  </r>
  <r>
    <x v="2317"/>
    <d v="2025-04-08T00:00:00"/>
    <n v="11"/>
    <s v="T002"/>
    <x v="0"/>
    <n v="1118.0999999999999"/>
    <x v="0"/>
    <n v="950.38"/>
    <n v="4"/>
    <s v="Member"/>
    <n v="950.39"/>
    <s v="OK"/>
    <x v="4"/>
    <x v="0"/>
    <s v="11–20%"/>
    <x v="4"/>
    <x v="9"/>
  </r>
  <r>
    <x v="2318"/>
    <d v="2025-04-17T00:00:00"/>
    <n v="22"/>
    <s v="T002"/>
    <x v="1"/>
    <n v="791.68"/>
    <x v="2"/>
    <n v="554.17999999999995"/>
    <n v="2"/>
    <s v="Member"/>
    <n v="554.17999999999995"/>
    <s v="OK"/>
    <x v="4"/>
    <x v="0"/>
    <s v="&gt;20%"/>
    <x v="4"/>
    <x v="9"/>
  </r>
  <r>
    <x v="2319"/>
    <d v="2025-01-18T00:00:00"/>
    <n v="16"/>
    <s v="T002"/>
    <x v="0"/>
    <n v="1439.83"/>
    <x v="3"/>
    <n v="1295.8499999999999"/>
    <n v="2"/>
    <s v="Member"/>
    <n v="1295.8499999999999"/>
    <s v="OK"/>
    <x v="2"/>
    <x v="1"/>
    <s v="1–_x000a_10%"/>
    <x v="4"/>
    <x v="9"/>
  </r>
  <r>
    <x v="2320"/>
    <d v="2025-04-11T00:00:00"/>
    <n v="19"/>
    <s v="T025"/>
    <x v="3"/>
    <n v="507.49"/>
    <x v="1"/>
    <n v="507.49"/>
    <n v="1"/>
    <s v="Walk-in"/>
    <n v="507.49"/>
    <s v="OK"/>
    <x v="4"/>
    <x v="0"/>
    <s v="0%"/>
    <x v="2"/>
    <x v="2"/>
  </r>
  <r>
    <x v="2321"/>
    <d v="2025-03-22T00:00:00"/>
    <n v="17"/>
    <s v="T026"/>
    <x v="0"/>
    <n v="1071.3399999999999"/>
    <x v="1"/>
    <n v="1071.3399999999999"/>
    <n v="2"/>
    <s v="Member"/>
    <n v="1071.3399999999999"/>
    <s v="OK"/>
    <x v="5"/>
    <x v="1"/>
    <s v="0%"/>
    <x v="1"/>
    <x v="10"/>
  </r>
  <r>
    <x v="2322"/>
    <d v="2025-03-07T00:00:00"/>
    <n v="16"/>
    <s v="T006"/>
    <x v="0"/>
    <n v="415.2"/>
    <x v="1"/>
    <n v="415.2"/>
    <n v="2"/>
    <s v="Walk-in"/>
    <n v="415.2"/>
    <s v="OK"/>
    <x v="5"/>
    <x v="0"/>
    <s v="0%"/>
    <x v="1"/>
    <x v="1"/>
  </r>
  <r>
    <x v="2323"/>
    <d v="2025-01-04T00:00:00"/>
    <n v="10"/>
    <s v="T029"/>
    <x v="0"/>
    <n v="1410.47"/>
    <x v="0"/>
    <n v="1198.9000000000001"/>
    <n v="4"/>
    <s v="Member"/>
    <n v="1198.9000000000001"/>
    <s v="OK"/>
    <x v="2"/>
    <x v="1"/>
    <s v="11–20%"/>
    <x v="0"/>
    <x v="6"/>
  </r>
  <r>
    <x v="2324"/>
    <d v="2025-04-20T00:00:00"/>
    <n v="16"/>
    <s v="T013"/>
    <x v="2"/>
    <n v="611.39"/>
    <x v="4"/>
    <n v="489.11"/>
    <n v="1"/>
    <s v="Walk-in"/>
    <n v="489.11"/>
    <s v="OK"/>
    <x v="4"/>
    <x v="1"/>
    <s v="11–20%"/>
    <x v="3"/>
    <x v="11"/>
  </r>
  <r>
    <x v="2325"/>
    <d v="2025-03-09T00:00:00"/>
    <n v="18"/>
    <s v="T017"/>
    <x v="2"/>
    <n v="1932.7"/>
    <x v="4"/>
    <n v="1546.16"/>
    <n v="1"/>
    <s v="Walk-in"/>
    <n v="1546.16"/>
    <s v="OK"/>
    <x v="5"/>
    <x v="1"/>
    <s v="11–20%"/>
    <x v="4"/>
    <x v="8"/>
  </r>
  <r>
    <x v="2326"/>
    <d v="2025-01-20T00:00:00"/>
    <n v="16"/>
    <s v="T023"/>
    <x v="3"/>
    <n v="2652.68"/>
    <x v="5"/>
    <n v="2520.0500000000002"/>
    <n v="1"/>
    <s v="Walk-in"/>
    <n v="2520.0500000000002"/>
    <s v="OK"/>
    <x v="2"/>
    <x v="0"/>
    <s v="1–_x000a_10%"/>
    <x v="3"/>
    <x v="11"/>
  </r>
  <r>
    <x v="2327"/>
    <d v="2025-06-04T00:00:00"/>
    <n v="21"/>
    <s v="T002"/>
    <x v="2"/>
    <n v="4012.48"/>
    <x v="1"/>
    <n v="4012.48"/>
    <n v="4"/>
    <s v="Member"/>
    <n v="4012.48"/>
    <s v="OK"/>
    <x v="3"/>
    <x v="0"/>
    <s v="0%"/>
    <x v="4"/>
    <x v="9"/>
  </r>
  <r>
    <x v="2328"/>
    <d v="2025-06-05T00:00:00"/>
    <n v="12"/>
    <s v="T014"/>
    <x v="0"/>
    <n v="1976.67"/>
    <x v="5"/>
    <n v="1877.84"/>
    <n v="4"/>
    <s v="Member"/>
    <n v="1877.84"/>
    <s v="OK"/>
    <x v="3"/>
    <x v="0"/>
    <s v="1–_x000a_10%"/>
    <x v="0"/>
    <x v="6"/>
  </r>
  <r>
    <x v="2329"/>
    <d v="2025-05-12T00:00:00"/>
    <n v="20"/>
    <s v="T016"/>
    <x v="3"/>
    <n v="1199.24"/>
    <x v="1"/>
    <n v="1199.24"/>
    <n v="4"/>
    <s v="Member"/>
    <n v="1199.24"/>
    <s v="OK"/>
    <x v="1"/>
    <x v="0"/>
    <s v="0%"/>
    <x v="1"/>
    <x v="1"/>
  </r>
  <r>
    <x v="2330"/>
    <d v="2025-04-05T00:00:00"/>
    <n v="13"/>
    <s v="T009"/>
    <x v="3"/>
    <n v="3119.21"/>
    <x v="2"/>
    <n v="2183.4499999999998"/>
    <n v="2"/>
    <s v="Walk-in"/>
    <n v="2183.4499999999998"/>
    <s v="OK"/>
    <x v="4"/>
    <x v="1"/>
    <s v="&gt;20%"/>
    <x v="0"/>
    <x v="6"/>
  </r>
  <r>
    <x v="2331"/>
    <d v="2025-02-22T00:00:00"/>
    <n v="14"/>
    <s v="T015"/>
    <x v="0"/>
    <n v="1450.33"/>
    <x v="4"/>
    <n v="1160.26"/>
    <n v="5"/>
    <s v="Member"/>
    <n v="1160.26"/>
    <s v="OK"/>
    <x v="0"/>
    <x v="1"/>
    <s v="11–20%"/>
    <x v="2"/>
    <x v="4"/>
  </r>
  <r>
    <x v="2332"/>
    <d v="2025-06-01T00:00:00"/>
    <n v="10"/>
    <s v="T009"/>
    <x v="2"/>
    <n v="604.58000000000004"/>
    <x v="3"/>
    <n v="544.12"/>
    <n v="1"/>
    <s v="Walk-in"/>
    <n v="544.12"/>
    <s v="OK"/>
    <x v="3"/>
    <x v="1"/>
    <s v="1–_x000a_10%"/>
    <x v="0"/>
    <x v="6"/>
  </r>
  <r>
    <x v="2333"/>
    <d v="2025-02-04T00:00:00"/>
    <n v="10"/>
    <s v="T028"/>
    <x v="2"/>
    <n v="1220.48"/>
    <x v="1"/>
    <n v="1220.48"/>
    <n v="5"/>
    <s v="Walk-in"/>
    <n v="1220.48"/>
    <s v="OK"/>
    <x v="0"/>
    <x v="0"/>
    <s v="0%"/>
    <x v="3"/>
    <x v="5"/>
  </r>
  <r>
    <x v="2334"/>
    <d v="2025-01-08T00:00:00"/>
    <n v="20"/>
    <s v="T012"/>
    <x v="0"/>
    <n v="2108.29"/>
    <x v="1"/>
    <n v="2108.29"/>
    <n v="3"/>
    <s v="Member"/>
    <n v="2108.29"/>
    <s v="OK"/>
    <x v="2"/>
    <x v="0"/>
    <s v="0%"/>
    <x v="4"/>
    <x v="9"/>
  </r>
  <r>
    <x v="2335"/>
    <d v="2025-06-07T00:00:00"/>
    <n v="22"/>
    <s v="T015"/>
    <x v="1"/>
    <n v="1142.44"/>
    <x v="5"/>
    <n v="1085.32"/>
    <n v="6"/>
    <s v="Walk-in"/>
    <n v="1085.32"/>
    <s v="OK"/>
    <x v="3"/>
    <x v="1"/>
    <s v="1–_x000a_10%"/>
    <x v="2"/>
    <x v="4"/>
  </r>
  <r>
    <x v="2336"/>
    <d v="2025-05-03T00:00:00"/>
    <n v="10"/>
    <s v="T024"/>
    <x v="2"/>
    <n v="1028.68"/>
    <x v="1"/>
    <n v="1028.68"/>
    <n v="3"/>
    <s v="Member"/>
    <n v="1028.68"/>
    <s v="OK"/>
    <x v="1"/>
    <x v="1"/>
    <s v="0%"/>
    <x v="0"/>
    <x v="0"/>
  </r>
  <r>
    <x v="2337"/>
    <d v="2025-01-11T00:00:00"/>
    <n v="12"/>
    <s v="T023"/>
    <x v="2"/>
    <n v="1735.95"/>
    <x v="1"/>
    <n v="1735.95"/>
    <n v="3"/>
    <s v="Member"/>
    <n v="1735.95"/>
    <s v="OK"/>
    <x v="2"/>
    <x v="1"/>
    <s v="0%"/>
    <x v="3"/>
    <x v="11"/>
  </r>
  <r>
    <x v="2338"/>
    <d v="2025-02-10T00:00:00"/>
    <n v="16"/>
    <s v="T008"/>
    <x v="2"/>
    <n v="329.35"/>
    <x v="1"/>
    <n v="329.35"/>
    <n v="4"/>
    <s v="Member"/>
    <n v="329.35"/>
    <s v="OK"/>
    <x v="0"/>
    <x v="0"/>
    <s v="0%"/>
    <x v="3"/>
    <x v="5"/>
  </r>
  <r>
    <x v="2339"/>
    <d v="2025-04-20T00:00:00"/>
    <n v="19"/>
    <s v="T023"/>
    <x v="0"/>
    <n v="1654.41"/>
    <x v="0"/>
    <n v="1406.25"/>
    <n v="2"/>
    <s v="Walk-in"/>
    <n v="1406.25"/>
    <s v="OK"/>
    <x v="4"/>
    <x v="1"/>
    <s v="11–20%"/>
    <x v="3"/>
    <x v="11"/>
  </r>
  <r>
    <x v="2340"/>
    <d v="2025-05-27T00:00:00"/>
    <n v="13"/>
    <s v="T010"/>
    <x v="2"/>
    <n v="1187.7"/>
    <x v="1"/>
    <n v="1187.7"/>
    <n v="2"/>
    <s v="Member"/>
    <n v="1187.7"/>
    <s v="OK"/>
    <x v="1"/>
    <x v="0"/>
    <s v="0%"/>
    <x v="2"/>
    <x v="4"/>
  </r>
  <r>
    <x v="2341"/>
    <d v="2025-01-25T00:00:00"/>
    <n v="13"/>
    <s v="T027"/>
    <x v="2"/>
    <n v="790.93"/>
    <x v="4"/>
    <n v="632.74"/>
    <n v="1"/>
    <s v="Walk-in"/>
    <n v="632.74"/>
    <s v="OK"/>
    <x v="2"/>
    <x v="1"/>
    <s v="11–20%"/>
    <x v="4"/>
    <x v="9"/>
  </r>
  <r>
    <x v="2342"/>
    <d v="2025-01-03T00:00:00"/>
    <n v="12"/>
    <s v="T028"/>
    <x v="0"/>
    <n v="878.72"/>
    <x v="1"/>
    <n v="878.72"/>
    <n v="1"/>
    <s v="Walk-in"/>
    <n v="878.72"/>
    <s v="OK"/>
    <x v="2"/>
    <x v="0"/>
    <s v="0%"/>
    <x v="3"/>
    <x v="5"/>
  </r>
  <r>
    <x v="2343"/>
    <d v="2025-04-28T00:00:00"/>
    <n v="21"/>
    <s v="T008"/>
    <x v="2"/>
    <n v="1442.89"/>
    <x v="4"/>
    <n v="1154.31"/>
    <n v="4"/>
    <s v="Walk-in"/>
    <n v="1154.31"/>
    <s v="OK"/>
    <x v="4"/>
    <x v="0"/>
    <s v="11–20%"/>
    <x v="3"/>
    <x v="5"/>
  </r>
  <r>
    <x v="2344"/>
    <d v="2025-04-11T00:00:00"/>
    <n v="15"/>
    <s v="T016"/>
    <x v="0"/>
    <n v="1680.14"/>
    <x v="1"/>
    <n v="1680.14"/>
    <n v="4"/>
    <s v="Member"/>
    <n v="1680.14"/>
    <s v="OK"/>
    <x v="4"/>
    <x v="0"/>
    <s v="0%"/>
    <x v="1"/>
    <x v="1"/>
  </r>
  <r>
    <x v="2345"/>
    <d v="2025-04-01T00:00:00"/>
    <n v="15"/>
    <s v="T010"/>
    <x v="0"/>
    <n v="816.94"/>
    <x v="1"/>
    <n v="816.94"/>
    <n v="1"/>
    <s v="Walk-in"/>
    <n v="816.94"/>
    <s v="OK"/>
    <x v="4"/>
    <x v="0"/>
    <s v="0%"/>
    <x v="2"/>
    <x v="4"/>
  </r>
  <r>
    <x v="2346"/>
    <d v="2025-05-22T00:00:00"/>
    <n v="15"/>
    <s v="T009"/>
    <x v="2"/>
    <n v="1281.47"/>
    <x v="5"/>
    <n v="1217.4000000000001"/>
    <n v="1"/>
    <s v="Walk-in"/>
    <n v="1217.4000000000001"/>
    <s v="OK"/>
    <x v="1"/>
    <x v="0"/>
    <s v="1–_x000a_10%"/>
    <x v="0"/>
    <x v="6"/>
  </r>
  <r>
    <x v="2347"/>
    <d v="2025-06-19T00:00:00"/>
    <n v="20"/>
    <s v="T008"/>
    <x v="0"/>
    <n v="2110.0500000000002"/>
    <x v="5"/>
    <n v="2004.55"/>
    <n v="3"/>
    <s v="Walk-in"/>
    <n v="2004.55"/>
    <s v="OK"/>
    <x v="3"/>
    <x v="0"/>
    <s v="1–_x000a_10%"/>
    <x v="3"/>
    <x v="5"/>
  </r>
  <r>
    <x v="2348"/>
    <d v="2025-04-02T00:00:00"/>
    <n v="12"/>
    <s v="T010"/>
    <x v="0"/>
    <n v="891.9"/>
    <x v="1"/>
    <n v="891.9"/>
    <n v="3"/>
    <s v="Walk-in"/>
    <n v="891.9"/>
    <s v="OK"/>
    <x v="4"/>
    <x v="0"/>
    <s v="0%"/>
    <x v="2"/>
    <x v="4"/>
  </r>
  <r>
    <x v="2349"/>
    <d v="2025-04-20T00:00:00"/>
    <n v="14"/>
    <s v="T023"/>
    <x v="0"/>
    <n v="1616.39"/>
    <x v="1"/>
    <n v="1616.39"/>
    <n v="4"/>
    <s v="Walk-in"/>
    <n v="1616.39"/>
    <s v="OK"/>
    <x v="4"/>
    <x v="1"/>
    <s v="0%"/>
    <x v="3"/>
    <x v="11"/>
  </r>
  <r>
    <x v="2350"/>
    <d v="2025-02-01T00:00:00"/>
    <n v="12"/>
    <s v="T027"/>
    <x v="0"/>
    <n v="413.8"/>
    <x v="1"/>
    <n v="413.8"/>
    <n v="2"/>
    <s v="Member"/>
    <n v="413.8"/>
    <s v="OK"/>
    <x v="0"/>
    <x v="1"/>
    <s v="0%"/>
    <x v="4"/>
    <x v="9"/>
  </r>
  <r>
    <x v="2351"/>
    <d v="2025-05-06T00:00:00"/>
    <n v="14"/>
    <s v="T028"/>
    <x v="0"/>
    <n v="1677.2"/>
    <x v="3"/>
    <n v="1509.48"/>
    <n v="1"/>
    <s v="Walk-in"/>
    <n v="1509.48"/>
    <s v="OK"/>
    <x v="1"/>
    <x v="0"/>
    <s v="1–_x000a_10%"/>
    <x v="3"/>
    <x v="5"/>
  </r>
  <r>
    <x v="2352"/>
    <d v="2025-03-15T00:00:00"/>
    <n v="12"/>
    <s v="T023"/>
    <x v="2"/>
    <n v="1694.68"/>
    <x v="1"/>
    <n v="1694.68"/>
    <n v="3"/>
    <s v="Member"/>
    <n v="1694.68"/>
    <s v="OK"/>
    <x v="5"/>
    <x v="1"/>
    <s v="0%"/>
    <x v="3"/>
    <x v="11"/>
  </r>
  <r>
    <x v="2353"/>
    <d v="2025-02-20T00:00:00"/>
    <n v="16"/>
    <s v="T005"/>
    <x v="0"/>
    <n v="2331.83"/>
    <x v="3"/>
    <n v="2098.65"/>
    <n v="3"/>
    <s v="Walk-in"/>
    <n v="2098.65"/>
    <s v="OK"/>
    <x v="0"/>
    <x v="0"/>
    <s v="1–_x000a_10%"/>
    <x v="2"/>
    <x v="4"/>
  </r>
  <r>
    <x v="2354"/>
    <d v="2025-03-27T00:00:00"/>
    <n v="12"/>
    <s v="T012"/>
    <x v="3"/>
    <n v="253.49"/>
    <x v="1"/>
    <n v="253.49"/>
    <n v="6"/>
    <s v="Member"/>
    <n v="253.49"/>
    <s v="OK"/>
    <x v="5"/>
    <x v="0"/>
    <s v="0%"/>
    <x v="4"/>
    <x v="9"/>
  </r>
  <r>
    <x v="2355"/>
    <d v="2025-01-11T00:00:00"/>
    <n v="21"/>
    <s v="T001"/>
    <x v="2"/>
    <n v="2051.0300000000002"/>
    <x v="3"/>
    <n v="1845.93"/>
    <n v="2"/>
    <s v="Walk-in"/>
    <n v="1845.93"/>
    <s v="OK"/>
    <x v="2"/>
    <x v="1"/>
    <s v="1–_x000a_10%"/>
    <x v="1"/>
    <x v="7"/>
  </r>
  <r>
    <x v="2356"/>
    <d v="2025-06-27T00:00:00"/>
    <n v="11"/>
    <s v="T019"/>
    <x v="0"/>
    <n v="664.61"/>
    <x v="2"/>
    <n v="465.23"/>
    <n v="5"/>
    <s v="Walk-in"/>
    <n v="465.23"/>
    <s v="OK"/>
    <x v="3"/>
    <x v="0"/>
    <s v="&gt;20%"/>
    <x v="0"/>
    <x v="0"/>
  </r>
  <r>
    <x v="2357"/>
    <d v="2025-02-06T00:00:00"/>
    <n v="15"/>
    <s v="T010"/>
    <x v="0"/>
    <n v="1141.06"/>
    <x v="1"/>
    <n v="1141.06"/>
    <n v="2"/>
    <s v="Walk-in"/>
    <n v="1141.06"/>
    <s v="OK"/>
    <x v="0"/>
    <x v="0"/>
    <s v="0%"/>
    <x v="2"/>
    <x v="4"/>
  </r>
  <r>
    <x v="2358"/>
    <d v="2025-04-23T00:00:00"/>
    <n v="22"/>
    <s v="T014"/>
    <x v="3"/>
    <n v="1002.99"/>
    <x v="4"/>
    <n v="802.39"/>
    <n v="4"/>
    <s v="Walk-in"/>
    <n v="802.39"/>
    <s v="OK"/>
    <x v="4"/>
    <x v="0"/>
    <s v="11–20%"/>
    <x v="0"/>
    <x v="6"/>
  </r>
  <r>
    <x v="2359"/>
    <d v="2025-02-27T00:00:00"/>
    <n v="19"/>
    <s v="T001"/>
    <x v="1"/>
    <n v="1485.42"/>
    <x v="1"/>
    <n v="1485.42"/>
    <n v="2"/>
    <s v="Walk-in"/>
    <n v="1485.42"/>
    <s v="OK"/>
    <x v="0"/>
    <x v="0"/>
    <s v="0%"/>
    <x v="1"/>
    <x v="7"/>
  </r>
  <r>
    <x v="2360"/>
    <d v="2025-02-27T00:00:00"/>
    <n v="19"/>
    <s v="T022"/>
    <x v="0"/>
    <n v="1970.69"/>
    <x v="1"/>
    <n v="1970.69"/>
    <n v="3"/>
    <s v="Walk-in"/>
    <n v="1970.69"/>
    <s v="OK"/>
    <x v="0"/>
    <x v="0"/>
    <s v="0%"/>
    <x v="4"/>
    <x v="8"/>
  </r>
  <r>
    <x v="2361"/>
    <d v="2025-06-24T00:00:00"/>
    <n v="11"/>
    <s v="T022"/>
    <x v="1"/>
    <n v="721.28"/>
    <x v="5"/>
    <n v="685.22"/>
    <n v="2"/>
    <s v="Member"/>
    <n v="685.22"/>
    <s v="OK"/>
    <x v="3"/>
    <x v="0"/>
    <s v="1–_x000a_10%"/>
    <x v="4"/>
    <x v="8"/>
  </r>
  <r>
    <x v="2362"/>
    <d v="2025-02-18T00:00:00"/>
    <n v="17"/>
    <s v="T004"/>
    <x v="1"/>
    <n v="952.21"/>
    <x v="1"/>
    <n v="952.21"/>
    <n v="1"/>
    <s v="Walk-in"/>
    <n v="952.21"/>
    <s v="OK"/>
    <x v="0"/>
    <x v="0"/>
    <s v="0%"/>
    <x v="0"/>
    <x v="0"/>
  </r>
  <r>
    <x v="2363"/>
    <d v="2025-02-09T00:00:00"/>
    <n v="21"/>
    <s v="T006"/>
    <x v="0"/>
    <n v="1081.8900000000001"/>
    <x v="3"/>
    <n v="973.7"/>
    <n v="2"/>
    <s v="Member"/>
    <n v="973.7"/>
    <s v="OK"/>
    <x v="0"/>
    <x v="1"/>
    <s v="1–_x000a_10%"/>
    <x v="1"/>
    <x v="1"/>
  </r>
  <r>
    <x v="2364"/>
    <d v="2025-06-09T00:00:00"/>
    <n v="21"/>
    <s v="T007"/>
    <x v="2"/>
    <n v="1126.5999999999999"/>
    <x v="1"/>
    <n v="1126.5999999999999"/>
    <n v="2"/>
    <s v="Member"/>
    <n v="1126.5999999999999"/>
    <s v="OK"/>
    <x v="3"/>
    <x v="0"/>
    <s v="0%"/>
    <x v="4"/>
    <x v="8"/>
  </r>
  <r>
    <x v="2365"/>
    <d v="2025-02-19T00:00:00"/>
    <n v="10"/>
    <s v="T026"/>
    <x v="2"/>
    <n v="1166.0899999999999"/>
    <x v="5"/>
    <n v="1107.79"/>
    <n v="1"/>
    <s v="Walk-in"/>
    <n v="1107.79"/>
    <s v="OK"/>
    <x v="0"/>
    <x v="0"/>
    <s v="1–_x000a_10%"/>
    <x v="1"/>
    <x v="10"/>
  </r>
  <r>
    <x v="2366"/>
    <d v="2025-04-28T00:00:00"/>
    <n v="13"/>
    <s v="T030"/>
    <x v="1"/>
    <n v="2617.08"/>
    <x v="5"/>
    <n v="2486.23"/>
    <n v="5"/>
    <s v="Member"/>
    <n v="2486.23"/>
    <s v="OK"/>
    <x v="4"/>
    <x v="0"/>
    <s v="1–_x000a_10%"/>
    <x v="2"/>
    <x v="2"/>
  </r>
  <r>
    <x v="2367"/>
    <d v="2025-04-23T00:00:00"/>
    <n v="12"/>
    <s v="T013"/>
    <x v="0"/>
    <n v="597.17999999999995"/>
    <x v="0"/>
    <n v="507.6"/>
    <n v="5"/>
    <s v="Member"/>
    <n v="507.6"/>
    <s v="OK"/>
    <x v="4"/>
    <x v="0"/>
    <s v="11–20%"/>
    <x v="3"/>
    <x v="11"/>
  </r>
  <r>
    <x v="2368"/>
    <d v="2025-06-16T00:00:00"/>
    <n v="12"/>
    <s v="T019"/>
    <x v="2"/>
    <n v="791.13"/>
    <x v="5"/>
    <n v="751.57"/>
    <n v="2"/>
    <s v="Walk-in"/>
    <n v="751.57"/>
    <s v="OK"/>
    <x v="3"/>
    <x v="0"/>
    <s v="1–_x000a_10%"/>
    <x v="0"/>
    <x v="0"/>
  </r>
  <r>
    <x v="2369"/>
    <d v="2025-03-21T00:00:00"/>
    <n v="19"/>
    <s v="T019"/>
    <x v="2"/>
    <n v="1352.29"/>
    <x v="0"/>
    <n v="1149.45"/>
    <n v="2"/>
    <s v="Walk-in"/>
    <n v="1149.45"/>
    <s v="OK"/>
    <x v="5"/>
    <x v="0"/>
    <s v="11–20%"/>
    <x v="0"/>
    <x v="0"/>
  </r>
  <r>
    <x v="2370"/>
    <d v="2025-02-11T00:00:00"/>
    <n v="20"/>
    <s v="T015"/>
    <x v="0"/>
    <n v="621.30999999999995"/>
    <x v="0"/>
    <n v="528.11"/>
    <n v="3"/>
    <s v="Walk-in"/>
    <n v="528.11"/>
    <s v="OK"/>
    <x v="0"/>
    <x v="0"/>
    <s v="11–20%"/>
    <x v="2"/>
    <x v="4"/>
  </r>
  <r>
    <x v="2371"/>
    <d v="2025-01-28T00:00:00"/>
    <n v="17"/>
    <s v="T003"/>
    <x v="0"/>
    <n v="2187.83"/>
    <x v="5"/>
    <n v="2078.44"/>
    <n v="2"/>
    <s v="Member"/>
    <n v="2078.44"/>
    <s v="OK"/>
    <x v="2"/>
    <x v="0"/>
    <s v="1–_x000a_10%"/>
    <x v="3"/>
    <x v="3"/>
  </r>
  <r>
    <x v="2372"/>
    <d v="2025-02-09T00:00:00"/>
    <n v="16"/>
    <s v="T018"/>
    <x v="1"/>
    <n v="1280.8499999999999"/>
    <x v="1"/>
    <n v="1280.8499999999999"/>
    <n v="1"/>
    <s v="Walk-in"/>
    <n v="1280.8499999999999"/>
    <s v="OK"/>
    <x v="0"/>
    <x v="1"/>
    <s v="0%"/>
    <x v="3"/>
    <x v="3"/>
  </r>
  <r>
    <x v="2373"/>
    <d v="2025-06-02T00:00:00"/>
    <n v="19"/>
    <s v="T011"/>
    <x v="0"/>
    <n v="3036.87"/>
    <x v="1"/>
    <n v="3036.87"/>
    <n v="3"/>
    <s v="Member"/>
    <n v="3036.87"/>
    <s v="OK"/>
    <x v="3"/>
    <x v="0"/>
    <s v="0%"/>
    <x v="1"/>
    <x v="10"/>
  </r>
  <r>
    <x v="2374"/>
    <d v="2025-04-16T00:00:00"/>
    <n v="22"/>
    <s v="T010"/>
    <x v="3"/>
    <n v="370.08"/>
    <x v="3"/>
    <n v="333.07"/>
    <n v="1"/>
    <s v="Member"/>
    <n v="333.07"/>
    <s v="OK"/>
    <x v="4"/>
    <x v="0"/>
    <s v="1–_x000a_10%"/>
    <x v="2"/>
    <x v="4"/>
  </r>
  <r>
    <x v="2375"/>
    <d v="2025-05-13T00:00:00"/>
    <n v="18"/>
    <s v="T017"/>
    <x v="2"/>
    <n v="1242.1199999999999"/>
    <x v="1"/>
    <n v="1242.1199999999999"/>
    <n v="1"/>
    <s v="Walk-in"/>
    <n v="1242.1199999999999"/>
    <s v="OK"/>
    <x v="1"/>
    <x v="0"/>
    <s v="0%"/>
    <x v="4"/>
    <x v="8"/>
  </r>
  <r>
    <x v="2376"/>
    <d v="2025-01-26T00:00:00"/>
    <n v="19"/>
    <s v="T017"/>
    <x v="1"/>
    <n v="1178.26"/>
    <x v="1"/>
    <n v="1178.26"/>
    <n v="5"/>
    <s v="Walk-in"/>
    <n v="1178.26"/>
    <s v="OK"/>
    <x v="2"/>
    <x v="1"/>
    <s v="0%"/>
    <x v="4"/>
    <x v="8"/>
  </r>
  <r>
    <x v="2377"/>
    <d v="2025-01-05T00:00:00"/>
    <n v="10"/>
    <s v="T006"/>
    <x v="0"/>
    <n v="3129.49"/>
    <x v="1"/>
    <n v="3129.49"/>
    <n v="1"/>
    <s v="Member"/>
    <n v="3129.49"/>
    <s v="OK"/>
    <x v="2"/>
    <x v="1"/>
    <s v="0%"/>
    <x v="1"/>
    <x v="1"/>
  </r>
  <r>
    <x v="2378"/>
    <d v="2025-04-30T00:00:00"/>
    <n v="16"/>
    <s v="T010"/>
    <x v="0"/>
    <n v="1506.02"/>
    <x v="0"/>
    <n v="1280.1199999999999"/>
    <n v="1"/>
    <s v="Walk-in"/>
    <n v="1280.1199999999999"/>
    <s v="OK"/>
    <x v="4"/>
    <x v="0"/>
    <s v="11–20%"/>
    <x v="2"/>
    <x v="4"/>
  </r>
  <r>
    <x v="2379"/>
    <d v="2025-03-31T00:00:00"/>
    <n v="10"/>
    <s v="T030"/>
    <x v="2"/>
    <n v="3303.55"/>
    <x v="3"/>
    <n v="2973.2"/>
    <n v="4"/>
    <s v="Walk-in"/>
    <n v="2973.2"/>
    <s v="OK"/>
    <x v="5"/>
    <x v="0"/>
    <s v="1–_x000a_10%"/>
    <x v="2"/>
    <x v="2"/>
  </r>
  <r>
    <x v="2380"/>
    <d v="2025-03-02T00:00:00"/>
    <n v="13"/>
    <s v="T011"/>
    <x v="0"/>
    <n v="1655.38"/>
    <x v="3"/>
    <n v="1489.84"/>
    <n v="1"/>
    <s v="Walk-in"/>
    <n v="1489.84"/>
    <s v="OK"/>
    <x v="5"/>
    <x v="1"/>
    <s v="1–_x000a_10%"/>
    <x v="1"/>
    <x v="10"/>
  </r>
  <r>
    <x v="2381"/>
    <d v="2025-03-04T00:00:00"/>
    <n v="10"/>
    <s v="T021"/>
    <x v="2"/>
    <n v="848.76"/>
    <x v="4"/>
    <n v="679.01"/>
    <n v="2"/>
    <s v="Walk-in"/>
    <n v="679.01"/>
    <s v="OK"/>
    <x v="5"/>
    <x v="0"/>
    <s v="11–20%"/>
    <x v="1"/>
    <x v="1"/>
  </r>
  <r>
    <x v="2382"/>
    <d v="2025-04-15T00:00:00"/>
    <n v="22"/>
    <s v="T003"/>
    <x v="0"/>
    <n v="1144.54"/>
    <x v="1"/>
    <n v="1144.54"/>
    <n v="3"/>
    <s v="Walk-in"/>
    <n v="1144.54"/>
    <s v="OK"/>
    <x v="4"/>
    <x v="0"/>
    <s v="0%"/>
    <x v="3"/>
    <x v="3"/>
  </r>
  <r>
    <x v="2383"/>
    <d v="2025-06-22T00:00:00"/>
    <n v="11"/>
    <s v="T017"/>
    <x v="0"/>
    <n v="3914.06"/>
    <x v="0"/>
    <n v="3326.95"/>
    <n v="6"/>
    <s v="Member"/>
    <n v="3326.95"/>
    <s v="OK"/>
    <x v="3"/>
    <x v="1"/>
    <s v="11–20%"/>
    <x v="4"/>
    <x v="8"/>
  </r>
  <r>
    <x v="2384"/>
    <d v="2025-01-30T00:00:00"/>
    <n v="18"/>
    <s v="T019"/>
    <x v="2"/>
    <n v="4805.67"/>
    <x v="5"/>
    <n v="4565.3900000000003"/>
    <n v="3"/>
    <s v="Walk-in"/>
    <n v="4565.3900000000003"/>
    <s v="OK"/>
    <x v="2"/>
    <x v="0"/>
    <s v="1–_x000a_10%"/>
    <x v="0"/>
    <x v="0"/>
  </r>
  <r>
    <x v="2385"/>
    <d v="2025-04-28T00:00:00"/>
    <n v="17"/>
    <s v="T016"/>
    <x v="0"/>
    <n v="1389.92"/>
    <x v="1"/>
    <n v="1389.92"/>
    <n v="3"/>
    <s v="Walk-in"/>
    <n v="1389.92"/>
    <s v="OK"/>
    <x v="4"/>
    <x v="0"/>
    <s v="0%"/>
    <x v="1"/>
    <x v="1"/>
  </r>
  <r>
    <x v="2386"/>
    <d v="2025-02-22T00:00:00"/>
    <n v="21"/>
    <s v="T001"/>
    <x v="2"/>
    <n v="1279.79"/>
    <x v="1"/>
    <n v="1279.79"/>
    <n v="3"/>
    <s v="Walk-in"/>
    <n v="1279.79"/>
    <s v="OK"/>
    <x v="0"/>
    <x v="1"/>
    <s v="0%"/>
    <x v="1"/>
    <x v="7"/>
  </r>
  <r>
    <x v="2387"/>
    <d v="2025-04-12T00:00:00"/>
    <n v="20"/>
    <s v="T009"/>
    <x v="0"/>
    <n v="1339.54"/>
    <x v="5"/>
    <n v="1272.56"/>
    <n v="5"/>
    <s v="Walk-in"/>
    <n v="1272.56"/>
    <s v="OK"/>
    <x v="4"/>
    <x v="1"/>
    <s v="1–_x000a_10%"/>
    <x v="0"/>
    <x v="6"/>
  </r>
  <r>
    <x v="2388"/>
    <d v="2025-02-16T00:00:00"/>
    <n v="19"/>
    <s v="T004"/>
    <x v="0"/>
    <n v="2259.9299999999998"/>
    <x v="5"/>
    <n v="2146.9299999999998"/>
    <n v="2"/>
    <s v="Member"/>
    <n v="2146.9299999999998"/>
    <s v="OK"/>
    <x v="0"/>
    <x v="1"/>
    <s v="1–_x000a_10%"/>
    <x v="0"/>
    <x v="0"/>
  </r>
  <r>
    <x v="2389"/>
    <d v="2025-06-23T00:00:00"/>
    <n v="18"/>
    <s v="T025"/>
    <x v="2"/>
    <n v="741.85"/>
    <x v="1"/>
    <n v="741.85"/>
    <n v="1"/>
    <s v="Walk-in"/>
    <n v="741.85"/>
    <s v="OK"/>
    <x v="3"/>
    <x v="0"/>
    <s v="0%"/>
    <x v="2"/>
    <x v="2"/>
  </r>
  <r>
    <x v="2390"/>
    <d v="2025-03-20T00:00:00"/>
    <n v="11"/>
    <s v="T007"/>
    <x v="0"/>
    <n v="2114.75"/>
    <x v="1"/>
    <n v="2114.75"/>
    <n v="2"/>
    <s v="Member"/>
    <n v="2114.75"/>
    <s v="OK"/>
    <x v="5"/>
    <x v="0"/>
    <s v="0%"/>
    <x v="4"/>
    <x v="8"/>
  </r>
  <r>
    <x v="2391"/>
    <d v="2025-04-20T00:00:00"/>
    <n v="14"/>
    <s v="T010"/>
    <x v="2"/>
    <n v="1425.81"/>
    <x v="5"/>
    <n v="1354.52"/>
    <n v="3"/>
    <s v="Walk-in"/>
    <n v="1354.52"/>
    <s v="OK"/>
    <x v="4"/>
    <x v="1"/>
    <s v="1–_x000a_10%"/>
    <x v="2"/>
    <x v="4"/>
  </r>
  <r>
    <x v="2392"/>
    <d v="2025-05-06T00:00:00"/>
    <n v="20"/>
    <s v="T027"/>
    <x v="0"/>
    <n v="1064.1600000000001"/>
    <x v="4"/>
    <n v="851.33"/>
    <n v="2"/>
    <s v="Walk-in"/>
    <n v="851.33"/>
    <s v="OK"/>
    <x v="1"/>
    <x v="0"/>
    <s v="11–20%"/>
    <x v="4"/>
    <x v="9"/>
  </r>
  <r>
    <x v="2393"/>
    <d v="2025-06-07T00:00:00"/>
    <n v="19"/>
    <s v="T001"/>
    <x v="0"/>
    <n v="600.52"/>
    <x v="1"/>
    <n v="600.52"/>
    <n v="3"/>
    <s v="Walk-in"/>
    <n v="600.52"/>
    <s v="OK"/>
    <x v="3"/>
    <x v="1"/>
    <s v="0%"/>
    <x v="1"/>
    <x v="7"/>
  </r>
  <r>
    <x v="2394"/>
    <d v="2025-05-03T00:00:00"/>
    <n v="21"/>
    <s v="T006"/>
    <x v="0"/>
    <n v="891.31"/>
    <x v="0"/>
    <n v="757.61"/>
    <n v="1"/>
    <s v="Member"/>
    <n v="757.61"/>
    <s v="OK"/>
    <x v="1"/>
    <x v="1"/>
    <s v="11–20%"/>
    <x v="1"/>
    <x v="1"/>
  </r>
  <r>
    <x v="2395"/>
    <d v="2025-06-20T00:00:00"/>
    <n v="18"/>
    <s v="T007"/>
    <x v="2"/>
    <n v="856.01"/>
    <x v="1"/>
    <n v="856.01"/>
    <n v="2"/>
    <s v="Member"/>
    <n v="856.01"/>
    <s v="OK"/>
    <x v="3"/>
    <x v="0"/>
    <s v="0%"/>
    <x v="4"/>
    <x v="8"/>
  </r>
  <r>
    <x v="2396"/>
    <d v="2025-03-12T00:00:00"/>
    <n v="20"/>
    <s v="T012"/>
    <x v="0"/>
    <n v="973.8"/>
    <x v="1"/>
    <n v="973.8"/>
    <n v="1"/>
    <s v="Walk-in"/>
    <n v="973.8"/>
    <s v="OK"/>
    <x v="5"/>
    <x v="0"/>
    <s v="0%"/>
    <x v="4"/>
    <x v="9"/>
  </r>
  <r>
    <x v="2397"/>
    <d v="2025-03-14T00:00:00"/>
    <n v="21"/>
    <s v="T011"/>
    <x v="0"/>
    <n v="956.67"/>
    <x v="3"/>
    <n v="861"/>
    <n v="4"/>
    <s v="Walk-in"/>
    <n v="861"/>
    <s v="OK"/>
    <x v="5"/>
    <x v="0"/>
    <s v="1–_x000a_10%"/>
    <x v="1"/>
    <x v="10"/>
  </r>
  <r>
    <x v="2398"/>
    <d v="2025-04-06T00:00:00"/>
    <n v="20"/>
    <s v="T019"/>
    <x v="2"/>
    <n v="2899.95"/>
    <x v="1"/>
    <n v="2899.95"/>
    <n v="1"/>
    <s v="Walk-in"/>
    <n v="2899.95"/>
    <s v="OK"/>
    <x v="4"/>
    <x v="1"/>
    <s v="0%"/>
    <x v="0"/>
    <x v="0"/>
  </r>
  <r>
    <x v="2399"/>
    <d v="2025-02-14T00:00:00"/>
    <n v="16"/>
    <s v="T029"/>
    <x v="2"/>
    <n v="399"/>
    <x v="3"/>
    <n v="359.1"/>
    <n v="2"/>
    <s v="Walk-in"/>
    <n v="359.1"/>
    <s v="OK"/>
    <x v="0"/>
    <x v="0"/>
    <s v="1–_x000a_10%"/>
    <x v="0"/>
    <x v="6"/>
  </r>
  <r>
    <x v="2400"/>
    <d v="2025-05-28T00:00:00"/>
    <n v="13"/>
    <s v="T026"/>
    <x v="0"/>
    <n v="840.53"/>
    <x v="3"/>
    <n v="756.48"/>
    <n v="6"/>
    <s v="Walk-in"/>
    <n v="756.48"/>
    <s v="OK"/>
    <x v="1"/>
    <x v="0"/>
    <s v="1–_x000a_10%"/>
    <x v="1"/>
    <x v="10"/>
  </r>
  <r>
    <x v="2401"/>
    <d v="2025-03-15T00:00:00"/>
    <n v="14"/>
    <s v="T001"/>
    <x v="1"/>
    <n v="710.84"/>
    <x v="2"/>
    <n v="497.59"/>
    <n v="1"/>
    <s v="Walk-in"/>
    <n v="497.59"/>
    <s v="OK"/>
    <x v="5"/>
    <x v="1"/>
    <s v="&gt;20%"/>
    <x v="1"/>
    <x v="7"/>
  </r>
  <r>
    <x v="2402"/>
    <d v="2025-01-19T00:00:00"/>
    <n v="10"/>
    <s v="T005"/>
    <x v="2"/>
    <n v="2392.67"/>
    <x v="5"/>
    <n v="2273.04"/>
    <n v="5"/>
    <s v="Member"/>
    <n v="2273.04"/>
    <s v="OK"/>
    <x v="2"/>
    <x v="1"/>
    <s v="1–_x000a_10%"/>
    <x v="2"/>
    <x v="4"/>
  </r>
  <r>
    <x v="2403"/>
    <d v="2025-01-20T00:00:00"/>
    <n v="10"/>
    <s v="T026"/>
    <x v="0"/>
    <n v="1396.79"/>
    <x v="1"/>
    <n v="1396.79"/>
    <n v="2"/>
    <s v="Member"/>
    <n v="1396.79"/>
    <s v="OK"/>
    <x v="2"/>
    <x v="0"/>
    <s v="0%"/>
    <x v="1"/>
    <x v="10"/>
  </r>
  <r>
    <x v="2404"/>
    <d v="2025-02-28T00:00:00"/>
    <n v="16"/>
    <s v="T006"/>
    <x v="1"/>
    <n v="364.42"/>
    <x v="1"/>
    <n v="364.42"/>
    <n v="1"/>
    <s v="Walk-in"/>
    <n v="364.42"/>
    <s v="OK"/>
    <x v="0"/>
    <x v="0"/>
    <s v="0%"/>
    <x v="1"/>
    <x v="1"/>
  </r>
  <r>
    <x v="2405"/>
    <d v="2025-04-02T00:00:00"/>
    <n v="15"/>
    <s v="T019"/>
    <x v="0"/>
    <n v="768.03"/>
    <x v="5"/>
    <n v="729.63"/>
    <n v="3"/>
    <s v="Member"/>
    <n v="729.63"/>
    <s v="OK"/>
    <x v="4"/>
    <x v="0"/>
    <s v="1–_x000a_10%"/>
    <x v="0"/>
    <x v="0"/>
  </r>
  <r>
    <x v="2406"/>
    <d v="2025-02-20T00:00:00"/>
    <n v="19"/>
    <s v="T020"/>
    <x v="0"/>
    <n v="1205.4000000000001"/>
    <x v="1"/>
    <n v="1205.4000000000001"/>
    <n v="1"/>
    <s v="Member"/>
    <n v="1205.4000000000001"/>
    <s v="OK"/>
    <x v="0"/>
    <x v="0"/>
    <s v="0%"/>
    <x v="2"/>
    <x v="2"/>
  </r>
  <r>
    <x v="2407"/>
    <d v="2025-06-19T00:00:00"/>
    <n v="20"/>
    <s v="T012"/>
    <x v="2"/>
    <n v="1314.22"/>
    <x v="2"/>
    <n v="919.95"/>
    <n v="2"/>
    <s v="Walk-in"/>
    <n v="919.95"/>
    <s v="OK"/>
    <x v="3"/>
    <x v="0"/>
    <s v="&gt;20%"/>
    <x v="4"/>
    <x v="9"/>
  </r>
  <r>
    <x v="2408"/>
    <d v="2025-01-13T00:00:00"/>
    <n v="21"/>
    <s v="T029"/>
    <x v="0"/>
    <n v="692.79"/>
    <x v="3"/>
    <n v="623.51"/>
    <n v="5"/>
    <s v="Walk-in"/>
    <n v="623.51"/>
    <s v="OK"/>
    <x v="2"/>
    <x v="0"/>
    <s v="1–_x000a_10%"/>
    <x v="0"/>
    <x v="6"/>
  </r>
  <r>
    <x v="2409"/>
    <d v="2025-05-29T00:00:00"/>
    <n v="18"/>
    <s v="T006"/>
    <x v="3"/>
    <n v="1731.28"/>
    <x v="1"/>
    <n v="1731.28"/>
    <n v="4"/>
    <s v="Walk-in"/>
    <n v="1731.28"/>
    <s v="OK"/>
    <x v="1"/>
    <x v="0"/>
    <s v="0%"/>
    <x v="1"/>
    <x v="1"/>
  </r>
  <r>
    <x v="2410"/>
    <d v="2025-02-20T00:00:00"/>
    <n v="19"/>
    <s v="T029"/>
    <x v="0"/>
    <n v="919.24"/>
    <x v="4"/>
    <n v="735.39"/>
    <n v="2"/>
    <s v="Member"/>
    <n v="735.39"/>
    <s v="OK"/>
    <x v="0"/>
    <x v="0"/>
    <s v="11–20%"/>
    <x v="0"/>
    <x v="6"/>
  </r>
  <r>
    <x v="2411"/>
    <d v="2025-01-30T00:00:00"/>
    <n v="15"/>
    <s v="T001"/>
    <x v="2"/>
    <n v="1151.52"/>
    <x v="1"/>
    <n v="1151.52"/>
    <n v="1"/>
    <s v="Walk-in"/>
    <n v="1151.52"/>
    <s v="OK"/>
    <x v="2"/>
    <x v="0"/>
    <s v="0%"/>
    <x v="1"/>
    <x v="7"/>
  </r>
  <r>
    <x v="2412"/>
    <d v="2025-01-26T00:00:00"/>
    <n v="16"/>
    <s v="T007"/>
    <x v="0"/>
    <n v="301.33"/>
    <x v="3"/>
    <n v="271.2"/>
    <n v="1"/>
    <s v="Member"/>
    <n v="271.2"/>
    <s v="OK"/>
    <x v="2"/>
    <x v="1"/>
    <s v="1–_x000a_10%"/>
    <x v="4"/>
    <x v="8"/>
  </r>
  <r>
    <x v="2413"/>
    <d v="2025-03-11T00:00:00"/>
    <n v="12"/>
    <s v="T016"/>
    <x v="0"/>
    <n v="1103.97"/>
    <x v="0"/>
    <n v="938.37"/>
    <n v="1"/>
    <s v="Member"/>
    <n v="938.37"/>
    <s v="OK"/>
    <x v="5"/>
    <x v="0"/>
    <s v="11–20%"/>
    <x v="1"/>
    <x v="1"/>
  </r>
  <r>
    <x v="2414"/>
    <d v="2025-06-23T00:00:00"/>
    <n v="15"/>
    <s v="T014"/>
    <x v="2"/>
    <n v="792.06"/>
    <x v="3"/>
    <n v="712.85"/>
    <n v="2"/>
    <s v="Member"/>
    <n v="712.85"/>
    <s v="OK"/>
    <x v="3"/>
    <x v="0"/>
    <s v="1–_x000a_10%"/>
    <x v="0"/>
    <x v="6"/>
  </r>
  <r>
    <x v="2415"/>
    <d v="2025-04-16T00:00:00"/>
    <n v="19"/>
    <s v="T025"/>
    <x v="2"/>
    <n v="371.53"/>
    <x v="0"/>
    <n v="315.8"/>
    <n v="3"/>
    <s v="Walk-in"/>
    <n v="315.8"/>
    <s v="OK"/>
    <x v="4"/>
    <x v="0"/>
    <s v="11–20%"/>
    <x v="2"/>
    <x v="2"/>
  </r>
  <r>
    <x v="2416"/>
    <d v="2025-02-02T00:00:00"/>
    <n v="12"/>
    <s v="T028"/>
    <x v="2"/>
    <n v="925.41"/>
    <x v="1"/>
    <n v="925.41"/>
    <n v="2"/>
    <s v="Member"/>
    <n v="925.41"/>
    <s v="OK"/>
    <x v="0"/>
    <x v="1"/>
    <s v="0%"/>
    <x v="3"/>
    <x v="5"/>
  </r>
  <r>
    <x v="2417"/>
    <d v="2025-06-10T00:00:00"/>
    <n v="13"/>
    <s v="T017"/>
    <x v="0"/>
    <n v="558.41999999999996"/>
    <x v="1"/>
    <n v="558.41999999999996"/>
    <n v="1"/>
    <s v="Walk-in"/>
    <n v="558.41999999999996"/>
    <s v="OK"/>
    <x v="3"/>
    <x v="0"/>
    <s v="0%"/>
    <x v="4"/>
    <x v="8"/>
  </r>
  <r>
    <x v="2418"/>
    <d v="2025-06-04T00:00:00"/>
    <n v="20"/>
    <s v="T017"/>
    <x v="0"/>
    <n v="2367.5700000000002"/>
    <x v="0"/>
    <n v="2012.43"/>
    <n v="4"/>
    <s v="Walk-in"/>
    <n v="2012.43"/>
    <s v="OK"/>
    <x v="3"/>
    <x v="0"/>
    <s v="11–20%"/>
    <x v="4"/>
    <x v="8"/>
  </r>
  <r>
    <x v="2419"/>
    <d v="2025-05-10T00:00:00"/>
    <n v="12"/>
    <s v="T011"/>
    <x v="0"/>
    <n v="907.97"/>
    <x v="0"/>
    <n v="771.77"/>
    <n v="2"/>
    <s v="Member"/>
    <n v="771.77"/>
    <s v="OK"/>
    <x v="1"/>
    <x v="1"/>
    <s v="11–20%"/>
    <x v="1"/>
    <x v="10"/>
  </r>
  <r>
    <x v="2420"/>
    <d v="2025-02-23T00:00:00"/>
    <n v="21"/>
    <s v="T026"/>
    <x v="3"/>
    <n v="666.57"/>
    <x v="2"/>
    <n v="466.6"/>
    <n v="2"/>
    <s v="Walk-in"/>
    <n v="466.6"/>
    <s v="OK"/>
    <x v="0"/>
    <x v="1"/>
    <s v="&gt;20%"/>
    <x v="1"/>
    <x v="10"/>
  </r>
  <r>
    <x v="2421"/>
    <d v="2025-03-27T00:00:00"/>
    <n v="18"/>
    <s v="T012"/>
    <x v="0"/>
    <n v="4180.55"/>
    <x v="3"/>
    <n v="3762.5"/>
    <n v="2"/>
    <s v="Walk-in"/>
    <n v="3762.5"/>
    <s v="OK"/>
    <x v="5"/>
    <x v="0"/>
    <s v="1–_x000a_10%"/>
    <x v="4"/>
    <x v="9"/>
  </r>
  <r>
    <x v="2422"/>
    <d v="2025-02-02T00:00:00"/>
    <n v="11"/>
    <s v="T002"/>
    <x v="2"/>
    <n v="1405.1"/>
    <x v="1"/>
    <n v="1405.1"/>
    <n v="1"/>
    <s v="Walk-in"/>
    <n v="1405.1"/>
    <s v="OK"/>
    <x v="0"/>
    <x v="1"/>
    <s v="0%"/>
    <x v="4"/>
    <x v="9"/>
  </r>
  <r>
    <x v="2423"/>
    <d v="2025-02-18T00:00:00"/>
    <n v="22"/>
    <s v="T019"/>
    <x v="0"/>
    <n v="3152.71"/>
    <x v="1"/>
    <n v="3152.71"/>
    <n v="4"/>
    <s v="Member"/>
    <n v="3152.71"/>
    <s v="OK"/>
    <x v="0"/>
    <x v="0"/>
    <s v="0%"/>
    <x v="0"/>
    <x v="0"/>
  </r>
  <r>
    <x v="2424"/>
    <d v="2025-03-04T00:00:00"/>
    <n v="17"/>
    <s v="T028"/>
    <x v="0"/>
    <n v="182.62"/>
    <x v="1"/>
    <n v="182.62"/>
    <n v="2"/>
    <s v="Member"/>
    <n v="182.62"/>
    <s v="OK"/>
    <x v="5"/>
    <x v="0"/>
    <s v="0%"/>
    <x v="3"/>
    <x v="5"/>
  </r>
  <r>
    <x v="2425"/>
    <d v="2025-05-03T00:00:00"/>
    <n v="19"/>
    <s v="T003"/>
    <x v="0"/>
    <n v="1513.24"/>
    <x v="4"/>
    <n v="1210.5899999999999"/>
    <n v="3"/>
    <s v="Walk-in"/>
    <n v="1210.5899999999999"/>
    <s v="OK"/>
    <x v="1"/>
    <x v="1"/>
    <s v="11–20%"/>
    <x v="3"/>
    <x v="3"/>
  </r>
  <r>
    <x v="2426"/>
    <d v="2025-04-10T00:00:00"/>
    <n v="13"/>
    <s v="T023"/>
    <x v="0"/>
    <n v="1179.8699999999999"/>
    <x v="1"/>
    <n v="1179.8699999999999"/>
    <n v="5"/>
    <s v="Member"/>
    <n v="1179.8699999999999"/>
    <s v="OK"/>
    <x v="4"/>
    <x v="0"/>
    <s v="0%"/>
    <x v="3"/>
    <x v="11"/>
  </r>
  <r>
    <x v="2427"/>
    <d v="2025-03-25T00:00:00"/>
    <n v="15"/>
    <s v="T015"/>
    <x v="1"/>
    <n v="729.66"/>
    <x v="1"/>
    <n v="729.66"/>
    <n v="1"/>
    <s v="Member"/>
    <n v="729.66"/>
    <s v="OK"/>
    <x v="5"/>
    <x v="0"/>
    <s v="0%"/>
    <x v="2"/>
    <x v="4"/>
  </r>
  <r>
    <x v="2428"/>
    <d v="2025-03-22T00:00:00"/>
    <n v="17"/>
    <s v="T019"/>
    <x v="0"/>
    <n v="1125.29"/>
    <x v="4"/>
    <n v="900.23"/>
    <n v="2"/>
    <s v="Walk-in"/>
    <n v="900.23"/>
    <s v="OK"/>
    <x v="5"/>
    <x v="1"/>
    <s v="11–20%"/>
    <x v="0"/>
    <x v="0"/>
  </r>
  <r>
    <x v="2429"/>
    <d v="2025-03-18T00:00:00"/>
    <n v="17"/>
    <s v="T020"/>
    <x v="1"/>
    <n v="784.21"/>
    <x v="3"/>
    <n v="705.79"/>
    <n v="2"/>
    <s v="Walk-in"/>
    <n v="705.79"/>
    <s v="OK"/>
    <x v="5"/>
    <x v="0"/>
    <s v="1–_x000a_10%"/>
    <x v="2"/>
    <x v="2"/>
  </r>
  <r>
    <x v="2430"/>
    <d v="2025-05-26T00:00:00"/>
    <n v="13"/>
    <s v="T007"/>
    <x v="0"/>
    <n v="1461.68"/>
    <x v="1"/>
    <n v="1461.68"/>
    <n v="1"/>
    <s v="Member"/>
    <n v="1461.68"/>
    <s v="OK"/>
    <x v="1"/>
    <x v="0"/>
    <s v="0%"/>
    <x v="4"/>
    <x v="8"/>
  </r>
  <r>
    <x v="2431"/>
    <d v="2025-04-15T00:00:00"/>
    <n v="12"/>
    <s v="T016"/>
    <x v="3"/>
    <n v="994.4"/>
    <x v="1"/>
    <n v="994.4"/>
    <n v="2"/>
    <s v="Member"/>
    <n v="994.4"/>
    <s v="OK"/>
    <x v="4"/>
    <x v="0"/>
    <s v="0%"/>
    <x v="1"/>
    <x v="1"/>
  </r>
  <r>
    <x v="2432"/>
    <d v="2025-03-19T00:00:00"/>
    <n v="12"/>
    <s v="T012"/>
    <x v="1"/>
    <n v="713.94"/>
    <x v="0"/>
    <n v="606.85"/>
    <n v="1"/>
    <s v="Member"/>
    <n v="606.85"/>
    <s v="OK"/>
    <x v="5"/>
    <x v="0"/>
    <s v="11–20%"/>
    <x v="4"/>
    <x v="9"/>
  </r>
  <r>
    <x v="2433"/>
    <d v="2025-01-22T00:00:00"/>
    <n v="11"/>
    <s v="T018"/>
    <x v="3"/>
    <n v="634.70000000000005"/>
    <x v="5"/>
    <n v="602.97"/>
    <n v="2"/>
    <s v="Member"/>
    <n v="602.97"/>
    <s v="OK"/>
    <x v="2"/>
    <x v="0"/>
    <s v="1–_x000a_10%"/>
    <x v="3"/>
    <x v="3"/>
  </r>
  <r>
    <x v="2434"/>
    <d v="2025-01-23T00:00:00"/>
    <n v="18"/>
    <s v="T023"/>
    <x v="2"/>
    <n v="1409.78"/>
    <x v="0"/>
    <n v="1198.31"/>
    <n v="1"/>
    <s v="Walk-in"/>
    <n v="1198.31"/>
    <s v="OK"/>
    <x v="2"/>
    <x v="0"/>
    <s v="11–20%"/>
    <x v="3"/>
    <x v="11"/>
  </r>
  <r>
    <x v="2435"/>
    <d v="2025-03-18T00:00:00"/>
    <n v="12"/>
    <s v="T004"/>
    <x v="2"/>
    <n v="1366.61"/>
    <x v="1"/>
    <n v="1366.61"/>
    <n v="4"/>
    <s v="Walk-in"/>
    <n v="1366.61"/>
    <s v="OK"/>
    <x v="5"/>
    <x v="0"/>
    <s v="0%"/>
    <x v="0"/>
    <x v="0"/>
  </r>
  <r>
    <x v="2436"/>
    <d v="2025-04-18T00:00:00"/>
    <n v="22"/>
    <s v="T015"/>
    <x v="2"/>
    <n v="1561.64"/>
    <x v="0"/>
    <n v="1327.39"/>
    <n v="1"/>
    <s v="Walk-in"/>
    <n v="1327.39"/>
    <s v="OK"/>
    <x v="4"/>
    <x v="0"/>
    <s v="11–20%"/>
    <x v="2"/>
    <x v="4"/>
  </r>
  <r>
    <x v="2437"/>
    <d v="2025-04-15T00:00:00"/>
    <n v="14"/>
    <s v="T024"/>
    <x v="0"/>
    <n v="1252.05"/>
    <x v="1"/>
    <n v="1252.05"/>
    <n v="4"/>
    <s v="Walk-in"/>
    <n v="1252.05"/>
    <s v="OK"/>
    <x v="4"/>
    <x v="0"/>
    <s v="0%"/>
    <x v="0"/>
    <x v="0"/>
  </r>
  <r>
    <x v="2438"/>
    <d v="2025-03-11T00:00:00"/>
    <n v="10"/>
    <s v="T027"/>
    <x v="0"/>
    <n v="187.12"/>
    <x v="1"/>
    <n v="187.12"/>
    <n v="3"/>
    <s v="Member"/>
    <n v="187.12"/>
    <s v="OK"/>
    <x v="5"/>
    <x v="0"/>
    <s v="0%"/>
    <x v="4"/>
    <x v="9"/>
  </r>
  <r>
    <x v="2439"/>
    <d v="2025-04-01T00:00:00"/>
    <n v="16"/>
    <s v="T010"/>
    <x v="1"/>
    <n v="892.43"/>
    <x v="3"/>
    <n v="803.19"/>
    <n v="1"/>
    <s v="Walk-in"/>
    <n v="803.19"/>
    <s v="OK"/>
    <x v="4"/>
    <x v="0"/>
    <s v="1–_x000a_10%"/>
    <x v="2"/>
    <x v="4"/>
  </r>
  <r>
    <x v="2440"/>
    <d v="2025-03-22T00:00:00"/>
    <n v="10"/>
    <s v="T015"/>
    <x v="2"/>
    <n v="3839.9"/>
    <x v="1"/>
    <n v="3839.9"/>
    <n v="2"/>
    <s v="Walk-in"/>
    <n v="3839.9"/>
    <s v="OK"/>
    <x v="5"/>
    <x v="1"/>
    <s v="0%"/>
    <x v="2"/>
    <x v="4"/>
  </r>
  <r>
    <x v="2441"/>
    <d v="2025-03-15T00:00:00"/>
    <n v="14"/>
    <s v="T021"/>
    <x v="0"/>
    <n v="1618.31"/>
    <x v="1"/>
    <n v="1618.31"/>
    <n v="2"/>
    <s v="Walk-in"/>
    <n v="1618.31"/>
    <s v="OK"/>
    <x v="5"/>
    <x v="1"/>
    <s v="0%"/>
    <x v="1"/>
    <x v="1"/>
  </r>
  <r>
    <x v="2442"/>
    <d v="2025-01-04T00:00:00"/>
    <n v="18"/>
    <s v="T020"/>
    <x v="0"/>
    <n v="2821.55"/>
    <x v="1"/>
    <n v="2821.55"/>
    <n v="3"/>
    <s v="Walk-in"/>
    <n v="2821.55"/>
    <s v="OK"/>
    <x v="2"/>
    <x v="1"/>
    <s v="0%"/>
    <x v="2"/>
    <x v="2"/>
  </r>
  <r>
    <x v="2443"/>
    <d v="2025-05-15T00:00:00"/>
    <n v="11"/>
    <s v="T013"/>
    <x v="1"/>
    <n v="316.07"/>
    <x v="4"/>
    <n v="252.86"/>
    <n v="1"/>
    <s v="Walk-in"/>
    <n v="252.86"/>
    <s v="OK"/>
    <x v="1"/>
    <x v="0"/>
    <s v="11–20%"/>
    <x v="3"/>
    <x v="11"/>
  </r>
  <r>
    <x v="2444"/>
    <d v="2025-05-22T00:00:00"/>
    <n v="10"/>
    <s v="T028"/>
    <x v="2"/>
    <n v="3070.48"/>
    <x v="1"/>
    <n v="3070.48"/>
    <n v="4"/>
    <s v="Walk-in"/>
    <n v="3070.48"/>
    <s v="OK"/>
    <x v="1"/>
    <x v="0"/>
    <s v="0%"/>
    <x v="3"/>
    <x v="5"/>
  </r>
  <r>
    <x v="2445"/>
    <d v="2025-02-05T00:00:00"/>
    <n v="21"/>
    <s v="T022"/>
    <x v="0"/>
    <n v="1469.56"/>
    <x v="3"/>
    <n v="1322.6"/>
    <n v="1"/>
    <s v="Member"/>
    <n v="1322.6"/>
    <s v="OK"/>
    <x v="0"/>
    <x v="0"/>
    <s v="1–_x000a_10%"/>
    <x v="4"/>
    <x v="8"/>
  </r>
  <r>
    <x v="2446"/>
    <d v="2025-04-22T00:00:00"/>
    <n v="17"/>
    <s v="T028"/>
    <x v="0"/>
    <n v="704.15"/>
    <x v="5"/>
    <n v="668.94"/>
    <n v="2"/>
    <s v="Member"/>
    <n v="668.94"/>
    <s v="OK"/>
    <x v="4"/>
    <x v="0"/>
    <s v="1–_x000a_10%"/>
    <x v="3"/>
    <x v="5"/>
  </r>
  <r>
    <x v="2447"/>
    <d v="2025-03-19T00:00:00"/>
    <n v="14"/>
    <s v="T021"/>
    <x v="2"/>
    <n v="456"/>
    <x v="0"/>
    <n v="387.6"/>
    <n v="4"/>
    <s v="Member"/>
    <n v="387.6"/>
    <s v="OK"/>
    <x v="5"/>
    <x v="0"/>
    <s v="11–20%"/>
    <x v="1"/>
    <x v="1"/>
  </r>
  <r>
    <x v="2448"/>
    <d v="2025-05-09T00:00:00"/>
    <n v="11"/>
    <s v="T005"/>
    <x v="0"/>
    <n v="746.47"/>
    <x v="2"/>
    <n v="522.53"/>
    <n v="5"/>
    <s v="Walk-in"/>
    <n v="522.53"/>
    <s v="OK"/>
    <x v="1"/>
    <x v="0"/>
    <s v="&gt;20%"/>
    <x v="2"/>
    <x v="4"/>
  </r>
  <r>
    <x v="2449"/>
    <d v="2025-02-08T00:00:00"/>
    <n v="11"/>
    <s v="T005"/>
    <x v="2"/>
    <n v="875.76"/>
    <x v="1"/>
    <n v="875.76"/>
    <n v="2"/>
    <s v="Walk-in"/>
    <n v="875.76"/>
    <s v="OK"/>
    <x v="0"/>
    <x v="1"/>
    <s v="0%"/>
    <x v="2"/>
    <x v="4"/>
  </r>
  <r>
    <x v="2450"/>
    <d v="2025-04-09T00:00:00"/>
    <n v="11"/>
    <s v="T006"/>
    <x v="2"/>
    <n v="1130.1300000000001"/>
    <x v="1"/>
    <n v="1130.1300000000001"/>
    <n v="3"/>
    <s v="Walk-in"/>
    <n v="1130.1300000000001"/>
    <s v="OK"/>
    <x v="4"/>
    <x v="0"/>
    <s v="0%"/>
    <x v="1"/>
    <x v="1"/>
  </r>
  <r>
    <x v="2451"/>
    <d v="2025-04-24T00:00:00"/>
    <n v="19"/>
    <s v="T012"/>
    <x v="3"/>
    <n v="2933.19"/>
    <x v="1"/>
    <n v="2933.19"/>
    <n v="2"/>
    <s v="Walk-in"/>
    <n v="2933.19"/>
    <s v="OK"/>
    <x v="4"/>
    <x v="0"/>
    <s v="0%"/>
    <x v="4"/>
    <x v="9"/>
  </r>
  <r>
    <x v="2452"/>
    <d v="2025-05-28T00:00:00"/>
    <n v="10"/>
    <s v="T016"/>
    <x v="0"/>
    <n v="797.34"/>
    <x v="3"/>
    <n v="717.61"/>
    <n v="5"/>
    <s v="Walk-in"/>
    <n v="717.61"/>
    <s v="OK"/>
    <x v="1"/>
    <x v="0"/>
    <s v="1–_x000a_10%"/>
    <x v="1"/>
    <x v="1"/>
  </r>
  <r>
    <x v="2453"/>
    <d v="2025-03-04T00:00:00"/>
    <n v="16"/>
    <s v="T021"/>
    <x v="0"/>
    <n v="477.97"/>
    <x v="1"/>
    <n v="477.97"/>
    <n v="5"/>
    <s v="Walk-in"/>
    <n v="477.97"/>
    <s v="OK"/>
    <x v="5"/>
    <x v="0"/>
    <s v="0%"/>
    <x v="1"/>
    <x v="1"/>
  </r>
  <r>
    <x v="2454"/>
    <d v="2025-05-19T00:00:00"/>
    <n v="11"/>
    <s v="T023"/>
    <x v="3"/>
    <n v="824.69"/>
    <x v="1"/>
    <n v="824.69"/>
    <n v="1"/>
    <s v="Walk-in"/>
    <n v="824.69"/>
    <s v="OK"/>
    <x v="1"/>
    <x v="0"/>
    <s v="0%"/>
    <x v="3"/>
    <x v="11"/>
  </r>
  <r>
    <x v="2455"/>
    <d v="2025-01-15T00:00:00"/>
    <n v="11"/>
    <s v="T011"/>
    <x v="2"/>
    <n v="752.91"/>
    <x v="1"/>
    <n v="752.91"/>
    <n v="2"/>
    <s v="Member"/>
    <n v="752.91"/>
    <s v="OK"/>
    <x v="2"/>
    <x v="0"/>
    <s v="0%"/>
    <x v="1"/>
    <x v="10"/>
  </r>
  <r>
    <x v="2456"/>
    <d v="2025-01-29T00:00:00"/>
    <n v="14"/>
    <s v="T001"/>
    <x v="0"/>
    <n v="4530.1099999999997"/>
    <x v="3"/>
    <n v="4077.1"/>
    <n v="2"/>
    <s v="Member"/>
    <n v="4077.1"/>
    <s v="OK"/>
    <x v="2"/>
    <x v="0"/>
    <s v="1–_x000a_10%"/>
    <x v="1"/>
    <x v="7"/>
  </r>
  <r>
    <x v="2457"/>
    <d v="2025-05-30T00:00:00"/>
    <n v="21"/>
    <s v="T023"/>
    <x v="0"/>
    <n v="675.5"/>
    <x v="0"/>
    <n v="574.16999999999996"/>
    <n v="2"/>
    <s v="Walk-in"/>
    <n v="574.17999999999995"/>
    <s v="OK"/>
    <x v="1"/>
    <x v="0"/>
    <s v="11–20%"/>
    <x v="3"/>
    <x v="11"/>
  </r>
  <r>
    <x v="2458"/>
    <d v="2025-01-18T00:00:00"/>
    <n v="19"/>
    <s v="T007"/>
    <x v="2"/>
    <n v="855.41"/>
    <x v="4"/>
    <n v="684.33"/>
    <n v="2"/>
    <s v="Walk-in"/>
    <n v="684.33"/>
    <s v="OK"/>
    <x v="2"/>
    <x v="1"/>
    <s v="11–20%"/>
    <x v="4"/>
    <x v="8"/>
  </r>
  <r>
    <x v="2459"/>
    <d v="2025-05-20T00:00:00"/>
    <n v="15"/>
    <s v="T012"/>
    <x v="2"/>
    <n v="680.44"/>
    <x v="1"/>
    <n v="680.44"/>
    <n v="5"/>
    <s v="Walk-in"/>
    <n v="680.44"/>
    <s v="OK"/>
    <x v="1"/>
    <x v="0"/>
    <s v="0%"/>
    <x v="4"/>
    <x v="9"/>
  </r>
  <r>
    <x v="2460"/>
    <d v="2025-02-21T00:00:00"/>
    <n v="12"/>
    <s v="T010"/>
    <x v="0"/>
    <n v="1356.42"/>
    <x v="0"/>
    <n v="1152.96"/>
    <n v="4"/>
    <s v="Walk-in"/>
    <n v="1152.96"/>
    <s v="OK"/>
    <x v="0"/>
    <x v="0"/>
    <s v="11–20%"/>
    <x v="2"/>
    <x v="4"/>
  </r>
  <r>
    <x v="2461"/>
    <d v="2025-04-22T00:00:00"/>
    <n v="21"/>
    <s v="T019"/>
    <x v="1"/>
    <n v="1703.33"/>
    <x v="2"/>
    <n v="1192.33"/>
    <n v="1"/>
    <s v="Walk-in"/>
    <n v="1192.33"/>
    <s v="OK"/>
    <x v="4"/>
    <x v="0"/>
    <s v="&gt;20%"/>
    <x v="0"/>
    <x v="0"/>
  </r>
  <r>
    <x v="2462"/>
    <d v="2025-03-23T00:00:00"/>
    <n v="18"/>
    <s v="T017"/>
    <x v="0"/>
    <n v="908.44"/>
    <x v="0"/>
    <n v="772.17"/>
    <n v="1"/>
    <s v="Member"/>
    <n v="772.17"/>
    <s v="OK"/>
    <x v="5"/>
    <x v="1"/>
    <s v="11–20%"/>
    <x v="4"/>
    <x v="8"/>
  </r>
  <r>
    <x v="2463"/>
    <d v="2025-04-27T00:00:00"/>
    <n v="18"/>
    <s v="T021"/>
    <x v="0"/>
    <n v="5030.03"/>
    <x v="1"/>
    <n v="5030.03"/>
    <n v="3"/>
    <s v="Member"/>
    <n v="5030.03"/>
    <s v="OK"/>
    <x v="4"/>
    <x v="1"/>
    <s v="0%"/>
    <x v="1"/>
    <x v="1"/>
  </r>
  <r>
    <x v="2464"/>
    <d v="2025-06-13T00:00:00"/>
    <n v="20"/>
    <s v="T005"/>
    <x v="1"/>
    <n v="1647.35"/>
    <x v="3"/>
    <n v="1482.62"/>
    <n v="1"/>
    <s v="Member"/>
    <n v="1482.62"/>
    <s v="OK"/>
    <x v="3"/>
    <x v="0"/>
    <s v="1–_x000a_10%"/>
    <x v="2"/>
    <x v="4"/>
  </r>
  <r>
    <x v="2465"/>
    <d v="2025-04-18T00:00:00"/>
    <n v="20"/>
    <s v="T011"/>
    <x v="1"/>
    <n v="3357.13"/>
    <x v="1"/>
    <n v="3357.13"/>
    <n v="3"/>
    <s v="Walk-in"/>
    <n v="3357.13"/>
    <s v="OK"/>
    <x v="4"/>
    <x v="0"/>
    <s v="0%"/>
    <x v="1"/>
    <x v="10"/>
  </r>
  <r>
    <x v="2466"/>
    <d v="2025-02-12T00:00:00"/>
    <n v="12"/>
    <s v="T013"/>
    <x v="1"/>
    <n v="2527.77"/>
    <x v="1"/>
    <n v="2527.77"/>
    <n v="2"/>
    <s v="Member"/>
    <n v="2527.77"/>
    <s v="OK"/>
    <x v="0"/>
    <x v="0"/>
    <s v="0%"/>
    <x v="3"/>
    <x v="11"/>
  </r>
  <r>
    <x v="2467"/>
    <d v="2025-05-18T00:00:00"/>
    <n v="10"/>
    <s v="T024"/>
    <x v="0"/>
    <n v="2460.63"/>
    <x v="4"/>
    <n v="1968.5"/>
    <n v="3"/>
    <s v="Walk-in"/>
    <n v="1968.5"/>
    <s v="OK"/>
    <x v="1"/>
    <x v="1"/>
    <s v="11–20%"/>
    <x v="0"/>
    <x v="0"/>
  </r>
  <r>
    <x v="2468"/>
    <d v="2025-02-20T00:00:00"/>
    <n v="22"/>
    <s v="T027"/>
    <x v="1"/>
    <n v="401"/>
    <x v="1"/>
    <n v="401"/>
    <n v="5"/>
    <s v="Walk-in"/>
    <n v="401"/>
    <s v="OK"/>
    <x v="0"/>
    <x v="0"/>
    <s v="0%"/>
    <x v="4"/>
    <x v="9"/>
  </r>
  <r>
    <x v="2469"/>
    <d v="2025-05-02T00:00:00"/>
    <n v="12"/>
    <s v="T001"/>
    <x v="0"/>
    <n v="2218.94"/>
    <x v="3"/>
    <n v="1997.05"/>
    <n v="6"/>
    <s v="Member"/>
    <n v="1997.05"/>
    <s v="OK"/>
    <x v="1"/>
    <x v="0"/>
    <s v="1–_x000a_10%"/>
    <x v="1"/>
    <x v="7"/>
  </r>
  <r>
    <x v="2470"/>
    <d v="2025-06-23T00:00:00"/>
    <n v="14"/>
    <s v="T028"/>
    <x v="2"/>
    <n v="1582.41"/>
    <x v="1"/>
    <n v="1582.41"/>
    <n v="4"/>
    <s v="Walk-in"/>
    <n v="1582.41"/>
    <s v="OK"/>
    <x v="3"/>
    <x v="0"/>
    <s v="0%"/>
    <x v="3"/>
    <x v="5"/>
  </r>
  <r>
    <x v="2471"/>
    <d v="2025-04-08T00:00:00"/>
    <n v="11"/>
    <s v="T029"/>
    <x v="0"/>
    <n v="573.99"/>
    <x v="3"/>
    <n v="516.59"/>
    <n v="5"/>
    <s v="Member"/>
    <n v="516.59"/>
    <s v="OK"/>
    <x v="4"/>
    <x v="0"/>
    <s v="1–_x000a_10%"/>
    <x v="0"/>
    <x v="6"/>
  </r>
  <r>
    <x v="2472"/>
    <d v="2025-03-29T00:00:00"/>
    <n v="16"/>
    <s v="T003"/>
    <x v="3"/>
    <n v="1441.38"/>
    <x v="3"/>
    <n v="1297.24"/>
    <n v="1"/>
    <s v="Walk-in"/>
    <n v="1297.24"/>
    <s v="OK"/>
    <x v="5"/>
    <x v="1"/>
    <s v="1–_x000a_10%"/>
    <x v="3"/>
    <x v="3"/>
  </r>
  <r>
    <x v="2473"/>
    <d v="2025-04-02T00:00:00"/>
    <n v="10"/>
    <s v="T020"/>
    <x v="0"/>
    <n v="292.11"/>
    <x v="1"/>
    <n v="292.11"/>
    <n v="2"/>
    <s v="Walk-in"/>
    <n v="292.11"/>
    <s v="OK"/>
    <x v="4"/>
    <x v="0"/>
    <s v="0%"/>
    <x v="2"/>
    <x v="2"/>
  </r>
  <r>
    <x v="2474"/>
    <d v="2025-05-31T00:00:00"/>
    <n v="21"/>
    <s v="T025"/>
    <x v="0"/>
    <n v="393.55"/>
    <x v="1"/>
    <n v="393.55"/>
    <n v="3"/>
    <s v="Walk-in"/>
    <n v="393.55"/>
    <s v="OK"/>
    <x v="1"/>
    <x v="1"/>
    <s v="0%"/>
    <x v="2"/>
    <x v="2"/>
  </r>
  <r>
    <x v="2475"/>
    <d v="2025-06-05T00:00:00"/>
    <n v="12"/>
    <s v="T008"/>
    <x v="0"/>
    <n v="838.78"/>
    <x v="4"/>
    <n v="671.02"/>
    <n v="3"/>
    <s v="Walk-in"/>
    <n v="671.02"/>
    <s v="OK"/>
    <x v="3"/>
    <x v="0"/>
    <s v="11–20%"/>
    <x v="3"/>
    <x v="5"/>
  </r>
  <r>
    <x v="2476"/>
    <d v="2025-02-14T00:00:00"/>
    <n v="11"/>
    <s v="T011"/>
    <x v="0"/>
    <n v="1010.29"/>
    <x v="5"/>
    <n v="959.78"/>
    <n v="2"/>
    <s v="Member"/>
    <n v="959.78"/>
    <s v="OK"/>
    <x v="0"/>
    <x v="0"/>
    <s v="1–_x000a_10%"/>
    <x v="1"/>
    <x v="10"/>
  </r>
  <r>
    <x v="2477"/>
    <d v="2025-05-26T00:00:00"/>
    <n v="22"/>
    <s v="T026"/>
    <x v="3"/>
    <n v="1097.8"/>
    <x v="3"/>
    <n v="988.02"/>
    <n v="3"/>
    <s v="Walk-in"/>
    <n v="988.02"/>
    <s v="OK"/>
    <x v="1"/>
    <x v="0"/>
    <s v="1–_x000a_10%"/>
    <x v="1"/>
    <x v="10"/>
  </r>
  <r>
    <x v="2478"/>
    <d v="2025-05-20T00:00:00"/>
    <n v="16"/>
    <s v="T005"/>
    <x v="0"/>
    <n v="2150.37"/>
    <x v="4"/>
    <n v="1720.3"/>
    <n v="3"/>
    <s v="Walk-in"/>
    <n v="1720.3"/>
    <s v="OK"/>
    <x v="1"/>
    <x v="0"/>
    <s v="11–20%"/>
    <x v="2"/>
    <x v="4"/>
  </r>
  <r>
    <x v="2479"/>
    <d v="2025-03-17T00:00:00"/>
    <n v="14"/>
    <s v="T015"/>
    <x v="0"/>
    <n v="817.31"/>
    <x v="1"/>
    <n v="817.31"/>
    <n v="1"/>
    <s v="Walk-in"/>
    <n v="817.31"/>
    <s v="OK"/>
    <x v="5"/>
    <x v="0"/>
    <s v="0%"/>
    <x v="2"/>
    <x v="4"/>
  </r>
  <r>
    <x v="2480"/>
    <d v="2025-01-29T00:00:00"/>
    <n v="22"/>
    <s v="T024"/>
    <x v="0"/>
    <n v="1070.4000000000001"/>
    <x v="1"/>
    <n v="1070.4000000000001"/>
    <n v="2"/>
    <s v="Member"/>
    <n v="1070.4000000000001"/>
    <s v="OK"/>
    <x v="2"/>
    <x v="0"/>
    <s v="0%"/>
    <x v="0"/>
    <x v="0"/>
  </r>
  <r>
    <x v="2481"/>
    <d v="2025-04-28T00:00:00"/>
    <n v="18"/>
    <s v="T030"/>
    <x v="2"/>
    <n v="2380.33"/>
    <x v="1"/>
    <n v="2380.33"/>
    <n v="4"/>
    <s v="Walk-in"/>
    <n v="2380.33"/>
    <s v="OK"/>
    <x v="4"/>
    <x v="0"/>
    <s v="0%"/>
    <x v="2"/>
    <x v="2"/>
  </r>
  <r>
    <x v="2482"/>
    <d v="2025-03-06T00:00:00"/>
    <n v="11"/>
    <s v="T029"/>
    <x v="0"/>
    <n v="1437.74"/>
    <x v="1"/>
    <n v="1437.74"/>
    <n v="1"/>
    <s v="Member"/>
    <n v="1437.74"/>
    <s v="OK"/>
    <x v="5"/>
    <x v="0"/>
    <s v="0%"/>
    <x v="0"/>
    <x v="6"/>
  </r>
  <r>
    <x v="2483"/>
    <d v="2025-02-11T00:00:00"/>
    <n v="14"/>
    <s v="T009"/>
    <x v="0"/>
    <n v="383.09"/>
    <x v="3"/>
    <n v="344.78"/>
    <n v="2"/>
    <s v="Member"/>
    <n v="344.78"/>
    <s v="OK"/>
    <x v="0"/>
    <x v="0"/>
    <s v="1–_x000a_10%"/>
    <x v="0"/>
    <x v="6"/>
  </r>
  <r>
    <x v="2484"/>
    <d v="2025-05-16T00:00:00"/>
    <n v="12"/>
    <s v="T016"/>
    <x v="3"/>
    <n v="1007.95"/>
    <x v="1"/>
    <n v="1007.95"/>
    <n v="2"/>
    <s v="Walk-in"/>
    <n v="1007.95"/>
    <s v="OK"/>
    <x v="1"/>
    <x v="0"/>
    <s v="0%"/>
    <x v="1"/>
    <x v="1"/>
  </r>
  <r>
    <x v="2485"/>
    <d v="2025-02-16T00:00:00"/>
    <n v="10"/>
    <s v="T007"/>
    <x v="3"/>
    <n v="1776.24"/>
    <x v="1"/>
    <n v="1776.24"/>
    <n v="1"/>
    <s v="Member"/>
    <n v="1776.24"/>
    <s v="OK"/>
    <x v="0"/>
    <x v="1"/>
    <s v="0%"/>
    <x v="4"/>
    <x v="8"/>
  </r>
  <r>
    <x v="2486"/>
    <d v="2025-02-08T00:00:00"/>
    <n v="15"/>
    <s v="T030"/>
    <x v="2"/>
    <n v="745.01"/>
    <x v="1"/>
    <n v="745.01"/>
    <n v="5"/>
    <s v="Member"/>
    <n v="745.01"/>
    <s v="OK"/>
    <x v="0"/>
    <x v="1"/>
    <s v="0%"/>
    <x v="2"/>
    <x v="2"/>
  </r>
  <r>
    <x v="2487"/>
    <d v="2025-04-25T00:00:00"/>
    <n v="20"/>
    <s v="T017"/>
    <x v="1"/>
    <n v="1252.44"/>
    <x v="0"/>
    <n v="1064.57"/>
    <n v="4"/>
    <s v="Walk-in"/>
    <n v="1064.57"/>
    <s v="OK"/>
    <x v="4"/>
    <x v="0"/>
    <s v="11–20%"/>
    <x v="4"/>
    <x v="8"/>
  </r>
  <r>
    <x v="2488"/>
    <d v="2025-06-28T00:00:00"/>
    <n v="18"/>
    <s v="T022"/>
    <x v="2"/>
    <n v="1260.8800000000001"/>
    <x v="1"/>
    <n v="1260.8800000000001"/>
    <n v="1"/>
    <s v="Walk-in"/>
    <n v="1260.8800000000001"/>
    <s v="OK"/>
    <x v="3"/>
    <x v="1"/>
    <s v="0%"/>
    <x v="4"/>
    <x v="8"/>
  </r>
  <r>
    <x v="2489"/>
    <d v="2025-03-03T00:00:00"/>
    <n v="19"/>
    <s v="T007"/>
    <x v="2"/>
    <n v="1737.9"/>
    <x v="1"/>
    <n v="1737.9"/>
    <n v="3"/>
    <s v="Walk-in"/>
    <n v="1737.9"/>
    <s v="OK"/>
    <x v="5"/>
    <x v="0"/>
    <s v="0%"/>
    <x v="4"/>
    <x v="8"/>
  </r>
  <r>
    <x v="2490"/>
    <d v="2025-04-24T00:00:00"/>
    <n v="17"/>
    <s v="T024"/>
    <x v="2"/>
    <n v="645.35"/>
    <x v="1"/>
    <n v="645.35"/>
    <n v="4"/>
    <s v="Walk-in"/>
    <n v="645.35"/>
    <s v="OK"/>
    <x v="4"/>
    <x v="0"/>
    <s v="0%"/>
    <x v="0"/>
    <x v="0"/>
  </r>
  <r>
    <x v="2491"/>
    <d v="2025-06-24T00:00:00"/>
    <n v="19"/>
    <s v="T006"/>
    <x v="1"/>
    <n v="934.28"/>
    <x v="4"/>
    <n v="747.42"/>
    <n v="2"/>
    <s v="Member"/>
    <n v="747.42"/>
    <s v="OK"/>
    <x v="3"/>
    <x v="0"/>
    <s v="11–20%"/>
    <x v="1"/>
    <x v="1"/>
  </r>
  <r>
    <x v="2492"/>
    <d v="2025-01-05T00:00:00"/>
    <n v="10"/>
    <s v="T002"/>
    <x v="0"/>
    <n v="367.56"/>
    <x v="0"/>
    <n v="312.43"/>
    <n v="1"/>
    <s v="Walk-in"/>
    <n v="312.43"/>
    <s v="OK"/>
    <x v="2"/>
    <x v="1"/>
    <s v="11–20%"/>
    <x v="4"/>
    <x v="9"/>
  </r>
  <r>
    <x v="2493"/>
    <d v="2025-06-02T00:00:00"/>
    <n v="20"/>
    <s v="T001"/>
    <x v="0"/>
    <n v="1035.03"/>
    <x v="1"/>
    <n v="1035.03"/>
    <n v="2"/>
    <s v="Walk-in"/>
    <n v="1035.03"/>
    <s v="OK"/>
    <x v="3"/>
    <x v="0"/>
    <s v="0%"/>
    <x v="1"/>
    <x v="7"/>
  </r>
  <r>
    <x v="2494"/>
    <d v="2025-02-10T00:00:00"/>
    <n v="16"/>
    <s v="T025"/>
    <x v="0"/>
    <n v="596.77"/>
    <x v="1"/>
    <n v="596.77"/>
    <n v="1"/>
    <s v="Walk-in"/>
    <n v="596.77"/>
    <s v="OK"/>
    <x v="0"/>
    <x v="0"/>
    <s v="0%"/>
    <x v="2"/>
    <x v="2"/>
  </r>
  <r>
    <x v="2495"/>
    <d v="2025-02-10T00:00:00"/>
    <n v="10"/>
    <s v="T005"/>
    <x v="0"/>
    <n v="571.57000000000005"/>
    <x v="0"/>
    <n v="485.83"/>
    <n v="4"/>
    <s v="Member"/>
    <n v="485.83"/>
    <s v="OK"/>
    <x v="0"/>
    <x v="0"/>
    <s v="11–20%"/>
    <x v="2"/>
    <x v="4"/>
  </r>
  <r>
    <x v="2496"/>
    <d v="2025-05-30T00:00:00"/>
    <n v="21"/>
    <s v="T010"/>
    <x v="1"/>
    <n v="1334.34"/>
    <x v="1"/>
    <n v="1334.34"/>
    <n v="5"/>
    <s v="Member"/>
    <n v="1334.34"/>
    <s v="OK"/>
    <x v="1"/>
    <x v="0"/>
    <s v="0%"/>
    <x v="2"/>
    <x v="4"/>
  </r>
  <r>
    <x v="2497"/>
    <d v="2025-03-05T00:00:00"/>
    <n v="10"/>
    <s v="T007"/>
    <x v="0"/>
    <n v="731.81"/>
    <x v="0"/>
    <n v="622.04"/>
    <n v="1"/>
    <s v="Walk-in"/>
    <n v="622.04"/>
    <s v="OK"/>
    <x v="5"/>
    <x v="0"/>
    <s v="11–20%"/>
    <x v="4"/>
    <x v="8"/>
  </r>
  <r>
    <x v="2498"/>
    <d v="2025-01-25T00:00:00"/>
    <n v="15"/>
    <s v="T027"/>
    <x v="0"/>
    <n v="1989.91"/>
    <x v="1"/>
    <n v="1989.91"/>
    <n v="3"/>
    <s v="Walk-in"/>
    <n v="1989.91"/>
    <s v="OK"/>
    <x v="2"/>
    <x v="1"/>
    <s v="0%"/>
    <x v="4"/>
    <x v="9"/>
  </r>
  <r>
    <x v="2499"/>
    <d v="2025-03-10T00:00:00"/>
    <n v="11"/>
    <s v="T022"/>
    <x v="2"/>
    <n v="1105.94"/>
    <x v="5"/>
    <n v="1050.6400000000001"/>
    <n v="1"/>
    <s v="Member"/>
    <n v="1050.6400000000001"/>
    <s v="OK"/>
    <x v="5"/>
    <x v="0"/>
    <s v="1–_x000a_10%"/>
    <x v="4"/>
    <x v="8"/>
  </r>
  <r>
    <x v="2500"/>
    <d v="2025-06-23T00:00:00"/>
    <n v="12"/>
    <s v="T001"/>
    <x v="2"/>
    <n v="558.04999999999995"/>
    <x v="1"/>
    <n v="558.04999999999995"/>
    <n v="3"/>
    <s v="Walk-in"/>
    <n v="558.04999999999995"/>
    <s v="OK"/>
    <x v="3"/>
    <x v="0"/>
    <s v="0%"/>
    <x v="1"/>
    <x v="7"/>
  </r>
  <r>
    <x v="2501"/>
    <d v="2025-03-02T00:00:00"/>
    <n v="19"/>
    <s v="T018"/>
    <x v="0"/>
    <n v="1320.33"/>
    <x v="3"/>
    <n v="1188.3"/>
    <n v="1"/>
    <s v="Walk-in"/>
    <n v="1188.3"/>
    <s v="OK"/>
    <x v="5"/>
    <x v="1"/>
    <s v="1–_x000a_10%"/>
    <x v="3"/>
    <x v="3"/>
  </r>
  <r>
    <x v="2502"/>
    <d v="2025-06-06T00:00:00"/>
    <n v="18"/>
    <s v="T002"/>
    <x v="2"/>
    <n v="324.27"/>
    <x v="5"/>
    <n v="308.06"/>
    <n v="3"/>
    <s v="Walk-in"/>
    <n v="308.06"/>
    <s v="OK"/>
    <x v="3"/>
    <x v="0"/>
    <s v="1–_x000a_10%"/>
    <x v="4"/>
    <x v="9"/>
  </r>
  <r>
    <x v="2503"/>
    <d v="2025-02-02T00:00:00"/>
    <n v="22"/>
    <s v="T022"/>
    <x v="0"/>
    <n v="1481.54"/>
    <x v="1"/>
    <n v="1481.54"/>
    <n v="2"/>
    <s v="Member"/>
    <n v="1481.54"/>
    <s v="OK"/>
    <x v="0"/>
    <x v="1"/>
    <s v="0%"/>
    <x v="4"/>
    <x v="8"/>
  </r>
  <r>
    <x v="2504"/>
    <d v="2025-06-07T00:00:00"/>
    <n v="13"/>
    <s v="T027"/>
    <x v="0"/>
    <n v="746.69"/>
    <x v="5"/>
    <n v="709.36"/>
    <n v="3"/>
    <s v="Walk-in"/>
    <n v="709.36"/>
    <s v="OK"/>
    <x v="3"/>
    <x v="1"/>
    <s v="1–_x000a_10%"/>
    <x v="4"/>
    <x v="9"/>
  </r>
  <r>
    <x v="2505"/>
    <d v="2025-04-06T00:00:00"/>
    <n v="19"/>
    <s v="T020"/>
    <x v="0"/>
    <n v="2812.37"/>
    <x v="5"/>
    <n v="2671.75"/>
    <n v="3"/>
    <s v="Member"/>
    <n v="2671.75"/>
    <s v="OK"/>
    <x v="4"/>
    <x v="1"/>
    <s v="1–_x000a_10%"/>
    <x v="2"/>
    <x v="2"/>
  </r>
  <r>
    <x v="2506"/>
    <d v="2025-05-12T00:00:00"/>
    <n v="12"/>
    <s v="T014"/>
    <x v="3"/>
    <n v="1351.2"/>
    <x v="3"/>
    <n v="1216.08"/>
    <n v="1"/>
    <s v="Walk-in"/>
    <n v="1216.08"/>
    <s v="OK"/>
    <x v="1"/>
    <x v="0"/>
    <s v="1–_x000a_10%"/>
    <x v="0"/>
    <x v="6"/>
  </r>
  <r>
    <x v="2507"/>
    <d v="2025-01-14T00:00:00"/>
    <n v="13"/>
    <s v="T028"/>
    <x v="2"/>
    <n v="781.68"/>
    <x v="1"/>
    <n v="781.68"/>
    <n v="1"/>
    <s v="Member"/>
    <n v="781.68"/>
    <s v="OK"/>
    <x v="2"/>
    <x v="0"/>
    <s v="0%"/>
    <x v="3"/>
    <x v="5"/>
  </r>
  <r>
    <x v="2508"/>
    <d v="2025-06-06T00:00:00"/>
    <n v="17"/>
    <s v="T004"/>
    <x v="2"/>
    <n v="556.85"/>
    <x v="4"/>
    <n v="445.48"/>
    <n v="2"/>
    <s v="Walk-in"/>
    <n v="445.48"/>
    <s v="OK"/>
    <x v="3"/>
    <x v="0"/>
    <s v="11–20%"/>
    <x v="0"/>
    <x v="0"/>
  </r>
  <r>
    <x v="2509"/>
    <d v="2025-03-10T00:00:00"/>
    <n v="20"/>
    <s v="T011"/>
    <x v="2"/>
    <n v="1106.56"/>
    <x v="4"/>
    <n v="885.25"/>
    <n v="2"/>
    <s v="Walk-in"/>
    <n v="885.25"/>
    <s v="OK"/>
    <x v="5"/>
    <x v="0"/>
    <s v="11–20%"/>
    <x v="1"/>
    <x v="10"/>
  </r>
  <r>
    <x v="2510"/>
    <d v="2025-01-20T00:00:00"/>
    <n v="14"/>
    <s v="T011"/>
    <x v="0"/>
    <n v="3219.7"/>
    <x v="4"/>
    <n v="2575.7600000000002"/>
    <n v="4"/>
    <s v="Member"/>
    <n v="2575.7600000000002"/>
    <s v="OK"/>
    <x v="2"/>
    <x v="0"/>
    <s v="11–20%"/>
    <x v="1"/>
    <x v="10"/>
  </r>
  <r>
    <x v="2511"/>
    <d v="2025-02-18T00:00:00"/>
    <n v="19"/>
    <s v="T029"/>
    <x v="2"/>
    <n v="926.26"/>
    <x v="1"/>
    <n v="926.26"/>
    <n v="3"/>
    <s v="Walk-in"/>
    <n v="926.26"/>
    <s v="OK"/>
    <x v="0"/>
    <x v="0"/>
    <s v="0%"/>
    <x v="0"/>
    <x v="6"/>
  </r>
  <r>
    <x v="2512"/>
    <d v="2025-01-20T00:00:00"/>
    <n v="20"/>
    <s v="T019"/>
    <x v="0"/>
    <n v="746.95"/>
    <x v="1"/>
    <n v="746.95"/>
    <n v="2"/>
    <s v="Walk-in"/>
    <n v="746.95"/>
    <s v="OK"/>
    <x v="2"/>
    <x v="0"/>
    <s v="0%"/>
    <x v="0"/>
    <x v="0"/>
  </r>
  <r>
    <x v="2513"/>
    <d v="2025-02-14T00:00:00"/>
    <n v="12"/>
    <s v="T005"/>
    <x v="0"/>
    <n v="1517.53"/>
    <x v="3"/>
    <n v="1365.78"/>
    <n v="6"/>
    <s v="Member"/>
    <n v="1365.78"/>
    <s v="OK"/>
    <x v="0"/>
    <x v="0"/>
    <s v="1–_x000a_10%"/>
    <x v="2"/>
    <x v="4"/>
  </r>
  <r>
    <x v="2514"/>
    <d v="2025-06-07T00:00:00"/>
    <n v="14"/>
    <s v="T001"/>
    <x v="0"/>
    <n v="1162.83"/>
    <x v="3"/>
    <n v="1046.55"/>
    <n v="2"/>
    <s v="Walk-in"/>
    <n v="1046.55"/>
    <s v="OK"/>
    <x v="3"/>
    <x v="1"/>
    <s v="1–_x000a_10%"/>
    <x v="1"/>
    <x v="7"/>
  </r>
  <r>
    <x v="2515"/>
    <d v="2025-05-28T00:00:00"/>
    <n v="15"/>
    <s v="T025"/>
    <x v="0"/>
    <n v="1178.83"/>
    <x v="1"/>
    <n v="1178.83"/>
    <n v="1"/>
    <s v="Walk-in"/>
    <n v="1178.83"/>
    <s v="OK"/>
    <x v="1"/>
    <x v="0"/>
    <s v="0%"/>
    <x v="2"/>
    <x v="2"/>
  </r>
  <r>
    <x v="2516"/>
    <d v="2025-01-07T00:00:00"/>
    <n v="18"/>
    <s v="T011"/>
    <x v="0"/>
    <n v="262.76"/>
    <x v="1"/>
    <n v="262.76"/>
    <n v="3"/>
    <s v="Walk-in"/>
    <n v="262.76"/>
    <s v="OK"/>
    <x v="2"/>
    <x v="0"/>
    <s v="0%"/>
    <x v="1"/>
    <x v="10"/>
  </r>
  <r>
    <x v="2517"/>
    <d v="2025-03-27T00:00:00"/>
    <n v="16"/>
    <s v="T012"/>
    <x v="0"/>
    <n v="2304.38"/>
    <x v="0"/>
    <n v="1958.72"/>
    <n v="3"/>
    <s v="Walk-in"/>
    <n v="1958.72"/>
    <s v="OK"/>
    <x v="5"/>
    <x v="0"/>
    <s v="11–20%"/>
    <x v="4"/>
    <x v="9"/>
  </r>
  <r>
    <x v="2518"/>
    <d v="2025-05-03T00:00:00"/>
    <n v="18"/>
    <s v="T009"/>
    <x v="0"/>
    <n v="1450.99"/>
    <x v="0"/>
    <n v="1233.3399999999999"/>
    <n v="2"/>
    <s v="Walk-in"/>
    <n v="1233.3399999999999"/>
    <s v="OK"/>
    <x v="1"/>
    <x v="1"/>
    <s v="11–20%"/>
    <x v="0"/>
    <x v="6"/>
  </r>
  <r>
    <x v="2519"/>
    <d v="2025-01-22T00:00:00"/>
    <n v="17"/>
    <s v="T006"/>
    <x v="0"/>
    <n v="549.69000000000005"/>
    <x v="1"/>
    <n v="549.69000000000005"/>
    <n v="1"/>
    <s v="Member"/>
    <n v="549.69000000000005"/>
    <s v="OK"/>
    <x v="2"/>
    <x v="0"/>
    <s v="0%"/>
    <x v="1"/>
    <x v="1"/>
  </r>
  <r>
    <x v="2520"/>
    <d v="2025-05-27T00:00:00"/>
    <n v="15"/>
    <s v="T004"/>
    <x v="0"/>
    <n v="355.7"/>
    <x v="3"/>
    <n v="320.13"/>
    <n v="3"/>
    <s v="Member"/>
    <n v="320.13"/>
    <s v="OK"/>
    <x v="1"/>
    <x v="0"/>
    <s v="1–_x000a_10%"/>
    <x v="0"/>
    <x v="0"/>
  </r>
  <r>
    <x v="2521"/>
    <d v="2025-04-19T00:00:00"/>
    <n v="14"/>
    <s v="T007"/>
    <x v="0"/>
    <n v="3192.17"/>
    <x v="5"/>
    <n v="3032.56"/>
    <n v="2"/>
    <s v="Walk-in"/>
    <n v="3032.56"/>
    <s v="OK"/>
    <x v="4"/>
    <x v="1"/>
    <s v="1–_x000a_10%"/>
    <x v="4"/>
    <x v="8"/>
  </r>
  <r>
    <x v="2522"/>
    <d v="2025-02-16T00:00:00"/>
    <n v="20"/>
    <s v="T007"/>
    <x v="2"/>
    <n v="1970.11"/>
    <x v="1"/>
    <n v="1970.11"/>
    <n v="3"/>
    <s v="Walk-in"/>
    <n v="1970.11"/>
    <s v="OK"/>
    <x v="0"/>
    <x v="1"/>
    <s v="0%"/>
    <x v="4"/>
    <x v="8"/>
  </r>
  <r>
    <x v="2523"/>
    <d v="2025-01-04T00:00:00"/>
    <n v="22"/>
    <s v="T028"/>
    <x v="0"/>
    <n v="1391.94"/>
    <x v="1"/>
    <n v="1391.94"/>
    <n v="1"/>
    <s v="Walk-in"/>
    <n v="1391.94"/>
    <s v="OK"/>
    <x v="2"/>
    <x v="1"/>
    <s v="0%"/>
    <x v="3"/>
    <x v="5"/>
  </r>
  <r>
    <x v="2524"/>
    <d v="2025-03-16T00:00:00"/>
    <n v="14"/>
    <s v="T019"/>
    <x v="1"/>
    <n v="945.18"/>
    <x v="2"/>
    <n v="661.63"/>
    <n v="4"/>
    <s v="Member"/>
    <n v="661.63"/>
    <s v="OK"/>
    <x v="5"/>
    <x v="1"/>
    <s v="&gt;20%"/>
    <x v="0"/>
    <x v="0"/>
  </r>
  <r>
    <x v="2525"/>
    <d v="2025-02-25T00:00:00"/>
    <n v="13"/>
    <s v="T013"/>
    <x v="0"/>
    <n v="1487.92"/>
    <x v="4"/>
    <n v="1190.3399999999999"/>
    <n v="4"/>
    <s v="Walk-in"/>
    <n v="1190.3399999999999"/>
    <s v="OK"/>
    <x v="0"/>
    <x v="0"/>
    <s v="11–20%"/>
    <x v="3"/>
    <x v="11"/>
  </r>
  <r>
    <x v="2526"/>
    <d v="2025-06-15T00:00:00"/>
    <n v="21"/>
    <s v="T014"/>
    <x v="0"/>
    <n v="990.64"/>
    <x v="1"/>
    <n v="990.64"/>
    <n v="1"/>
    <s v="Member"/>
    <n v="990.64"/>
    <s v="OK"/>
    <x v="3"/>
    <x v="1"/>
    <s v="0%"/>
    <x v="0"/>
    <x v="6"/>
  </r>
  <r>
    <x v="2527"/>
    <d v="2025-05-15T00:00:00"/>
    <n v="12"/>
    <s v="T026"/>
    <x v="0"/>
    <n v="3662.08"/>
    <x v="1"/>
    <n v="3662.08"/>
    <n v="1"/>
    <s v="Walk-in"/>
    <n v="3662.08"/>
    <s v="OK"/>
    <x v="1"/>
    <x v="0"/>
    <s v="0%"/>
    <x v="1"/>
    <x v="10"/>
  </r>
  <r>
    <x v="2528"/>
    <d v="2025-05-08T00:00:00"/>
    <n v="12"/>
    <s v="T025"/>
    <x v="0"/>
    <n v="1094.8900000000001"/>
    <x v="1"/>
    <n v="1094.8900000000001"/>
    <n v="3"/>
    <s v="Walk-in"/>
    <n v="1094.8900000000001"/>
    <s v="OK"/>
    <x v="1"/>
    <x v="0"/>
    <s v="0%"/>
    <x v="2"/>
    <x v="2"/>
  </r>
  <r>
    <x v="2529"/>
    <d v="2025-04-01T00:00:00"/>
    <n v="11"/>
    <s v="T005"/>
    <x v="2"/>
    <n v="1195.54"/>
    <x v="1"/>
    <n v="1195.54"/>
    <n v="2"/>
    <s v="Walk-in"/>
    <n v="1195.54"/>
    <s v="OK"/>
    <x v="4"/>
    <x v="0"/>
    <s v="0%"/>
    <x v="2"/>
    <x v="4"/>
  </r>
  <r>
    <x v="2530"/>
    <d v="2025-02-09T00:00:00"/>
    <n v="15"/>
    <s v="T003"/>
    <x v="2"/>
    <n v="983.99"/>
    <x v="4"/>
    <n v="787.19"/>
    <n v="3"/>
    <s v="Walk-in"/>
    <n v="787.19"/>
    <s v="OK"/>
    <x v="0"/>
    <x v="1"/>
    <s v="11–20%"/>
    <x v="3"/>
    <x v="3"/>
  </r>
  <r>
    <x v="2531"/>
    <d v="2025-04-04T00:00:00"/>
    <n v="17"/>
    <s v="T012"/>
    <x v="2"/>
    <n v="1639.22"/>
    <x v="4"/>
    <n v="1311.38"/>
    <n v="1"/>
    <s v="Walk-in"/>
    <n v="1311.38"/>
    <s v="OK"/>
    <x v="4"/>
    <x v="0"/>
    <s v="11–20%"/>
    <x v="4"/>
    <x v="9"/>
  </r>
  <r>
    <x v="2532"/>
    <d v="2025-01-07T00:00:00"/>
    <n v="11"/>
    <s v="T007"/>
    <x v="0"/>
    <n v="1089.67"/>
    <x v="2"/>
    <n v="762.77"/>
    <n v="2"/>
    <s v="Walk-in"/>
    <n v="762.77"/>
    <s v="OK"/>
    <x v="2"/>
    <x v="0"/>
    <s v="&gt;20%"/>
    <x v="4"/>
    <x v="8"/>
  </r>
  <r>
    <x v="2533"/>
    <d v="2025-02-08T00:00:00"/>
    <n v="10"/>
    <s v="T001"/>
    <x v="0"/>
    <n v="554.22"/>
    <x v="1"/>
    <n v="554.22"/>
    <n v="2"/>
    <s v="Member"/>
    <n v="554.22"/>
    <s v="OK"/>
    <x v="0"/>
    <x v="1"/>
    <s v="0%"/>
    <x v="1"/>
    <x v="7"/>
  </r>
  <r>
    <x v="2534"/>
    <d v="2025-04-04T00:00:00"/>
    <n v="20"/>
    <s v="T028"/>
    <x v="3"/>
    <n v="1049.54"/>
    <x v="0"/>
    <n v="892.11"/>
    <n v="3"/>
    <s v="Member"/>
    <n v="892.11"/>
    <s v="OK"/>
    <x v="4"/>
    <x v="0"/>
    <s v="11–20%"/>
    <x v="3"/>
    <x v="5"/>
  </r>
  <r>
    <x v="2535"/>
    <d v="2025-06-13T00:00:00"/>
    <n v="20"/>
    <s v="T018"/>
    <x v="0"/>
    <n v="824.05"/>
    <x v="1"/>
    <n v="824.05"/>
    <n v="1"/>
    <s v="Walk-in"/>
    <n v="824.05"/>
    <s v="OK"/>
    <x v="3"/>
    <x v="0"/>
    <s v="0%"/>
    <x v="3"/>
    <x v="3"/>
  </r>
  <r>
    <x v="2536"/>
    <d v="2025-03-22T00:00:00"/>
    <n v="14"/>
    <s v="T024"/>
    <x v="1"/>
    <n v="676.92"/>
    <x v="1"/>
    <n v="676.92"/>
    <n v="2"/>
    <s v="Walk-in"/>
    <n v="676.92"/>
    <s v="OK"/>
    <x v="5"/>
    <x v="1"/>
    <s v="0%"/>
    <x v="0"/>
    <x v="0"/>
  </r>
  <r>
    <x v="2537"/>
    <d v="2025-01-16T00:00:00"/>
    <n v="19"/>
    <s v="T012"/>
    <x v="2"/>
    <n v="1865.62"/>
    <x v="5"/>
    <n v="1772.34"/>
    <n v="1"/>
    <s v="Walk-in"/>
    <n v="1772.34"/>
    <s v="OK"/>
    <x v="2"/>
    <x v="0"/>
    <s v="1–_x000a_10%"/>
    <x v="4"/>
    <x v="9"/>
  </r>
  <r>
    <x v="2538"/>
    <d v="2025-01-06T00:00:00"/>
    <n v="16"/>
    <s v="T018"/>
    <x v="0"/>
    <n v="1502.55"/>
    <x v="1"/>
    <n v="1502.55"/>
    <n v="2"/>
    <s v="Walk-in"/>
    <n v="1502.55"/>
    <s v="OK"/>
    <x v="2"/>
    <x v="0"/>
    <s v="0%"/>
    <x v="3"/>
    <x v="3"/>
  </r>
  <r>
    <x v="2539"/>
    <d v="2025-04-25T00:00:00"/>
    <n v="20"/>
    <s v="T030"/>
    <x v="0"/>
    <n v="3229.78"/>
    <x v="4"/>
    <n v="2583.8200000000002"/>
    <n v="2"/>
    <s v="Member"/>
    <n v="2583.8200000000002"/>
    <s v="OK"/>
    <x v="4"/>
    <x v="0"/>
    <s v="11–20%"/>
    <x v="2"/>
    <x v="2"/>
  </r>
  <r>
    <x v="2540"/>
    <d v="2025-05-26T00:00:00"/>
    <n v="11"/>
    <s v="T009"/>
    <x v="0"/>
    <n v="877.43"/>
    <x v="1"/>
    <n v="877.43"/>
    <n v="3"/>
    <s v="Member"/>
    <n v="877.43"/>
    <s v="OK"/>
    <x v="1"/>
    <x v="0"/>
    <s v="0%"/>
    <x v="0"/>
    <x v="6"/>
  </r>
  <r>
    <x v="2541"/>
    <d v="2025-06-14T00:00:00"/>
    <n v="18"/>
    <s v="T018"/>
    <x v="0"/>
    <n v="849.06"/>
    <x v="3"/>
    <n v="764.15"/>
    <n v="4"/>
    <s v="Walk-in"/>
    <n v="764.15"/>
    <s v="OK"/>
    <x v="3"/>
    <x v="1"/>
    <s v="1–_x000a_10%"/>
    <x v="3"/>
    <x v="3"/>
  </r>
  <r>
    <x v="2542"/>
    <d v="2025-01-26T00:00:00"/>
    <n v="22"/>
    <s v="T004"/>
    <x v="0"/>
    <n v="639.36"/>
    <x v="3"/>
    <n v="575.41999999999996"/>
    <n v="2"/>
    <s v="Walk-in"/>
    <n v="575.41999999999996"/>
    <s v="OK"/>
    <x v="2"/>
    <x v="1"/>
    <s v="1–_x000a_10%"/>
    <x v="0"/>
    <x v="0"/>
  </r>
  <r>
    <x v="2543"/>
    <d v="2025-05-16T00:00:00"/>
    <n v="17"/>
    <s v="T013"/>
    <x v="0"/>
    <n v="992.7"/>
    <x v="2"/>
    <n v="694.89"/>
    <n v="2"/>
    <s v="Walk-in"/>
    <n v="694.89"/>
    <s v="OK"/>
    <x v="1"/>
    <x v="0"/>
    <s v="&gt;20%"/>
    <x v="3"/>
    <x v="11"/>
  </r>
  <r>
    <x v="2544"/>
    <d v="2025-03-10T00:00:00"/>
    <n v="18"/>
    <s v="T022"/>
    <x v="0"/>
    <n v="309.56"/>
    <x v="3"/>
    <n v="278.60000000000002"/>
    <n v="1"/>
    <s v="Walk-in"/>
    <n v="278.60000000000002"/>
    <s v="OK"/>
    <x v="5"/>
    <x v="0"/>
    <s v="1–_x000a_10%"/>
    <x v="4"/>
    <x v="8"/>
  </r>
  <r>
    <x v="2545"/>
    <d v="2025-02-26T00:00:00"/>
    <n v="11"/>
    <s v="T023"/>
    <x v="0"/>
    <n v="1463.71"/>
    <x v="1"/>
    <n v="1463.71"/>
    <n v="1"/>
    <s v="Walk-in"/>
    <n v="1463.71"/>
    <s v="OK"/>
    <x v="0"/>
    <x v="0"/>
    <s v="0%"/>
    <x v="3"/>
    <x v="11"/>
  </r>
  <r>
    <x v="2546"/>
    <d v="2025-02-19T00:00:00"/>
    <n v="12"/>
    <s v="T001"/>
    <x v="1"/>
    <n v="1763.14"/>
    <x v="4"/>
    <n v="1410.51"/>
    <n v="2"/>
    <s v="Member"/>
    <n v="1410.51"/>
    <s v="OK"/>
    <x v="0"/>
    <x v="0"/>
    <s v="11–20%"/>
    <x v="1"/>
    <x v="7"/>
  </r>
  <r>
    <x v="2547"/>
    <d v="2025-01-16T00:00:00"/>
    <n v="13"/>
    <s v="T006"/>
    <x v="0"/>
    <n v="1280.1500000000001"/>
    <x v="3"/>
    <n v="1152.1400000000001"/>
    <n v="3"/>
    <s v="Walk-in"/>
    <n v="1152.1400000000001"/>
    <s v="OK"/>
    <x v="2"/>
    <x v="0"/>
    <s v="1–_x000a_10%"/>
    <x v="1"/>
    <x v="1"/>
  </r>
  <r>
    <x v="2548"/>
    <d v="2025-05-11T00:00:00"/>
    <n v="10"/>
    <s v="T023"/>
    <x v="0"/>
    <n v="1586.44"/>
    <x v="0"/>
    <n v="1348.47"/>
    <n v="4"/>
    <s v="Member"/>
    <n v="1348.47"/>
    <s v="OK"/>
    <x v="1"/>
    <x v="1"/>
    <s v="11–20%"/>
    <x v="3"/>
    <x v="11"/>
  </r>
  <r>
    <x v="2549"/>
    <d v="2025-04-26T00:00:00"/>
    <n v="19"/>
    <s v="T007"/>
    <x v="0"/>
    <n v="1648.03"/>
    <x v="1"/>
    <n v="1648.03"/>
    <n v="3"/>
    <s v="Walk-in"/>
    <n v="1648.03"/>
    <s v="OK"/>
    <x v="4"/>
    <x v="1"/>
    <s v="0%"/>
    <x v="4"/>
    <x v="8"/>
  </r>
  <r>
    <x v="2550"/>
    <d v="2025-05-10T00:00:00"/>
    <n v="13"/>
    <s v="T026"/>
    <x v="2"/>
    <n v="1077.82"/>
    <x v="1"/>
    <n v="1077.82"/>
    <n v="2"/>
    <s v="Walk-in"/>
    <n v="1077.82"/>
    <s v="OK"/>
    <x v="1"/>
    <x v="1"/>
    <s v="0%"/>
    <x v="1"/>
    <x v="10"/>
  </r>
  <r>
    <x v="2551"/>
    <d v="2025-02-26T00:00:00"/>
    <n v="14"/>
    <s v="T029"/>
    <x v="2"/>
    <n v="884.94"/>
    <x v="3"/>
    <n v="796.45"/>
    <n v="3"/>
    <s v="Member"/>
    <n v="796.45"/>
    <s v="OK"/>
    <x v="0"/>
    <x v="0"/>
    <s v="1–_x000a_10%"/>
    <x v="0"/>
    <x v="6"/>
  </r>
  <r>
    <x v="2552"/>
    <d v="2025-02-28T00:00:00"/>
    <n v="13"/>
    <s v="T025"/>
    <x v="0"/>
    <n v="545.85"/>
    <x v="0"/>
    <n v="463.97"/>
    <n v="3"/>
    <s v="Walk-in"/>
    <n v="463.97"/>
    <s v="OK"/>
    <x v="0"/>
    <x v="0"/>
    <s v="11–20%"/>
    <x v="2"/>
    <x v="2"/>
  </r>
  <r>
    <x v="2553"/>
    <d v="2025-04-20T00:00:00"/>
    <n v="16"/>
    <s v="T020"/>
    <x v="1"/>
    <n v="1266.58"/>
    <x v="1"/>
    <n v="1266.58"/>
    <n v="2"/>
    <s v="Member"/>
    <n v="1266.58"/>
    <s v="OK"/>
    <x v="4"/>
    <x v="1"/>
    <s v="0%"/>
    <x v="2"/>
    <x v="2"/>
  </r>
  <r>
    <x v="2554"/>
    <d v="2025-03-12T00:00:00"/>
    <n v="12"/>
    <s v="T024"/>
    <x v="0"/>
    <n v="477.95"/>
    <x v="2"/>
    <n v="334.56"/>
    <n v="1"/>
    <s v="Member"/>
    <n v="334.57"/>
    <s v="OK"/>
    <x v="5"/>
    <x v="0"/>
    <s v="&gt;20%"/>
    <x v="0"/>
    <x v="0"/>
  </r>
  <r>
    <x v="2555"/>
    <d v="2025-03-17T00:00:00"/>
    <n v="11"/>
    <s v="T019"/>
    <x v="0"/>
    <n v="983.81"/>
    <x v="1"/>
    <n v="983.81"/>
    <n v="2"/>
    <s v="Member"/>
    <n v="983.81"/>
    <s v="OK"/>
    <x v="5"/>
    <x v="0"/>
    <s v="0%"/>
    <x v="0"/>
    <x v="0"/>
  </r>
  <r>
    <x v="2556"/>
    <d v="2025-03-28T00:00:00"/>
    <n v="12"/>
    <s v="T002"/>
    <x v="0"/>
    <n v="1569.59"/>
    <x v="1"/>
    <n v="1569.59"/>
    <n v="2"/>
    <s v="Walk-in"/>
    <n v="1569.59"/>
    <s v="OK"/>
    <x v="5"/>
    <x v="0"/>
    <s v="0%"/>
    <x v="4"/>
    <x v="9"/>
  </r>
  <r>
    <x v="2557"/>
    <d v="2025-02-26T00:00:00"/>
    <n v="13"/>
    <s v="T014"/>
    <x v="2"/>
    <n v="764.08"/>
    <x v="3"/>
    <n v="687.67"/>
    <n v="1"/>
    <s v="Walk-in"/>
    <n v="687.67"/>
    <s v="OK"/>
    <x v="0"/>
    <x v="0"/>
    <s v="1–_x000a_10%"/>
    <x v="0"/>
    <x v="6"/>
  </r>
  <r>
    <x v="2558"/>
    <d v="2025-04-07T00:00:00"/>
    <n v="21"/>
    <s v="T022"/>
    <x v="2"/>
    <n v="504.94"/>
    <x v="4"/>
    <n v="403.95"/>
    <n v="2"/>
    <s v="Walk-in"/>
    <n v="403.95"/>
    <s v="OK"/>
    <x v="4"/>
    <x v="0"/>
    <s v="11–20%"/>
    <x v="4"/>
    <x v="8"/>
  </r>
  <r>
    <x v="2559"/>
    <d v="2025-04-16T00:00:00"/>
    <n v="17"/>
    <s v="T006"/>
    <x v="2"/>
    <n v="558.85"/>
    <x v="1"/>
    <n v="558.85"/>
    <n v="2"/>
    <s v="Walk-in"/>
    <n v="558.85"/>
    <s v="OK"/>
    <x v="4"/>
    <x v="0"/>
    <s v="0%"/>
    <x v="1"/>
    <x v="1"/>
  </r>
  <r>
    <x v="2560"/>
    <d v="2025-02-03T00:00:00"/>
    <n v="19"/>
    <s v="T006"/>
    <x v="0"/>
    <n v="448.35"/>
    <x v="1"/>
    <n v="448.35"/>
    <n v="2"/>
    <s v="Walk-in"/>
    <n v="448.35"/>
    <s v="OK"/>
    <x v="0"/>
    <x v="0"/>
    <s v="0%"/>
    <x v="1"/>
    <x v="1"/>
  </r>
  <r>
    <x v="2561"/>
    <d v="2025-04-16T00:00:00"/>
    <n v="12"/>
    <s v="T027"/>
    <x v="0"/>
    <n v="606.73"/>
    <x v="0"/>
    <n v="515.72"/>
    <n v="3"/>
    <s v="Walk-in"/>
    <n v="515.72"/>
    <s v="OK"/>
    <x v="4"/>
    <x v="0"/>
    <s v="11–20%"/>
    <x v="4"/>
    <x v="9"/>
  </r>
  <r>
    <x v="2562"/>
    <d v="2025-01-25T00:00:00"/>
    <n v="18"/>
    <s v="T002"/>
    <x v="1"/>
    <n v="1115.1400000000001"/>
    <x v="0"/>
    <n v="947.87"/>
    <n v="2"/>
    <s v="Walk-in"/>
    <n v="947.87"/>
    <s v="OK"/>
    <x v="2"/>
    <x v="1"/>
    <s v="11–20%"/>
    <x v="4"/>
    <x v="9"/>
  </r>
  <r>
    <x v="2563"/>
    <d v="2025-05-24T00:00:00"/>
    <n v="12"/>
    <s v="T011"/>
    <x v="0"/>
    <n v="789.6"/>
    <x v="3"/>
    <n v="710.64"/>
    <n v="3"/>
    <s v="Walk-in"/>
    <n v="710.64"/>
    <s v="OK"/>
    <x v="1"/>
    <x v="1"/>
    <s v="1–_x000a_10%"/>
    <x v="1"/>
    <x v="10"/>
  </r>
  <r>
    <x v="2564"/>
    <d v="2025-02-03T00:00:00"/>
    <n v="10"/>
    <s v="T011"/>
    <x v="2"/>
    <n v="756.08"/>
    <x v="1"/>
    <n v="756.08"/>
    <n v="4"/>
    <s v="Walk-in"/>
    <n v="756.08"/>
    <s v="OK"/>
    <x v="0"/>
    <x v="0"/>
    <s v="0%"/>
    <x v="1"/>
    <x v="10"/>
  </r>
  <r>
    <x v="2565"/>
    <d v="2025-02-04T00:00:00"/>
    <n v="13"/>
    <s v="T006"/>
    <x v="1"/>
    <n v="922.07"/>
    <x v="3"/>
    <n v="829.86"/>
    <n v="1"/>
    <s v="Member"/>
    <n v="829.86"/>
    <s v="OK"/>
    <x v="0"/>
    <x v="0"/>
    <s v="1–_x000a_10%"/>
    <x v="1"/>
    <x v="1"/>
  </r>
  <r>
    <x v="2566"/>
    <d v="2025-02-12T00:00:00"/>
    <n v="13"/>
    <s v="T016"/>
    <x v="2"/>
    <n v="642.27"/>
    <x v="1"/>
    <n v="642.27"/>
    <n v="2"/>
    <s v="Walk-in"/>
    <n v="642.27"/>
    <s v="OK"/>
    <x v="0"/>
    <x v="0"/>
    <s v="0%"/>
    <x v="1"/>
    <x v="1"/>
  </r>
  <r>
    <x v="2567"/>
    <d v="2025-04-07T00:00:00"/>
    <n v="13"/>
    <s v="T027"/>
    <x v="2"/>
    <n v="530.71"/>
    <x v="3"/>
    <n v="477.64"/>
    <n v="5"/>
    <s v="Walk-in"/>
    <n v="477.64"/>
    <s v="OK"/>
    <x v="4"/>
    <x v="0"/>
    <s v="1–_x000a_10%"/>
    <x v="4"/>
    <x v="9"/>
  </r>
  <r>
    <x v="2568"/>
    <d v="2025-01-12T00:00:00"/>
    <n v="19"/>
    <s v="T009"/>
    <x v="2"/>
    <n v="954.79"/>
    <x v="2"/>
    <n v="668.35"/>
    <n v="1"/>
    <s v="Walk-in"/>
    <n v="668.35"/>
    <s v="OK"/>
    <x v="2"/>
    <x v="1"/>
    <s v="&gt;20%"/>
    <x v="0"/>
    <x v="6"/>
  </r>
  <r>
    <x v="2569"/>
    <d v="2025-01-05T00:00:00"/>
    <n v="18"/>
    <s v="T026"/>
    <x v="0"/>
    <n v="1868.2"/>
    <x v="3"/>
    <n v="1681.38"/>
    <n v="2"/>
    <s v="Walk-in"/>
    <n v="1681.38"/>
    <s v="OK"/>
    <x v="2"/>
    <x v="1"/>
    <s v="1–_x000a_10%"/>
    <x v="1"/>
    <x v="10"/>
  </r>
  <r>
    <x v="2570"/>
    <d v="2025-05-03T00:00:00"/>
    <n v="22"/>
    <s v="T007"/>
    <x v="0"/>
    <n v="601.20000000000005"/>
    <x v="3"/>
    <n v="541.08000000000004"/>
    <n v="1"/>
    <s v="Member"/>
    <n v="541.08000000000004"/>
    <s v="OK"/>
    <x v="1"/>
    <x v="1"/>
    <s v="1–_x000a_10%"/>
    <x v="4"/>
    <x v="8"/>
  </r>
  <r>
    <x v="2571"/>
    <d v="2025-04-01T00:00:00"/>
    <n v="18"/>
    <s v="T007"/>
    <x v="1"/>
    <n v="454.56"/>
    <x v="5"/>
    <n v="431.83"/>
    <n v="1"/>
    <s v="Walk-in"/>
    <n v="431.83"/>
    <s v="OK"/>
    <x v="4"/>
    <x v="0"/>
    <s v="1–_x000a_10%"/>
    <x v="4"/>
    <x v="8"/>
  </r>
  <r>
    <x v="2572"/>
    <d v="2025-04-27T00:00:00"/>
    <n v="12"/>
    <s v="T012"/>
    <x v="3"/>
    <n v="814.17"/>
    <x v="3"/>
    <n v="732.75"/>
    <n v="1"/>
    <s v="Member"/>
    <n v="732.75"/>
    <s v="OK"/>
    <x v="4"/>
    <x v="1"/>
    <s v="1–_x000a_10%"/>
    <x v="4"/>
    <x v="9"/>
  </r>
  <r>
    <x v="2573"/>
    <d v="2025-05-06T00:00:00"/>
    <n v="15"/>
    <s v="T021"/>
    <x v="1"/>
    <n v="635.01"/>
    <x v="1"/>
    <n v="635.01"/>
    <n v="4"/>
    <s v="Walk-in"/>
    <n v="635.01"/>
    <s v="OK"/>
    <x v="1"/>
    <x v="0"/>
    <s v="0%"/>
    <x v="1"/>
    <x v="1"/>
  </r>
  <r>
    <x v="2574"/>
    <d v="2025-03-31T00:00:00"/>
    <n v="16"/>
    <s v="T014"/>
    <x v="1"/>
    <n v="833.93"/>
    <x v="5"/>
    <n v="792.23"/>
    <n v="2"/>
    <s v="Member"/>
    <n v="792.23"/>
    <s v="OK"/>
    <x v="5"/>
    <x v="0"/>
    <s v="1–_x000a_10%"/>
    <x v="0"/>
    <x v="6"/>
  </r>
  <r>
    <x v="2575"/>
    <d v="2025-04-18T00:00:00"/>
    <n v="12"/>
    <s v="T006"/>
    <x v="2"/>
    <n v="1349.4"/>
    <x v="4"/>
    <n v="1079.52"/>
    <n v="4"/>
    <s v="Walk-in"/>
    <n v="1079.52"/>
    <s v="OK"/>
    <x v="4"/>
    <x v="0"/>
    <s v="11–20%"/>
    <x v="1"/>
    <x v="1"/>
  </r>
  <r>
    <x v="2576"/>
    <d v="2025-02-21T00:00:00"/>
    <n v="22"/>
    <s v="T003"/>
    <x v="2"/>
    <n v="423.31"/>
    <x v="3"/>
    <n v="380.98"/>
    <n v="3"/>
    <s v="Walk-in"/>
    <n v="380.98"/>
    <s v="OK"/>
    <x v="0"/>
    <x v="0"/>
    <s v="1–_x000a_10%"/>
    <x v="3"/>
    <x v="3"/>
  </r>
  <r>
    <x v="2577"/>
    <d v="2025-02-10T00:00:00"/>
    <n v="11"/>
    <s v="T003"/>
    <x v="3"/>
    <n v="1030.96"/>
    <x v="4"/>
    <n v="824.77"/>
    <n v="1"/>
    <s v="Member"/>
    <n v="824.77"/>
    <s v="OK"/>
    <x v="0"/>
    <x v="0"/>
    <s v="11–20%"/>
    <x v="3"/>
    <x v="3"/>
  </r>
  <r>
    <x v="2578"/>
    <d v="2025-02-14T00:00:00"/>
    <n v="19"/>
    <s v="T021"/>
    <x v="0"/>
    <n v="541.78"/>
    <x v="1"/>
    <n v="541.78"/>
    <n v="2"/>
    <s v="Walk-in"/>
    <n v="541.78"/>
    <s v="OK"/>
    <x v="0"/>
    <x v="0"/>
    <s v="0%"/>
    <x v="1"/>
    <x v="1"/>
  </r>
  <r>
    <x v="2579"/>
    <d v="2025-05-18T00:00:00"/>
    <n v="15"/>
    <s v="T026"/>
    <x v="0"/>
    <n v="722.19"/>
    <x v="1"/>
    <n v="722.19"/>
    <n v="1"/>
    <s v="Member"/>
    <n v="722.19"/>
    <s v="OK"/>
    <x v="1"/>
    <x v="1"/>
    <s v="0%"/>
    <x v="1"/>
    <x v="10"/>
  </r>
  <r>
    <x v="2580"/>
    <d v="2025-05-31T00:00:00"/>
    <n v="11"/>
    <s v="T011"/>
    <x v="0"/>
    <n v="2727.39"/>
    <x v="4"/>
    <n v="2181.91"/>
    <n v="3"/>
    <s v="Walk-in"/>
    <n v="2181.91"/>
    <s v="OK"/>
    <x v="1"/>
    <x v="1"/>
    <s v="11–20%"/>
    <x v="1"/>
    <x v="10"/>
  </r>
  <r>
    <x v="2581"/>
    <d v="2025-01-04T00:00:00"/>
    <n v="13"/>
    <s v="T013"/>
    <x v="2"/>
    <n v="1022.38"/>
    <x v="1"/>
    <n v="1022.38"/>
    <n v="1"/>
    <s v="Walk-in"/>
    <n v="1022.38"/>
    <s v="OK"/>
    <x v="2"/>
    <x v="1"/>
    <s v="0%"/>
    <x v="3"/>
    <x v="11"/>
  </r>
  <r>
    <x v="2582"/>
    <d v="2025-01-01T00:00:00"/>
    <n v="15"/>
    <s v="T010"/>
    <x v="1"/>
    <n v="1677.89"/>
    <x v="5"/>
    <n v="1594"/>
    <n v="3"/>
    <s v="Walk-in"/>
    <n v="1594"/>
    <s v="OK"/>
    <x v="2"/>
    <x v="0"/>
    <s v="1–_x000a_10%"/>
    <x v="2"/>
    <x v="4"/>
  </r>
  <r>
    <x v="2583"/>
    <d v="2025-02-08T00:00:00"/>
    <n v="16"/>
    <s v="T015"/>
    <x v="2"/>
    <n v="1808.34"/>
    <x v="1"/>
    <n v="1808.34"/>
    <n v="3"/>
    <s v="Walk-in"/>
    <n v="1808.34"/>
    <s v="OK"/>
    <x v="0"/>
    <x v="1"/>
    <s v="0%"/>
    <x v="2"/>
    <x v="4"/>
  </r>
  <r>
    <x v="2584"/>
    <d v="2025-06-21T00:00:00"/>
    <n v="18"/>
    <s v="T005"/>
    <x v="2"/>
    <n v="869.89"/>
    <x v="1"/>
    <n v="869.89"/>
    <n v="5"/>
    <s v="Member"/>
    <n v="869.89"/>
    <s v="OK"/>
    <x v="3"/>
    <x v="1"/>
    <s v="0%"/>
    <x v="2"/>
    <x v="4"/>
  </r>
  <r>
    <x v="2585"/>
    <d v="2025-02-27T00:00:00"/>
    <n v="10"/>
    <s v="T022"/>
    <x v="2"/>
    <n v="474.35"/>
    <x v="1"/>
    <n v="474.35"/>
    <n v="1"/>
    <s v="Walk-in"/>
    <n v="474.35"/>
    <s v="OK"/>
    <x v="0"/>
    <x v="0"/>
    <s v="0%"/>
    <x v="4"/>
    <x v="8"/>
  </r>
  <r>
    <x v="2586"/>
    <d v="2025-04-06T00:00:00"/>
    <n v="19"/>
    <s v="T026"/>
    <x v="3"/>
    <n v="3360.95"/>
    <x v="4"/>
    <n v="2688.76"/>
    <n v="1"/>
    <s v="Walk-in"/>
    <n v="2688.76"/>
    <s v="OK"/>
    <x v="4"/>
    <x v="1"/>
    <s v="11–20%"/>
    <x v="1"/>
    <x v="10"/>
  </r>
  <r>
    <x v="2587"/>
    <d v="2025-04-24T00:00:00"/>
    <n v="12"/>
    <s v="T026"/>
    <x v="0"/>
    <n v="499.58"/>
    <x v="4"/>
    <n v="399.66"/>
    <n v="1"/>
    <s v="Member"/>
    <n v="399.66"/>
    <s v="OK"/>
    <x v="4"/>
    <x v="0"/>
    <s v="11–20%"/>
    <x v="1"/>
    <x v="10"/>
  </r>
  <r>
    <x v="2588"/>
    <d v="2025-02-10T00:00:00"/>
    <n v="10"/>
    <s v="T005"/>
    <x v="1"/>
    <n v="1375.15"/>
    <x v="1"/>
    <n v="1375.15"/>
    <n v="1"/>
    <s v="Walk-in"/>
    <n v="1375.15"/>
    <s v="OK"/>
    <x v="0"/>
    <x v="0"/>
    <s v="0%"/>
    <x v="2"/>
    <x v="4"/>
  </r>
  <r>
    <x v="2589"/>
    <d v="2025-04-08T00:00:00"/>
    <n v="17"/>
    <s v="T028"/>
    <x v="1"/>
    <n v="881.62"/>
    <x v="0"/>
    <n v="749.38"/>
    <n v="1"/>
    <s v="Walk-in"/>
    <n v="749.38"/>
    <s v="OK"/>
    <x v="4"/>
    <x v="0"/>
    <s v="11–20%"/>
    <x v="3"/>
    <x v="5"/>
  </r>
  <r>
    <x v="2590"/>
    <d v="2025-04-10T00:00:00"/>
    <n v="11"/>
    <s v="T028"/>
    <x v="2"/>
    <n v="228.66"/>
    <x v="1"/>
    <n v="228.66"/>
    <n v="1"/>
    <s v="Walk-in"/>
    <n v="228.66"/>
    <s v="OK"/>
    <x v="4"/>
    <x v="0"/>
    <s v="0%"/>
    <x v="3"/>
    <x v="5"/>
  </r>
  <r>
    <x v="2591"/>
    <d v="2025-04-21T00:00:00"/>
    <n v="20"/>
    <s v="T002"/>
    <x v="2"/>
    <n v="1292.07"/>
    <x v="1"/>
    <n v="1292.07"/>
    <n v="2"/>
    <s v="Walk-in"/>
    <n v="1292.07"/>
    <s v="OK"/>
    <x v="4"/>
    <x v="0"/>
    <s v="0%"/>
    <x v="4"/>
    <x v="9"/>
  </r>
  <r>
    <x v="2592"/>
    <d v="2025-01-30T00:00:00"/>
    <n v="18"/>
    <s v="T021"/>
    <x v="1"/>
    <n v="704.98"/>
    <x v="4"/>
    <n v="563.98"/>
    <n v="2"/>
    <s v="Member"/>
    <n v="563.98"/>
    <s v="OK"/>
    <x v="2"/>
    <x v="0"/>
    <s v="11–20%"/>
    <x v="1"/>
    <x v="1"/>
  </r>
  <r>
    <x v="2593"/>
    <d v="2025-05-23T00:00:00"/>
    <n v="19"/>
    <s v="T018"/>
    <x v="0"/>
    <n v="455.16"/>
    <x v="5"/>
    <n v="432.4"/>
    <n v="2"/>
    <s v="Walk-in"/>
    <n v="432.4"/>
    <s v="OK"/>
    <x v="1"/>
    <x v="0"/>
    <s v="1–_x000a_10%"/>
    <x v="3"/>
    <x v="3"/>
  </r>
  <r>
    <x v="2594"/>
    <d v="2025-06-14T00:00:00"/>
    <n v="10"/>
    <s v="T013"/>
    <x v="0"/>
    <n v="713.7"/>
    <x v="1"/>
    <n v="713.7"/>
    <n v="4"/>
    <s v="Walk-in"/>
    <n v="713.7"/>
    <s v="OK"/>
    <x v="3"/>
    <x v="1"/>
    <s v="0%"/>
    <x v="3"/>
    <x v="11"/>
  </r>
  <r>
    <x v="2595"/>
    <d v="2025-02-24T00:00:00"/>
    <n v="22"/>
    <s v="T008"/>
    <x v="0"/>
    <n v="2904.4"/>
    <x v="1"/>
    <n v="2904.4"/>
    <n v="3"/>
    <s v="Walk-in"/>
    <n v="2904.4"/>
    <s v="OK"/>
    <x v="0"/>
    <x v="0"/>
    <s v="0%"/>
    <x v="3"/>
    <x v="5"/>
  </r>
  <r>
    <x v="2596"/>
    <d v="2025-05-14T00:00:00"/>
    <n v="22"/>
    <s v="T024"/>
    <x v="0"/>
    <n v="261.10000000000002"/>
    <x v="3"/>
    <n v="234.99"/>
    <n v="4"/>
    <s v="Walk-in"/>
    <n v="234.99"/>
    <s v="OK"/>
    <x v="1"/>
    <x v="0"/>
    <s v="1–_x000a_10%"/>
    <x v="0"/>
    <x v="0"/>
  </r>
  <r>
    <x v="2597"/>
    <d v="2025-06-22T00:00:00"/>
    <n v="11"/>
    <s v="T008"/>
    <x v="2"/>
    <n v="1910.66"/>
    <x v="4"/>
    <n v="1528.53"/>
    <n v="1"/>
    <s v="Member"/>
    <n v="1528.53"/>
    <s v="OK"/>
    <x v="3"/>
    <x v="1"/>
    <s v="11–20%"/>
    <x v="3"/>
    <x v="5"/>
  </r>
  <r>
    <x v="2598"/>
    <d v="2025-04-26T00:00:00"/>
    <n v="20"/>
    <s v="T021"/>
    <x v="0"/>
    <n v="1936.33"/>
    <x v="1"/>
    <n v="1936.33"/>
    <n v="3"/>
    <s v="Walk-in"/>
    <n v="1936.33"/>
    <s v="OK"/>
    <x v="4"/>
    <x v="1"/>
    <s v="0%"/>
    <x v="1"/>
    <x v="1"/>
  </r>
  <r>
    <x v="2599"/>
    <d v="2025-03-14T00:00:00"/>
    <n v="11"/>
    <s v="T009"/>
    <x v="0"/>
    <n v="1411.77"/>
    <x v="1"/>
    <n v="1411.77"/>
    <n v="2"/>
    <s v="Walk-in"/>
    <n v="1411.77"/>
    <s v="OK"/>
    <x v="5"/>
    <x v="0"/>
    <s v="0%"/>
    <x v="0"/>
    <x v="6"/>
  </r>
  <r>
    <x v="2600"/>
    <d v="2025-01-17T00:00:00"/>
    <n v="21"/>
    <s v="T011"/>
    <x v="0"/>
    <n v="3747.93"/>
    <x v="1"/>
    <n v="3747.93"/>
    <n v="3"/>
    <s v="Walk-in"/>
    <n v="3747.93"/>
    <s v="OK"/>
    <x v="2"/>
    <x v="0"/>
    <s v="0%"/>
    <x v="1"/>
    <x v="10"/>
  </r>
  <r>
    <x v="2601"/>
    <d v="2025-04-16T00:00:00"/>
    <n v="12"/>
    <s v="T019"/>
    <x v="0"/>
    <n v="520.19000000000005"/>
    <x v="0"/>
    <n v="442.16"/>
    <n v="3"/>
    <s v="Walk-in"/>
    <n v="442.16"/>
    <s v="OK"/>
    <x v="4"/>
    <x v="0"/>
    <s v="11–20%"/>
    <x v="0"/>
    <x v="0"/>
  </r>
  <r>
    <x v="2602"/>
    <d v="2025-03-05T00:00:00"/>
    <n v="13"/>
    <s v="T004"/>
    <x v="1"/>
    <n v="1209.92"/>
    <x v="1"/>
    <n v="1209.92"/>
    <n v="6"/>
    <s v="Walk-in"/>
    <n v="1209.92"/>
    <s v="OK"/>
    <x v="5"/>
    <x v="0"/>
    <s v="0%"/>
    <x v="0"/>
    <x v="0"/>
  </r>
  <r>
    <x v="2603"/>
    <d v="2025-05-13T00:00:00"/>
    <n v="19"/>
    <s v="T011"/>
    <x v="1"/>
    <n v="928.27"/>
    <x v="1"/>
    <n v="928.27"/>
    <n v="2"/>
    <s v="Walk-in"/>
    <n v="928.27"/>
    <s v="OK"/>
    <x v="1"/>
    <x v="0"/>
    <s v="0%"/>
    <x v="1"/>
    <x v="10"/>
  </r>
  <r>
    <x v="2604"/>
    <d v="2025-05-11T00:00:00"/>
    <n v="12"/>
    <s v="T002"/>
    <x v="0"/>
    <n v="2053.46"/>
    <x v="1"/>
    <n v="2053.46"/>
    <n v="2"/>
    <s v="Walk-in"/>
    <n v="2053.46"/>
    <s v="OK"/>
    <x v="1"/>
    <x v="1"/>
    <s v="0%"/>
    <x v="4"/>
    <x v="9"/>
  </r>
  <r>
    <x v="2605"/>
    <d v="2025-04-05T00:00:00"/>
    <n v="20"/>
    <s v="T002"/>
    <x v="0"/>
    <n v="1283.52"/>
    <x v="1"/>
    <n v="1283.52"/>
    <n v="3"/>
    <s v="Member"/>
    <n v="1283.52"/>
    <s v="OK"/>
    <x v="4"/>
    <x v="1"/>
    <s v="0%"/>
    <x v="4"/>
    <x v="9"/>
  </r>
  <r>
    <x v="2606"/>
    <d v="2025-06-25T00:00:00"/>
    <n v="15"/>
    <s v="T014"/>
    <x v="0"/>
    <n v="1239.8499999999999"/>
    <x v="1"/>
    <n v="1239.8499999999999"/>
    <n v="1"/>
    <s v="Member"/>
    <n v="1239.8499999999999"/>
    <s v="OK"/>
    <x v="3"/>
    <x v="0"/>
    <s v="0%"/>
    <x v="0"/>
    <x v="6"/>
  </r>
  <r>
    <x v="2607"/>
    <d v="2025-06-13T00:00:00"/>
    <n v="22"/>
    <s v="T021"/>
    <x v="0"/>
    <n v="305.11"/>
    <x v="0"/>
    <n v="259.33999999999997"/>
    <n v="4"/>
    <s v="Walk-in"/>
    <n v="259.33999999999997"/>
    <s v="OK"/>
    <x v="3"/>
    <x v="0"/>
    <s v="11–20%"/>
    <x v="1"/>
    <x v="1"/>
  </r>
  <r>
    <x v="2608"/>
    <d v="2025-01-22T00:00:00"/>
    <n v="13"/>
    <s v="T018"/>
    <x v="0"/>
    <n v="916.09"/>
    <x v="0"/>
    <n v="778.68"/>
    <n v="4"/>
    <s v="Member"/>
    <n v="778.68"/>
    <s v="OK"/>
    <x v="2"/>
    <x v="0"/>
    <s v="11–20%"/>
    <x v="3"/>
    <x v="3"/>
  </r>
  <r>
    <x v="2609"/>
    <d v="2025-05-03T00:00:00"/>
    <n v="22"/>
    <s v="T017"/>
    <x v="0"/>
    <n v="1215.7"/>
    <x v="1"/>
    <n v="1215.7"/>
    <n v="2"/>
    <s v="Walk-in"/>
    <n v="1215.7"/>
    <s v="OK"/>
    <x v="1"/>
    <x v="1"/>
    <s v="0%"/>
    <x v="4"/>
    <x v="8"/>
  </r>
  <r>
    <x v="2610"/>
    <d v="2025-06-15T00:00:00"/>
    <n v="12"/>
    <s v="T025"/>
    <x v="2"/>
    <n v="510.7"/>
    <x v="1"/>
    <n v="510.7"/>
    <n v="5"/>
    <s v="Walk-in"/>
    <n v="510.7"/>
    <s v="OK"/>
    <x v="3"/>
    <x v="1"/>
    <s v="0%"/>
    <x v="2"/>
    <x v="2"/>
  </r>
  <r>
    <x v="2611"/>
    <d v="2025-04-07T00:00:00"/>
    <n v="22"/>
    <s v="T011"/>
    <x v="2"/>
    <n v="746.73"/>
    <x v="3"/>
    <n v="672.06"/>
    <n v="2"/>
    <s v="Member"/>
    <n v="672.06"/>
    <s v="OK"/>
    <x v="4"/>
    <x v="0"/>
    <s v="1–_x000a_10%"/>
    <x v="1"/>
    <x v="10"/>
  </r>
  <r>
    <x v="2612"/>
    <d v="2025-04-11T00:00:00"/>
    <n v="10"/>
    <s v="T021"/>
    <x v="2"/>
    <n v="1588.23"/>
    <x v="1"/>
    <n v="1588.23"/>
    <n v="1"/>
    <s v="Walk-in"/>
    <n v="1588.23"/>
    <s v="OK"/>
    <x v="4"/>
    <x v="0"/>
    <s v="0%"/>
    <x v="1"/>
    <x v="1"/>
  </r>
  <r>
    <x v="2613"/>
    <d v="2025-01-29T00:00:00"/>
    <n v="22"/>
    <s v="T004"/>
    <x v="2"/>
    <n v="913.51"/>
    <x v="5"/>
    <n v="867.83"/>
    <n v="1"/>
    <s v="Walk-in"/>
    <n v="867.83"/>
    <s v="OK"/>
    <x v="2"/>
    <x v="0"/>
    <s v="1–_x000a_10%"/>
    <x v="0"/>
    <x v="0"/>
  </r>
  <r>
    <x v="2614"/>
    <d v="2025-05-12T00:00:00"/>
    <n v="12"/>
    <s v="T005"/>
    <x v="0"/>
    <n v="2748.58"/>
    <x v="1"/>
    <n v="2748.58"/>
    <n v="1"/>
    <s v="Walk-in"/>
    <n v="2748.58"/>
    <s v="OK"/>
    <x v="1"/>
    <x v="0"/>
    <s v="0%"/>
    <x v="2"/>
    <x v="4"/>
  </r>
  <r>
    <x v="2615"/>
    <d v="2025-04-20T00:00:00"/>
    <n v="11"/>
    <s v="T024"/>
    <x v="2"/>
    <n v="616.29999999999995"/>
    <x v="1"/>
    <n v="616.29999999999995"/>
    <n v="1"/>
    <s v="Member"/>
    <n v="616.29999999999995"/>
    <s v="OK"/>
    <x v="4"/>
    <x v="1"/>
    <s v="0%"/>
    <x v="0"/>
    <x v="0"/>
  </r>
  <r>
    <x v="2616"/>
    <d v="2025-02-17T00:00:00"/>
    <n v="20"/>
    <s v="T025"/>
    <x v="2"/>
    <n v="4589.0200000000004"/>
    <x v="1"/>
    <n v="4589.0200000000004"/>
    <n v="1"/>
    <s v="Walk-in"/>
    <n v="4589.0200000000004"/>
    <s v="OK"/>
    <x v="0"/>
    <x v="0"/>
    <s v="0%"/>
    <x v="2"/>
    <x v="2"/>
  </r>
  <r>
    <x v="2617"/>
    <d v="2025-03-03T00:00:00"/>
    <n v="16"/>
    <s v="T014"/>
    <x v="0"/>
    <n v="215.64"/>
    <x v="0"/>
    <n v="183.29"/>
    <n v="4"/>
    <s v="Walk-in"/>
    <n v="183.29"/>
    <s v="OK"/>
    <x v="5"/>
    <x v="0"/>
    <s v="11–20%"/>
    <x v="0"/>
    <x v="6"/>
  </r>
  <r>
    <x v="2618"/>
    <d v="2025-05-07T00:00:00"/>
    <n v="10"/>
    <s v="T014"/>
    <x v="3"/>
    <n v="1126.95"/>
    <x v="3"/>
    <n v="1014.26"/>
    <n v="5"/>
    <s v="Member"/>
    <n v="1014.26"/>
    <s v="OK"/>
    <x v="1"/>
    <x v="0"/>
    <s v="1–_x000a_10%"/>
    <x v="0"/>
    <x v="6"/>
  </r>
  <r>
    <x v="2619"/>
    <d v="2025-01-03T00:00:00"/>
    <n v="17"/>
    <s v="T004"/>
    <x v="2"/>
    <n v="771.38"/>
    <x v="4"/>
    <n v="617.1"/>
    <n v="1"/>
    <s v="Walk-in"/>
    <n v="617.1"/>
    <s v="OK"/>
    <x v="2"/>
    <x v="0"/>
    <s v="11–20%"/>
    <x v="0"/>
    <x v="0"/>
  </r>
  <r>
    <x v="2620"/>
    <d v="2025-06-11T00:00:00"/>
    <n v="15"/>
    <s v="T003"/>
    <x v="0"/>
    <n v="1321.39"/>
    <x v="3"/>
    <n v="1189.25"/>
    <n v="2"/>
    <s v="Walk-in"/>
    <n v="1189.25"/>
    <s v="OK"/>
    <x v="3"/>
    <x v="0"/>
    <s v="1–_x000a_10%"/>
    <x v="3"/>
    <x v="3"/>
  </r>
  <r>
    <x v="2621"/>
    <d v="2025-04-26T00:00:00"/>
    <n v="13"/>
    <s v="T023"/>
    <x v="1"/>
    <n v="699.19"/>
    <x v="1"/>
    <n v="699.19"/>
    <n v="2"/>
    <s v="Walk-in"/>
    <n v="699.19"/>
    <s v="OK"/>
    <x v="4"/>
    <x v="1"/>
    <s v="0%"/>
    <x v="3"/>
    <x v="11"/>
  </r>
  <r>
    <x v="2622"/>
    <d v="2025-04-18T00:00:00"/>
    <n v="21"/>
    <s v="T016"/>
    <x v="0"/>
    <n v="470.81"/>
    <x v="5"/>
    <n v="447.27"/>
    <n v="1"/>
    <s v="Walk-in"/>
    <n v="447.27"/>
    <s v="OK"/>
    <x v="4"/>
    <x v="0"/>
    <s v="1–_x000a_10%"/>
    <x v="1"/>
    <x v="1"/>
  </r>
  <r>
    <x v="2623"/>
    <d v="2025-01-17T00:00:00"/>
    <n v="18"/>
    <s v="T012"/>
    <x v="1"/>
    <n v="898.61"/>
    <x v="3"/>
    <n v="808.75"/>
    <n v="6"/>
    <s v="Walk-in"/>
    <n v="808.75"/>
    <s v="OK"/>
    <x v="2"/>
    <x v="0"/>
    <s v="1–_x000a_10%"/>
    <x v="4"/>
    <x v="9"/>
  </r>
  <r>
    <x v="2624"/>
    <d v="2025-04-22T00:00:00"/>
    <n v="14"/>
    <s v="T008"/>
    <x v="2"/>
    <n v="1961.86"/>
    <x v="3"/>
    <n v="1765.67"/>
    <n v="1"/>
    <s v="Walk-in"/>
    <n v="1765.67"/>
    <s v="OK"/>
    <x v="4"/>
    <x v="0"/>
    <s v="1–_x000a_10%"/>
    <x v="3"/>
    <x v="5"/>
  </r>
  <r>
    <x v="2625"/>
    <d v="2025-05-19T00:00:00"/>
    <n v="15"/>
    <s v="T004"/>
    <x v="2"/>
    <n v="716.6"/>
    <x v="0"/>
    <n v="609.11"/>
    <n v="1"/>
    <s v="Member"/>
    <n v="609.11"/>
    <s v="OK"/>
    <x v="1"/>
    <x v="0"/>
    <s v="11–20%"/>
    <x v="0"/>
    <x v="0"/>
  </r>
  <r>
    <x v="2626"/>
    <d v="2025-06-01T00:00:00"/>
    <n v="20"/>
    <s v="T018"/>
    <x v="2"/>
    <n v="1963.8"/>
    <x v="1"/>
    <n v="1963.8"/>
    <n v="1"/>
    <s v="Walk-in"/>
    <n v="1963.8"/>
    <s v="OK"/>
    <x v="3"/>
    <x v="1"/>
    <s v="0%"/>
    <x v="3"/>
    <x v="3"/>
  </r>
  <r>
    <x v="2627"/>
    <d v="2025-04-20T00:00:00"/>
    <n v="17"/>
    <s v="T019"/>
    <x v="0"/>
    <n v="2562.6999999999998"/>
    <x v="1"/>
    <n v="2562.6999999999998"/>
    <n v="2"/>
    <s v="Walk-in"/>
    <n v="2562.6999999999998"/>
    <s v="OK"/>
    <x v="4"/>
    <x v="1"/>
    <s v="0%"/>
    <x v="0"/>
    <x v="0"/>
  </r>
  <r>
    <x v="2628"/>
    <d v="2025-01-25T00:00:00"/>
    <n v="17"/>
    <s v="T015"/>
    <x v="2"/>
    <n v="2335.15"/>
    <x v="1"/>
    <n v="2335.15"/>
    <n v="3"/>
    <s v="Walk-in"/>
    <n v="2335.15"/>
    <s v="OK"/>
    <x v="2"/>
    <x v="1"/>
    <s v="0%"/>
    <x v="2"/>
    <x v="4"/>
  </r>
  <r>
    <x v="2629"/>
    <d v="2025-05-06T00:00:00"/>
    <n v="16"/>
    <s v="T026"/>
    <x v="3"/>
    <n v="565.52"/>
    <x v="4"/>
    <n v="452.42"/>
    <n v="6"/>
    <s v="Member"/>
    <n v="452.42"/>
    <s v="OK"/>
    <x v="1"/>
    <x v="0"/>
    <s v="11–20%"/>
    <x v="1"/>
    <x v="10"/>
  </r>
  <r>
    <x v="2630"/>
    <d v="2025-02-24T00:00:00"/>
    <n v="20"/>
    <s v="T001"/>
    <x v="0"/>
    <n v="1548.86"/>
    <x v="0"/>
    <n v="1316.53"/>
    <n v="2"/>
    <s v="Member"/>
    <n v="1316.53"/>
    <s v="OK"/>
    <x v="0"/>
    <x v="0"/>
    <s v="11–20%"/>
    <x v="1"/>
    <x v="7"/>
  </r>
  <r>
    <x v="2631"/>
    <d v="2025-01-14T00:00:00"/>
    <n v="19"/>
    <s v="T006"/>
    <x v="0"/>
    <n v="2317.83"/>
    <x v="0"/>
    <n v="1970.16"/>
    <n v="3"/>
    <s v="Walk-in"/>
    <n v="1970.16"/>
    <s v="OK"/>
    <x v="2"/>
    <x v="0"/>
    <s v="11–20%"/>
    <x v="1"/>
    <x v="1"/>
  </r>
  <r>
    <x v="2632"/>
    <d v="2025-02-20T00:00:00"/>
    <n v="19"/>
    <s v="T009"/>
    <x v="0"/>
    <n v="2129.94"/>
    <x v="0"/>
    <n v="1810.45"/>
    <n v="3"/>
    <s v="Member"/>
    <n v="1810.45"/>
    <s v="OK"/>
    <x v="0"/>
    <x v="0"/>
    <s v="11–20%"/>
    <x v="0"/>
    <x v="6"/>
  </r>
  <r>
    <x v="2633"/>
    <d v="2025-04-09T00:00:00"/>
    <n v="16"/>
    <s v="T002"/>
    <x v="0"/>
    <n v="2462.27"/>
    <x v="5"/>
    <n v="2339.16"/>
    <n v="1"/>
    <s v="Member"/>
    <n v="2339.16"/>
    <s v="OK"/>
    <x v="4"/>
    <x v="0"/>
    <s v="1–_x000a_10%"/>
    <x v="4"/>
    <x v="9"/>
  </r>
  <r>
    <x v="2634"/>
    <d v="2025-01-03T00:00:00"/>
    <n v="19"/>
    <s v="T013"/>
    <x v="0"/>
    <n v="247.11"/>
    <x v="3"/>
    <n v="222.4"/>
    <n v="3"/>
    <s v="Walk-in"/>
    <n v="222.4"/>
    <s v="OK"/>
    <x v="2"/>
    <x v="0"/>
    <s v="1–_x000a_10%"/>
    <x v="3"/>
    <x v="11"/>
  </r>
  <r>
    <x v="2635"/>
    <d v="2025-01-12T00:00:00"/>
    <n v="20"/>
    <s v="T014"/>
    <x v="0"/>
    <n v="1498.41"/>
    <x v="1"/>
    <n v="1498.41"/>
    <n v="3"/>
    <s v="Walk-in"/>
    <n v="1498.41"/>
    <s v="OK"/>
    <x v="2"/>
    <x v="1"/>
    <s v="0%"/>
    <x v="0"/>
    <x v="6"/>
  </r>
  <r>
    <x v="2636"/>
    <d v="2025-03-31T00:00:00"/>
    <n v="22"/>
    <s v="T003"/>
    <x v="2"/>
    <n v="534.23"/>
    <x v="3"/>
    <n v="480.81"/>
    <n v="1"/>
    <s v="Member"/>
    <n v="480.81"/>
    <s v="OK"/>
    <x v="5"/>
    <x v="0"/>
    <s v="1–_x000a_10%"/>
    <x v="3"/>
    <x v="3"/>
  </r>
  <r>
    <x v="2637"/>
    <d v="2025-02-23T00:00:00"/>
    <n v="12"/>
    <s v="T020"/>
    <x v="0"/>
    <n v="2394.04"/>
    <x v="1"/>
    <n v="2394.04"/>
    <n v="4"/>
    <s v="Member"/>
    <n v="2394.04"/>
    <s v="OK"/>
    <x v="0"/>
    <x v="1"/>
    <s v="0%"/>
    <x v="2"/>
    <x v="2"/>
  </r>
  <r>
    <x v="2638"/>
    <d v="2025-06-25T00:00:00"/>
    <n v="19"/>
    <s v="T009"/>
    <x v="1"/>
    <n v="818.43"/>
    <x v="3"/>
    <n v="736.59"/>
    <n v="3"/>
    <s v="Walk-in"/>
    <n v="736.59"/>
    <s v="OK"/>
    <x v="3"/>
    <x v="0"/>
    <s v="1–_x000a_10%"/>
    <x v="0"/>
    <x v="6"/>
  </r>
  <r>
    <x v="2639"/>
    <d v="2025-03-16T00:00:00"/>
    <n v="13"/>
    <s v="T030"/>
    <x v="1"/>
    <n v="1441.26"/>
    <x v="4"/>
    <n v="1153.01"/>
    <n v="1"/>
    <s v="Walk-in"/>
    <n v="1153.01"/>
    <s v="OK"/>
    <x v="5"/>
    <x v="1"/>
    <s v="11–20%"/>
    <x v="2"/>
    <x v="2"/>
  </r>
  <r>
    <x v="2640"/>
    <d v="2025-02-10T00:00:00"/>
    <n v="10"/>
    <s v="T022"/>
    <x v="2"/>
    <n v="1334.71"/>
    <x v="1"/>
    <n v="1334.71"/>
    <n v="4"/>
    <s v="Walk-in"/>
    <n v="1334.71"/>
    <s v="OK"/>
    <x v="0"/>
    <x v="0"/>
    <s v="0%"/>
    <x v="4"/>
    <x v="8"/>
  </r>
  <r>
    <x v="2641"/>
    <d v="2025-05-22T00:00:00"/>
    <n v="21"/>
    <s v="T018"/>
    <x v="0"/>
    <n v="1807.42"/>
    <x v="1"/>
    <n v="1807.42"/>
    <n v="4"/>
    <s v="Member"/>
    <n v="1807.42"/>
    <s v="OK"/>
    <x v="1"/>
    <x v="0"/>
    <s v="0%"/>
    <x v="3"/>
    <x v="3"/>
  </r>
  <r>
    <x v="2642"/>
    <d v="2025-05-09T00:00:00"/>
    <n v="20"/>
    <s v="T020"/>
    <x v="2"/>
    <n v="3007.82"/>
    <x v="4"/>
    <n v="2406.2600000000002"/>
    <n v="1"/>
    <s v="Walk-in"/>
    <n v="2406.2600000000002"/>
    <s v="OK"/>
    <x v="1"/>
    <x v="0"/>
    <s v="11–20%"/>
    <x v="2"/>
    <x v="2"/>
  </r>
  <r>
    <x v="2643"/>
    <d v="2025-05-01T00:00:00"/>
    <n v="16"/>
    <s v="T009"/>
    <x v="0"/>
    <n v="1488.81"/>
    <x v="1"/>
    <n v="1488.81"/>
    <n v="3"/>
    <s v="Walk-in"/>
    <n v="1488.81"/>
    <s v="OK"/>
    <x v="1"/>
    <x v="0"/>
    <s v="0%"/>
    <x v="0"/>
    <x v="6"/>
  </r>
  <r>
    <x v="2644"/>
    <d v="2025-01-20T00:00:00"/>
    <n v="17"/>
    <s v="T026"/>
    <x v="2"/>
    <n v="570.26"/>
    <x v="0"/>
    <n v="484.72"/>
    <n v="3"/>
    <s v="Member"/>
    <n v="484.72"/>
    <s v="OK"/>
    <x v="2"/>
    <x v="0"/>
    <s v="11–20%"/>
    <x v="1"/>
    <x v="10"/>
  </r>
  <r>
    <x v="2645"/>
    <d v="2025-04-02T00:00:00"/>
    <n v="14"/>
    <s v="T021"/>
    <x v="2"/>
    <n v="840.83"/>
    <x v="1"/>
    <n v="840.83"/>
    <n v="1"/>
    <s v="Walk-in"/>
    <n v="840.83"/>
    <s v="OK"/>
    <x v="4"/>
    <x v="0"/>
    <s v="0%"/>
    <x v="1"/>
    <x v="1"/>
  </r>
  <r>
    <x v="2646"/>
    <d v="2025-03-26T00:00:00"/>
    <n v="10"/>
    <s v="T007"/>
    <x v="2"/>
    <n v="2885.89"/>
    <x v="3"/>
    <n v="2597.3000000000002"/>
    <n v="4"/>
    <s v="Walk-in"/>
    <n v="2597.3000000000002"/>
    <s v="OK"/>
    <x v="5"/>
    <x v="0"/>
    <s v="1–_x000a_10%"/>
    <x v="4"/>
    <x v="8"/>
  </r>
  <r>
    <x v="2647"/>
    <d v="2025-02-06T00:00:00"/>
    <n v="22"/>
    <s v="T011"/>
    <x v="2"/>
    <n v="704.04"/>
    <x v="3"/>
    <n v="633.64"/>
    <n v="5"/>
    <s v="Walk-in"/>
    <n v="633.64"/>
    <s v="OK"/>
    <x v="0"/>
    <x v="0"/>
    <s v="1–_x000a_10%"/>
    <x v="1"/>
    <x v="10"/>
  </r>
  <r>
    <x v="2648"/>
    <d v="2025-06-06T00:00:00"/>
    <n v="12"/>
    <s v="T013"/>
    <x v="0"/>
    <n v="2252.9899999999998"/>
    <x v="4"/>
    <n v="1802.39"/>
    <n v="3"/>
    <s v="Walk-in"/>
    <n v="1802.39"/>
    <s v="OK"/>
    <x v="3"/>
    <x v="0"/>
    <s v="11–20%"/>
    <x v="3"/>
    <x v="11"/>
  </r>
  <r>
    <x v="2649"/>
    <d v="2025-03-28T00:00:00"/>
    <n v="14"/>
    <s v="T027"/>
    <x v="0"/>
    <n v="3822.44"/>
    <x v="5"/>
    <n v="3631.32"/>
    <n v="3"/>
    <s v="Walk-in"/>
    <n v="3631.32"/>
    <s v="OK"/>
    <x v="5"/>
    <x v="0"/>
    <s v="1–_x000a_10%"/>
    <x v="4"/>
    <x v="9"/>
  </r>
  <r>
    <x v="2650"/>
    <d v="2025-01-27T00:00:00"/>
    <n v="19"/>
    <s v="T024"/>
    <x v="3"/>
    <n v="914.28"/>
    <x v="0"/>
    <n v="777.14"/>
    <n v="3"/>
    <s v="Member"/>
    <n v="777.14"/>
    <s v="OK"/>
    <x v="2"/>
    <x v="0"/>
    <s v="11–20%"/>
    <x v="0"/>
    <x v="0"/>
  </r>
  <r>
    <x v="2651"/>
    <d v="2025-02-25T00:00:00"/>
    <n v="22"/>
    <s v="T004"/>
    <x v="1"/>
    <n v="426.83"/>
    <x v="4"/>
    <n v="341.46"/>
    <n v="3"/>
    <s v="Walk-in"/>
    <n v="341.46"/>
    <s v="OK"/>
    <x v="0"/>
    <x v="0"/>
    <s v="11–20%"/>
    <x v="0"/>
    <x v="0"/>
  </r>
  <r>
    <x v="2652"/>
    <d v="2025-02-24T00:00:00"/>
    <n v="21"/>
    <s v="T010"/>
    <x v="2"/>
    <n v="360.5"/>
    <x v="1"/>
    <n v="360.5"/>
    <n v="1"/>
    <s v="Walk-in"/>
    <n v="360.5"/>
    <s v="OK"/>
    <x v="0"/>
    <x v="0"/>
    <s v="0%"/>
    <x v="2"/>
    <x v="4"/>
  </r>
  <r>
    <x v="2653"/>
    <d v="2025-03-04T00:00:00"/>
    <n v="10"/>
    <s v="T005"/>
    <x v="0"/>
    <n v="260.17"/>
    <x v="0"/>
    <n v="221.14"/>
    <n v="3"/>
    <s v="Walk-in"/>
    <n v="221.14"/>
    <s v="OK"/>
    <x v="5"/>
    <x v="0"/>
    <s v="11–20%"/>
    <x v="2"/>
    <x v="4"/>
  </r>
  <r>
    <x v="2654"/>
    <d v="2025-06-08T00:00:00"/>
    <n v="12"/>
    <s v="T018"/>
    <x v="2"/>
    <n v="1207.25"/>
    <x v="2"/>
    <n v="845.07"/>
    <n v="1"/>
    <s v="Walk-in"/>
    <n v="845.08"/>
    <s v="OK"/>
    <x v="3"/>
    <x v="1"/>
    <s v="&gt;20%"/>
    <x v="3"/>
    <x v="3"/>
  </r>
  <r>
    <x v="2655"/>
    <d v="2025-01-07T00:00:00"/>
    <n v="18"/>
    <s v="T023"/>
    <x v="2"/>
    <n v="3938.53"/>
    <x v="0"/>
    <n v="3347.75"/>
    <n v="4"/>
    <s v="Walk-in"/>
    <n v="3347.75"/>
    <s v="OK"/>
    <x v="2"/>
    <x v="0"/>
    <s v="11–20%"/>
    <x v="3"/>
    <x v="11"/>
  </r>
  <r>
    <x v="2656"/>
    <d v="2025-02-21T00:00:00"/>
    <n v="21"/>
    <s v="T004"/>
    <x v="0"/>
    <n v="999.01"/>
    <x v="5"/>
    <n v="949.06"/>
    <n v="2"/>
    <s v="Member"/>
    <n v="949.06"/>
    <s v="OK"/>
    <x v="0"/>
    <x v="0"/>
    <s v="1–_x000a_10%"/>
    <x v="0"/>
    <x v="0"/>
  </r>
  <r>
    <x v="2657"/>
    <d v="2025-05-09T00:00:00"/>
    <n v="17"/>
    <s v="T004"/>
    <x v="0"/>
    <n v="1188.3599999999999"/>
    <x v="1"/>
    <n v="1188.3599999999999"/>
    <n v="2"/>
    <s v="Walk-in"/>
    <n v="1188.3599999999999"/>
    <s v="OK"/>
    <x v="1"/>
    <x v="0"/>
    <s v="0%"/>
    <x v="0"/>
    <x v="0"/>
  </r>
  <r>
    <x v="2658"/>
    <d v="2025-04-27T00:00:00"/>
    <n v="21"/>
    <s v="T028"/>
    <x v="2"/>
    <n v="2145.58"/>
    <x v="5"/>
    <n v="2038.3"/>
    <n v="2"/>
    <s v="Member"/>
    <n v="2038.3"/>
    <s v="OK"/>
    <x v="4"/>
    <x v="1"/>
    <s v="1–_x000a_10%"/>
    <x v="3"/>
    <x v="5"/>
  </r>
  <r>
    <x v="2659"/>
    <d v="2025-04-12T00:00:00"/>
    <n v="21"/>
    <s v="T017"/>
    <x v="2"/>
    <n v="710.47"/>
    <x v="1"/>
    <n v="710.47"/>
    <n v="1"/>
    <s v="Member"/>
    <n v="710.47"/>
    <s v="OK"/>
    <x v="4"/>
    <x v="1"/>
    <s v="0%"/>
    <x v="4"/>
    <x v="8"/>
  </r>
  <r>
    <x v="2660"/>
    <d v="2025-04-26T00:00:00"/>
    <n v="16"/>
    <s v="T003"/>
    <x v="0"/>
    <n v="4173.59"/>
    <x v="1"/>
    <n v="4173.59"/>
    <n v="1"/>
    <s v="Walk-in"/>
    <n v="4173.59"/>
    <s v="OK"/>
    <x v="4"/>
    <x v="1"/>
    <s v="0%"/>
    <x v="3"/>
    <x v="3"/>
  </r>
  <r>
    <x v="2661"/>
    <d v="2025-02-03T00:00:00"/>
    <n v="17"/>
    <s v="T007"/>
    <x v="0"/>
    <n v="753.13"/>
    <x v="5"/>
    <n v="715.47"/>
    <n v="3"/>
    <s v="Member"/>
    <n v="715.47"/>
    <s v="OK"/>
    <x v="0"/>
    <x v="0"/>
    <s v="1–_x000a_10%"/>
    <x v="4"/>
    <x v="8"/>
  </r>
  <r>
    <x v="2662"/>
    <d v="2025-01-05T00:00:00"/>
    <n v="14"/>
    <s v="T008"/>
    <x v="0"/>
    <n v="3687.21"/>
    <x v="3"/>
    <n v="3318.49"/>
    <n v="1"/>
    <s v="Member"/>
    <n v="3318.49"/>
    <s v="OK"/>
    <x v="2"/>
    <x v="1"/>
    <s v="1–_x000a_10%"/>
    <x v="3"/>
    <x v="5"/>
  </r>
  <r>
    <x v="2663"/>
    <d v="2025-03-27T00:00:00"/>
    <n v="21"/>
    <s v="T025"/>
    <x v="0"/>
    <n v="227.02"/>
    <x v="1"/>
    <n v="227.02"/>
    <n v="1"/>
    <s v="Member"/>
    <n v="227.02"/>
    <s v="OK"/>
    <x v="5"/>
    <x v="0"/>
    <s v="0%"/>
    <x v="2"/>
    <x v="2"/>
  </r>
  <r>
    <x v="2664"/>
    <d v="2025-01-23T00:00:00"/>
    <n v="16"/>
    <s v="T017"/>
    <x v="1"/>
    <n v="1066.6600000000001"/>
    <x v="4"/>
    <n v="853.33"/>
    <n v="4"/>
    <s v="Walk-in"/>
    <n v="853.33"/>
    <s v="OK"/>
    <x v="2"/>
    <x v="0"/>
    <s v="11–20%"/>
    <x v="4"/>
    <x v="8"/>
  </r>
  <r>
    <x v="2665"/>
    <d v="2025-05-10T00:00:00"/>
    <n v="22"/>
    <s v="T021"/>
    <x v="0"/>
    <n v="2612.65"/>
    <x v="1"/>
    <n v="2612.65"/>
    <n v="3"/>
    <s v="Walk-in"/>
    <n v="2612.65"/>
    <s v="OK"/>
    <x v="1"/>
    <x v="1"/>
    <s v="0%"/>
    <x v="1"/>
    <x v="1"/>
  </r>
  <r>
    <x v="2666"/>
    <d v="2025-06-29T00:00:00"/>
    <n v="16"/>
    <s v="T003"/>
    <x v="0"/>
    <n v="1854.21"/>
    <x v="0"/>
    <n v="1576.08"/>
    <n v="1"/>
    <s v="Walk-in"/>
    <n v="1576.08"/>
    <s v="OK"/>
    <x v="3"/>
    <x v="1"/>
    <s v="11–20%"/>
    <x v="3"/>
    <x v="3"/>
  </r>
  <r>
    <x v="2667"/>
    <d v="2025-04-24T00:00:00"/>
    <n v="12"/>
    <s v="T027"/>
    <x v="0"/>
    <n v="2643.17"/>
    <x v="1"/>
    <n v="2643.17"/>
    <n v="2"/>
    <s v="Walk-in"/>
    <n v="2643.17"/>
    <s v="OK"/>
    <x v="4"/>
    <x v="0"/>
    <s v="0%"/>
    <x v="4"/>
    <x v="9"/>
  </r>
  <r>
    <x v="2668"/>
    <d v="2025-01-16T00:00:00"/>
    <n v="10"/>
    <s v="T012"/>
    <x v="0"/>
    <n v="2170.13"/>
    <x v="1"/>
    <n v="2170.13"/>
    <n v="1"/>
    <s v="Walk-in"/>
    <n v="2170.13"/>
    <s v="OK"/>
    <x v="2"/>
    <x v="0"/>
    <s v="0%"/>
    <x v="4"/>
    <x v="9"/>
  </r>
  <r>
    <x v="2669"/>
    <d v="2025-06-14T00:00:00"/>
    <n v="19"/>
    <s v="T002"/>
    <x v="0"/>
    <n v="1380.74"/>
    <x v="3"/>
    <n v="1242.67"/>
    <n v="4"/>
    <s v="Member"/>
    <n v="1242.67"/>
    <s v="OK"/>
    <x v="3"/>
    <x v="1"/>
    <s v="1–_x000a_10%"/>
    <x v="4"/>
    <x v="9"/>
  </r>
  <r>
    <x v="2670"/>
    <d v="2025-03-15T00:00:00"/>
    <n v="17"/>
    <s v="T024"/>
    <x v="2"/>
    <n v="878.55"/>
    <x v="4"/>
    <n v="702.84"/>
    <n v="2"/>
    <s v="Walk-in"/>
    <n v="702.84"/>
    <s v="OK"/>
    <x v="5"/>
    <x v="1"/>
    <s v="11–20%"/>
    <x v="0"/>
    <x v="0"/>
  </r>
  <r>
    <x v="2671"/>
    <d v="2025-05-14T00:00:00"/>
    <n v="21"/>
    <s v="T013"/>
    <x v="2"/>
    <n v="894.13"/>
    <x v="1"/>
    <n v="894.13"/>
    <n v="1"/>
    <s v="Walk-in"/>
    <n v="894.13"/>
    <s v="OK"/>
    <x v="1"/>
    <x v="0"/>
    <s v="0%"/>
    <x v="3"/>
    <x v="11"/>
  </r>
  <r>
    <x v="2672"/>
    <d v="2025-05-13T00:00:00"/>
    <n v="21"/>
    <s v="T025"/>
    <x v="0"/>
    <n v="3048.43"/>
    <x v="1"/>
    <n v="3048.43"/>
    <n v="6"/>
    <s v="Member"/>
    <n v="3048.43"/>
    <s v="OK"/>
    <x v="1"/>
    <x v="0"/>
    <s v="0%"/>
    <x v="2"/>
    <x v="2"/>
  </r>
  <r>
    <x v="2673"/>
    <d v="2025-05-09T00:00:00"/>
    <n v="12"/>
    <s v="T011"/>
    <x v="2"/>
    <n v="1097.1099999999999"/>
    <x v="0"/>
    <n v="932.54"/>
    <n v="4"/>
    <s v="Walk-in"/>
    <n v="932.54"/>
    <s v="OK"/>
    <x v="1"/>
    <x v="0"/>
    <s v="11–20%"/>
    <x v="1"/>
    <x v="10"/>
  </r>
  <r>
    <x v="2674"/>
    <d v="2025-01-21T00:00:00"/>
    <n v="22"/>
    <s v="T019"/>
    <x v="0"/>
    <n v="317.52999999999997"/>
    <x v="1"/>
    <n v="317.52999999999997"/>
    <n v="5"/>
    <s v="Walk-in"/>
    <n v="317.52999999999997"/>
    <s v="OK"/>
    <x v="2"/>
    <x v="0"/>
    <s v="0%"/>
    <x v="0"/>
    <x v="0"/>
  </r>
  <r>
    <x v="2675"/>
    <d v="2025-06-05T00:00:00"/>
    <n v="18"/>
    <s v="T025"/>
    <x v="2"/>
    <n v="268.56"/>
    <x v="2"/>
    <n v="187.99"/>
    <n v="3"/>
    <s v="Walk-in"/>
    <n v="187.99"/>
    <s v="OK"/>
    <x v="3"/>
    <x v="0"/>
    <s v="&gt;20%"/>
    <x v="2"/>
    <x v="2"/>
  </r>
  <r>
    <x v="2676"/>
    <d v="2025-05-16T00:00:00"/>
    <n v="17"/>
    <s v="T015"/>
    <x v="2"/>
    <n v="801.45"/>
    <x v="4"/>
    <n v="641.16"/>
    <n v="1"/>
    <s v="Walk-in"/>
    <n v="641.16"/>
    <s v="OK"/>
    <x v="1"/>
    <x v="0"/>
    <s v="11–20%"/>
    <x v="2"/>
    <x v="4"/>
  </r>
  <r>
    <x v="2677"/>
    <d v="2025-04-25T00:00:00"/>
    <n v="15"/>
    <s v="T003"/>
    <x v="1"/>
    <n v="408.85"/>
    <x v="1"/>
    <n v="408.85"/>
    <n v="3"/>
    <s v="Walk-in"/>
    <n v="408.85"/>
    <s v="OK"/>
    <x v="4"/>
    <x v="0"/>
    <s v="0%"/>
    <x v="3"/>
    <x v="3"/>
  </r>
  <r>
    <x v="2678"/>
    <d v="2025-05-04T00:00:00"/>
    <n v="16"/>
    <s v="T010"/>
    <x v="0"/>
    <n v="1534.29"/>
    <x v="1"/>
    <n v="1534.29"/>
    <n v="2"/>
    <s v="Walk-in"/>
    <n v="1534.29"/>
    <s v="OK"/>
    <x v="1"/>
    <x v="1"/>
    <s v="0%"/>
    <x v="2"/>
    <x v="4"/>
  </r>
  <r>
    <x v="2679"/>
    <d v="2025-01-24T00:00:00"/>
    <n v="19"/>
    <s v="T001"/>
    <x v="1"/>
    <n v="1132.72"/>
    <x v="1"/>
    <n v="1132.72"/>
    <n v="2"/>
    <s v="Walk-in"/>
    <n v="1132.72"/>
    <s v="OK"/>
    <x v="2"/>
    <x v="0"/>
    <s v="0%"/>
    <x v="1"/>
    <x v="7"/>
  </r>
  <r>
    <x v="2680"/>
    <d v="2025-01-12T00:00:00"/>
    <n v="12"/>
    <s v="T028"/>
    <x v="1"/>
    <n v="898.52"/>
    <x v="5"/>
    <n v="853.59"/>
    <n v="4"/>
    <s v="Member"/>
    <n v="853.59"/>
    <s v="OK"/>
    <x v="2"/>
    <x v="1"/>
    <s v="1–_x000a_10%"/>
    <x v="3"/>
    <x v="5"/>
  </r>
  <r>
    <x v="2681"/>
    <d v="2025-04-09T00:00:00"/>
    <n v="18"/>
    <s v="T001"/>
    <x v="0"/>
    <n v="1767.82"/>
    <x v="0"/>
    <n v="1502.65"/>
    <n v="2"/>
    <s v="Walk-in"/>
    <n v="1502.65"/>
    <s v="OK"/>
    <x v="4"/>
    <x v="0"/>
    <s v="11–20%"/>
    <x v="1"/>
    <x v="7"/>
  </r>
  <r>
    <x v="2682"/>
    <d v="2025-03-14T00:00:00"/>
    <n v="22"/>
    <s v="T008"/>
    <x v="0"/>
    <n v="1251.4100000000001"/>
    <x v="5"/>
    <n v="1188.8399999999999"/>
    <n v="4"/>
    <s v="Walk-in"/>
    <n v="1188.8399999999999"/>
    <s v="OK"/>
    <x v="5"/>
    <x v="0"/>
    <s v="1–_x000a_10%"/>
    <x v="3"/>
    <x v="5"/>
  </r>
  <r>
    <x v="2683"/>
    <d v="2025-02-23T00:00:00"/>
    <n v="20"/>
    <s v="T020"/>
    <x v="2"/>
    <n v="1422.38"/>
    <x v="2"/>
    <n v="995.67"/>
    <n v="1"/>
    <s v="Walk-in"/>
    <n v="995.67"/>
    <s v="OK"/>
    <x v="0"/>
    <x v="1"/>
    <s v="&gt;20%"/>
    <x v="2"/>
    <x v="2"/>
  </r>
  <r>
    <x v="2684"/>
    <d v="2025-05-15T00:00:00"/>
    <n v="13"/>
    <s v="T020"/>
    <x v="1"/>
    <n v="892.43"/>
    <x v="2"/>
    <n v="624.70000000000005"/>
    <n v="3"/>
    <s v="Member"/>
    <n v="624.70000000000005"/>
    <s v="OK"/>
    <x v="1"/>
    <x v="0"/>
    <s v="&gt;20%"/>
    <x v="2"/>
    <x v="2"/>
  </r>
  <r>
    <x v="2685"/>
    <d v="2025-03-02T00:00:00"/>
    <n v="21"/>
    <s v="T025"/>
    <x v="2"/>
    <n v="1287.77"/>
    <x v="3"/>
    <n v="1158.99"/>
    <n v="1"/>
    <s v="Member"/>
    <n v="1158.99"/>
    <s v="OK"/>
    <x v="5"/>
    <x v="1"/>
    <s v="1–_x000a_10%"/>
    <x v="2"/>
    <x v="2"/>
  </r>
  <r>
    <x v="2686"/>
    <d v="2025-06-13T00:00:00"/>
    <n v="21"/>
    <s v="T001"/>
    <x v="0"/>
    <n v="817.96"/>
    <x v="1"/>
    <n v="817.96"/>
    <n v="2"/>
    <s v="Member"/>
    <n v="817.96"/>
    <s v="OK"/>
    <x v="3"/>
    <x v="0"/>
    <s v="0%"/>
    <x v="1"/>
    <x v="7"/>
  </r>
  <r>
    <x v="2687"/>
    <d v="2025-04-08T00:00:00"/>
    <n v="13"/>
    <s v="T003"/>
    <x v="1"/>
    <n v="1725.19"/>
    <x v="2"/>
    <n v="1207.6300000000001"/>
    <n v="1"/>
    <s v="Walk-in"/>
    <n v="1207.6300000000001"/>
    <s v="OK"/>
    <x v="4"/>
    <x v="0"/>
    <s v="&gt;20%"/>
    <x v="3"/>
    <x v="3"/>
  </r>
  <r>
    <x v="2688"/>
    <d v="2025-05-31T00:00:00"/>
    <n v="15"/>
    <s v="T006"/>
    <x v="3"/>
    <n v="747.18"/>
    <x v="4"/>
    <n v="597.74"/>
    <n v="3"/>
    <s v="Member"/>
    <n v="597.74"/>
    <s v="OK"/>
    <x v="1"/>
    <x v="1"/>
    <s v="11–20%"/>
    <x v="1"/>
    <x v="1"/>
  </r>
  <r>
    <x v="2689"/>
    <d v="2025-03-10T00:00:00"/>
    <n v="11"/>
    <s v="T001"/>
    <x v="0"/>
    <n v="272.66000000000003"/>
    <x v="5"/>
    <n v="259.02999999999997"/>
    <n v="1"/>
    <s v="Walk-in"/>
    <n v="259.02999999999997"/>
    <s v="OK"/>
    <x v="5"/>
    <x v="0"/>
    <s v="1–_x000a_10%"/>
    <x v="1"/>
    <x v="7"/>
  </r>
  <r>
    <x v="2690"/>
    <d v="2025-03-18T00:00:00"/>
    <n v="11"/>
    <s v="T008"/>
    <x v="0"/>
    <n v="2737.01"/>
    <x v="3"/>
    <n v="2463.31"/>
    <n v="4"/>
    <s v="Walk-in"/>
    <n v="2463.31"/>
    <s v="OK"/>
    <x v="5"/>
    <x v="0"/>
    <s v="1–_x000a_10%"/>
    <x v="3"/>
    <x v="5"/>
  </r>
  <r>
    <x v="2691"/>
    <d v="2025-02-24T00:00:00"/>
    <n v="10"/>
    <s v="T013"/>
    <x v="2"/>
    <n v="1623.59"/>
    <x v="4"/>
    <n v="1298.8699999999999"/>
    <n v="2"/>
    <s v="Member"/>
    <n v="1298.8699999999999"/>
    <s v="OK"/>
    <x v="0"/>
    <x v="0"/>
    <s v="11–20%"/>
    <x v="3"/>
    <x v="11"/>
  </r>
  <r>
    <x v="2692"/>
    <d v="2025-05-25T00:00:00"/>
    <n v="17"/>
    <s v="T015"/>
    <x v="1"/>
    <n v="1558.28"/>
    <x v="1"/>
    <n v="1558.28"/>
    <n v="1"/>
    <s v="Walk-in"/>
    <n v="1558.28"/>
    <s v="OK"/>
    <x v="1"/>
    <x v="1"/>
    <s v="0%"/>
    <x v="2"/>
    <x v="4"/>
  </r>
  <r>
    <x v="2693"/>
    <d v="2025-06-29T00:00:00"/>
    <n v="18"/>
    <s v="T005"/>
    <x v="1"/>
    <n v="736.06"/>
    <x v="1"/>
    <n v="736.06"/>
    <n v="2"/>
    <s v="Walk-in"/>
    <n v="736.06"/>
    <s v="OK"/>
    <x v="3"/>
    <x v="1"/>
    <s v="0%"/>
    <x v="2"/>
    <x v="4"/>
  </r>
  <r>
    <x v="2694"/>
    <d v="2025-06-24T00:00:00"/>
    <n v="18"/>
    <s v="T009"/>
    <x v="0"/>
    <n v="1147.17"/>
    <x v="2"/>
    <n v="803.02"/>
    <n v="4"/>
    <s v="Member"/>
    <n v="803.02"/>
    <s v="OK"/>
    <x v="3"/>
    <x v="0"/>
    <s v="&gt;20%"/>
    <x v="0"/>
    <x v="6"/>
  </r>
  <r>
    <x v="2695"/>
    <d v="2025-03-31T00:00:00"/>
    <n v="21"/>
    <s v="T017"/>
    <x v="2"/>
    <n v="1230.8699999999999"/>
    <x v="1"/>
    <n v="1230.8699999999999"/>
    <n v="6"/>
    <s v="Walk-in"/>
    <n v="1230.8699999999999"/>
    <s v="OK"/>
    <x v="5"/>
    <x v="0"/>
    <s v="0%"/>
    <x v="4"/>
    <x v="8"/>
  </r>
  <r>
    <x v="2696"/>
    <d v="2025-01-11T00:00:00"/>
    <n v="21"/>
    <s v="T016"/>
    <x v="2"/>
    <n v="658.23"/>
    <x v="3"/>
    <n v="592.41"/>
    <n v="2"/>
    <s v="Member"/>
    <n v="592.41"/>
    <s v="OK"/>
    <x v="2"/>
    <x v="1"/>
    <s v="1–_x000a_10%"/>
    <x v="1"/>
    <x v="1"/>
  </r>
  <r>
    <x v="2697"/>
    <d v="2025-02-06T00:00:00"/>
    <n v="15"/>
    <s v="T029"/>
    <x v="0"/>
    <n v="389.31"/>
    <x v="1"/>
    <n v="389.31"/>
    <n v="1"/>
    <s v="Member"/>
    <n v="389.31"/>
    <s v="OK"/>
    <x v="0"/>
    <x v="0"/>
    <s v="0%"/>
    <x v="0"/>
    <x v="6"/>
  </r>
  <r>
    <x v="2698"/>
    <d v="2025-05-02T00:00:00"/>
    <n v="17"/>
    <s v="T030"/>
    <x v="0"/>
    <n v="1716.59"/>
    <x v="1"/>
    <n v="1716.59"/>
    <n v="2"/>
    <s v="Walk-in"/>
    <n v="1716.59"/>
    <s v="OK"/>
    <x v="1"/>
    <x v="0"/>
    <s v="0%"/>
    <x v="2"/>
    <x v="2"/>
  </r>
  <r>
    <x v="2699"/>
    <d v="2025-06-23T00:00:00"/>
    <n v="20"/>
    <s v="T011"/>
    <x v="2"/>
    <n v="614.19000000000005"/>
    <x v="3"/>
    <n v="552.77"/>
    <n v="3"/>
    <s v="Member"/>
    <n v="552.77"/>
    <s v="OK"/>
    <x v="3"/>
    <x v="0"/>
    <s v="1–_x000a_10%"/>
    <x v="1"/>
    <x v="10"/>
  </r>
  <r>
    <x v="2700"/>
    <d v="2025-03-03T00:00:00"/>
    <n v="11"/>
    <s v="T025"/>
    <x v="1"/>
    <n v="535.80999999999995"/>
    <x v="3"/>
    <n v="482.23"/>
    <n v="4"/>
    <s v="Member"/>
    <n v="482.23"/>
    <s v="OK"/>
    <x v="5"/>
    <x v="0"/>
    <s v="1–_x000a_10%"/>
    <x v="2"/>
    <x v="2"/>
  </r>
  <r>
    <x v="2701"/>
    <d v="2025-06-19T00:00:00"/>
    <n v="10"/>
    <s v="T004"/>
    <x v="2"/>
    <n v="557.99"/>
    <x v="1"/>
    <n v="557.99"/>
    <n v="3"/>
    <s v="Walk-in"/>
    <n v="557.99"/>
    <s v="OK"/>
    <x v="3"/>
    <x v="0"/>
    <s v="0%"/>
    <x v="0"/>
    <x v="0"/>
  </r>
  <r>
    <x v="2702"/>
    <d v="2025-01-23T00:00:00"/>
    <n v="17"/>
    <s v="T006"/>
    <x v="2"/>
    <n v="939.96"/>
    <x v="3"/>
    <n v="845.96"/>
    <n v="1"/>
    <s v="Walk-in"/>
    <n v="845.96"/>
    <s v="OK"/>
    <x v="2"/>
    <x v="0"/>
    <s v="1–_x000a_10%"/>
    <x v="1"/>
    <x v="1"/>
  </r>
  <r>
    <x v="2703"/>
    <d v="2025-04-03T00:00:00"/>
    <n v="10"/>
    <s v="T006"/>
    <x v="0"/>
    <n v="619"/>
    <x v="1"/>
    <n v="619"/>
    <n v="1"/>
    <s v="Member"/>
    <n v="619"/>
    <s v="OK"/>
    <x v="4"/>
    <x v="0"/>
    <s v="0%"/>
    <x v="1"/>
    <x v="1"/>
  </r>
  <r>
    <x v="2704"/>
    <d v="2025-06-18T00:00:00"/>
    <n v="13"/>
    <s v="T027"/>
    <x v="2"/>
    <n v="571.91999999999996"/>
    <x v="1"/>
    <n v="571.91999999999996"/>
    <n v="1"/>
    <s v="Walk-in"/>
    <n v="571.91999999999996"/>
    <s v="OK"/>
    <x v="3"/>
    <x v="0"/>
    <s v="0%"/>
    <x v="4"/>
    <x v="9"/>
  </r>
  <r>
    <x v="2705"/>
    <d v="2025-01-11T00:00:00"/>
    <n v="11"/>
    <s v="T005"/>
    <x v="0"/>
    <n v="1991.97"/>
    <x v="2"/>
    <n v="1394.38"/>
    <n v="5"/>
    <s v="Walk-in"/>
    <n v="1394.38"/>
    <s v="OK"/>
    <x v="2"/>
    <x v="1"/>
    <s v="&gt;20%"/>
    <x v="2"/>
    <x v="4"/>
  </r>
  <r>
    <x v="2706"/>
    <d v="2025-05-20T00:00:00"/>
    <n v="13"/>
    <s v="T030"/>
    <x v="1"/>
    <n v="679.11"/>
    <x v="4"/>
    <n v="543.29"/>
    <n v="1"/>
    <s v="Walk-in"/>
    <n v="543.29"/>
    <s v="OK"/>
    <x v="1"/>
    <x v="0"/>
    <s v="11–20%"/>
    <x v="2"/>
    <x v="2"/>
  </r>
  <r>
    <x v="2707"/>
    <d v="2025-04-18T00:00:00"/>
    <n v="18"/>
    <s v="T012"/>
    <x v="0"/>
    <n v="1249.3599999999999"/>
    <x v="1"/>
    <n v="1249.3599999999999"/>
    <n v="2"/>
    <s v="Member"/>
    <n v="1249.3599999999999"/>
    <s v="OK"/>
    <x v="4"/>
    <x v="0"/>
    <s v="0%"/>
    <x v="4"/>
    <x v="9"/>
  </r>
  <r>
    <x v="2708"/>
    <d v="2025-04-19T00:00:00"/>
    <n v="17"/>
    <s v="T009"/>
    <x v="0"/>
    <n v="867.6"/>
    <x v="3"/>
    <n v="780.84"/>
    <n v="1"/>
    <s v="Walk-in"/>
    <n v="780.84"/>
    <s v="OK"/>
    <x v="4"/>
    <x v="1"/>
    <s v="1–_x000a_10%"/>
    <x v="0"/>
    <x v="6"/>
  </r>
  <r>
    <x v="2709"/>
    <d v="2025-01-25T00:00:00"/>
    <n v="10"/>
    <s v="T011"/>
    <x v="0"/>
    <n v="4476.47"/>
    <x v="1"/>
    <n v="4476.47"/>
    <n v="2"/>
    <s v="Walk-in"/>
    <n v="4476.47"/>
    <s v="OK"/>
    <x v="2"/>
    <x v="1"/>
    <s v="0%"/>
    <x v="1"/>
    <x v="10"/>
  </r>
  <r>
    <x v="2710"/>
    <d v="2025-02-28T00:00:00"/>
    <n v="12"/>
    <s v="T014"/>
    <x v="0"/>
    <n v="1800.93"/>
    <x v="3"/>
    <n v="1620.84"/>
    <n v="6"/>
    <s v="Walk-in"/>
    <n v="1620.84"/>
    <s v="OK"/>
    <x v="0"/>
    <x v="0"/>
    <s v="1–_x000a_10%"/>
    <x v="0"/>
    <x v="6"/>
  </r>
  <r>
    <x v="2711"/>
    <d v="2025-03-28T00:00:00"/>
    <n v="17"/>
    <s v="T013"/>
    <x v="3"/>
    <n v="1214.6400000000001"/>
    <x v="3"/>
    <n v="1093.18"/>
    <n v="5"/>
    <s v="Member"/>
    <n v="1093.18"/>
    <s v="OK"/>
    <x v="5"/>
    <x v="0"/>
    <s v="1–_x000a_10%"/>
    <x v="3"/>
    <x v="11"/>
  </r>
  <r>
    <x v="2712"/>
    <d v="2025-04-28T00:00:00"/>
    <n v="10"/>
    <s v="T006"/>
    <x v="0"/>
    <n v="1312.15"/>
    <x v="0"/>
    <n v="1115.33"/>
    <n v="2"/>
    <s v="Member"/>
    <n v="1115.33"/>
    <s v="OK"/>
    <x v="4"/>
    <x v="0"/>
    <s v="11–20%"/>
    <x v="1"/>
    <x v="1"/>
  </r>
  <r>
    <x v="2713"/>
    <d v="2025-03-30T00:00:00"/>
    <n v="21"/>
    <s v="T019"/>
    <x v="2"/>
    <n v="1614.59"/>
    <x v="1"/>
    <n v="1614.59"/>
    <n v="3"/>
    <s v="Walk-in"/>
    <n v="1614.59"/>
    <s v="OK"/>
    <x v="5"/>
    <x v="1"/>
    <s v="0%"/>
    <x v="0"/>
    <x v="0"/>
  </r>
  <r>
    <x v="2714"/>
    <d v="2025-04-28T00:00:00"/>
    <n v="10"/>
    <s v="T025"/>
    <x v="2"/>
    <n v="370.5"/>
    <x v="1"/>
    <n v="370.5"/>
    <n v="5"/>
    <s v="Member"/>
    <n v="370.5"/>
    <s v="OK"/>
    <x v="4"/>
    <x v="0"/>
    <s v="0%"/>
    <x v="2"/>
    <x v="2"/>
  </r>
  <r>
    <x v="2715"/>
    <d v="2025-01-10T00:00:00"/>
    <n v="20"/>
    <s v="T015"/>
    <x v="0"/>
    <n v="1552.81"/>
    <x v="2"/>
    <n v="1086.97"/>
    <n v="1"/>
    <s v="Walk-in"/>
    <n v="1086.97"/>
    <s v="OK"/>
    <x v="2"/>
    <x v="0"/>
    <s v="&gt;20%"/>
    <x v="2"/>
    <x v="4"/>
  </r>
  <r>
    <x v="2716"/>
    <d v="2025-02-27T00:00:00"/>
    <n v="12"/>
    <s v="T025"/>
    <x v="2"/>
    <n v="2397.0100000000002"/>
    <x v="4"/>
    <n v="1917.61"/>
    <n v="1"/>
    <s v="Walk-in"/>
    <n v="1917.61"/>
    <s v="OK"/>
    <x v="0"/>
    <x v="0"/>
    <s v="11–20%"/>
    <x v="2"/>
    <x v="2"/>
  </r>
  <r>
    <x v="2717"/>
    <d v="2025-03-08T00:00:00"/>
    <n v="13"/>
    <s v="T002"/>
    <x v="2"/>
    <n v="920.48"/>
    <x v="1"/>
    <n v="920.48"/>
    <n v="4"/>
    <s v="Member"/>
    <n v="920.48"/>
    <s v="OK"/>
    <x v="5"/>
    <x v="1"/>
    <s v="0%"/>
    <x v="4"/>
    <x v="9"/>
  </r>
  <r>
    <x v="2718"/>
    <d v="2025-02-04T00:00:00"/>
    <n v="21"/>
    <s v="T013"/>
    <x v="2"/>
    <n v="969.67"/>
    <x v="1"/>
    <n v="969.67"/>
    <n v="5"/>
    <s v="Walk-in"/>
    <n v="969.67"/>
    <s v="OK"/>
    <x v="0"/>
    <x v="0"/>
    <s v="0%"/>
    <x v="3"/>
    <x v="11"/>
  </r>
  <r>
    <x v="2719"/>
    <d v="2025-02-20T00:00:00"/>
    <n v="18"/>
    <s v="T020"/>
    <x v="0"/>
    <n v="454.43"/>
    <x v="1"/>
    <n v="454.43"/>
    <n v="1"/>
    <s v="Walk-in"/>
    <n v="454.43"/>
    <s v="OK"/>
    <x v="0"/>
    <x v="0"/>
    <s v="0%"/>
    <x v="2"/>
    <x v="2"/>
  </r>
  <r>
    <x v="2720"/>
    <d v="2025-05-11T00:00:00"/>
    <n v="16"/>
    <s v="T027"/>
    <x v="0"/>
    <n v="4006.21"/>
    <x v="5"/>
    <n v="3805.9"/>
    <n v="5"/>
    <s v="Member"/>
    <n v="3805.9"/>
    <s v="OK"/>
    <x v="1"/>
    <x v="1"/>
    <s v="1–_x000a_10%"/>
    <x v="4"/>
    <x v="9"/>
  </r>
  <r>
    <x v="2721"/>
    <d v="2025-02-07T00:00:00"/>
    <n v="19"/>
    <s v="T021"/>
    <x v="0"/>
    <n v="1337.32"/>
    <x v="1"/>
    <n v="1337.32"/>
    <n v="5"/>
    <s v="Member"/>
    <n v="1337.32"/>
    <s v="OK"/>
    <x v="0"/>
    <x v="0"/>
    <s v="0%"/>
    <x v="1"/>
    <x v="1"/>
  </r>
  <r>
    <x v="2722"/>
    <d v="2025-06-04T00:00:00"/>
    <n v="15"/>
    <s v="T022"/>
    <x v="2"/>
    <n v="750.79"/>
    <x v="3"/>
    <n v="675.71"/>
    <n v="1"/>
    <s v="Member"/>
    <n v="675.71"/>
    <s v="OK"/>
    <x v="3"/>
    <x v="0"/>
    <s v="1–_x000a_10%"/>
    <x v="4"/>
    <x v="8"/>
  </r>
  <r>
    <x v="2723"/>
    <d v="2025-04-16T00:00:00"/>
    <n v="21"/>
    <s v="T028"/>
    <x v="0"/>
    <n v="460.23"/>
    <x v="1"/>
    <n v="460.23"/>
    <n v="1"/>
    <s v="Walk-in"/>
    <n v="460.23"/>
    <s v="OK"/>
    <x v="4"/>
    <x v="0"/>
    <s v="0%"/>
    <x v="3"/>
    <x v="5"/>
  </r>
  <r>
    <x v="2724"/>
    <d v="2025-05-21T00:00:00"/>
    <n v="13"/>
    <s v="T013"/>
    <x v="3"/>
    <n v="977.21"/>
    <x v="1"/>
    <n v="977.21"/>
    <n v="3"/>
    <s v="Walk-in"/>
    <n v="977.21"/>
    <s v="OK"/>
    <x v="1"/>
    <x v="0"/>
    <s v="0%"/>
    <x v="3"/>
    <x v="11"/>
  </r>
  <r>
    <x v="2725"/>
    <d v="2025-04-26T00:00:00"/>
    <n v="20"/>
    <s v="T014"/>
    <x v="0"/>
    <n v="1268.73"/>
    <x v="3"/>
    <n v="1141.8599999999999"/>
    <n v="1"/>
    <s v="Walk-in"/>
    <n v="1141.8599999999999"/>
    <s v="OK"/>
    <x v="4"/>
    <x v="1"/>
    <s v="1–_x000a_10%"/>
    <x v="0"/>
    <x v="6"/>
  </r>
  <r>
    <x v="2726"/>
    <d v="2025-06-03T00:00:00"/>
    <n v="17"/>
    <s v="T006"/>
    <x v="0"/>
    <n v="351.75"/>
    <x v="3"/>
    <n v="316.57"/>
    <n v="3"/>
    <s v="Walk-in"/>
    <n v="316.58"/>
    <s v="OK"/>
    <x v="3"/>
    <x v="0"/>
    <s v="1–_x000a_10%"/>
    <x v="1"/>
    <x v="1"/>
  </r>
  <r>
    <x v="2727"/>
    <d v="2025-01-12T00:00:00"/>
    <n v="20"/>
    <s v="T008"/>
    <x v="0"/>
    <n v="452.98"/>
    <x v="0"/>
    <n v="385.03"/>
    <n v="1"/>
    <s v="Walk-in"/>
    <n v="385.03"/>
    <s v="OK"/>
    <x v="2"/>
    <x v="1"/>
    <s v="11–20%"/>
    <x v="3"/>
    <x v="5"/>
  </r>
  <r>
    <x v="2728"/>
    <d v="2025-02-17T00:00:00"/>
    <n v="18"/>
    <s v="T008"/>
    <x v="1"/>
    <n v="2593.16"/>
    <x v="1"/>
    <n v="2593.16"/>
    <n v="6"/>
    <s v="Member"/>
    <n v="2593.16"/>
    <s v="OK"/>
    <x v="0"/>
    <x v="0"/>
    <s v="0%"/>
    <x v="3"/>
    <x v="5"/>
  </r>
  <r>
    <x v="2729"/>
    <d v="2025-05-30T00:00:00"/>
    <n v="15"/>
    <s v="T030"/>
    <x v="0"/>
    <n v="688.59"/>
    <x v="1"/>
    <n v="688.59"/>
    <n v="1"/>
    <s v="Walk-in"/>
    <n v="688.59"/>
    <s v="OK"/>
    <x v="1"/>
    <x v="0"/>
    <s v="0%"/>
    <x v="2"/>
    <x v="2"/>
  </r>
  <r>
    <x v="2730"/>
    <d v="2025-05-24T00:00:00"/>
    <n v="13"/>
    <s v="T020"/>
    <x v="2"/>
    <n v="1926.39"/>
    <x v="1"/>
    <n v="1926.39"/>
    <n v="1"/>
    <s v="Member"/>
    <n v="1926.39"/>
    <s v="OK"/>
    <x v="1"/>
    <x v="1"/>
    <s v="0%"/>
    <x v="2"/>
    <x v="2"/>
  </r>
  <r>
    <x v="2731"/>
    <d v="2025-05-13T00:00:00"/>
    <n v="22"/>
    <s v="T015"/>
    <x v="2"/>
    <n v="990.36"/>
    <x v="3"/>
    <n v="891.32"/>
    <n v="5"/>
    <s v="Member"/>
    <n v="891.32"/>
    <s v="OK"/>
    <x v="1"/>
    <x v="0"/>
    <s v="1–_x000a_10%"/>
    <x v="2"/>
    <x v="4"/>
  </r>
  <r>
    <x v="2732"/>
    <d v="2025-02-23T00:00:00"/>
    <n v="18"/>
    <s v="T009"/>
    <x v="0"/>
    <n v="1081.48"/>
    <x v="0"/>
    <n v="919.26"/>
    <n v="1"/>
    <s v="Walk-in"/>
    <n v="919.26"/>
    <s v="OK"/>
    <x v="0"/>
    <x v="1"/>
    <s v="11–20%"/>
    <x v="0"/>
    <x v="6"/>
  </r>
  <r>
    <x v="2733"/>
    <d v="2025-01-22T00:00:00"/>
    <n v="18"/>
    <s v="T014"/>
    <x v="2"/>
    <n v="1926.44"/>
    <x v="1"/>
    <n v="1926.44"/>
    <n v="1"/>
    <s v="Walk-in"/>
    <n v="1926.44"/>
    <s v="OK"/>
    <x v="2"/>
    <x v="0"/>
    <s v="0%"/>
    <x v="0"/>
    <x v="6"/>
  </r>
  <r>
    <x v="2734"/>
    <d v="2025-01-04T00:00:00"/>
    <n v="12"/>
    <s v="T007"/>
    <x v="0"/>
    <n v="1292.96"/>
    <x v="1"/>
    <n v="1292.96"/>
    <n v="1"/>
    <s v="Walk-in"/>
    <n v="1292.96"/>
    <s v="OK"/>
    <x v="2"/>
    <x v="1"/>
    <s v="0%"/>
    <x v="4"/>
    <x v="8"/>
  </r>
  <r>
    <x v="2735"/>
    <d v="2025-04-26T00:00:00"/>
    <n v="17"/>
    <s v="T011"/>
    <x v="2"/>
    <n v="1331.5"/>
    <x v="3"/>
    <n v="1198.3499999999999"/>
    <n v="4"/>
    <s v="Walk-in"/>
    <n v="1198.3499999999999"/>
    <s v="OK"/>
    <x v="4"/>
    <x v="1"/>
    <s v="1–_x000a_10%"/>
    <x v="1"/>
    <x v="10"/>
  </r>
  <r>
    <x v="2736"/>
    <d v="2025-03-11T00:00:00"/>
    <n v="15"/>
    <s v="T027"/>
    <x v="0"/>
    <n v="209.81"/>
    <x v="1"/>
    <n v="209.81"/>
    <n v="1"/>
    <s v="Member"/>
    <n v="209.81"/>
    <s v="OK"/>
    <x v="5"/>
    <x v="0"/>
    <s v="0%"/>
    <x v="4"/>
    <x v="9"/>
  </r>
  <r>
    <x v="2737"/>
    <d v="2025-05-21T00:00:00"/>
    <n v="16"/>
    <s v="T018"/>
    <x v="0"/>
    <n v="923"/>
    <x v="1"/>
    <n v="923"/>
    <n v="1"/>
    <s v="Member"/>
    <n v="923"/>
    <s v="OK"/>
    <x v="1"/>
    <x v="0"/>
    <s v="0%"/>
    <x v="3"/>
    <x v="3"/>
  </r>
  <r>
    <x v="2738"/>
    <d v="2025-03-20T00:00:00"/>
    <n v="15"/>
    <s v="T003"/>
    <x v="0"/>
    <n v="604.39"/>
    <x v="0"/>
    <n v="513.73"/>
    <n v="1"/>
    <s v="Member"/>
    <n v="513.73"/>
    <s v="OK"/>
    <x v="5"/>
    <x v="0"/>
    <s v="11–20%"/>
    <x v="3"/>
    <x v="3"/>
  </r>
  <r>
    <x v="2739"/>
    <d v="2025-05-07T00:00:00"/>
    <n v="14"/>
    <s v="T016"/>
    <x v="2"/>
    <n v="1154.78"/>
    <x v="4"/>
    <n v="923.82"/>
    <n v="2"/>
    <s v="Member"/>
    <n v="923.82"/>
    <s v="OK"/>
    <x v="1"/>
    <x v="0"/>
    <s v="11–20%"/>
    <x v="1"/>
    <x v="1"/>
  </r>
  <r>
    <x v="2740"/>
    <d v="2025-03-10T00:00:00"/>
    <n v="11"/>
    <s v="T020"/>
    <x v="0"/>
    <n v="1201.43"/>
    <x v="1"/>
    <n v="1201.43"/>
    <n v="3"/>
    <s v="Member"/>
    <n v="1201.43"/>
    <s v="OK"/>
    <x v="5"/>
    <x v="0"/>
    <s v="0%"/>
    <x v="2"/>
    <x v="2"/>
  </r>
  <r>
    <x v="2741"/>
    <d v="2025-06-02T00:00:00"/>
    <n v="17"/>
    <s v="T012"/>
    <x v="2"/>
    <n v="1926.36"/>
    <x v="5"/>
    <n v="1830.04"/>
    <n v="3"/>
    <s v="Walk-in"/>
    <n v="1830.04"/>
    <s v="OK"/>
    <x v="3"/>
    <x v="0"/>
    <s v="1–_x000a_10%"/>
    <x v="4"/>
    <x v="9"/>
  </r>
  <r>
    <x v="2742"/>
    <d v="2025-05-13T00:00:00"/>
    <n v="17"/>
    <s v="T003"/>
    <x v="0"/>
    <n v="1990.32"/>
    <x v="1"/>
    <n v="1990.32"/>
    <n v="2"/>
    <s v="Walk-in"/>
    <n v="1990.32"/>
    <s v="OK"/>
    <x v="1"/>
    <x v="0"/>
    <s v="0%"/>
    <x v="3"/>
    <x v="3"/>
  </r>
  <r>
    <x v="2743"/>
    <d v="2025-05-02T00:00:00"/>
    <n v="22"/>
    <s v="T021"/>
    <x v="2"/>
    <n v="1018.85"/>
    <x v="1"/>
    <n v="1018.85"/>
    <n v="1"/>
    <s v="Member"/>
    <n v="1018.85"/>
    <s v="OK"/>
    <x v="1"/>
    <x v="0"/>
    <s v="0%"/>
    <x v="1"/>
    <x v="1"/>
  </r>
  <r>
    <x v="2744"/>
    <d v="2025-01-20T00:00:00"/>
    <n v="11"/>
    <s v="T012"/>
    <x v="0"/>
    <n v="1169.1400000000001"/>
    <x v="4"/>
    <n v="935.31"/>
    <n v="1"/>
    <s v="Walk-in"/>
    <n v="935.31"/>
    <s v="OK"/>
    <x v="2"/>
    <x v="0"/>
    <s v="11–20%"/>
    <x v="4"/>
    <x v="9"/>
  </r>
  <r>
    <x v="2745"/>
    <d v="2025-06-16T00:00:00"/>
    <n v="13"/>
    <s v="T030"/>
    <x v="0"/>
    <n v="504.47"/>
    <x v="2"/>
    <n v="353.13"/>
    <n v="2"/>
    <s v="Walk-in"/>
    <n v="353.13"/>
    <s v="OK"/>
    <x v="3"/>
    <x v="0"/>
    <s v="&gt;20%"/>
    <x v="2"/>
    <x v="2"/>
  </r>
  <r>
    <x v="2746"/>
    <d v="2025-05-13T00:00:00"/>
    <n v="20"/>
    <s v="T020"/>
    <x v="1"/>
    <n v="2451.56"/>
    <x v="3"/>
    <n v="2206.4"/>
    <n v="3"/>
    <s v="Walk-in"/>
    <n v="2206.4"/>
    <s v="OK"/>
    <x v="1"/>
    <x v="0"/>
    <s v="1–_x000a_10%"/>
    <x v="2"/>
    <x v="2"/>
  </r>
  <r>
    <x v="2747"/>
    <d v="2025-02-24T00:00:00"/>
    <n v="16"/>
    <s v="T009"/>
    <x v="0"/>
    <n v="958.42"/>
    <x v="1"/>
    <n v="958.42"/>
    <n v="6"/>
    <s v="Walk-in"/>
    <n v="958.42"/>
    <s v="OK"/>
    <x v="0"/>
    <x v="0"/>
    <s v="0%"/>
    <x v="0"/>
    <x v="6"/>
  </r>
  <r>
    <x v="2748"/>
    <d v="2025-01-06T00:00:00"/>
    <n v="18"/>
    <s v="T016"/>
    <x v="2"/>
    <n v="413.8"/>
    <x v="1"/>
    <n v="413.8"/>
    <n v="3"/>
    <s v="Walk-in"/>
    <n v="413.8"/>
    <s v="OK"/>
    <x v="2"/>
    <x v="0"/>
    <s v="0%"/>
    <x v="1"/>
    <x v="1"/>
  </r>
  <r>
    <x v="2749"/>
    <d v="2025-06-02T00:00:00"/>
    <n v="18"/>
    <s v="T020"/>
    <x v="1"/>
    <n v="3462.64"/>
    <x v="1"/>
    <n v="3462.64"/>
    <n v="1"/>
    <s v="Member"/>
    <n v="3462.64"/>
    <s v="OK"/>
    <x v="3"/>
    <x v="0"/>
    <s v="0%"/>
    <x v="2"/>
    <x v="2"/>
  </r>
  <r>
    <x v="2750"/>
    <d v="2025-04-17T00:00:00"/>
    <n v="21"/>
    <s v="T022"/>
    <x v="0"/>
    <n v="944.86"/>
    <x v="4"/>
    <n v="755.89"/>
    <n v="2"/>
    <s v="Walk-in"/>
    <n v="755.89"/>
    <s v="OK"/>
    <x v="4"/>
    <x v="0"/>
    <s v="11–20%"/>
    <x v="4"/>
    <x v="8"/>
  </r>
  <r>
    <x v="2751"/>
    <d v="2025-02-19T00:00:00"/>
    <n v="22"/>
    <s v="T018"/>
    <x v="1"/>
    <n v="1388.01"/>
    <x v="5"/>
    <n v="1318.61"/>
    <n v="1"/>
    <s v="Walk-in"/>
    <n v="1318.61"/>
    <s v="OK"/>
    <x v="0"/>
    <x v="0"/>
    <s v="1–_x000a_10%"/>
    <x v="3"/>
    <x v="3"/>
  </r>
  <r>
    <x v="2752"/>
    <d v="2025-03-21T00:00:00"/>
    <n v="12"/>
    <s v="T018"/>
    <x v="0"/>
    <n v="878.99"/>
    <x v="3"/>
    <n v="791.09"/>
    <n v="1"/>
    <s v="Walk-in"/>
    <n v="791.09"/>
    <s v="OK"/>
    <x v="5"/>
    <x v="0"/>
    <s v="1–_x000a_10%"/>
    <x v="3"/>
    <x v="3"/>
  </r>
  <r>
    <x v="2753"/>
    <d v="2025-05-22T00:00:00"/>
    <n v="22"/>
    <s v="T026"/>
    <x v="2"/>
    <n v="1056.32"/>
    <x v="1"/>
    <n v="1056.32"/>
    <n v="1"/>
    <s v="Member"/>
    <n v="1056.32"/>
    <s v="OK"/>
    <x v="1"/>
    <x v="0"/>
    <s v="0%"/>
    <x v="1"/>
    <x v="10"/>
  </r>
  <r>
    <x v="2754"/>
    <d v="2025-02-20T00:00:00"/>
    <n v="16"/>
    <s v="T001"/>
    <x v="0"/>
    <n v="2373.48"/>
    <x v="1"/>
    <n v="2373.48"/>
    <n v="3"/>
    <s v="Member"/>
    <n v="2373.48"/>
    <s v="OK"/>
    <x v="0"/>
    <x v="0"/>
    <s v="0%"/>
    <x v="1"/>
    <x v="7"/>
  </r>
  <r>
    <x v="2755"/>
    <d v="2025-01-18T00:00:00"/>
    <n v="11"/>
    <s v="T006"/>
    <x v="1"/>
    <n v="1590.79"/>
    <x v="0"/>
    <n v="1352.17"/>
    <n v="2"/>
    <s v="Walk-in"/>
    <n v="1352.17"/>
    <s v="OK"/>
    <x v="2"/>
    <x v="1"/>
    <s v="11–20%"/>
    <x v="1"/>
    <x v="1"/>
  </r>
  <r>
    <x v="2756"/>
    <d v="2025-03-17T00:00:00"/>
    <n v="17"/>
    <s v="T025"/>
    <x v="0"/>
    <n v="1374.17"/>
    <x v="5"/>
    <n v="1305.46"/>
    <n v="1"/>
    <s v="Walk-in"/>
    <n v="1305.46"/>
    <s v="OK"/>
    <x v="5"/>
    <x v="0"/>
    <s v="1–_x000a_10%"/>
    <x v="2"/>
    <x v="2"/>
  </r>
  <r>
    <x v="2757"/>
    <d v="2025-01-11T00:00:00"/>
    <n v="22"/>
    <s v="T021"/>
    <x v="3"/>
    <n v="538.28"/>
    <x v="5"/>
    <n v="511.37"/>
    <n v="3"/>
    <s v="Member"/>
    <n v="511.37"/>
    <s v="OK"/>
    <x v="2"/>
    <x v="1"/>
    <s v="1–_x000a_10%"/>
    <x v="1"/>
    <x v="1"/>
  </r>
  <r>
    <x v="2758"/>
    <d v="2025-06-12T00:00:00"/>
    <n v="22"/>
    <s v="T029"/>
    <x v="0"/>
    <n v="2889.75"/>
    <x v="1"/>
    <n v="2889.75"/>
    <n v="4"/>
    <s v="Member"/>
    <n v="2889.75"/>
    <s v="OK"/>
    <x v="3"/>
    <x v="0"/>
    <s v="0%"/>
    <x v="0"/>
    <x v="6"/>
  </r>
  <r>
    <x v="2759"/>
    <d v="2025-03-19T00:00:00"/>
    <n v="20"/>
    <s v="T001"/>
    <x v="0"/>
    <n v="823.49"/>
    <x v="4"/>
    <n v="658.79"/>
    <n v="5"/>
    <s v="Member"/>
    <n v="658.79"/>
    <s v="OK"/>
    <x v="5"/>
    <x v="0"/>
    <s v="11–20%"/>
    <x v="1"/>
    <x v="7"/>
  </r>
  <r>
    <x v="2760"/>
    <d v="2025-01-03T00:00:00"/>
    <n v="12"/>
    <s v="T027"/>
    <x v="2"/>
    <n v="2480.7199999999998"/>
    <x v="3"/>
    <n v="2232.65"/>
    <n v="3"/>
    <s v="Walk-in"/>
    <n v="2232.65"/>
    <s v="OK"/>
    <x v="2"/>
    <x v="0"/>
    <s v="1–_x000a_10%"/>
    <x v="4"/>
    <x v="9"/>
  </r>
  <r>
    <x v="2761"/>
    <d v="2025-01-07T00:00:00"/>
    <n v="18"/>
    <s v="T029"/>
    <x v="2"/>
    <n v="1400.04"/>
    <x v="2"/>
    <n v="980.03"/>
    <n v="1"/>
    <s v="Member"/>
    <n v="980.03"/>
    <s v="OK"/>
    <x v="2"/>
    <x v="0"/>
    <s v="&gt;20%"/>
    <x v="0"/>
    <x v="6"/>
  </r>
  <r>
    <x v="2762"/>
    <d v="2025-03-15T00:00:00"/>
    <n v="15"/>
    <s v="T022"/>
    <x v="0"/>
    <n v="2426.42"/>
    <x v="1"/>
    <n v="2426.42"/>
    <n v="2"/>
    <s v="Walk-in"/>
    <n v="2426.42"/>
    <s v="OK"/>
    <x v="5"/>
    <x v="1"/>
    <s v="0%"/>
    <x v="4"/>
    <x v="8"/>
  </r>
  <r>
    <x v="2763"/>
    <d v="2025-01-18T00:00:00"/>
    <n v="18"/>
    <s v="T012"/>
    <x v="0"/>
    <n v="1828.96"/>
    <x v="1"/>
    <n v="1828.96"/>
    <n v="3"/>
    <s v="Walk-in"/>
    <n v="1828.96"/>
    <s v="OK"/>
    <x v="2"/>
    <x v="1"/>
    <s v="0%"/>
    <x v="4"/>
    <x v="9"/>
  </r>
  <r>
    <x v="2764"/>
    <d v="2025-05-10T00:00:00"/>
    <n v="22"/>
    <s v="T002"/>
    <x v="2"/>
    <n v="2157.6"/>
    <x v="4"/>
    <n v="1726.08"/>
    <n v="2"/>
    <s v="Walk-in"/>
    <n v="1726.08"/>
    <s v="OK"/>
    <x v="1"/>
    <x v="1"/>
    <s v="11–20%"/>
    <x v="4"/>
    <x v="9"/>
  </r>
  <r>
    <x v="2765"/>
    <d v="2025-05-29T00:00:00"/>
    <n v="19"/>
    <s v="T014"/>
    <x v="0"/>
    <n v="1698.02"/>
    <x v="1"/>
    <n v="1698.02"/>
    <n v="1"/>
    <s v="Walk-in"/>
    <n v="1698.02"/>
    <s v="OK"/>
    <x v="1"/>
    <x v="0"/>
    <s v="0%"/>
    <x v="0"/>
    <x v="6"/>
  </r>
  <r>
    <x v="2766"/>
    <d v="2025-04-29T00:00:00"/>
    <n v="19"/>
    <s v="T021"/>
    <x v="0"/>
    <n v="1708.24"/>
    <x v="2"/>
    <n v="1195.77"/>
    <n v="3"/>
    <s v="Walk-in"/>
    <n v="1195.77"/>
    <s v="OK"/>
    <x v="4"/>
    <x v="0"/>
    <s v="&gt;20%"/>
    <x v="1"/>
    <x v="1"/>
  </r>
  <r>
    <x v="2767"/>
    <d v="2025-06-22T00:00:00"/>
    <n v="10"/>
    <s v="T014"/>
    <x v="1"/>
    <n v="1460.42"/>
    <x v="1"/>
    <n v="1460.42"/>
    <n v="4"/>
    <s v="Walk-in"/>
    <n v="1460.42"/>
    <s v="OK"/>
    <x v="3"/>
    <x v="1"/>
    <s v="0%"/>
    <x v="0"/>
    <x v="6"/>
  </r>
  <r>
    <x v="2768"/>
    <d v="2025-02-10T00:00:00"/>
    <n v="12"/>
    <s v="T023"/>
    <x v="0"/>
    <n v="617.54"/>
    <x v="1"/>
    <n v="617.54"/>
    <n v="3"/>
    <s v="Member"/>
    <n v="617.54"/>
    <s v="OK"/>
    <x v="0"/>
    <x v="0"/>
    <s v="0%"/>
    <x v="3"/>
    <x v="11"/>
  </r>
  <r>
    <x v="2769"/>
    <d v="2025-05-08T00:00:00"/>
    <n v="12"/>
    <s v="T030"/>
    <x v="2"/>
    <n v="1097.54"/>
    <x v="3"/>
    <n v="987.79"/>
    <n v="3"/>
    <s v="Walk-in"/>
    <n v="987.79"/>
    <s v="OK"/>
    <x v="1"/>
    <x v="0"/>
    <s v="1–_x000a_10%"/>
    <x v="2"/>
    <x v="2"/>
  </r>
  <r>
    <x v="2770"/>
    <d v="2025-03-20T00:00:00"/>
    <n v="17"/>
    <s v="T024"/>
    <x v="2"/>
    <n v="1127.27"/>
    <x v="3"/>
    <n v="1014.54"/>
    <n v="1"/>
    <s v="Walk-in"/>
    <n v="1014.54"/>
    <s v="OK"/>
    <x v="5"/>
    <x v="0"/>
    <s v="1–_x000a_10%"/>
    <x v="0"/>
    <x v="0"/>
  </r>
  <r>
    <x v="2771"/>
    <d v="2025-03-20T00:00:00"/>
    <n v="12"/>
    <s v="T004"/>
    <x v="2"/>
    <n v="400.93"/>
    <x v="0"/>
    <n v="340.79"/>
    <n v="4"/>
    <s v="Walk-in"/>
    <n v="340.79"/>
    <s v="OK"/>
    <x v="5"/>
    <x v="0"/>
    <s v="11–20%"/>
    <x v="0"/>
    <x v="0"/>
  </r>
  <r>
    <x v="2772"/>
    <d v="2025-01-08T00:00:00"/>
    <n v="22"/>
    <s v="T005"/>
    <x v="0"/>
    <n v="288.08"/>
    <x v="2"/>
    <n v="201.66"/>
    <n v="3"/>
    <s v="Walk-in"/>
    <n v="201.66"/>
    <s v="OK"/>
    <x v="2"/>
    <x v="0"/>
    <s v="&gt;20%"/>
    <x v="2"/>
    <x v="4"/>
  </r>
  <r>
    <x v="2773"/>
    <d v="2025-01-08T00:00:00"/>
    <n v="18"/>
    <s v="T015"/>
    <x v="0"/>
    <n v="1097.56"/>
    <x v="0"/>
    <n v="932.93"/>
    <n v="2"/>
    <s v="Walk-in"/>
    <n v="932.93"/>
    <s v="OK"/>
    <x v="2"/>
    <x v="0"/>
    <s v="11–20%"/>
    <x v="2"/>
    <x v="4"/>
  </r>
  <r>
    <x v="2774"/>
    <d v="2025-05-06T00:00:00"/>
    <n v="10"/>
    <s v="T011"/>
    <x v="0"/>
    <n v="904.04"/>
    <x v="1"/>
    <n v="904.04"/>
    <n v="2"/>
    <s v="Walk-in"/>
    <n v="904.04"/>
    <s v="OK"/>
    <x v="1"/>
    <x v="0"/>
    <s v="0%"/>
    <x v="1"/>
    <x v="10"/>
  </r>
  <r>
    <x v="2775"/>
    <d v="2025-02-10T00:00:00"/>
    <n v="17"/>
    <s v="T001"/>
    <x v="0"/>
    <n v="898.55"/>
    <x v="4"/>
    <n v="718.84"/>
    <n v="1"/>
    <s v="Walk-in"/>
    <n v="718.84"/>
    <s v="OK"/>
    <x v="0"/>
    <x v="0"/>
    <s v="11–20%"/>
    <x v="1"/>
    <x v="7"/>
  </r>
  <r>
    <x v="2776"/>
    <d v="2025-05-18T00:00:00"/>
    <n v="22"/>
    <s v="T010"/>
    <x v="0"/>
    <n v="421.28"/>
    <x v="1"/>
    <n v="421.28"/>
    <n v="1"/>
    <s v="Walk-in"/>
    <n v="421.28"/>
    <s v="OK"/>
    <x v="1"/>
    <x v="1"/>
    <s v="0%"/>
    <x v="2"/>
    <x v="4"/>
  </r>
  <r>
    <x v="2777"/>
    <d v="2025-05-05T00:00:00"/>
    <n v="19"/>
    <s v="T010"/>
    <x v="0"/>
    <n v="980.66"/>
    <x v="3"/>
    <n v="882.59"/>
    <n v="2"/>
    <s v="Member"/>
    <n v="882.59"/>
    <s v="OK"/>
    <x v="1"/>
    <x v="0"/>
    <s v="1–_x000a_10%"/>
    <x v="2"/>
    <x v="4"/>
  </r>
  <r>
    <x v="2778"/>
    <d v="2025-06-24T00:00:00"/>
    <n v="14"/>
    <s v="T005"/>
    <x v="3"/>
    <n v="2351.21"/>
    <x v="4"/>
    <n v="1880.97"/>
    <n v="1"/>
    <s v="Member"/>
    <n v="1880.97"/>
    <s v="OK"/>
    <x v="3"/>
    <x v="0"/>
    <s v="11–20%"/>
    <x v="2"/>
    <x v="4"/>
  </r>
  <r>
    <x v="2779"/>
    <d v="2025-01-19T00:00:00"/>
    <n v="17"/>
    <s v="T026"/>
    <x v="0"/>
    <n v="397.18"/>
    <x v="1"/>
    <n v="397.18"/>
    <n v="3"/>
    <s v="Member"/>
    <n v="397.18"/>
    <s v="OK"/>
    <x v="2"/>
    <x v="1"/>
    <s v="0%"/>
    <x v="1"/>
    <x v="10"/>
  </r>
  <r>
    <x v="2780"/>
    <d v="2025-06-11T00:00:00"/>
    <n v="13"/>
    <s v="T020"/>
    <x v="0"/>
    <n v="622.78"/>
    <x v="1"/>
    <n v="622.78"/>
    <n v="5"/>
    <s v="Walk-in"/>
    <n v="622.78"/>
    <s v="OK"/>
    <x v="3"/>
    <x v="0"/>
    <s v="0%"/>
    <x v="2"/>
    <x v="2"/>
  </r>
  <r>
    <x v="2781"/>
    <d v="2025-06-02T00:00:00"/>
    <n v="18"/>
    <s v="T004"/>
    <x v="0"/>
    <n v="4328.0600000000004"/>
    <x v="0"/>
    <n v="3678.85"/>
    <n v="1"/>
    <s v="Member"/>
    <n v="3678.85"/>
    <s v="OK"/>
    <x v="3"/>
    <x v="0"/>
    <s v="11–20%"/>
    <x v="0"/>
    <x v="0"/>
  </r>
  <r>
    <x v="2782"/>
    <d v="2025-05-04T00:00:00"/>
    <n v="19"/>
    <s v="T014"/>
    <x v="0"/>
    <n v="1675.68"/>
    <x v="3"/>
    <n v="1508.11"/>
    <n v="1"/>
    <s v="Walk-in"/>
    <n v="1508.11"/>
    <s v="OK"/>
    <x v="1"/>
    <x v="1"/>
    <s v="1–_x000a_10%"/>
    <x v="0"/>
    <x v="6"/>
  </r>
  <r>
    <x v="2783"/>
    <d v="2025-03-22T00:00:00"/>
    <n v="14"/>
    <s v="T024"/>
    <x v="3"/>
    <n v="602.12"/>
    <x v="1"/>
    <n v="602.12"/>
    <n v="1"/>
    <s v="Walk-in"/>
    <n v="602.12"/>
    <s v="OK"/>
    <x v="5"/>
    <x v="1"/>
    <s v="0%"/>
    <x v="0"/>
    <x v="0"/>
  </r>
  <r>
    <x v="2784"/>
    <d v="2025-04-26T00:00:00"/>
    <n v="21"/>
    <s v="T002"/>
    <x v="2"/>
    <n v="1555.51"/>
    <x v="3"/>
    <n v="1399.96"/>
    <n v="1"/>
    <s v="Walk-in"/>
    <n v="1399.96"/>
    <s v="OK"/>
    <x v="4"/>
    <x v="1"/>
    <s v="1–_x000a_10%"/>
    <x v="4"/>
    <x v="9"/>
  </r>
  <r>
    <x v="2785"/>
    <d v="2025-04-25T00:00:00"/>
    <n v="17"/>
    <s v="T012"/>
    <x v="0"/>
    <n v="1539.59"/>
    <x v="1"/>
    <n v="1539.59"/>
    <n v="2"/>
    <s v="Walk-in"/>
    <n v="1539.59"/>
    <s v="OK"/>
    <x v="4"/>
    <x v="0"/>
    <s v="0%"/>
    <x v="4"/>
    <x v="9"/>
  </r>
  <r>
    <x v="2786"/>
    <d v="2025-03-31T00:00:00"/>
    <n v="10"/>
    <s v="T023"/>
    <x v="0"/>
    <n v="588.55999999999995"/>
    <x v="1"/>
    <n v="588.55999999999995"/>
    <n v="4"/>
    <s v="Member"/>
    <n v="588.55999999999995"/>
    <s v="OK"/>
    <x v="5"/>
    <x v="0"/>
    <s v="0%"/>
    <x v="3"/>
    <x v="11"/>
  </r>
  <r>
    <x v="2787"/>
    <d v="2025-02-01T00:00:00"/>
    <n v="11"/>
    <s v="T029"/>
    <x v="3"/>
    <n v="1613.8"/>
    <x v="1"/>
    <n v="1613.8"/>
    <n v="1"/>
    <s v="Walk-in"/>
    <n v="1613.8"/>
    <s v="OK"/>
    <x v="0"/>
    <x v="1"/>
    <s v="0%"/>
    <x v="0"/>
    <x v="6"/>
  </r>
  <r>
    <x v="2788"/>
    <d v="2025-02-21T00:00:00"/>
    <n v="18"/>
    <s v="T021"/>
    <x v="2"/>
    <n v="1407.2"/>
    <x v="5"/>
    <n v="1336.84"/>
    <n v="1"/>
    <s v="Walk-in"/>
    <n v="1336.84"/>
    <s v="OK"/>
    <x v="0"/>
    <x v="0"/>
    <s v="1–_x000a_10%"/>
    <x v="1"/>
    <x v="1"/>
  </r>
  <r>
    <x v="2789"/>
    <d v="2025-05-04T00:00:00"/>
    <n v="14"/>
    <s v="T028"/>
    <x v="2"/>
    <n v="491.39"/>
    <x v="1"/>
    <n v="491.39"/>
    <n v="2"/>
    <s v="Member"/>
    <n v="491.39"/>
    <s v="OK"/>
    <x v="1"/>
    <x v="1"/>
    <s v="0%"/>
    <x v="3"/>
    <x v="5"/>
  </r>
  <r>
    <x v="2790"/>
    <d v="2025-03-22T00:00:00"/>
    <n v="22"/>
    <s v="T002"/>
    <x v="0"/>
    <n v="603.14"/>
    <x v="1"/>
    <n v="603.14"/>
    <n v="6"/>
    <s v="Walk-in"/>
    <n v="603.14"/>
    <s v="OK"/>
    <x v="5"/>
    <x v="1"/>
    <s v="0%"/>
    <x v="4"/>
    <x v="9"/>
  </r>
  <r>
    <x v="2791"/>
    <d v="2025-06-04T00:00:00"/>
    <n v="19"/>
    <s v="T028"/>
    <x v="2"/>
    <n v="2781.85"/>
    <x v="1"/>
    <n v="2781.85"/>
    <n v="1"/>
    <s v="Member"/>
    <n v="2781.85"/>
    <s v="OK"/>
    <x v="3"/>
    <x v="0"/>
    <s v="0%"/>
    <x v="3"/>
    <x v="5"/>
  </r>
  <r>
    <x v="2792"/>
    <d v="2025-03-15T00:00:00"/>
    <n v="12"/>
    <s v="T011"/>
    <x v="2"/>
    <n v="1268.7"/>
    <x v="0"/>
    <n v="1078.3900000000001"/>
    <n v="1"/>
    <s v="Member"/>
    <n v="1078.4000000000001"/>
    <s v="OK"/>
    <x v="5"/>
    <x v="1"/>
    <s v="11–20%"/>
    <x v="1"/>
    <x v="10"/>
  </r>
  <r>
    <x v="2793"/>
    <d v="2025-02-16T00:00:00"/>
    <n v="10"/>
    <s v="T020"/>
    <x v="0"/>
    <n v="2309.41"/>
    <x v="5"/>
    <n v="2193.94"/>
    <n v="1"/>
    <s v="Walk-in"/>
    <n v="2193.94"/>
    <s v="OK"/>
    <x v="0"/>
    <x v="1"/>
    <s v="1–_x000a_10%"/>
    <x v="2"/>
    <x v="2"/>
  </r>
  <r>
    <x v="2794"/>
    <d v="2025-02-01T00:00:00"/>
    <n v="14"/>
    <s v="T025"/>
    <x v="0"/>
    <n v="699.99"/>
    <x v="0"/>
    <n v="594.99"/>
    <n v="1"/>
    <s v="Walk-in"/>
    <n v="594.99"/>
    <s v="OK"/>
    <x v="0"/>
    <x v="1"/>
    <s v="11–20%"/>
    <x v="2"/>
    <x v="2"/>
  </r>
  <r>
    <x v="2795"/>
    <d v="2025-04-25T00:00:00"/>
    <n v="16"/>
    <s v="T007"/>
    <x v="1"/>
    <n v="1113.79"/>
    <x v="4"/>
    <n v="891.03"/>
    <n v="3"/>
    <s v="Walk-in"/>
    <n v="891.03"/>
    <s v="OK"/>
    <x v="4"/>
    <x v="0"/>
    <s v="11–20%"/>
    <x v="4"/>
    <x v="8"/>
  </r>
  <r>
    <x v="2796"/>
    <d v="2025-05-21T00:00:00"/>
    <n v="15"/>
    <s v="T004"/>
    <x v="0"/>
    <n v="869.74"/>
    <x v="1"/>
    <n v="869.74"/>
    <n v="1"/>
    <s v="Walk-in"/>
    <n v="869.74"/>
    <s v="OK"/>
    <x v="1"/>
    <x v="0"/>
    <s v="0%"/>
    <x v="0"/>
    <x v="0"/>
  </r>
  <r>
    <x v="2797"/>
    <d v="2025-06-06T00:00:00"/>
    <n v="19"/>
    <s v="T001"/>
    <x v="0"/>
    <n v="952.9"/>
    <x v="0"/>
    <n v="809.96"/>
    <n v="1"/>
    <s v="Walk-in"/>
    <n v="809.97"/>
    <s v="OK"/>
    <x v="3"/>
    <x v="0"/>
    <s v="11–20%"/>
    <x v="1"/>
    <x v="7"/>
  </r>
  <r>
    <x v="2798"/>
    <d v="2025-03-27T00:00:00"/>
    <n v="11"/>
    <s v="T012"/>
    <x v="0"/>
    <n v="546.78"/>
    <x v="2"/>
    <n v="382.75"/>
    <n v="2"/>
    <s v="Walk-in"/>
    <n v="382.75"/>
    <s v="OK"/>
    <x v="5"/>
    <x v="0"/>
    <s v="&gt;20%"/>
    <x v="4"/>
    <x v="9"/>
  </r>
  <r>
    <x v="2799"/>
    <d v="2025-04-29T00:00:00"/>
    <n v="18"/>
    <s v="T030"/>
    <x v="2"/>
    <n v="623.14"/>
    <x v="1"/>
    <n v="623.14"/>
    <n v="1"/>
    <s v="Walk-in"/>
    <n v="623.14"/>
    <s v="OK"/>
    <x v="4"/>
    <x v="0"/>
    <s v="0%"/>
    <x v="2"/>
    <x v="2"/>
  </r>
  <r>
    <x v="2800"/>
    <d v="2025-04-17T00:00:00"/>
    <n v="14"/>
    <s v="T027"/>
    <x v="0"/>
    <n v="827.46"/>
    <x v="1"/>
    <n v="827.46"/>
    <n v="2"/>
    <s v="Walk-in"/>
    <n v="827.46"/>
    <s v="OK"/>
    <x v="4"/>
    <x v="0"/>
    <s v="0%"/>
    <x v="4"/>
    <x v="9"/>
  </r>
  <r>
    <x v="2801"/>
    <d v="2025-05-30T00:00:00"/>
    <n v="16"/>
    <s v="T002"/>
    <x v="2"/>
    <n v="396.71"/>
    <x v="3"/>
    <n v="357.04"/>
    <n v="2"/>
    <s v="Walk-in"/>
    <n v="357.04"/>
    <s v="OK"/>
    <x v="1"/>
    <x v="0"/>
    <s v="1–_x000a_10%"/>
    <x v="4"/>
    <x v="9"/>
  </r>
  <r>
    <x v="2802"/>
    <d v="2025-02-08T00:00:00"/>
    <n v="14"/>
    <s v="T022"/>
    <x v="2"/>
    <n v="907.25"/>
    <x v="1"/>
    <n v="907.25"/>
    <n v="1"/>
    <s v="Member"/>
    <n v="907.25"/>
    <s v="OK"/>
    <x v="0"/>
    <x v="1"/>
    <s v="0%"/>
    <x v="4"/>
    <x v="8"/>
  </r>
  <r>
    <x v="2803"/>
    <d v="2025-04-07T00:00:00"/>
    <n v="21"/>
    <s v="T003"/>
    <x v="2"/>
    <n v="2161.91"/>
    <x v="3"/>
    <n v="1945.72"/>
    <n v="6"/>
    <s v="Walk-in"/>
    <n v="1945.72"/>
    <s v="OK"/>
    <x v="4"/>
    <x v="0"/>
    <s v="1–_x000a_10%"/>
    <x v="3"/>
    <x v="3"/>
  </r>
  <r>
    <x v="2804"/>
    <d v="2025-04-26T00:00:00"/>
    <n v="15"/>
    <s v="T008"/>
    <x v="0"/>
    <n v="952.46"/>
    <x v="4"/>
    <n v="761.97"/>
    <n v="5"/>
    <s v="Walk-in"/>
    <n v="761.97"/>
    <s v="OK"/>
    <x v="4"/>
    <x v="1"/>
    <s v="11–20%"/>
    <x v="3"/>
    <x v="5"/>
  </r>
  <r>
    <x v="2805"/>
    <d v="2025-05-05T00:00:00"/>
    <n v="15"/>
    <s v="T002"/>
    <x v="1"/>
    <n v="497.12"/>
    <x v="3"/>
    <n v="447.41"/>
    <n v="5"/>
    <s v="Member"/>
    <n v="447.41"/>
    <s v="OK"/>
    <x v="1"/>
    <x v="0"/>
    <s v="1–_x000a_10%"/>
    <x v="4"/>
    <x v="9"/>
  </r>
  <r>
    <x v="2806"/>
    <d v="2025-04-02T00:00:00"/>
    <n v="20"/>
    <s v="T024"/>
    <x v="1"/>
    <n v="851.83"/>
    <x v="4"/>
    <n v="681.46"/>
    <n v="4"/>
    <s v="Walk-in"/>
    <n v="681.46"/>
    <s v="OK"/>
    <x v="4"/>
    <x v="0"/>
    <s v="11–20%"/>
    <x v="0"/>
    <x v="0"/>
  </r>
  <r>
    <x v="2807"/>
    <d v="2025-06-08T00:00:00"/>
    <n v="13"/>
    <s v="T005"/>
    <x v="1"/>
    <n v="792.63"/>
    <x v="1"/>
    <n v="792.63"/>
    <n v="3"/>
    <s v="Walk-in"/>
    <n v="792.63"/>
    <s v="OK"/>
    <x v="3"/>
    <x v="1"/>
    <s v="0%"/>
    <x v="2"/>
    <x v="4"/>
  </r>
  <r>
    <x v="2808"/>
    <d v="2025-02-10T00:00:00"/>
    <n v="14"/>
    <s v="T008"/>
    <x v="1"/>
    <n v="2308.13"/>
    <x v="5"/>
    <n v="2192.7199999999998"/>
    <n v="2"/>
    <s v="Walk-in"/>
    <n v="2192.7199999999998"/>
    <s v="OK"/>
    <x v="0"/>
    <x v="0"/>
    <s v="1–_x000a_10%"/>
    <x v="3"/>
    <x v="5"/>
  </r>
  <r>
    <x v="2809"/>
    <d v="2025-06-29T00:00:00"/>
    <n v="12"/>
    <s v="T022"/>
    <x v="2"/>
    <n v="848.08"/>
    <x v="3"/>
    <n v="763.27"/>
    <n v="1"/>
    <s v="Member"/>
    <n v="763.27"/>
    <s v="OK"/>
    <x v="3"/>
    <x v="1"/>
    <s v="1–_x000a_10%"/>
    <x v="4"/>
    <x v="8"/>
  </r>
  <r>
    <x v="2810"/>
    <d v="2025-01-13T00:00:00"/>
    <n v="20"/>
    <s v="T017"/>
    <x v="3"/>
    <n v="1504.77"/>
    <x v="1"/>
    <n v="1504.77"/>
    <n v="1"/>
    <s v="Member"/>
    <n v="1504.77"/>
    <s v="OK"/>
    <x v="2"/>
    <x v="0"/>
    <s v="0%"/>
    <x v="4"/>
    <x v="8"/>
  </r>
  <r>
    <x v="2811"/>
    <d v="2025-03-28T00:00:00"/>
    <n v="10"/>
    <s v="T020"/>
    <x v="0"/>
    <n v="2916.55"/>
    <x v="0"/>
    <n v="2479.0700000000002"/>
    <n v="1"/>
    <s v="Walk-in"/>
    <n v="2479.0700000000002"/>
    <s v="OK"/>
    <x v="5"/>
    <x v="0"/>
    <s v="11–20%"/>
    <x v="2"/>
    <x v="2"/>
  </r>
  <r>
    <x v="2812"/>
    <d v="2025-01-08T00:00:00"/>
    <n v="14"/>
    <s v="T024"/>
    <x v="2"/>
    <n v="421.84"/>
    <x v="1"/>
    <n v="421.84"/>
    <n v="5"/>
    <s v="Member"/>
    <n v="421.84"/>
    <s v="OK"/>
    <x v="2"/>
    <x v="0"/>
    <s v="0%"/>
    <x v="0"/>
    <x v="0"/>
  </r>
  <r>
    <x v="2813"/>
    <d v="2025-06-02T00:00:00"/>
    <n v="20"/>
    <s v="T012"/>
    <x v="2"/>
    <n v="451.84"/>
    <x v="1"/>
    <n v="451.84"/>
    <n v="3"/>
    <s v="Member"/>
    <n v="451.84"/>
    <s v="OK"/>
    <x v="3"/>
    <x v="0"/>
    <s v="0%"/>
    <x v="4"/>
    <x v="9"/>
  </r>
  <r>
    <x v="2814"/>
    <d v="2025-02-15T00:00:00"/>
    <n v="12"/>
    <s v="T007"/>
    <x v="0"/>
    <n v="831.59"/>
    <x v="1"/>
    <n v="831.59"/>
    <n v="1"/>
    <s v="Walk-in"/>
    <n v="831.59"/>
    <s v="OK"/>
    <x v="0"/>
    <x v="1"/>
    <s v="0%"/>
    <x v="4"/>
    <x v="8"/>
  </r>
  <r>
    <x v="2815"/>
    <d v="2025-02-28T00:00:00"/>
    <n v="10"/>
    <s v="T001"/>
    <x v="0"/>
    <n v="689.66"/>
    <x v="3"/>
    <n v="620.69000000000005"/>
    <n v="3"/>
    <s v="Member"/>
    <n v="620.69000000000005"/>
    <s v="OK"/>
    <x v="0"/>
    <x v="0"/>
    <s v="1–_x000a_10%"/>
    <x v="1"/>
    <x v="7"/>
  </r>
  <r>
    <x v="2816"/>
    <d v="2025-06-02T00:00:00"/>
    <n v="17"/>
    <s v="T026"/>
    <x v="1"/>
    <n v="1465.95"/>
    <x v="0"/>
    <n v="1246.06"/>
    <n v="3"/>
    <s v="Member"/>
    <n v="1246.06"/>
    <s v="OK"/>
    <x v="3"/>
    <x v="0"/>
    <s v="11–20%"/>
    <x v="1"/>
    <x v="10"/>
  </r>
  <r>
    <x v="2817"/>
    <d v="2025-03-13T00:00:00"/>
    <n v="11"/>
    <s v="T014"/>
    <x v="0"/>
    <n v="1628.31"/>
    <x v="1"/>
    <n v="1628.31"/>
    <n v="5"/>
    <s v="Walk-in"/>
    <n v="1628.31"/>
    <s v="OK"/>
    <x v="5"/>
    <x v="0"/>
    <s v="0%"/>
    <x v="0"/>
    <x v="6"/>
  </r>
  <r>
    <x v="2818"/>
    <d v="2025-01-17T00:00:00"/>
    <n v="18"/>
    <s v="T005"/>
    <x v="3"/>
    <n v="628.37"/>
    <x v="3"/>
    <n v="565.53"/>
    <n v="3"/>
    <s v="Walk-in"/>
    <n v="565.53"/>
    <s v="OK"/>
    <x v="2"/>
    <x v="0"/>
    <s v="1–_x000a_10%"/>
    <x v="2"/>
    <x v="4"/>
  </r>
  <r>
    <x v="2819"/>
    <d v="2025-03-31T00:00:00"/>
    <n v="12"/>
    <s v="T004"/>
    <x v="0"/>
    <n v="1959.44"/>
    <x v="4"/>
    <n v="1567.55"/>
    <n v="1"/>
    <s v="Member"/>
    <n v="1567.55"/>
    <s v="OK"/>
    <x v="5"/>
    <x v="0"/>
    <s v="11–20%"/>
    <x v="0"/>
    <x v="0"/>
  </r>
  <r>
    <x v="2820"/>
    <d v="2025-04-26T00:00:00"/>
    <n v="20"/>
    <s v="T015"/>
    <x v="1"/>
    <n v="1129.46"/>
    <x v="4"/>
    <n v="903.57"/>
    <n v="3"/>
    <s v="Walk-in"/>
    <n v="903.57"/>
    <s v="OK"/>
    <x v="4"/>
    <x v="1"/>
    <s v="11–20%"/>
    <x v="2"/>
    <x v="4"/>
  </r>
  <r>
    <x v="2821"/>
    <d v="2025-03-17T00:00:00"/>
    <n v="12"/>
    <s v="T007"/>
    <x v="2"/>
    <n v="821.81"/>
    <x v="4"/>
    <n v="657.45"/>
    <n v="2"/>
    <s v="Walk-in"/>
    <n v="657.45"/>
    <s v="OK"/>
    <x v="5"/>
    <x v="0"/>
    <s v="11–20%"/>
    <x v="4"/>
    <x v="8"/>
  </r>
  <r>
    <x v="2822"/>
    <d v="2025-03-02T00:00:00"/>
    <n v="17"/>
    <s v="T025"/>
    <x v="1"/>
    <n v="425.43"/>
    <x v="3"/>
    <n v="382.89"/>
    <n v="1"/>
    <s v="Member"/>
    <n v="382.89"/>
    <s v="OK"/>
    <x v="5"/>
    <x v="1"/>
    <s v="1–_x000a_10%"/>
    <x v="2"/>
    <x v="2"/>
  </r>
  <r>
    <x v="2823"/>
    <d v="2025-05-24T00:00:00"/>
    <n v="15"/>
    <s v="T020"/>
    <x v="2"/>
    <n v="1090.1400000000001"/>
    <x v="1"/>
    <n v="1090.1400000000001"/>
    <n v="2"/>
    <s v="Member"/>
    <n v="1090.1400000000001"/>
    <s v="OK"/>
    <x v="1"/>
    <x v="1"/>
    <s v="0%"/>
    <x v="2"/>
    <x v="2"/>
  </r>
  <r>
    <x v="2824"/>
    <d v="2025-06-25T00:00:00"/>
    <n v="21"/>
    <s v="T018"/>
    <x v="1"/>
    <n v="620.58000000000004"/>
    <x v="1"/>
    <n v="620.58000000000004"/>
    <n v="1"/>
    <s v="Walk-in"/>
    <n v="620.58000000000004"/>
    <s v="OK"/>
    <x v="3"/>
    <x v="0"/>
    <s v="0%"/>
    <x v="3"/>
    <x v="3"/>
  </r>
  <r>
    <x v="2825"/>
    <d v="2025-05-23T00:00:00"/>
    <n v="21"/>
    <s v="T019"/>
    <x v="0"/>
    <n v="2587.87"/>
    <x v="2"/>
    <n v="1811.51"/>
    <n v="1"/>
    <s v="Walk-in"/>
    <n v="1811.51"/>
    <s v="OK"/>
    <x v="1"/>
    <x v="0"/>
    <s v="&gt;20%"/>
    <x v="0"/>
    <x v="0"/>
  </r>
  <r>
    <x v="2826"/>
    <d v="2025-06-05T00:00:00"/>
    <n v="10"/>
    <s v="T015"/>
    <x v="0"/>
    <n v="301.99"/>
    <x v="1"/>
    <n v="301.99"/>
    <n v="1"/>
    <s v="Walk-in"/>
    <n v="301.99"/>
    <s v="OK"/>
    <x v="3"/>
    <x v="0"/>
    <s v="0%"/>
    <x v="2"/>
    <x v="4"/>
  </r>
  <r>
    <x v="2827"/>
    <d v="2025-01-12T00:00:00"/>
    <n v="13"/>
    <s v="T004"/>
    <x v="0"/>
    <n v="594.95000000000005"/>
    <x v="1"/>
    <n v="594.95000000000005"/>
    <n v="5"/>
    <s v="Member"/>
    <n v="594.95000000000005"/>
    <s v="OK"/>
    <x v="2"/>
    <x v="1"/>
    <s v="0%"/>
    <x v="0"/>
    <x v="0"/>
  </r>
  <r>
    <x v="2828"/>
    <d v="2025-03-26T00:00:00"/>
    <n v="10"/>
    <s v="T009"/>
    <x v="3"/>
    <n v="378.34"/>
    <x v="1"/>
    <n v="378.34"/>
    <n v="2"/>
    <s v="Walk-in"/>
    <n v="378.34"/>
    <s v="OK"/>
    <x v="5"/>
    <x v="0"/>
    <s v="0%"/>
    <x v="0"/>
    <x v="6"/>
  </r>
  <r>
    <x v="2829"/>
    <d v="2025-01-10T00:00:00"/>
    <n v="11"/>
    <s v="T009"/>
    <x v="2"/>
    <n v="565.51"/>
    <x v="5"/>
    <n v="537.23"/>
    <n v="1"/>
    <s v="Walk-in"/>
    <n v="537.23"/>
    <s v="OK"/>
    <x v="2"/>
    <x v="0"/>
    <s v="1–_x000a_10%"/>
    <x v="0"/>
    <x v="6"/>
  </r>
  <r>
    <x v="2830"/>
    <d v="2025-01-06T00:00:00"/>
    <n v="17"/>
    <s v="T024"/>
    <x v="2"/>
    <n v="636.79"/>
    <x v="5"/>
    <n v="604.95000000000005"/>
    <n v="1"/>
    <s v="Walk-in"/>
    <n v="604.95000000000005"/>
    <s v="OK"/>
    <x v="2"/>
    <x v="0"/>
    <s v="1–_x000a_10%"/>
    <x v="0"/>
    <x v="0"/>
  </r>
  <r>
    <x v="2831"/>
    <d v="2025-04-22T00:00:00"/>
    <n v="16"/>
    <s v="T012"/>
    <x v="0"/>
    <n v="495.44"/>
    <x v="2"/>
    <n v="346.81"/>
    <n v="2"/>
    <s v="Walk-in"/>
    <n v="346.81"/>
    <s v="OK"/>
    <x v="4"/>
    <x v="0"/>
    <s v="&gt;20%"/>
    <x v="4"/>
    <x v="9"/>
  </r>
  <r>
    <x v="2832"/>
    <d v="2025-04-14T00:00:00"/>
    <n v="17"/>
    <s v="T017"/>
    <x v="3"/>
    <n v="1245.8699999999999"/>
    <x v="1"/>
    <n v="1245.8699999999999"/>
    <n v="6"/>
    <s v="Member"/>
    <n v="1245.8699999999999"/>
    <s v="OK"/>
    <x v="4"/>
    <x v="0"/>
    <s v="0%"/>
    <x v="4"/>
    <x v="8"/>
  </r>
  <r>
    <x v="2833"/>
    <d v="2025-04-23T00:00:00"/>
    <n v="22"/>
    <s v="T007"/>
    <x v="0"/>
    <n v="3120.35"/>
    <x v="3"/>
    <n v="2808.32"/>
    <n v="1"/>
    <s v="Member"/>
    <n v="2808.32"/>
    <s v="OK"/>
    <x v="4"/>
    <x v="0"/>
    <s v="1–_x000a_10%"/>
    <x v="4"/>
    <x v="8"/>
  </r>
  <r>
    <x v="2834"/>
    <d v="2025-01-03T00:00:00"/>
    <n v="22"/>
    <s v="T028"/>
    <x v="0"/>
    <n v="494.16"/>
    <x v="3"/>
    <n v="444.74"/>
    <n v="1"/>
    <s v="Member"/>
    <n v="444.74"/>
    <s v="OK"/>
    <x v="2"/>
    <x v="0"/>
    <s v="1–_x000a_10%"/>
    <x v="3"/>
    <x v="5"/>
  </r>
  <r>
    <x v="2835"/>
    <d v="2025-05-02T00:00:00"/>
    <n v="15"/>
    <s v="T020"/>
    <x v="2"/>
    <n v="1140.5999999999999"/>
    <x v="1"/>
    <n v="1140.5999999999999"/>
    <n v="4"/>
    <s v="Walk-in"/>
    <n v="1140.5999999999999"/>
    <s v="OK"/>
    <x v="1"/>
    <x v="0"/>
    <s v="0%"/>
    <x v="2"/>
    <x v="2"/>
  </r>
  <r>
    <x v="2836"/>
    <d v="2025-03-12T00:00:00"/>
    <n v="21"/>
    <s v="T009"/>
    <x v="2"/>
    <n v="658.15"/>
    <x v="3"/>
    <n v="592.34"/>
    <n v="1"/>
    <s v="Walk-in"/>
    <n v="592.34"/>
    <s v="OK"/>
    <x v="5"/>
    <x v="0"/>
    <s v="1–_x000a_10%"/>
    <x v="0"/>
    <x v="6"/>
  </r>
  <r>
    <x v="2837"/>
    <d v="2025-04-02T00:00:00"/>
    <n v="18"/>
    <s v="T008"/>
    <x v="2"/>
    <n v="590.02"/>
    <x v="4"/>
    <n v="472.02"/>
    <n v="1"/>
    <s v="Member"/>
    <n v="472.02"/>
    <s v="OK"/>
    <x v="4"/>
    <x v="0"/>
    <s v="11–20%"/>
    <x v="3"/>
    <x v="5"/>
  </r>
  <r>
    <x v="2838"/>
    <d v="2025-06-03T00:00:00"/>
    <n v="18"/>
    <s v="T027"/>
    <x v="2"/>
    <n v="967.96"/>
    <x v="4"/>
    <n v="774.37"/>
    <n v="4"/>
    <s v="Walk-in"/>
    <n v="774.37"/>
    <s v="OK"/>
    <x v="3"/>
    <x v="0"/>
    <s v="11–20%"/>
    <x v="4"/>
    <x v="9"/>
  </r>
  <r>
    <x v="2839"/>
    <d v="2025-03-11T00:00:00"/>
    <n v="14"/>
    <s v="T003"/>
    <x v="2"/>
    <n v="1156.24"/>
    <x v="4"/>
    <n v="924.99"/>
    <n v="2"/>
    <s v="Walk-in"/>
    <n v="924.99"/>
    <s v="OK"/>
    <x v="5"/>
    <x v="0"/>
    <s v="11–20%"/>
    <x v="3"/>
    <x v="3"/>
  </r>
  <r>
    <x v="2840"/>
    <d v="2025-05-19T00:00:00"/>
    <n v="11"/>
    <s v="T007"/>
    <x v="1"/>
    <n v="1301.8900000000001"/>
    <x v="1"/>
    <n v="1301.8900000000001"/>
    <n v="2"/>
    <s v="Walk-in"/>
    <n v="1301.8900000000001"/>
    <s v="OK"/>
    <x v="1"/>
    <x v="0"/>
    <s v="0%"/>
    <x v="4"/>
    <x v="8"/>
  </r>
  <r>
    <x v="2841"/>
    <d v="2025-02-07T00:00:00"/>
    <n v="16"/>
    <s v="T020"/>
    <x v="0"/>
    <n v="536.41999999999996"/>
    <x v="1"/>
    <n v="536.41999999999996"/>
    <n v="3"/>
    <s v="Walk-in"/>
    <n v="536.41999999999996"/>
    <s v="OK"/>
    <x v="0"/>
    <x v="0"/>
    <s v="0%"/>
    <x v="2"/>
    <x v="2"/>
  </r>
  <r>
    <x v="2842"/>
    <d v="2025-02-13T00:00:00"/>
    <n v="10"/>
    <s v="T023"/>
    <x v="2"/>
    <n v="627.49"/>
    <x v="4"/>
    <n v="501.99"/>
    <n v="3"/>
    <s v="Walk-in"/>
    <n v="501.99"/>
    <s v="OK"/>
    <x v="0"/>
    <x v="0"/>
    <s v="11–20%"/>
    <x v="3"/>
    <x v="11"/>
  </r>
  <r>
    <x v="2843"/>
    <d v="2025-05-20T00:00:00"/>
    <n v="10"/>
    <s v="T014"/>
    <x v="0"/>
    <n v="3435.93"/>
    <x v="3"/>
    <n v="3092.34"/>
    <n v="5"/>
    <s v="Member"/>
    <n v="3092.34"/>
    <s v="OK"/>
    <x v="1"/>
    <x v="0"/>
    <s v="1–_x000a_10%"/>
    <x v="0"/>
    <x v="6"/>
  </r>
  <r>
    <x v="2844"/>
    <d v="2025-04-09T00:00:00"/>
    <n v="16"/>
    <s v="T023"/>
    <x v="1"/>
    <n v="399.47"/>
    <x v="1"/>
    <n v="399.47"/>
    <n v="3"/>
    <s v="Walk-in"/>
    <n v="399.47"/>
    <s v="OK"/>
    <x v="4"/>
    <x v="0"/>
    <s v="0%"/>
    <x v="3"/>
    <x v="11"/>
  </r>
  <r>
    <x v="2845"/>
    <d v="2025-06-14T00:00:00"/>
    <n v="18"/>
    <s v="T001"/>
    <x v="0"/>
    <n v="1860.64"/>
    <x v="1"/>
    <n v="1860.64"/>
    <n v="2"/>
    <s v="Walk-in"/>
    <n v="1860.64"/>
    <s v="OK"/>
    <x v="3"/>
    <x v="1"/>
    <s v="0%"/>
    <x v="1"/>
    <x v="7"/>
  </r>
  <r>
    <x v="2846"/>
    <d v="2025-01-06T00:00:00"/>
    <n v="17"/>
    <s v="T029"/>
    <x v="2"/>
    <n v="504.15"/>
    <x v="1"/>
    <n v="504.15"/>
    <n v="1"/>
    <s v="Walk-in"/>
    <n v="504.15"/>
    <s v="OK"/>
    <x v="2"/>
    <x v="0"/>
    <s v="0%"/>
    <x v="0"/>
    <x v="6"/>
  </r>
  <r>
    <x v="2847"/>
    <d v="2025-04-13T00:00:00"/>
    <n v="14"/>
    <s v="T012"/>
    <x v="1"/>
    <n v="1957.23"/>
    <x v="1"/>
    <n v="1957.23"/>
    <n v="5"/>
    <s v="Walk-in"/>
    <n v="1957.23"/>
    <s v="OK"/>
    <x v="4"/>
    <x v="1"/>
    <s v="0%"/>
    <x v="4"/>
    <x v="9"/>
  </r>
  <r>
    <x v="2848"/>
    <d v="2025-05-12T00:00:00"/>
    <n v="10"/>
    <s v="T007"/>
    <x v="0"/>
    <n v="868.57"/>
    <x v="2"/>
    <n v="608"/>
    <n v="6"/>
    <s v="Walk-in"/>
    <n v="608"/>
    <s v="OK"/>
    <x v="1"/>
    <x v="0"/>
    <s v="&gt;20%"/>
    <x v="4"/>
    <x v="8"/>
  </r>
  <r>
    <x v="2849"/>
    <d v="2025-01-14T00:00:00"/>
    <n v="19"/>
    <s v="T017"/>
    <x v="1"/>
    <n v="1272.47"/>
    <x v="5"/>
    <n v="1208.8499999999999"/>
    <n v="2"/>
    <s v="Member"/>
    <n v="1208.8499999999999"/>
    <s v="OK"/>
    <x v="2"/>
    <x v="0"/>
    <s v="1–_x000a_10%"/>
    <x v="4"/>
    <x v="8"/>
  </r>
  <r>
    <x v="2850"/>
    <d v="2025-06-04T00:00:00"/>
    <n v="21"/>
    <s v="T001"/>
    <x v="0"/>
    <n v="2024.05"/>
    <x v="1"/>
    <n v="2024.05"/>
    <n v="1"/>
    <s v="Walk-in"/>
    <n v="2024.05"/>
    <s v="OK"/>
    <x v="3"/>
    <x v="0"/>
    <s v="0%"/>
    <x v="1"/>
    <x v="7"/>
  </r>
  <r>
    <x v="2851"/>
    <d v="2025-06-05T00:00:00"/>
    <n v="22"/>
    <s v="T017"/>
    <x v="0"/>
    <n v="1341.22"/>
    <x v="4"/>
    <n v="1072.98"/>
    <n v="2"/>
    <s v="Member"/>
    <n v="1072.98"/>
    <s v="OK"/>
    <x v="3"/>
    <x v="0"/>
    <s v="11–20%"/>
    <x v="4"/>
    <x v="8"/>
  </r>
  <r>
    <x v="2852"/>
    <d v="2025-05-28T00:00:00"/>
    <n v="12"/>
    <s v="T015"/>
    <x v="0"/>
    <n v="744.06"/>
    <x v="0"/>
    <n v="632.45000000000005"/>
    <n v="6"/>
    <s v="Walk-in"/>
    <n v="632.45000000000005"/>
    <s v="OK"/>
    <x v="1"/>
    <x v="0"/>
    <s v="11–20%"/>
    <x v="2"/>
    <x v="4"/>
  </r>
  <r>
    <x v="2853"/>
    <d v="2025-01-01T00:00:00"/>
    <n v="13"/>
    <s v="T008"/>
    <x v="0"/>
    <n v="816.15"/>
    <x v="1"/>
    <n v="816.15"/>
    <n v="2"/>
    <s v="Walk-in"/>
    <n v="816.15"/>
    <s v="OK"/>
    <x v="2"/>
    <x v="0"/>
    <s v="0%"/>
    <x v="3"/>
    <x v="5"/>
  </r>
  <r>
    <x v="2854"/>
    <d v="2025-05-04T00:00:00"/>
    <n v="15"/>
    <s v="T014"/>
    <x v="0"/>
    <n v="1059.74"/>
    <x v="1"/>
    <n v="1059.74"/>
    <n v="4"/>
    <s v="Walk-in"/>
    <n v="1059.74"/>
    <s v="OK"/>
    <x v="1"/>
    <x v="1"/>
    <s v="0%"/>
    <x v="0"/>
    <x v="6"/>
  </r>
  <r>
    <x v="2855"/>
    <d v="2025-01-10T00:00:00"/>
    <n v="11"/>
    <s v="T017"/>
    <x v="2"/>
    <n v="2457.02"/>
    <x v="3"/>
    <n v="2211.3200000000002"/>
    <n v="3"/>
    <s v="Walk-in"/>
    <n v="2211.3200000000002"/>
    <s v="OK"/>
    <x v="2"/>
    <x v="0"/>
    <s v="1–_x000a_10%"/>
    <x v="4"/>
    <x v="8"/>
  </r>
  <r>
    <x v="2856"/>
    <d v="2025-06-28T00:00:00"/>
    <n v="12"/>
    <s v="T003"/>
    <x v="0"/>
    <n v="983"/>
    <x v="5"/>
    <n v="933.85"/>
    <n v="3"/>
    <s v="Member"/>
    <n v="933.85"/>
    <s v="OK"/>
    <x v="3"/>
    <x v="1"/>
    <s v="1–_x000a_10%"/>
    <x v="3"/>
    <x v="3"/>
  </r>
  <r>
    <x v="2857"/>
    <d v="2025-04-12T00:00:00"/>
    <n v="19"/>
    <s v="T021"/>
    <x v="3"/>
    <n v="1450.04"/>
    <x v="1"/>
    <n v="1450.04"/>
    <n v="4"/>
    <s v="Walk-in"/>
    <n v="1450.04"/>
    <s v="OK"/>
    <x v="4"/>
    <x v="1"/>
    <s v="0%"/>
    <x v="1"/>
    <x v="1"/>
  </r>
  <r>
    <x v="2858"/>
    <d v="2025-01-04T00:00:00"/>
    <n v="22"/>
    <s v="T030"/>
    <x v="2"/>
    <n v="568.80999999999995"/>
    <x v="1"/>
    <n v="568.80999999999995"/>
    <n v="3"/>
    <s v="Walk-in"/>
    <n v="568.80999999999995"/>
    <s v="OK"/>
    <x v="2"/>
    <x v="1"/>
    <s v="0%"/>
    <x v="2"/>
    <x v="2"/>
  </r>
  <r>
    <x v="2859"/>
    <d v="2025-04-17T00:00:00"/>
    <n v="16"/>
    <s v="T008"/>
    <x v="2"/>
    <n v="398.16"/>
    <x v="5"/>
    <n v="378.25"/>
    <n v="2"/>
    <s v="Member"/>
    <n v="378.25"/>
    <s v="OK"/>
    <x v="4"/>
    <x v="0"/>
    <s v="1–_x000a_10%"/>
    <x v="3"/>
    <x v="5"/>
  </r>
  <r>
    <x v="2860"/>
    <d v="2025-05-29T00:00:00"/>
    <n v="19"/>
    <s v="T010"/>
    <x v="0"/>
    <n v="1815.05"/>
    <x v="1"/>
    <n v="1815.05"/>
    <n v="2"/>
    <s v="Member"/>
    <n v="1815.05"/>
    <s v="OK"/>
    <x v="1"/>
    <x v="0"/>
    <s v="0%"/>
    <x v="2"/>
    <x v="4"/>
  </r>
  <r>
    <x v="2861"/>
    <d v="2025-03-09T00:00:00"/>
    <n v="11"/>
    <s v="T022"/>
    <x v="0"/>
    <n v="2297.5700000000002"/>
    <x v="1"/>
    <n v="2297.5700000000002"/>
    <n v="3"/>
    <s v="Member"/>
    <n v="2297.5700000000002"/>
    <s v="OK"/>
    <x v="5"/>
    <x v="1"/>
    <s v="0%"/>
    <x v="4"/>
    <x v="8"/>
  </r>
  <r>
    <x v="2862"/>
    <d v="2025-05-08T00:00:00"/>
    <n v="10"/>
    <s v="T001"/>
    <x v="3"/>
    <n v="1478.33"/>
    <x v="1"/>
    <n v="1478.33"/>
    <n v="2"/>
    <s v="Walk-in"/>
    <n v="1478.33"/>
    <s v="OK"/>
    <x v="1"/>
    <x v="0"/>
    <s v="0%"/>
    <x v="1"/>
    <x v="7"/>
  </r>
  <r>
    <x v="2863"/>
    <d v="2025-04-09T00:00:00"/>
    <n v="21"/>
    <s v="T015"/>
    <x v="2"/>
    <n v="4390.6000000000004"/>
    <x v="0"/>
    <n v="3732.01"/>
    <n v="3"/>
    <s v="Walk-in"/>
    <n v="3732.01"/>
    <s v="OK"/>
    <x v="4"/>
    <x v="0"/>
    <s v="11–20%"/>
    <x v="2"/>
    <x v="4"/>
  </r>
  <r>
    <x v="2864"/>
    <d v="2025-06-13T00:00:00"/>
    <n v="13"/>
    <s v="T001"/>
    <x v="0"/>
    <n v="1181.8499999999999"/>
    <x v="5"/>
    <n v="1122.76"/>
    <n v="1"/>
    <s v="Member"/>
    <n v="1122.76"/>
    <s v="OK"/>
    <x v="3"/>
    <x v="0"/>
    <s v="1–_x000a_10%"/>
    <x v="1"/>
    <x v="7"/>
  </r>
  <r>
    <x v="2865"/>
    <d v="2025-04-20T00:00:00"/>
    <n v="22"/>
    <s v="T026"/>
    <x v="0"/>
    <n v="424.14"/>
    <x v="4"/>
    <n v="339.31"/>
    <n v="1"/>
    <s v="Member"/>
    <n v="339.31"/>
    <s v="OK"/>
    <x v="4"/>
    <x v="1"/>
    <s v="11–20%"/>
    <x v="1"/>
    <x v="10"/>
  </r>
  <r>
    <x v="2866"/>
    <d v="2025-03-17T00:00:00"/>
    <n v="21"/>
    <s v="T007"/>
    <x v="2"/>
    <n v="3310.69"/>
    <x v="4"/>
    <n v="2648.55"/>
    <n v="2"/>
    <s v="Walk-in"/>
    <n v="2648.55"/>
    <s v="OK"/>
    <x v="5"/>
    <x v="0"/>
    <s v="11–20%"/>
    <x v="4"/>
    <x v="8"/>
  </r>
  <r>
    <x v="2867"/>
    <d v="2025-06-07T00:00:00"/>
    <n v="17"/>
    <s v="T001"/>
    <x v="0"/>
    <n v="497.05"/>
    <x v="5"/>
    <n v="472.2"/>
    <n v="1"/>
    <s v="Walk-in"/>
    <n v="472.2"/>
    <s v="OK"/>
    <x v="3"/>
    <x v="1"/>
    <s v="1–_x000a_10%"/>
    <x v="1"/>
    <x v="7"/>
  </r>
  <r>
    <x v="2868"/>
    <d v="2025-05-10T00:00:00"/>
    <n v="18"/>
    <s v="T023"/>
    <x v="0"/>
    <n v="2086.04"/>
    <x v="1"/>
    <n v="2086.04"/>
    <n v="5"/>
    <s v="Member"/>
    <n v="2086.04"/>
    <s v="OK"/>
    <x v="1"/>
    <x v="1"/>
    <s v="0%"/>
    <x v="3"/>
    <x v="11"/>
  </r>
  <r>
    <x v="2869"/>
    <d v="2025-04-07T00:00:00"/>
    <n v="19"/>
    <s v="T022"/>
    <x v="0"/>
    <n v="576.44000000000005"/>
    <x v="1"/>
    <n v="576.44000000000005"/>
    <n v="2"/>
    <s v="Walk-in"/>
    <n v="576.44000000000005"/>
    <s v="OK"/>
    <x v="4"/>
    <x v="0"/>
    <s v="0%"/>
    <x v="4"/>
    <x v="8"/>
  </r>
  <r>
    <x v="2870"/>
    <d v="2025-02-01T00:00:00"/>
    <n v="20"/>
    <s v="T030"/>
    <x v="0"/>
    <n v="3923.39"/>
    <x v="5"/>
    <n v="3727.22"/>
    <n v="4"/>
    <s v="Walk-in"/>
    <n v="3727.22"/>
    <s v="OK"/>
    <x v="0"/>
    <x v="1"/>
    <s v="1–_x000a_10%"/>
    <x v="2"/>
    <x v="2"/>
  </r>
  <r>
    <x v="2871"/>
    <d v="2025-05-22T00:00:00"/>
    <n v="16"/>
    <s v="T015"/>
    <x v="0"/>
    <n v="711.35"/>
    <x v="1"/>
    <n v="711.35"/>
    <n v="5"/>
    <s v="Walk-in"/>
    <n v="711.35"/>
    <s v="OK"/>
    <x v="1"/>
    <x v="0"/>
    <s v="0%"/>
    <x v="2"/>
    <x v="4"/>
  </r>
  <r>
    <x v="2872"/>
    <d v="2025-05-31T00:00:00"/>
    <n v="14"/>
    <s v="T016"/>
    <x v="0"/>
    <n v="5588.43"/>
    <x v="0"/>
    <n v="4750.17"/>
    <n v="3"/>
    <s v="Member"/>
    <n v="4750.17"/>
    <s v="OK"/>
    <x v="1"/>
    <x v="1"/>
    <s v="11–20%"/>
    <x v="1"/>
    <x v="1"/>
  </r>
  <r>
    <x v="2873"/>
    <d v="2025-02-28T00:00:00"/>
    <n v="14"/>
    <s v="T020"/>
    <x v="3"/>
    <n v="1532.3"/>
    <x v="1"/>
    <n v="1532.3"/>
    <n v="4"/>
    <s v="Walk-in"/>
    <n v="1532.3"/>
    <s v="OK"/>
    <x v="0"/>
    <x v="0"/>
    <s v="0%"/>
    <x v="2"/>
    <x v="2"/>
  </r>
  <r>
    <x v="2874"/>
    <d v="2025-06-15T00:00:00"/>
    <n v="16"/>
    <s v="T029"/>
    <x v="0"/>
    <n v="536.24"/>
    <x v="1"/>
    <n v="536.24"/>
    <n v="6"/>
    <s v="Member"/>
    <n v="536.24"/>
    <s v="OK"/>
    <x v="3"/>
    <x v="1"/>
    <s v="0%"/>
    <x v="0"/>
    <x v="6"/>
  </r>
  <r>
    <x v="2875"/>
    <d v="2025-05-06T00:00:00"/>
    <n v="16"/>
    <s v="T018"/>
    <x v="2"/>
    <n v="751.46"/>
    <x v="4"/>
    <n v="601.16999999999996"/>
    <n v="3"/>
    <s v="Member"/>
    <n v="601.16999999999996"/>
    <s v="OK"/>
    <x v="1"/>
    <x v="0"/>
    <s v="11–20%"/>
    <x v="3"/>
    <x v="3"/>
  </r>
  <r>
    <x v="2876"/>
    <d v="2025-06-06T00:00:00"/>
    <n v="21"/>
    <s v="T018"/>
    <x v="3"/>
    <n v="724.43"/>
    <x v="1"/>
    <n v="724.43"/>
    <n v="2"/>
    <s v="Walk-in"/>
    <n v="724.43"/>
    <s v="OK"/>
    <x v="3"/>
    <x v="0"/>
    <s v="0%"/>
    <x v="3"/>
    <x v="3"/>
  </r>
  <r>
    <x v="2877"/>
    <d v="2025-03-02T00:00:00"/>
    <n v="16"/>
    <s v="T027"/>
    <x v="0"/>
    <n v="456.84"/>
    <x v="1"/>
    <n v="456.84"/>
    <n v="4"/>
    <s v="Walk-in"/>
    <n v="456.84"/>
    <s v="OK"/>
    <x v="5"/>
    <x v="1"/>
    <s v="0%"/>
    <x v="4"/>
    <x v="9"/>
  </r>
  <r>
    <x v="2878"/>
    <d v="2025-02-03T00:00:00"/>
    <n v="19"/>
    <s v="T017"/>
    <x v="2"/>
    <n v="1117.49"/>
    <x v="1"/>
    <n v="1117.49"/>
    <n v="5"/>
    <s v="Walk-in"/>
    <n v="1117.49"/>
    <s v="OK"/>
    <x v="0"/>
    <x v="0"/>
    <s v="0%"/>
    <x v="4"/>
    <x v="8"/>
  </r>
  <r>
    <x v="2879"/>
    <d v="2025-06-18T00:00:00"/>
    <n v="17"/>
    <s v="T026"/>
    <x v="1"/>
    <n v="255.8"/>
    <x v="3"/>
    <n v="230.22"/>
    <n v="3"/>
    <s v="Member"/>
    <n v="230.22"/>
    <s v="OK"/>
    <x v="3"/>
    <x v="0"/>
    <s v="1–_x000a_10%"/>
    <x v="1"/>
    <x v="10"/>
  </r>
  <r>
    <x v="2880"/>
    <d v="2025-02-24T00:00:00"/>
    <n v="16"/>
    <s v="T029"/>
    <x v="0"/>
    <n v="712.06"/>
    <x v="4"/>
    <n v="569.65"/>
    <n v="3"/>
    <s v="Walk-in"/>
    <n v="569.65"/>
    <s v="OK"/>
    <x v="0"/>
    <x v="0"/>
    <s v="11–20%"/>
    <x v="0"/>
    <x v="6"/>
  </r>
  <r>
    <x v="2881"/>
    <d v="2025-03-18T00:00:00"/>
    <n v="11"/>
    <s v="T014"/>
    <x v="3"/>
    <n v="488.96"/>
    <x v="0"/>
    <n v="415.62"/>
    <n v="1"/>
    <s v="Member"/>
    <n v="415.62"/>
    <s v="OK"/>
    <x v="5"/>
    <x v="0"/>
    <s v="11–20%"/>
    <x v="0"/>
    <x v="6"/>
  </r>
  <r>
    <x v="2882"/>
    <d v="2025-06-06T00:00:00"/>
    <n v="14"/>
    <s v="T014"/>
    <x v="2"/>
    <n v="542.16"/>
    <x v="1"/>
    <n v="542.16"/>
    <n v="2"/>
    <s v="Member"/>
    <n v="542.16"/>
    <s v="OK"/>
    <x v="3"/>
    <x v="0"/>
    <s v="0%"/>
    <x v="0"/>
    <x v="6"/>
  </r>
  <r>
    <x v="2883"/>
    <d v="2025-04-08T00:00:00"/>
    <n v="22"/>
    <s v="T017"/>
    <x v="0"/>
    <n v="420.84"/>
    <x v="0"/>
    <n v="357.71"/>
    <n v="4"/>
    <s v="Walk-in"/>
    <n v="357.71"/>
    <s v="OK"/>
    <x v="4"/>
    <x v="0"/>
    <s v="11–20%"/>
    <x v="4"/>
    <x v="8"/>
  </r>
  <r>
    <x v="2884"/>
    <d v="2025-05-01T00:00:00"/>
    <n v="16"/>
    <s v="T009"/>
    <x v="2"/>
    <n v="1044.6300000000001"/>
    <x v="3"/>
    <n v="940.17"/>
    <n v="1"/>
    <s v="Walk-in"/>
    <n v="940.17"/>
    <s v="OK"/>
    <x v="1"/>
    <x v="0"/>
    <s v="1–_x000a_10%"/>
    <x v="0"/>
    <x v="6"/>
  </r>
  <r>
    <x v="2885"/>
    <d v="2025-03-21T00:00:00"/>
    <n v="22"/>
    <s v="T019"/>
    <x v="0"/>
    <n v="1307.99"/>
    <x v="1"/>
    <n v="1307.99"/>
    <n v="6"/>
    <s v="Member"/>
    <n v="1307.99"/>
    <s v="OK"/>
    <x v="5"/>
    <x v="0"/>
    <s v="0%"/>
    <x v="0"/>
    <x v="0"/>
  </r>
  <r>
    <x v="2886"/>
    <d v="2025-04-20T00:00:00"/>
    <n v="22"/>
    <s v="T006"/>
    <x v="3"/>
    <n v="2180.9499999999998"/>
    <x v="0"/>
    <n v="1853.81"/>
    <n v="1"/>
    <s v="Walk-in"/>
    <n v="1853.81"/>
    <s v="OK"/>
    <x v="4"/>
    <x v="1"/>
    <s v="11–20%"/>
    <x v="1"/>
    <x v="1"/>
  </r>
  <r>
    <x v="2887"/>
    <d v="2025-04-05T00:00:00"/>
    <n v="17"/>
    <s v="T026"/>
    <x v="2"/>
    <n v="1636.84"/>
    <x v="4"/>
    <n v="1309.47"/>
    <n v="1"/>
    <s v="Member"/>
    <n v="1309.47"/>
    <s v="OK"/>
    <x v="4"/>
    <x v="1"/>
    <s v="11–20%"/>
    <x v="1"/>
    <x v="10"/>
  </r>
  <r>
    <x v="2888"/>
    <d v="2025-04-06T00:00:00"/>
    <n v="19"/>
    <s v="T004"/>
    <x v="0"/>
    <n v="887.48"/>
    <x v="1"/>
    <n v="887.48"/>
    <n v="6"/>
    <s v="Walk-in"/>
    <n v="887.48"/>
    <s v="OK"/>
    <x v="4"/>
    <x v="1"/>
    <s v="0%"/>
    <x v="0"/>
    <x v="0"/>
  </r>
  <r>
    <x v="2889"/>
    <d v="2025-06-13T00:00:00"/>
    <n v="11"/>
    <s v="T001"/>
    <x v="0"/>
    <n v="3290.91"/>
    <x v="0"/>
    <n v="2797.27"/>
    <n v="1"/>
    <s v="Walk-in"/>
    <n v="2797.27"/>
    <s v="OK"/>
    <x v="3"/>
    <x v="0"/>
    <s v="11–20%"/>
    <x v="1"/>
    <x v="7"/>
  </r>
  <r>
    <x v="2890"/>
    <d v="2025-04-08T00:00:00"/>
    <n v="21"/>
    <s v="T028"/>
    <x v="2"/>
    <n v="1034.1600000000001"/>
    <x v="4"/>
    <n v="827.33"/>
    <n v="2"/>
    <s v="Walk-in"/>
    <n v="827.33"/>
    <s v="OK"/>
    <x v="4"/>
    <x v="0"/>
    <s v="11–20%"/>
    <x v="3"/>
    <x v="5"/>
  </r>
  <r>
    <x v="2891"/>
    <d v="2025-04-11T00:00:00"/>
    <n v="18"/>
    <s v="T005"/>
    <x v="0"/>
    <n v="1141.01"/>
    <x v="2"/>
    <n v="798.71"/>
    <n v="3"/>
    <s v="Walk-in"/>
    <n v="798.71"/>
    <s v="OK"/>
    <x v="4"/>
    <x v="0"/>
    <s v="&gt;20%"/>
    <x v="2"/>
    <x v="4"/>
  </r>
  <r>
    <x v="2892"/>
    <d v="2025-05-09T00:00:00"/>
    <n v="17"/>
    <s v="T008"/>
    <x v="2"/>
    <n v="1196.42"/>
    <x v="2"/>
    <n v="837.49"/>
    <n v="2"/>
    <s v="Walk-in"/>
    <n v="837.49"/>
    <s v="OK"/>
    <x v="1"/>
    <x v="0"/>
    <s v="&gt;20%"/>
    <x v="3"/>
    <x v="5"/>
  </r>
  <r>
    <x v="2893"/>
    <d v="2025-03-12T00:00:00"/>
    <n v="19"/>
    <s v="T024"/>
    <x v="2"/>
    <n v="581.6"/>
    <x v="1"/>
    <n v="581.6"/>
    <n v="1"/>
    <s v="Walk-in"/>
    <n v="581.6"/>
    <s v="OK"/>
    <x v="5"/>
    <x v="0"/>
    <s v="0%"/>
    <x v="0"/>
    <x v="0"/>
  </r>
  <r>
    <x v="2894"/>
    <d v="2025-02-15T00:00:00"/>
    <n v="22"/>
    <s v="T010"/>
    <x v="2"/>
    <n v="667.43"/>
    <x v="2"/>
    <n v="467.2"/>
    <n v="1"/>
    <s v="Walk-in"/>
    <n v="467.2"/>
    <s v="OK"/>
    <x v="0"/>
    <x v="1"/>
    <s v="&gt;20%"/>
    <x v="2"/>
    <x v="4"/>
  </r>
  <r>
    <x v="2895"/>
    <d v="2025-06-17T00:00:00"/>
    <n v="18"/>
    <s v="T028"/>
    <x v="0"/>
    <n v="378.76"/>
    <x v="1"/>
    <n v="378.76"/>
    <n v="3"/>
    <s v="Walk-in"/>
    <n v="378.76"/>
    <s v="OK"/>
    <x v="3"/>
    <x v="0"/>
    <s v="0%"/>
    <x v="3"/>
    <x v="5"/>
  </r>
  <r>
    <x v="2896"/>
    <d v="2025-01-30T00:00:00"/>
    <n v="18"/>
    <s v="T006"/>
    <x v="2"/>
    <n v="749.52"/>
    <x v="3"/>
    <n v="674.57"/>
    <n v="5"/>
    <s v="Walk-in"/>
    <n v="674.57"/>
    <s v="OK"/>
    <x v="2"/>
    <x v="0"/>
    <s v="1–_x000a_10%"/>
    <x v="1"/>
    <x v="1"/>
  </r>
  <r>
    <x v="2897"/>
    <d v="2025-06-29T00:00:00"/>
    <n v="21"/>
    <s v="T029"/>
    <x v="2"/>
    <n v="1189.7"/>
    <x v="1"/>
    <n v="1189.7"/>
    <n v="3"/>
    <s v="Walk-in"/>
    <n v="1189.7"/>
    <s v="OK"/>
    <x v="3"/>
    <x v="1"/>
    <s v="0%"/>
    <x v="0"/>
    <x v="6"/>
  </r>
  <r>
    <x v="2898"/>
    <d v="2025-06-02T00:00:00"/>
    <n v="16"/>
    <s v="T009"/>
    <x v="3"/>
    <n v="655.02"/>
    <x v="0"/>
    <n v="556.77"/>
    <n v="2"/>
    <s v="Member"/>
    <n v="556.77"/>
    <s v="OK"/>
    <x v="3"/>
    <x v="0"/>
    <s v="11–20%"/>
    <x v="0"/>
    <x v="6"/>
  </r>
  <r>
    <x v="2899"/>
    <d v="2025-03-07T00:00:00"/>
    <n v="12"/>
    <s v="T010"/>
    <x v="2"/>
    <n v="2273.46"/>
    <x v="1"/>
    <n v="2273.46"/>
    <n v="4"/>
    <s v="Walk-in"/>
    <n v="2273.46"/>
    <s v="OK"/>
    <x v="5"/>
    <x v="0"/>
    <s v="0%"/>
    <x v="2"/>
    <x v="4"/>
  </r>
  <r>
    <x v="2900"/>
    <d v="2025-03-28T00:00:00"/>
    <n v="19"/>
    <s v="T027"/>
    <x v="0"/>
    <n v="414.13"/>
    <x v="1"/>
    <n v="414.13"/>
    <n v="3"/>
    <s v="Walk-in"/>
    <n v="414.13"/>
    <s v="OK"/>
    <x v="5"/>
    <x v="0"/>
    <s v="0%"/>
    <x v="4"/>
    <x v="9"/>
  </r>
  <r>
    <x v="2901"/>
    <d v="2025-01-17T00:00:00"/>
    <n v="18"/>
    <s v="T010"/>
    <x v="0"/>
    <n v="1136.1300000000001"/>
    <x v="3"/>
    <n v="1022.52"/>
    <n v="1"/>
    <s v="Member"/>
    <n v="1022.52"/>
    <s v="OK"/>
    <x v="2"/>
    <x v="0"/>
    <s v="1–_x000a_10%"/>
    <x v="2"/>
    <x v="4"/>
  </r>
  <r>
    <x v="2902"/>
    <d v="2025-06-28T00:00:00"/>
    <n v="22"/>
    <s v="T025"/>
    <x v="2"/>
    <n v="1505.95"/>
    <x v="3"/>
    <n v="1355.36"/>
    <n v="1"/>
    <s v="Member"/>
    <n v="1355.36"/>
    <s v="OK"/>
    <x v="3"/>
    <x v="1"/>
    <s v="1–_x000a_10%"/>
    <x v="2"/>
    <x v="2"/>
  </r>
  <r>
    <x v="2903"/>
    <d v="2025-05-01T00:00:00"/>
    <n v="11"/>
    <s v="T022"/>
    <x v="2"/>
    <n v="338.27"/>
    <x v="1"/>
    <n v="338.27"/>
    <n v="1"/>
    <s v="Member"/>
    <n v="338.27"/>
    <s v="OK"/>
    <x v="1"/>
    <x v="0"/>
    <s v="0%"/>
    <x v="4"/>
    <x v="8"/>
  </r>
  <r>
    <x v="2904"/>
    <d v="2025-03-31T00:00:00"/>
    <n v="18"/>
    <s v="T004"/>
    <x v="0"/>
    <n v="794.88"/>
    <x v="1"/>
    <n v="794.88"/>
    <n v="6"/>
    <s v="Member"/>
    <n v="794.88"/>
    <s v="OK"/>
    <x v="5"/>
    <x v="0"/>
    <s v="0%"/>
    <x v="0"/>
    <x v="0"/>
  </r>
  <r>
    <x v="2905"/>
    <d v="2025-01-03T00:00:00"/>
    <n v="12"/>
    <s v="T010"/>
    <x v="2"/>
    <n v="417.28"/>
    <x v="1"/>
    <n v="417.28"/>
    <n v="2"/>
    <s v="Walk-in"/>
    <n v="417.28"/>
    <s v="OK"/>
    <x v="2"/>
    <x v="0"/>
    <s v="0%"/>
    <x v="2"/>
    <x v="4"/>
  </r>
  <r>
    <x v="2906"/>
    <d v="2025-04-07T00:00:00"/>
    <n v="19"/>
    <s v="T028"/>
    <x v="0"/>
    <n v="1260.72"/>
    <x v="1"/>
    <n v="1260.72"/>
    <n v="4"/>
    <s v="Member"/>
    <n v="1260.72"/>
    <s v="OK"/>
    <x v="4"/>
    <x v="0"/>
    <s v="0%"/>
    <x v="3"/>
    <x v="5"/>
  </r>
  <r>
    <x v="2907"/>
    <d v="2025-03-27T00:00:00"/>
    <n v="18"/>
    <s v="T003"/>
    <x v="0"/>
    <n v="2200.94"/>
    <x v="5"/>
    <n v="2090.89"/>
    <n v="2"/>
    <s v="Walk-in"/>
    <n v="2090.89"/>
    <s v="OK"/>
    <x v="5"/>
    <x v="0"/>
    <s v="1–_x000a_10%"/>
    <x v="3"/>
    <x v="3"/>
  </r>
  <r>
    <x v="2908"/>
    <d v="2025-01-07T00:00:00"/>
    <n v="22"/>
    <s v="T018"/>
    <x v="2"/>
    <n v="3367.87"/>
    <x v="1"/>
    <n v="3367.87"/>
    <n v="3"/>
    <s v="Walk-in"/>
    <n v="3367.87"/>
    <s v="OK"/>
    <x v="2"/>
    <x v="0"/>
    <s v="0%"/>
    <x v="3"/>
    <x v="3"/>
  </r>
  <r>
    <x v="2909"/>
    <d v="2025-06-04T00:00:00"/>
    <n v="18"/>
    <s v="T029"/>
    <x v="2"/>
    <n v="938.76"/>
    <x v="1"/>
    <n v="938.76"/>
    <n v="2"/>
    <s v="Member"/>
    <n v="938.76"/>
    <s v="OK"/>
    <x v="3"/>
    <x v="0"/>
    <s v="0%"/>
    <x v="0"/>
    <x v="6"/>
  </r>
  <r>
    <x v="2910"/>
    <d v="2025-04-29T00:00:00"/>
    <n v="12"/>
    <s v="T023"/>
    <x v="1"/>
    <n v="1586.66"/>
    <x v="1"/>
    <n v="1586.66"/>
    <n v="1"/>
    <s v="Walk-in"/>
    <n v="1586.66"/>
    <s v="OK"/>
    <x v="4"/>
    <x v="0"/>
    <s v="0%"/>
    <x v="3"/>
    <x v="11"/>
  </r>
  <r>
    <x v="2911"/>
    <d v="2025-05-25T00:00:00"/>
    <n v="10"/>
    <s v="T006"/>
    <x v="2"/>
    <n v="641.14"/>
    <x v="5"/>
    <n v="609.08000000000004"/>
    <n v="2"/>
    <s v="Member"/>
    <n v="609.08000000000004"/>
    <s v="OK"/>
    <x v="1"/>
    <x v="1"/>
    <s v="1–_x000a_10%"/>
    <x v="1"/>
    <x v="1"/>
  </r>
  <r>
    <x v="2912"/>
    <d v="2025-05-04T00:00:00"/>
    <n v="17"/>
    <s v="T026"/>
    <x v="2"/>
    <n v="939.1"/>
    <x v="1"/>
    <n v="939.1"/>
    <n v="1"/>
    <s v="Walk-in"/>
    <n v="939.1"/>
    <s v="OK"/>
    <x v="1"/>
    <x v="1"/>
    <s v="0%"/>
    <x v="1"/>
    <x v="10"/>
  </r>
  <r>
    <x v="2913"/>
    <d v="2025-03-16T00:00:00"/>
    <n v="14"/>
    <s v="T016"/>
    <x v="0"/>
    <n v="1146.51"/>
    <x v="4"/>
    <n v="917.21"/>
    <n v="2"/>
    <s v="Walk-in"/>
    <n v="917.21"/>
    <s v="OK"/>
    <x v="5"/>
    <x v="1"/>
    <s v="11–20%"/>
    <x v="1"/>
    <x v="1"/>
  </r>
  <r>
    <x v="2914"/>
    <d v="2025-04-28T00:00:00"/>
    <n v="15"/>
    <s v="T004"/>
    <x v="3"/>
    <n v="1274.8599999999999"/>
    <x v="4"/>
    <n v="1019.89"/>
    <n v="2"/>
    <s v="Walk-in"/>
    <n v="1019.89"/>
    <s v="OK"/>
    <x v="4"/>
    <x v="0"/>
    <s v="11–20%"/>
    <x v="0"/>
    <x v="0"/>
  </r>
  <r>
    <x v="2915"/>
    <d v="2025-05-27T00:00:00"/>
    <n v="12"/>
    <s v="T030"/>
    <x v="0"/>
    <n v="4829.1499999999996"/>
    <x v="3"/>
    <n v="4346.2299999999996"/>
    <n v="4"/>
    <s v="Walk-in"/>
    <n v="4346.24"/>
    <s v="OK"/>
    <x v="1"/>
    <x v="0"/>
    <s v="1–_x000a_10%"/>
    <x v="2"/>
    <x v="2"/>
  </r>
  <r>
    <x v="2916"/>
    <d v="2025-03-11T00:00:00"/>
    <n v="16"/>
    <s v="T029"/>
    <x v="2"/>
    <n v="816.6"/>
    <x v="4"/>
    <n v="653.28"/>
    <n v="3"/>
    <s v="Member"/>
    <n v="653.28"/>
    <s v="OK"/>
    <x v="5"/>
    <x v="0"/>
    <s v="11–20%"/>
    <x v="0"/>
    <x v="6"/>
  </r>
  <r>
    <x v="2917"/>
    <d v="2025-04-09T00:00:00"/>
    <n v="10"/>
    <s v="T012"/>
    <x v="3"/>
    <n v="369.38"/>
    <x v="4"/>
    <n v="295.5"/>
    <n v="1"/>
    <s v="Member"/>
    <n v="295.5"/>
    <s v="OK"/>
    <x v="4"/>
    <x v="0"/>
    <s v="11–20%"/>
    <x v="4"/>
    <x v="9"/>
  </r>
  <r>
    <x v="2918"/>
    <d v="2025-04-18T00:00:00"/>
    <n v="10"/>
    <s v="T028"/>
    <x v="1"/>
    <n v="770.03"/>
    <x v="5"/>
    <n v="731.53"/>
    <n v="2"/>
    <s v="Member"/>
    <n v="731.53"/>
    <s v="OK"/>
    <x v="4"/>
    <x v="0"/>
    <s v="1–_x000a_10%"/>
    <x v="3"/>
    <x v="5"/>
  </r>
  <r>
    <x v="2919"/>
    <d v="2025-03-03T00:00:00"/>
    <n v="16"/>
    <s v="T008"/>
    <x v="2"/>
    <n v="434.35"/>
    <x v="0"/>
    <n v="369.2"/>
    <n v="3"/>
    <s v="Walk-in"/>
    <n v="369.2"/>
    <s v="OK"/>
    <x v="5"/>
    <x v="0"/>
    <s v="11–20%"/>
    <x v="3"/>
    <x v="5"/>
  </r>
  <r>
    <x v="2920"/>
    <d v="2025-04-15T00:00:00"/>
    <n v="11"/>
    <s v="T009"/>
    <x v="2"/>
    <n v="757.59"/>
    <x v="4"/>
    <n v="606.07000000000005"/>
    <n v="2"/>
    <s v="Walk-in"/>
    <n v="606.07000000000005"/>
    <s v="OK"/>
    <x v="4"/>
    <x v="0"/>
    <s v="11–20%"/>
    <x v="0"/>
    <x v="6"/>
  </r>
  <r>
    <x v="2921"/>
    <d v="2025-03-16T00:00:00"/>
    <n v="20"/>
    <s v="T018"/>
    <x v="2"/>
    <n v="456.18"/>
    <x v="3"/>
    <n v="410.56"/>
    <n v="4"/>
    <s v="Walk-in"/>
    <n v="410.56"/>
    <s v="OK"/>
    <x v="5"/>
    <x v="1"/>
    <s v="1–_x000a_10%"/>
    <x v="3"/>
    <x v="3"/>
  </r>
  <r>
    <x v="2922"/>
    <d v="2025-01-15T00:00:00"/>
    <n v="15"/>
    <s v="T023"/>
    <x v="2"/>
    <n v="292.12"/>
    <x v="5"/>
    <n v="277.51"/>
    <n v="3"/>
    <s v="Member"/>
    <n v="277.51"/>
    <s v="OK"/>
    <x v="2"/>
    <x v="0"/>
    <s v="1–_x000a_10%"/>
    <x v="3"/>
    <x v="11"/>
  </r>
  <r>
    <x v="2923"/>
    <d v="2025-03-09T00:00:00"/>
    <n v="16"/>
    <s v="T007"/>
    <x v="1"/>
    <n v="2367.15"/>
    <x v="1"/>
    <n v="2367.15"/>
    <n v="1"/>
    <s v="Walk-in"/>
    <n v="2367.15"/>
    <s v="OK"/>
    <x v="5"/>
    <x v="1"/>
    <s v="0%"/>
    <x v="4"/>
    <x v="8"/>
  </r>
  <r>
    <x v="2924"/>
    <d v="2025-06-12T00:00:00"/>
    <n v="15"/>
    <s v="T012"/>
    <x v="1"/>
    <n v="1132.6099999999999"/>
    <x v="4"/>
    <n v="906.09"/>
    <n v="1"/>
    <s v="Member"/>
    <n v="906.09"/>
    <s v="OK"/>
    <x v="3"/>
    <x v="0"/>
    <s v="11–20%"/>
    <x v="4"/>
    <x v="9"/>
  </r>
  <r>
    <x v="2925"/>
    <d v="2025-05-21T00:00:00"/>
    <n v="19"/>
    <s v="T030"/>
    <x v="2"/>
    <n v="743.16"/>
    <x v="0"/>
    <n v="631.69000000000005"/>
    <n v="1"/>
    <s v="Member"/>
    <n v="631.69000000000005"/>
    <s v="OK"/>
    <x v="1"/>
    <x v="0"/>
    <s v="11–20%"/>
    <x v="2"/>
    <x v="2"/>
  </r>
  <r>
    <x v="2926"/>
    <d v="2025-06-26T00:00:00"/>
    <n v="17"/>
    <s v="T029"/>
    <x v="3"/>
    <n v="445.53"/>
    <x v="0"/>
    <n v="378.7"/>
    <n v="4"/>
    <s v="Member"/>
    <n v="378.7"/>
    <s v="OK"/>
    <x v="3"/>
    <x v="0"/>
    <s v="11–20%"/>
    <x v="0"/>
    <x v="6"/>
  </r>
  <r>
    <x v="2927"/>
    <d v="2025-04-18T00:00:00"/>
    <n v="21"/>
    <s v="T016"/>
    <x v="1"/>
    <n v="1437.88"/>
    <x v="1"/>
    <n v="1437.88"/>
    <n v="2"/>
    <s v="Member"/>
    <n v="1437.88"/>
    <s v="OK"/>
    <x v="4"/>
    <x v="0"/>
    <s v="0%"/>
    <x v="1"/>
    <x v="1"/>
  </r>
  <r>
    <x v="2928"/>
    <d v="2025-03-14T00:00:00"/>
    <n v="16"/>
    <s v="T021"/>
    <x v="0"/>
    <n v="228.35"/>
    <x v="3"/>
    <n v="205.51"/>
    <n v="3"/>
    <s v="Walk-in"/>
    <n v="205.52"/>
    <s v="OK"/>
    <x v="5"/>
    <x v="0"/>
    <s v="1–_x000a_10%"/>
    <x v="1"/>
    <x v="1"/>
  </r>
  <r>
    <x v="2929"/>
    <d v="2025-04-05T00:00:00"/>
    <n v="20"/>
    <s v="T007"/>
    <x v="1"/>
    <n v="287.41000000000003"/>
    <x v="2"/>
    <n v="201.19"/>
    <n v="1"/>
    <s v="Walk-in"/>
    <n v="201.19"/>
    <s v="OK"/>
    <x v="4"/>
    <x v="1"/>
    <s v="&gt;20%"/>
    <x v="4"/>
    <x v="8"/>
  </r>
  <r>
    <x v="2930"/>
    <d v="2025-06-11T00:00:00"/>
    <n v="12"/>
    <s v="T020"/>
    <x v="0"/>
    <n v="1815.62"/>
    <x v="3"/>
    <n v="1634.06"/>
    <n v="2"/>
    <s v="Walk-in"/>
    <n v="1634.06"/>
    <s v="OK"/>
    <x v="3"/>
    <x v="0"/>
    <s v="1–_x000a_10%"/>
    <x v="2"/>
    <x v="2"/>
  </r>
  <r>
    <x v="2931"/>
    <d v="2025-05-16T00:00:00"/>
    <n v="15"/>
    <s v="T019"/>
    <x v="2"/>
    <n v="950.78"/>
    <x v="1"/>
    <n v="950.78"/>
    <n v="4"/>
    <s v="Walk-in"/>
    <n v="950.78"/>
    <s v="OK"/>
    <x v="1"/>
    <x v="0"/>
    <s v="0%"/>
    <x v="0"/>
    <x v="0"/>
  </r>
  <r>
    <x v="2932"/>
    <d v="2025-01-23T00:00:00"/>
    <n v="15"/>
    <s v="T017"/>
    <x v="0"/>
    <n v="1007.25"/>
    <x v="1"/>
    <n v="1007.25"/>
    <n v="4"/>
    <s v="Walk-in"/>
    <n v="1007.25"/>
    <s v="OK"/>
    <x v="2"/>
    <x v="0"/>
    <s v="0%"/>
    <x v="4"/>
    <x v="8"/>
  </r>
  <r>
    <x v="2933"/>
    <d v="2025-04-06T00:00:00"/>
    <n v="10"/>
    <s v="T012"/>
    <x v="0"/>
    <n v="368.29"/>
    <x v="4"/>
    <n v="294.63"/>
    <n v="3"/>
    <s v="Member"/>
    <n v="294.63"/>
    <s v="OK"/>
    <x v="4"/>
    <x v="1"/>
    <s v="11–20%"/>
    <x v="4"/>
    <x v="9"/>
  </r>
  <r>
    <x v="2934"/>
    <d v="2025-04-08T00:00:00"/>
    <n v="21"/>
    <s v="T028"/>
    <x v="0"/>
    <n v="600.71"/>
    <x v="5"/>
    <n v="570.66999999999996"/>
    <n v="3"/>
    <s v="Member"/>
    <n v="570.66999999999996"/>
    <s v="OK"/>
    <x v="4"/>
    <x v="0"/>
    <s v="1–_x000a_10%"/>
    <x v="3"/>
    <x v="5"/>
  </r>
  <r>
    <x v="2935"/>
    <d v="2025-04-13T00:00:00"/>
    <n v="12"/>
    <s v="T025"/>
    <x v="1"/>
    <n v="1577.76"/>
    <x v="3"/>
    <n v="1419.98"/>
    <n v="1"/>
    <s v="Walk-in"/>
    <n v="1419.98"/>
    <s v="OK"/>
    <x v="4"/>
    <x v="1"/>
    <s v="1–_x000a_10%"/>
    <x v="2"/>
    <x v="2"/>
  </r>
  <r>
    <x v="2936"/>
    <d v="2025-03-11T00:00:00"/>
    <n v="18"/>
    <s v="T025"/>
    <x v="0"/>
    <n v="466.46"/>
    <x v="1"/>
    <n v="466.46"/>
    <n v="3"/>
    <s v="Walk-in"/>
    <n v="466.46"/>
    <s v="OK"/>
    <x v="5"/>
    <x v="0"/>
    <s v="0%"/>
    <x v="2"/>
    <x v="2"/>
  </r>
  <r>
    <x v="2937"/>
    <d v="2025-03-05T00:00:00"/>
    <n v="15"/>
    <s v="T029"/>
    <x v="1"/>
    <n v="763.37"/>
    <x v="1"/>
    <n v="763.37"/>
    <n v="3"/>
    <s v="Member"/>
    <n v="763.37"/>
    <s v="OK"/>
    <x v="5"/>
    <x v="0"/>
    <s v="0%"/>
    <x v="0"/>
    <x v="6"/>
  </r>
  <r>
    <x v="2938"/>
    <d v="2025-06-18T00:00:00"/>
    <n v="18"/>
    <s v="T017"/>
    <x v="3"/>
    <n v="933.95"/>
    <x v="1"/>
    <n v="933.95"/>
    <n v="2"/>
    <s v="Walk-in"/>
    <n v="933.95"/>
    <s v="OK"/>
    <x v="3"/>
    <x v="0"/>
    <s v="0%"/>
    <x v="4"/>
    <x v="8"/>
  </r>
  <r>
    <x v="2939"/>
    <d v="2025-06-11T00:00:00"/>
    <n v="17"/>
    <s v="T005"/>
    <x v="0"/>
    <n v="1874.75"/>
    <x v="2"/>
    <n v="1312.32"/>
    <n v="5"/>
    <s v="Walk-in"/>
    <n v="1312.33"/>
    <s v="OK"/>
    <x v="3"/>
    <x v="0"/>
    <s v="&gt;20%"/>
    <x v="2"/>
    <x v="4"/>
  </r>
  <r>
    <x v="2940"/>
    <d v="2025-05-30T00:00:00"/>
    <n v="21"/>
    <s v="T004"/>
    <x v="2"/>
    <n v="599.78"/>
    <x v="1"/>
    <n v="599.78"/>
    <n v="1"/>
    <s v="Walk-in"/>
    <n v="599.78"/>
    <s v="OK"/>
    <x v="1"/>
    <x v="0"/>
    <s v="0%"/>
    <x v="0"/>
    <x v="0"/>
  </r>
  <r>
    <x v="2941"/>
    <d v="2025-01-31T00:00:00"/>
    <n v="15"/>
    <s v="T012"/>
    <x v="2"/>
    <n v="795.7"/>
    <x v="1"/>
    <n v="795.7"/>
    <n v="2"/>
    <s v="Walk-in"/>
    <n v="795.7"/>
    <s v="OK"/>
    <x v="2"/>
    <x v="0"/>
    <s v="0%"/>
    <x v="4"/>
    <x v="9"/>
  </r>
  <r>
    <x v="2942"/>
    <d v="2025-04-25T00:00:00"/>
    <n v="15"/>
    <s v="T017"/>
    <x v="0"/>
    <n v="1667.04"/>
    <x v="5"/>
    <n v="1583.69"/>
    <n v="3"/>
    <s v="Member"/>
    <n v="1583.69"/>
    <s v="OK"/>
    <x v="4"/>
    <x v="0"/>
    <s v="1–_x000a_10%"/>
    <x v="4"/>
    <x v="8"/>
  </r>
  <r>
    <x v="2943"/>
    <d v="2025-02-25T00:00:00"/>
    <n v="13"/>
    <s v="T008"/>
    <x v="3"/>
    <n v="783.18"/>
    <x v="5"/>
    <n v="744.02"/>
    <n v="4"/>
    <s v="Walk-in"/>
    <n v="744.02"/>
    <s v="OK"/>
    <x v="0"/>
    <x v="0"/>
    <s v="1–_x000a_10%"/>
    <x v="3"/>
    <x v="5"/>
  </r>
  <r>
    <x v="2944"/>
    <d v="2025-06-27T00:00:00"/>
    <n v="14"/>
    <s v="T016"/>
    <x v="0"/>
    <n v="620.78"/>
    <x v="1"/>
    <n v="620.78"/>
    <n v="2"/>
    <s v="Walk-in"/>
    <n v="620.78"/>
    <s v="OK"/>
    <x v="3"/>
    <x v="0"/>
    <s v="0%"/>
    <x v="1"/>
    <x v="1"/>
  </r>
  <r>
    <x v="2945"/>
    <d v="2025-05-28T00:00:00"/>
    <n v="19"/>
    <s v="T026"/>
    <x v="3"/>
    <n v="787.13"/>
    <x v="1"/>
    <n v="787.13"/>
    <n v="1"/>
    <s v="Walk-in"/>
    <n v="787.13"/>
    <s v="OK"/>
    <x v="1"/>
    <x v="0"/>
    <s v="0%"/>
    <x v="1"/>
    <x v="10"/>
  </r>
  <r>
    <x v="2946"/>
    <d v="2025-01-04T00:00:00"/>
    <n v="19"/>
    <s v="T014"/>
    <x v="1"/>
    <n v="729.07"/>
    <x v="4"/>
    <n v="583.26"/>
    <n v="1"/>
    <s v="Member"/>
    <n v="583.26"/>
    <s v="OK"/>
    <x v="2"/>
    <x v="1"/>
    <s v="11–20%"/>
    <x v="0"/>
    <x v="6"/>
  </r>
  <r>
    <x v="2947"/>
    <d v="2025-03-15T00:00:00"/>
    <n v="14"/>
    <s v="T024"/>
    <x v="2"/>
    <n v="2041.58"/>
    <x v="1"/>
    <n v="2041.58"/>
    <n v="6"/>
    <s v="Walk-in"/>
    <n v="2041.58"/>
    <s v="OK"/>
    <x v="5"/>
    <x v="1"/>
    <s v="0%"/>
    <x v="0"/>
    <x v="0"/>
  </r>
  <r>
    <x v="2948"/>
    <d v="2025-01-22T00:00:00"/>
    <n v="13"/>
    <s v="T007"/>
    <x v="3"/>
    <n v="751.4"/>
    <x v="1"/>
    <n v="751.4"/>
    <n v="6"/>
    <s v="Member"/>
    <n v="751.4"/>
    <s v="OK"/>
    <x v="2"/>
    <x v="0"/>
    <s v="0%"/>
    <x v="4"/>
    <x v="8"/>
  </r>
  <r>
    <x v="2949"/>
    <d v="2025-02-17T00:00:00"/>
    <n v="12"/>
    <s v="T004"/>
    <x v="0"/>
    <n v="1043.49"/>
    <x v="1"/>
    <n v="1043.49"/>
    <n v="1"/>
    <s v="Walk-in"/>
    <n v="1043.49"/>
    <s v="OK"/>
    <x v="0"/>
    <x v="0"/>
    <s v="0%"/>
    <x v="0"/>
    <x v="0"/>
  </r>
  <r>
    <x v="2950"/>
    <d v="2025-04-28T00:00:00"/>
    <n v="12"/>
    <s v="T008"/>
    <x v="0"/>
    <n v="1342.23"/>
    <x v="0"/>
    <n v="1140.9000000000001"/>
    <n v="4"/>
    <s v="Member"/>
    <n v="1140.9000000000001"/>
    <s v="OK"/>
    <x v="4"/>
    <x v="0"/>
    <s v="11–20%"/>
    <x v="3"/>
    <x v="5"/>
  </r>
  <r>
    <x v="2951"/>
    <d v="2025-04-07T00:00:00"/>
    <n v="21"/>
    <s v="T022"/>
    <x v="0"/>
    <n v="720.48"/>
    <x v="4"/>
    <n v="576.38"/>
    <n v="4"/>
    <s v="Member"/>
    <n v="576.38"/>
    <s v="OK"/>
    <x v="4"/>
    <x v="0"/>
    <s v="11–20%"/>
    <x v="4"/>
    <x v="8"/>
  </r>
  <r>
    <x v="2952"/>
    <d v="2025-04-16T00:00:00"/>
    <n v="15"/>
    <s v="T025"/>
    <x v="0"/>
    <n v="485.28"/>
    <x v="1"/>
    <n v="485.28"/>
    <n v="2"/>
    <s v="Member"/>
    <n v="485.28"/>
    <s v="OK"/>
    <x v="4"/>
    <x v="0"/>
    <s v="0%"/>
    <x v="2"/>
    <x v="2"/>
  </r>
  <r>
    <x v="2953"/>
    <d v="2025-05-20T00:00:00"/>
    <n v="19"/>
    <s v="T014"/>
    <x v="2"/>
    <n v="388.74"/>
    <x v="5"/>
    <n v="369.3"/>
    <n v="5"/>
    <s v="Walk-in"/>
    <n v="369.3"/>
    <s v="OK"/>
    <x v="1"/>
    <x v="0"/>
    <s v="1–_x000a_10%"/>
    <x v="0"/>
    <x v="6"/>
  </r>
  <r>
    <x v="2954"/>
    <d v="2025-03-13T00:00:00"/>
    <n v="20"/>
    <s v="T010"/>
    <x v="0"/>
    <n v="580.57000000000005"/>
    <x v="1"/>
    <n v="580.57000000000005"/>
    <n v="4"/>
    <s v="Walk-in"/>
    <n v="580.57000000000005"/>
    <s v="OK"/>
    <x v="5"/>
    <x v="0"/>
    <s v="0%"/>
    <x v="2"/>
    <x v="4"/>
  </r>
  <r>
    <x v="2955"/>
    <d v="2025-03-24T00:00:00"/>
    <n v="18"/>
    <s v="T030"/>
    <x v="2"/>
    <n v="675.06"/>
    <x v="1"/>
    <n v="675.06"/>
    <n v="2"/>
    <s v="Walk-in"/>
    <n v="675.06"/>
    <s v="OK"/>
    <x v="5"/>
    <x v="0"/>
    <s v="0%"/>
    <x v="2"/>
    <x v="2"/>
  </r>
  <r>
    <x v="2956"/>
    <d v="2025-04-16T00:00:00"/>
    <n v="16"/>
    <s v="T017"/>
    <x v="0"/>
    <n v="456.92"/>
    <x v="3"/>
    <n v="411.23"/>
    <n v="3"/>
    <s v="Member"/>
    <n v="411.23"/>
    <s v="OK"/>
    <x v="4"/>
    <x v="0"/>
    <s v="1–_x000a_10%"/>
    <x v="4"/>
    <x v="8"/>
  </r>
  <r>
    <x v="2957"/>
    <d v="2025-05-07T00:00:00"/>
    <n v="13"/>
    <s v="T029"/>
    <x v="2"/>
    <n v="1022.11"/>
    <x v="3"/>
    <n v="919.9"/>
    <n v="1"/>
    <s v="Walk-in"/>
    <n v="919.9"/>
    <s v="OK"/>
    <x v="1"/>
    <x v="0"/>
    <s v="1–_x000a_10%"/>
    <x v="0"/>
    <x v="6"/>
  </r>
  <r>
    <x v="2958"/>
    <d v="2025-04-01T00:00:00"/>
    <n v="14"/>
    <s v="T023"/>
    <x v="0"/>
    <n v="810.25"/>
    <x v="1"/>
    <n v="810.25"/>
    <n v="5"/>
    <s v="Walk-in"/>
    <n v="810.25"/>
    <s v="OK"/>
    <x v="4"/>
    <x v="0"/>
    <s v="0%"/>
    <x v="3"/>
    <x v="11"/>
  </r>
  <r>
    <x v="2959"/>
    <d v="2025-02-20T00:00:00"/>
    <n v="11"/>
    <s v="T017"/>
    <x v="0"/>
    <n v="913.74"/>
    <x v="1"/>
    <n v="913.74"/>
    <n v="2"/>
    <s v="Member"/>
    <n v="913.74"/>
    <s v="OK"/>
    <x v="0"/>
    <x v="0"/>
    <s v="0%"/>
    <x v="4"/>
    <x v="8"/>
  </r>
  <r>
    <x v="2960"/>
    <d v="2025-06-08T00:00:00"/>
    <n v="16"/>
    <s v="T007"/>
    <x v="2"/>
    <n v="515.91999999999996"/>
    <x v="1"/>
    <n v="515.91999999999996"/>
    <n v="2"/>
    <s v="Walk-in"/>
    <n v="515.91999999999996"/>
    <s v="OK"/>
    <x v="3"/>
    <x v="1"/>
    <s v="0%"/>
    <x v="4"/>
    <x v="8"/>
  </r>
  <r>
    <x v="2961"/>
    <d v="2025-03-26T00:00:00"/>
    <n v="15"/>
    <s v="T017"/>
    <x v="2"/>
    <n v="1397.91"/>
    <x v="1"/>
    <n v="1397.91"/>
    <n v="1"/>
    <s v="Member"/>
    <n v="1397.91"/>
    <s v="OK"/>
    <x v="5"/>
    <x v="0"/>
    <s v="0%"/>
    <x v="4"/>
    <x v="8"/>
  </r>
  <r>
    <x v="2962"/>
    <d v="2025-06-02T00:00:00"/>
    <n v="20"/>
    <s v="T017"/>
    <x v="0"/>
    <n v="869.74"/>
    <x v="2"/>
    <n v="608.82000000000005"/>
    <n v="4"/>
    <s v="Member"/>
    <n v="608.82000000000005"/>
    <s v="OK"/>
    <x v="3"/>
    <x v="0"/>
    <s v="&gt;20%"/>
    <x v="4"/>
    <x v="8"/>
  </r>
  <r>
    <x v="2963"/>
    <d v="2025-03-30T00:00:00"/>
    <n v="16"/>
    <s v="T023"/>
    <x v="2"/>
    <n v="527.67999999999995"/>
    <x v="1"/>
    <n v="527.67999999999995"/>
    <n v="1"/>
    <s v="Member"/>
    <n v="527.67999999999995"/>
    <s v="OK"/>
    <x v="5"/>
    <x v="1"/>
    <s v="0%"/>
    <x v="3"/>
    <x v="11"/>
  </r>
  <r>
    <x v="2964"/>
    <d v="2025-03-17T00:00:00"/>
    <n v="12"/>
    <s v="T030"/>
    <x v="0"/>
    <n v="624.35"/>
    <x v="1"/>
    <n v="624.35"/>
    <n v="1"/>
    <s v="Member"/>
    <n v="624.35"/>
    <s v="OK"/>
    <x v="5"/>
    <x v="0"/>
    <s v="0%"/>
    <x v="2"/>
    <x v="2"/>
  </r>
  <r>
    <x v="2965"/>
    <d v="2025-04-01T00:00:00"/>
    <n v="16"/>
    <s v="T028"/>
    <x v="0"/>
    <n v="736.19"/>
    <x v="0"/>
    <n v="625.76"/>
    <n v="5"/>
    <s v="Member"/>
    <n v="625.76"/>
    <s v="OK"/>
    <x v="4"/>
    <x v="0"/>
    <s v="11–20%"/>
    <x v="3"/>
    <x v="5"/>
  </r>
  <r>
    <x v="2966"/>
    <d v="2025-03-02T00:00:00"/>
    <n v="14"/>
    <s v="T010"/>
    <x v="0"/>
    <n v="1519.78"/>
    <x v="0"/>
    <n v="1291.81"/>
    <n v="4"/>
    <s v="Member"/>
    <n v="1291.81"/>
    <s v="OK"/>
    <x v="5"/>
    <x v="1"/>
    <s v="11–20%"/>
    <x v="2"/>
    <x v="4"/>
  </r>
  <r>
    <x v="2967"/>
    <d v="2025-02-27T00:00:00"/>
    <n v="13"/>
    <s v="T027"/>
    <x v="2"/>
    <n v="817.87"/>
    <x v="0"/>
    <n v="695.19"/>
    <n v="2"/>
    <s v="Walk-in"/>
    <n v="695.19"/>
    <s v="OK"/>
    <x v="0"/>
    <x v="0"/>
    <s v="11–20%"/>
    <x v="4"/>
    <x v="9"/>
  </r>
  <r>
    <x v="2968"/>
    <d v="2025-05-23T00:00:00"/>
    <n v="11"/>
    <s v="T004"/>
    <x v="2"/>
    <n v="706.37"/>
    <x v="1"/>
    <n v="706.37"/>
    <n v="1"/>
    <s v="Walk-in"/>
    <n v="706.37"/>
    <s v="OK"/>
    <x v="1"/>
    <x v="0"/>
    <s v="0%"/>
    <x v="0"/>
    <x v="0"/>
  </r>
  <r>
    <x v="2969"/>
    <d v="2025-05-12T00:00:00"/>
    <n v="21"/>
    <s v="T015"/>
    <x v="0"/>
    <n v="337.5"/>
    <x v="1"/>
    <n v="337.5"/>
    <n v="3"/>
    <s v="Walk-in"/>
    <n v="337.5"/>
    <s v="OK"/>
    <x v="1"/>
    <x v="0"/>
    <s v="0%"/>
    <x v="2"/>
    <x v="4"/>
  </r>
  <r>
    <x v="2970"/>
    <d v="2025-02-23T00:00:00"/>
    <n v="14"/>
    <s v="T013"/>
    <x v="0"/>
    <n v="813.59"/>
    <x v="3"/>
    <n v="732.23"/>
    <n v="2"/>
    <s v="Walk-in"/>
    <n v="732.23"/>
    <s v="OK"/>
    <x v="0"/>
    <x v="1"/>
    <s v="1–_x000a_10%"/>
    <x v="3"/>
    <x v="11"/>
  </r>
  <r>
    <x v="2971"/>
    <d v="2025-02-24T00:00:00"/>
    <n v="22"/>
    <s v="T019"/>
    <x v="1"/>
    <n v="333.94"/>
    <x v="1"/>
    <n v="333.94"/>
    <n v="1"/>
    <s v="Walk-in"/>
    <n v="333.94"/>
    <s v="OK"/>
    <x v="0"/>
    <x v="0"/>
    <s v="0%"/>
    <x v="0"/>
    <x v="0"/>
  </r>
  <r>
    <x v="2972"/>
    <d v="2025-03-05T00:00:00"/>
    <n v="19"/>
    <s v="T010"/>
    <x v="0"/>
    <n v="1439.66"/>
    <x v="4"/>
    <n v="1151.73"/>
    <n v="4"/>
    <s v="Walk-in"/>
    <n v="1151.73"/>
    <s v="OK"/>
    <x v="5"/>
    <x v="0"/>
    <s v="11–20%"/>
    <x v="2"/>
    <x v="4"/>
  </r>
  <r>
    <x v="2973"/>
    <d v="2025-06-05T00:00:00"/>
    <n v="14"/>
    <s v="T008"/>
    <x v="3"/>
    <n v="302.20999999999998"/>
    <x v="3"/>
    <n v="271.99"/>
    <n v="4"/>
    <s v="Walk-in"/>
    <n v="271.99"/>
    <s v="OK"/>
    <x v="3"/>
    <x v="0"/>
    <s v="1–_x000a_10%"/>
    <x v="3"/>
    <x v="5"/>
  </r>
  <r>
    <x v="2974"/>
    <d v="2025-02-23T00:00:00"/>
    <n v="20"/>
    <s v="T020"/>
    <x v="2"/>
    <n v="621.97"/>
    <x v="1"/>
    <n v="621.97"/>
    <n v="4"/>
    <s v="Walk-in"/>
    <n v="621.97"/>
    <s v="OK"/>
    <x v="0"/>
    <x v="1"/>
    <s v="0%"/>
    <x v="2"/>
    <x v="2"/>
  </r>
  <r>
    <x v="2975"/>
    <d v="2025-05-23T00:00:00"/>
    <n v="14"/>
    <s v="T003"/>
    <x v="3"/>
    <n v="1124.3"/>
    <x v="2"/>
    <n v="787.01"/>
    <n v="4"/>
    <s v="Walk-in"/>
    <n v="787.01"/>
    <s v="OK"/>
    <x v="1"/>
    <x v="0"/>
    <s v="&gt;20%"/>
    <x v="3"/>
    <x v="3"/>
  </r>
  <r>
    <x v="2976"/>
    <d v="2025-06-25T00:00:00"/>
    <n v="13"/>
    <s v="T016"/>
    <x v="1"/>
    <n v="568.38"/>
    <x v="0"/>
    <n v="483.12"/>
    <n v="1"/>
    <s v="Walk-in"/>
    <n v="483.12"/>
    <s v="OK"/>
    <x v="3"/>
    <x v="0"/>
    <s v="11–20%"/>
    <x v="1"/>
    <x v="1"/>
  </r>
  <r>
    <x v="2977"/>
    <d v="2025-02-20T00:00:00"/>
    <n v="17"/>
    <s v="T010"/>
    <x v="2"/>
    <n v="1427.99"/>
    <x v="5"/>
    <n v="1356.59"/>
    <n v="5"/>
    <s v="Walk-in"/>
    <n v="1356.59"/>
    <s v="OK"/>
    <x v="0"/>
    <x v="0"/>
    <s v="1–_x000a_10%"/>
    <x v="2"/>
    <x v="4"/>
  </r>
  <r>
    <x v="2978"/>
    <d v="2025-03-11T00:00:00"/>
    <n v="22"/>
    <s v="T007"/>
    <x v="2"/>
    <n v="2852.93"/>
    <x v="3"/>
    <n v="2567.64"/>
    <n v="1"/>
    <s v="Member"/>
    <n v="2567.64"/>
    <s v="OK"/>
    <x v="5"/>
    <x v="0"/>
    <s v="1–_x000a_10%"/>
    <x v="4"/>
    <x v="8"/>
  </r>
  <r>
    <x v="2979"/>
    <d v="2025-04-20T00:00:00"/>
    <n v="21"/>
    <s v="T013"/>
    <x v="0"/>
    <n v="2052.6"/>
    <x v="1"/>
    <n v="2052.6"/>
    <n v="1"/>
    <s v="Walk-in"/>
    <n v="2052.6"/>
    <s v="OK"/>
    <x v="4"/>
    <x v="1"/>
    <s v="0%"/>
    <x v="3"/>
    <x v="11"/>
  </r>
  <r>
    <x v="2980"/>
    <d v="2025-03-05T00:00:00"/>
    <n v="14"/>
    <s v="T022"/>
    <x v="0"/>
    <n v="815.24"/>
    <x v="3"/>
    <n v="733.72"/>
    <n v="2"/>
    <s v="Walk-in"/>
    <n v="733.72"/>
    <s v="OK"/>
    <x v="5"/>
    <x v="0"/>
    <s v="1–_x000a_10%"/>
    <x v="4"/>
    <x v="8"/>
  </r>
  <r>
    <x v="2981"/>
    <d v="2025-06-04T00:00:00"/>
    <n v="22"/>
    <s v="T018"/>
    <x v="1"/>
    <n v="1301.58"/>
    <x v="5"/>
    <n v="1236.5"/>
    <n v="1"/>
    <s v="Walk-in"/>
    <n v="1236.5"/>
    <s v="OK"/>
    <x v="3"/>
    <x v="0"/>
    <s v="1–_x000a_10%"/>
    <x v="3"/>
    <x v="3"/>
  </r>
  <r>
    <x v="2982"/>
    <d v="2025-03-28T00:00:00"/>
    <n v="22"/>
    <s v="T020"/>
    <x v="1"/>
    <n v="1702.07"/>
    <x v="1"/>
    <n v="1702.07"/>
    <n v="3"/>
    <s v="Walk-in"/>
    <n v="1702.07"/>
    <s v="OK"/>
    <x v="5"/>
    <x v="0"/>
    <s v="0%"/>
    <x v="2"/>
    <x v="2"/>
  </r>
  <r>
    <x v="2983"/>
    <d v="2025-03-23T00:00:00"/>
    <n v="13"/>
    <s v="T021"/>
    <x v="0"/>
    <n v="1517.09"/>
    <x v="1"/>
    <n v="1517.09"/>
    <n v="4"/>
    <s v="Walk-in"/>
    <n v="1517.09"/>
    <s v="OK"/>
    <x v="5"/>
    <x v="1"/>
    <s v="0%"/>
    <x v="1"/>
    <x v="1"/>
  </r>
  <r>
    <x v="2984"/>
    <d v="2025-06-08T00:00:00"/>
    <n v="19"/>
    <s v="T026"/>
    <x v="0"/>
    <n v="1605.2"/>
    <x v="1"/>
    <n v="1605.2"/>
    <n v="1"/>
    <s v="Walk-in"/>
    <n v="1605.2"/>
    <s v="OK"/>
    <x v="3"/>
    <x v="1"/>
    <s v="0%"/>
    <x v="1"/>
    <x v="10"/>
  </r>
  <r>
    <x v="2985"/>
    <d v="2025-05-19T00:00:00"/>
    <n v="12"/>
    <s v="T016"/>
    <x v="1"/>
    <n v="1944.4"/>
    <x v="1"/>
    <n v="1944.4"/>
    <n v="1"/>
    <s v="Walk-in"/>
    <n v="1944.4"/>
    <s v="OK"/>
    <x v="1"/>
    <x v="0"/>
    <s v="0%"/>
    <x v="1"/>
    <x v="1"/>
  </r>
  <r>
    <x v="2986"/>
    <d v="2025-06-17T00:00:00"/>
    <n v="21"/>
    <s v="T017"/>
    <x v="0"/>
    <n v="798.52"/>
    <x v="5"/>
    <n v="758.59"/>
    <n v="2"/>
    <s v="Walk-in"/>
    <n v="758.59"/>
    <s v="OK"/>
    <x v="3"/>
    <x v="0"/>
    <s v="1–_x000a_10%"/>
    <x v="4"/>
    <x v="8"/>
  </r>
  <r>
    <x v="2987"/>
    <d v="2025-01-04T00:00:00"/>
    <n v="15"/>
    <s v="T025"/>
    <x v="2"/>
    <n v="609.14"/>
    <x v="2"/>
    <n v="426.4"/>
    <n v="4"/>
    <s v="Walk-in"/>
    <n v="426.4"/>
    <s v="OK"/>
    <x v="2"/>
    <x v="1"/>
    <s v="&gt;20%"/>
    <x v="2"/>
    <x v="2"/>
  </r>
  <r>
    <x v="2988"/>
    <d v="2025-01-28T00:00:00"/>
    <n v="15"/>
    <s v="T027"/>
    <x v="0"/>
    <n v="1985.31"/>
    <x v="3"/>
    <n v="1786.78"/>
    <n v="5"/>
    <s v="Walk-in"/>
    <n v="1786.78"/>
    <s v="OK"/>
    <x v="2"/>
    <x v="0"/>
    <s v="1–_x000a_10%"/>
    <x v="4"/>
    <x v="9"/>
  </r>
  <r>
    <x v="2989"/>
    <d v="2025-05-22T00:00:00"/>
    <n v="17"/>
    <s v="T028"/>
    <x v="0"/>
    <n v="2455.6799999999998"/>
    <x v="0"/>
    <n v="2087.33"/>
    <n v="2"/>
    <s v="Member"/>
    <n v="2087.33"/>
    <s v="OK"/>
    <x v="1"/>
    <x v="0"/>
    <s v="11–20%"/>
    <x v="3"/>
    <x v="5"/>
  </r>
  <r>
    <x v="2990"/>
    <d v="2025-02-05T00:00:00"/>
    <n v="15"/>
    <s v="T025"/>
    <x v="1"/>
    <n v="357.02"/>
    <x v="1"/>
    <n v="357.02"/>
    <n v="1"/>
    <s v="Member"/>
    <n v="357.02"/>
    <s v="OK"/>
    <x v="0"/>
    <x v="0"/>
    <s v="0%"/>
    <x v="2"/>
    <x v="2"/>
  </r>
  <r>
    <x v="2991"/>
    <d v="2025-05-12T00:00:00"/>
    <n v="15"/>
    <s v="T020"/>
    <x v="0"/>
    <n v="466.4"/>
    <x v="5"/>
    <n v="443.08"/>
    <n v="1"/>
    <s v="Walk-in"/>
    <n v="443.08"/>
    <s v="OK"/>
    <x v="1"/>
    <x v="0"/>
    <s v="1–_x000a_10%"/>
    <x v="2"/>
    <x v="2"/>
  </r>
  <r>
    <x v="2992"/>
    <d v="2025-01-25T00:00:00"/>
    <n v="10"/>
    <s v="T002"/>
    <x v="2"/>
    <n v="1044.7"/>
    <x v="1"/>
    <n v="1044.7"/>
    <n v="4"/>
    <s v="Member"/>
    <n v="1044.7"/>
    <s v="OK"/>
    <x v="2"/>
    <x v="1"/>
    <s v="0%"/>
    <x v="4"/>
    <x v="9"/>
  </r>
  <r>
    <x v="2993"/>
    <d v="2025-05-21T00:00:00"/>
    <n v="17"/>
    <s v="T004"/>
    <x v="0"/>
    <n v="810.39"/>
    <x v="5"/>
    <n v="769.87"/>
    <n v="1"/>
    <s v="Walk-in"/>
    <n v="769.87"/>
    <s v="OK"/>
    <x v="1"/>
    <x v="0"/>
    <s v="1–_x000a_10%"/>
    <x v="0"/>
    <x v="0"/>
  </r>
  <r>
    <x v="2994"/>
    <d v="2025-05-20T00:00:00"/>
    <n v="18"/>
    <s v="T015"/>
    <x v="3"/>
    <n v="678.85"/>
    <x v="0"/>
    <n v="577.02"/>
    <n v="3"/>
    <s v="Member"/>
    <n v="577.02"/>
    <s v="OK"/>
    <x v="1"/>
    <x v="0"/>
    <s v="11–20%"/>
    <x v="2"/>
    <x v="4"/>
  </r>
  <r>
    <x v="2995"/>
    <d v="2025-05-11T00:00:00"/>
    <n v="11"/>
    <s v="T024"/>
    <x v="3"/>
    <n v="1361.71"/>
    <x v="1"/>
    <n v="1361.71"/>
    <n v="1"/>
    <s v="Member"/>
    <n v="1361.71"/>
    <s v="OK"/>
    <x v="1"/>
    <x v="1"/>
    <s v="0%"/>
    <x v="0"/>
    <x v="0"/>
  </r>
  <r>
    <x v="2996"/>
    <d v="2025-06-05T00:00:00"/>
    <n v="10"/>
    <s v="T024"/>
    <x v="0"/>
    <n v="184.12"/>
    <x v="4"/>
    <n v="147.30000000000001"/>
    <n v="3"/>
    <s v="Walk-in"/>
    <n v="147.30000000000001"/>
    <s v="OK"/>
    <x v="3"/>
    <x v="0"/>
    <s v="11–20%"/>
    <x v="0"/>
    <x v="0"/>
  </r>
  <r>
    <x v="2997"/>
    <d v="2025-01-18T00:00:00"/>
    <n v="13"/>
    <s v="T018"/>
    <x v="2"/>
    <n v="1721.09"/>
    <x v="1"/>
    <n v="1721.09"/>
    <n v="1"/>
    <s v="Walk-in"/>
    <n v="1721.09"/>
    <s v="OK"/>
    <x v="2"/>
    <x v="1"/>
    <s v="0%"/>
    <x v="3"/>
    <x v="3"/>
  </r>
  <r>
    <x v="2998"/>
    <d v="2025-04-29T00:00:00"/>
    <n v="18"/>
    <s v="T003"/>
    <x v="0"/>
    <n v="1377.2"/>
    <x v="0"/>
    <n v="1170.6199999999999"/>
    <n v="3"/>
    <s v="Walk-in"/>
    <n v="1170.6199999999999"/>
    <s v="OK"/>
    <x v="4"/>
    <x v="0"/>
    <s v="11–20%"/>
    <x v="3"/>
    <x v="3"/>
  </r>
  <r>
    <x v="2999"/>
    <d v="2025-02-16T00:00:00"/>
    <n v="19"/>
    <s v="T017"/>
    <x v="3"/>
    <n v="2148.4899999999998"/>
    <x v="1"/>
    <n v="2148.4899999999998"/>
    <n v="1"/>
    <s v="Walk-in"/>
    <n v="2148.4899999999998"/>
    <s v="OK"/>
    <x v="0"/>
    <x v="1"/>
    <s v="0%"/>
    <x v="4"/>
    <x v="8"/>
  </r>
  <r>
    <x v="3000"/>
    <d v="2025-01-09T00:00:00"/>
    <n v="21"/>
    <s v="T028"/>
    <x v="2"/>
    <n v="697.98"/>
    <x v="1"/>
    <n v="697.98"/>
    <n v="2"/>
    <s v="Walk-in"/>
    <n v="697.98"/>
    <s v="OK"/>
    <x v="2"/>
    <x v="0"/>
    <s v="0%"/>
    <x v="3"/>
    <x v="5"/>
  </r>
  <r>
    <x v="3001"/>
    <d v="2025-02-12T00:00:00"/>
    <n v="16"/>
    <s v="T022"/>
    <x v="2"/>
    <n v="807.17"/>
    <x v="1"/>
    <n v="807.17"/>
    <n v="4"/>
    <s v="Member"/>
    <n v="807.17"/>
    <s v="OK"/>
    <x v="0"/>
    <x v="0"/>
    <s v="0%"/>
    <x v="4"/>
    <x v="8"/>
  </r>
  <r>
    <x v="3002"/>
    <d v="2025-01-20T00:00:00"/>
    <n v="13"/>
    <s v="T004"/>
    <x v="1"/>
    <n v="4298.41"/>
    <x v="3"/>
    <n v="3868.57"/>
    <n v="6"/>
    <s v="Walk-in"/>
    <n v="3868.57"/>
    <s v="OK"/>
    <x v="2"/>
    <x v="0"/>
    <s v="1–_x000a_10%"/>
    <x v="0"/>
    <x v="0"/>
  </r>
  <r>
    <x v="3003"/>
    <d v="2025-05-17T00:00:00"/>
    <n v="21"/>
    <s v="T001"/>
    <x v="2"/>
    <n v="965.06"/>
    <x v="3"/>
    <n v="868.55"/>
    <n v="3"/>
    <s v="Walk-in"/>
    <n v="868.55"/>
    <s v="OK"/>
    <x v="1"/>
    <x v="1"/>
    <s v="1–_x000a_10%"/>
    <x v="1"/>
    <x v="7"/>
  </r>
  <r>
    <x v="3004"/>
    <d v="2025-01-26T00:00:00"/>
    <n v="20"/>
    <s v="T009"/>
    <x v="0"/>
    <n v="981.58"/>
    <x v="4"/>
    <n v="785.26"/>
    <n v="6"/>
    <s v="Walk-in"/>
    <n v="785.26"/>
    <s v="OK"/>
    <x v="2"/>
    <x v="1"/>
    <s v="11–20%"/>
    <x v="0"/>
    <x v="6"/>
  </r>
  <r>
    <x v="3005"/>
    <d v="2025-06-20T00:00:00"/>
    <n v="18"/>
    <s v="T024"/>
    <x v="2"/>
    <n v="468.59"/>
    <x v="0"/>
    <n v="398.3"/>
    <n v="2"/>
    <s v="Walk-in"/>
    <n v="398.3"/>
    <s v="OK"/>
    <x v="3"/>
    <x v="0"/>
    <s v="11–20%"/>
    <x v="0"/>
    <x v="0"/>
  </r>
  <r>
    <x v="3006"/>
    <d v="2025-06-01T00:00:00"/>
    <n v="22"/>
    <s v="T008"/>
    <x v="0"/>
    <n v="1036.56"/>
    <x v="1"/>
    <n v="1036.56"/>
    <n v="2"/>
    <s v="Member"/>
    <n v="1036.56"/>
    <s v="OK"/>
    <x v="3"/>
    <x v="1"/>
    <s v="0%"/>
    <x v="3"/>
    <x v="5"/>
  </r>
  <r>
    <x v="3007"/>
    <d v="2025-03-24T00:00:00"/>
    <n v="10"/>
    <s v="T009"/>
    <x v="0"/>
    <n v="713.86"/>
    <x v="3"/>
    <n v="642.47"/>
    <n v="1"/>
    <s v="Member"/>
    <n v="642.47"/>
    <s v="OK"/>
    <x v="5"/>
    <x v="0"/>
    <s v="1–_x000a_10%"/>
    <x v="0"/>
    <x v="6"/>
  </r>
  <r>
    <x v="3008"/>
    <d v="2025-01-10T00:00:00"/>
    <n v="17"/>
    <s v="T006"/>
    <x v="0"/>
    <n v="584.55999999999995"/>
    <x v="4"/>
    <n v="467.65"/>
    <n v="2"/>
    <s v="Member"/>
    <n v="467.65"/>
    <s v="OK"/>
    <x v="2"/>
    <x v="0"/>
    <s v="11–20%"/>
    <x v="1"/>
    <x v="1"/>
  </r>
  <r>
    <x v="3009"/>
    <d v="2025-04-13T00:00:00"/>
    <n v="19"/>
    <s v="T030"/>
    <x v="0"/>
    <n v="1423.18"/>
    <x v="1"/>
    <n v="1423.18"/>
    <n v="3"/>
    <s v="Member"/>
    <n v="1423.18"/>
    <s v="OK"/>
    <x v="4"/>
    <x v="1"/>
    <s v="0%"/>
    <x v="2"/>
    <x v="2"/>
  </r>
  <r>
    <x v="3010"/>
    <d v="2025-01-19T00:00:00"/>
    <n v="17"/>
    <s v="T004"/>
    <x v="1"/>
    <n v="1919.18"/>
    <x v="3"/>
    <n v="1727.26"/>
    <n v="1"/>
    <s v="Member"/>
    <n v="1727.26"/>
    <s v="OK"/>
    <x v="2"/>
    <x v="1"/>
    <s v="1–_x000a_10%"/>
    <x v="0"/>
    <x v="0"/>
  </r>
  <r>
    <x v="3011"/>
    <d v="2025-02-09T00:00:00"/>
    <n v="19"/>
    <s v="T007"/>
    <x v="2"/>
    <n v="708.57"/>
    <x v="3"/>
    <n v="637.71"/>
    <n v="3"/>
    <s v="Walk-in"/>
    <n v="637.71"/>
    <s v="OK"/>
    <x v="0"/>
    <x v="1"/>
    <s v="1–_x000a_10%"/>
    <x v="4"/>
    <x v="8"/>
  </r>
  <r>
    <x v="3012"/>
    <d v="2025-06-02T00:00:00"/>
    <n v="18"/>
    <s v="T018"/>
    <x v="2"/>
    <n v="896.71"/>
    <x v="0"/>
    <n v="762.2"/>
    <n v="1"/>
    <s v="Walk-in"/>
    <n v="762.2"/>
    <s v="OK"/>
    <x v="3"/>
    <x v="0"/>
    <s v="11–20%"/>
    <x v="3"/>
    <x v="3"/>
  </r>
  <r>
    <x v="3013"/>
    <d v="2025-02-16T00:00:00"/>
    <n v="19"/>
    <s v="T008"/>
    <x v="0"/>
    <n v="1120.27"/>
    <x v="1"/>
    <n v="1120.27"/>
    <n v="4"/>
    <s v="Walk-in"/>
    <n v="1120.27"/>
    <s v="OK"/>
    <x v="0"/>
    <x v="1"/>
    <s v="0%"/>
    <x v="3"/>
    <x v="5"/>
  </r>
  <r>
    <x v="3014"/>
    <d v="2025-03-11T00:00:00"/>
    <n v="15"/>
    <s v="T015"/>
    <x v="0"/>
    <n v="2485.1999999999998"/>
    <x v="1"/>
    <n v="2485.1999999999998"/>
    <n v="4"/>
    <s v="Walk-in"/>
    <n v="2485.1999999999998"/>
    <s v="OK"/>
    <x v="5"/>
    <x v="0"/>
    <s v="0%"/>
    <x v="2"/>
    <x v="4"/>
  </r>
  <r>
    <x v="3015"/>
    <d v="2025-03-30T00:00:00"/>
    <n v="15"/>
    <s v="T011"/>
    <x v="2"/>
    <n v="893.43"/>
    <x v="1"/>
    <n v="893.43"/>
    <n v="2"/>
    <s v="Member"/>
    <n v="893.43"/>
    <s v="OK"/>
    <x v="5"/>
    <x v="1"/>
    <s v="0%"/>
    <x v="1"/>
    <x v="10"/>
  </r>
  <r>
    <x v="3016"/>
    <d v="2025-03-05T00:00:00"/>
    <n v="10"/>
    <s v="T020"/>
    <x v="0"/>
    <n v="802.84"/>
    <x v="3"/>
    <n v="722.56"/>
    <n v="2"/>
    <s v="Walk-in"/>
    <n v="722.56"/>
    <s v="OK"/>
    <x v="5"/>
    <x v="0"/>
    <s v="1–_x000a_10%"/>
    <x v="2"/>
    <x v="2"/>
  </r>
  <r>
    <x v="3017"/>
    <d v="2025-06-09T00:00:00"/>
    <n v="14"/>
    <s v="T009"/>
    <x v="2"/>
    <n v="1272.19"/>
    <x v="0"/>
    <n v="1081.3599999999999"/>
    <n v="5"/>
    <s v="Walk-in"/>
    <n v="1081.3599999999999"/>
    <s v="OK"/>
    <x v="3"/>
    <x v="0"/>
    <s v="11–20%"/>
    <x v="0"/>
    <x v="6"/>
  </r>
  <r>
    <x v="3018"/>
    <d v="2025-06-14T00:00:00"/>
    <n v="13"/>
    <s v="T015"/>
    <x v="0"/>
    <n v="1745.98"/>
    <x v="1"/>
    <n v="1745.98"/>
    <n v="2"/>
    <s v="Member"/>
    <n v="1745.98"/>
    <s v="OK"/>
    <x v="3"/>
    <x v="1"/>
    <s v="0%"/>
    <x v="2"/>
    <x v="4"/>
  </r>
  <r>
    <x v="3019"/>
    <d v="2025-04-08T00:00:00"/>
    <n v="10"/>
    <s v="T022"/>
    <x v="0"/>
    <n v="1584.54"/>
    <x v="3"/>
    <n v="1426.09"/>
    <n v="4"/>
    <s v="Member"/>
    <n v="1426.09"/>
    <s v="OK"/>
    <x v="4"/>
    <x v="0"/>
    <s v="1–_x000a_10%"/>
    <x v="4"/>
    <x v="8"/>
  </r>
  <r>
    <x v="3020"/>
    <d v="2025-01-06T00:00:00"/>
    <n v="19"/>
    <s v="T003"/>
    <x v="0"/>
    <n v="335.9"/>
    <x v="4"/>
    <n v="268.72000000000003"/>
    <n v="4"/>
    <s v="Walk-in"/>
    <n v="268.72000000000003"/>
    <s v="OK"/>
    <x v="2"/>
    <x v="0"/>
    <s v="11–20%"/>
    <x v="3"/>
    <x v="3"/>
  </r>
  <r>
    <x v="3021"/>
    <d v="2025-03-15T00:00:00"/>
    <n v="11"/>
    <s v="T016"/>
    <x v="2"/>
    <n v="577.51"/>
    <x v="1"/>
    <n v="577.51"/>
    <n v="3"/>
    <s v="Member"/>
    <n v="577.51"/>
    <s v="OK"/>
    <x v="5"/>
    <x v="1"/>
    <s v="0%"/>
    <x v="1"/>
    <x v="1"/>
  </r>
  <r>
    <x v="3022"/>
    <d v="2025-02-02T00:00:00"/>
    <n v="12"/>
    <s v="T005"/>
    <x v="2"/>
    <n v="2044.76"/>
    <x v="0"/>
    <n v="1738.05"/>
    <n v="4"/>
    <s v="Member"/>
    <n v="1738.05"/>
    <s v="OK"/>
    <x v="0"/>
    <x v="1"/>
    <s v="11–20%"/>
    <x v="2"/>
    <x v="4"/>
  </r>
  <r>
    <x v="3023"/>
    <d v="2025-06-09T00:00:00"/>
    <n v="17"/>
    <s v="T011"/>
    <x v="2"/>
    <n v="616.29999999999995"/>
    <x v="1"/>
    <n v="616.29999999999995"/>
    <n v="4"/>
    <s v="Member"/>
    <n v="616.29999999999995"/>
    <s v="OK"/>
    <x v="3"/>
    <x v="0"/>
    <s v="0%"/>
    <x v="1"/>
    <x v="10"/>
  </r>
  <r>
    <x v="3024"/>
    <d v="2025-05-28T00:00:00"/>
    <n v="21"/>
    <s v="T015"/>
    <x v="0"/>
    <n v="509.46"/>
    <x v="0"/>
    <n v="433.04"/>
    <n v="4"/>
    <s v="Member"/>
    <n v="433.04"/>
    <s v="OK"/>
    <x v="1"/>
    <x v="0"/>
    <s v="11–20%"/>
    <x v="2"/>
    <x v="4"/>
  </r>
  <r>
    <x v="3025"/>
    <d v="2025-03-30T00:00:00"/>
    <n v="13"/>
    <s v="T002"/>
    <x v="0"/>
    <n v="1079.99"/>
    <x v="0"/>
    <n v="917.99"/>
    <n v="6"/>
    <s v="Walk-in"/>
    <n v="917.99"/>
    <s v="OK"/>
    <x v="5"/>
    <x v="1"/>
    <s v="11–20%"/>
    <x v="4"/>
    <x v="9"/>
  </r>
  <r>
    <x v="3026"/>
    <d v="2025-06-08T00:00:00"/>
    <n v="18"/>
    <s v="T019"/>
    <x v="2"/>
    <n v="1457.79"/>
    <x v="1"/>
    <n v="1457.79"/>
    <n v="1"/>
    <s v="Walk-in"/>
    <n v="1457.79"/>
    <s v="OK"/>
    <x v="3"/>
    <x v="1"/>
    <s v="0%"/>
    <x v="0"/>
    <x v="0"/>
  </r>
  <r>
    <x v="3027"/>
    <d v="2025-04-14T00:00:00"/>
    <n v="14"/>
    <s v="T005"/>
    <x v="0"/>
    <n v="1610.12"/>
    <x v="1"/>
    <n v="1610.12"/>
    <n v="2"/>
    <s v="Walk-in"/>
    <n v="1610.12"/>
    <s v="OK"/>
    <x v="4"/>
    <x v="0"/>
    <s v="0%"/>
    <x v="2"/>
    <x v="4"/>
  </r>
  <r>
    <x v="3028"/>
    <d v="2025-06-27T00:00:00"/>
    <n v="13"/>
    <s v="T025"/>
    <x v="0"/>
    <n v="1883.62"/>
    <x v="1"/>
    <n v="1883.62"/>
    <n v="4"/>
    <s v="Walk-in"/>
    <n v="1883.62"/>
    <s v="OK"/>
    <x v="3"/>
    <x v="0"/>
    <s v="0%"/>
    <x v="2"/>
    <x v="2"/>
  </r>
  <r>
    <x v="3029"/>
    <d v="2025-03-30T00:00:00"/>
    <n v="21"/>
    <s v="T009"/>
    <x v="2"/>
    <n v="3502.2"/>
    <x v="2"/>
    <n v="2451.54"/>
    <n v="3"/>
    <s v="Walk-in"/>
    <n v="2451.54"/>
    <s v="OK"/>
    <x v="5"/>
    <x v="1"/>
    <s v="&gt;20%"/>
    <x v="0"/>
    <x v="6"/>
  </r>
  <r>
    <x v="3030"/>
    <d v="2025-03-29T00:00:00"/>
    <n v="12"/>
    <s v="T015"/>
    <x v="1"/>
    <n v="1268.01"/>
    <x v="5"/>
    <n v="1204.6099999999999"/>
    <n v="2"/>
    <s v="Walk-in"/>
    <n v="1204.6099999999999"/>
    <s v="OK"/>
    <x v="5"/>
    <x v="1"/>
    <s v="1–_x000a_10%"/>
    <x v="2"/>
    <x v="4"/>
  </r>
  <r>
    <x v="3031"/>
    <d v="2025-05-27T00:00:00"/>
    <n v="13"/>
    <s v="T006"/>
    <x v="0"/>
    <n v="1848.94"/>
    <x v="3"/>
    <n v="1664.05"/>
    <n v="1"/>
    <s v="Walk-in"/>
    <n v="1664.05"/>
    <s v="OK"/>
    <x v="1"/>
    <x v="0"/>
    <s v="1–_x000a_10%"/>
    <x v="1"/>
    <x v="1"/>
  </r>
  <r>
    <x v="3032"/>
    <d v="2025-04-24T00:00:00"/>
    <n v="16"/>
    <s v="T016"/>
    <x v="2"/>
    <n v="892.31"/>
    <x v="1"/>
    <n v="892.31"/>
    <n v="4"/>
    <s v="Member"/>
    <n v="892.31"/>
    <s v="OK"/>
    <x v="4"/>
    <x v="0"/>
    <s v="0%"/>
    <x v="1"/>
    <x v="1"/>
  </r>
  <r>
    <x v="3033"/>
    <d v="2025-02-13T00:00:00"/>
    <n v="20"/>
    <s v="T018"/>
    <x v="2"/>
    <n v="738.47"/>
    <x v="0"/>
    <n v="627.70000000000005"/>
    <n v="2"/>
    <s v="Walk-in"/>
    <n v="627.70000000000005"/>
    <s v="OK"/>
    <x v="0"/>
    <x v="0"/>
    <s v="11–20%"/>
    <x v="3"/>
    <x v="3"/>
  </r>
  <r>
    <x v="3034"/>
    <d v="2025-04-04T00:00:00"/>
    <n v="11"/>
    <s v="T015"/>
    <x v="2"/>
    <n v="1159.45"/>
    <x v="1"/>
    <n v="1159.45"/>
    <n v="5"/>
    <s v="Walk-in"/>
    <n v="1159.45"/>
    <s v="OK"/>
    <x v="4"/>
    <x v="0"/>
    <s v="0%"/>
    <x v="2"/>
    <x v="4"/>
  </r>
  <r>
    <x v="3035"/>
    <d v="2025-03-24T00:00:00"/>
    <n v="13"/>
    <s v="T023"/>
    <x v="0"/>
    <n v="1682.93"/>
    <x v="1"/>
    <n v="1682.93"/>
    <n v="4"/>
    <s v="Walk-in"/>
    <n v="1682.93"/>
    <s v="OK"/>
    <x v="5"/>
    <x v="0"/>
    <s v="0%"/>
    <x v="3"/>
    <x v="11"/>
  </r>
  <r>
    <x v="3036"/>
    <d v="2025-06-21T00:00:00"/>
    <n v="11"/>
    <s v="T021"/>
    <x v="1"/>
    <n v="917.48"/>
    <x v="5"/>
    <n v="871.61"/>
    <n v="1"/>
    <s v="Walk-in"/>
    <n v="871.61"/>
    <s v="OK"/>
    <x v="3"/>
    <x v="1"/>
    <s v="1–_x000a_10%"/>
    <x v="1"/>
    <x v="1"/>
  </r>
  <r>
    <x v="3037"/>
    <d v="2025-05-30T00:00:00"/>
    <n v="18"/>
    <s v="T026"/>
    <x v="0"/>
    <n v="1097.98"/>
    <x v="1"/>
    <n v="1097.98"/>
    <n v="5"/>
    <s v="Walk-in"/>
    <n v="1097.98"/>
    <s v="OK"/>
    <x v="1"/>
    <x v="0"/>
    <s v="0%"/>
    <x v="1"/>
    <x v="10"/>
  </r>
  <r>
    <x v="3038"/>
    <d v="2025-01-08T00:00:00"/>
    <n v="10"/>
    <s v="T022"/>
    <x v="3"/>
    <n v="939.98"/>
    <x v="0"/>
    <n v="798.98"/>
    <n v="2"/>
    <s v="Walk-in"/>
    <n v="798.98"/>
    <s v="OK"/>
    <x v="2"/>
    <x v="0"/>
    <s v="11–20%"/>
    <x v="4"/>
    <x v="8"/>
  </r>
  <r>
    <x v="3039"/>
    <d v="2025-03-28T00:00:00"/>
    <n v="18"/>
    <s v="T010"/>
    <x v="2"/>
    <n v="1106.47"/>
    <x v="4"/>
    <n v="885.18"/>
    <n v="5"/>
    <s v="Member"/>
    <n v="885.18"/>
    <s v="OK"/>
    <x v="5"/>
    <x v="0"/>
    <s v="11–20%"/>
    <x v="2"/>
    <x v="4"/>
  </r>
  <r>
    <x v="3040"/>
    <d v="2025-01-22T00:00:00"/>
    <n v="20"/>
    <s v="T020"/>
    <x v="0"/>
    <n v="543.63"/>
    <x v="4"/>
    <n v="434.9"/>
    <n v="4"/>
    <s v="Member"/>
    <n v="434.9"/>
    <s v="OK"/>
    <x v="2"/>
    <x v="0"/>
    <s v="11–20%"/>
    <x v="2"/>
    <x v="2"/>
  </r>
  <r>
    <x v="3041"/>
    <d v="2025-03-29T00:00:00"/>
    <n v="22"/>
    <s v="T004"/>
    <x v="2"/>
    <n v="1101.3399999999999"/>
    <x v="1"/>
    <n v="1101.3399999999999"/>
    <n v="2"/>
    <s v="Member"/>
    <n v="1101.3399999999999"/>
    <s v="OK"/>
    <x v="5"/>
    <x v="1"/>
    <s v="0%"/>
    <x v="0"/>
    <x v="0"/>
  </r>
  <r>
    <x v="3042"/>
    <d v="2025-05-14T00:00:00"/>
    <n v="15"/>
    <s v="T010"/>
    <x v="0"/>
    <n v="3570.79"/>
    <x v="3"/>
    <n v="3213.71"/>
    <n v="2"/>
    <s v="Member"/>
    <n v="3213.71"/>
    <s v="OK"/>
    <x v="1"/>
    <x v="0"/>
    <s v="1–_x000a_10%"/>
    <x v="2"/>
    <x v="4"/>
  </r>
  <r>
    <x v="3043"/>
    <d v="2025-06-28T00:00:00"/>
    <n v="15"/>
    <s v="T002"/>
    <x v="0"/>
    <n v="2865.17"/>
    <x v="1"/>
    <n v="2865.17"/>
    <n v="3"/>
    <s v="Walk-in"/>
    <n v="2865.17"/>
    <s v="OK"/>
    <x v="3"/>
    <x v="1"/>
    <s v="0%"/>
    <x v="4"/>
    <x v="9"/>
  </r>
  <r>
    <x v="3044"/>
    <d v="2025-04-11T00:00:00"/>
    <n v="19"/>
    <s v="T016"/>
    <x v="1"/>
    <n v="1291.6300000000001"/>
    <x v="5"/>
    <n v="1227.05"/>
    <n v="4"/>
    <s v="Member"/>
    <n v="1227.05"/>
    <s v="OK"/>
    <x v="4"/>
    <x v="0"/>
    <s v="1–_x000a_10%"/>
    <x v="1"/>
    <x v="1"/>
  </r>
  <r>
    <x v="3045"/>
    <d v="2025-05-20T00:00:00"/>
    <n v="15"/>
    <s v="T020"/>
    <x v="2"/>
    <n v="695.35"/>
    <x v="4"/>
    <n v="556.28"/>
    <n v="2"/>
    <s v="Walk-in"/>
    <n v="556.28"/>
    <s v="OK"/>
    <x v="1"/>
    <x v="0"/>
    <s v="11–20%"/>
    <x v="2"/>
    <x v="2"/>
  </r>
  <r>
    <x v="3046"/>
    <d v="2025-04-10T00:00:00"/>
    <n v="16"/>
    <s v="T030"/>
    <x v="2"/>
    <n v="1303.25"/>
    <x v="1"/>
    <n v="1303.25"/>
    <n v="1"/>
    <s v="Member"/>
    <n v="1303.25"/>
    <s v="OK"/>
    <x v="4"/>
    <x v="0"/>
    <s v="0%"/>
    <x v="2"/>
    <x v="2"/>
  </r>
  <r>
    <x v="3047"/>
    <d v="2025-05-31T00:00:00"/>
    <n v="17"/>
    <s v="T001"/>
    <x v="0"/>
    <n v="2169.0700000000002"/>
    <x v="0"/>
    <n v="1843.71"/>
    <n v="1"/>
    <s v="Walk-in"/>
    <n v="1843.71"/>
    <s v="OK"/>
    <x v="1"/>
    <x v="1"/>
    <s v="11–20%"/>
    <x v="1"/>
    <x v="7"/>
  </r>
  <r>
    <x v="3048"/>
    <d v="2025-05-11T00:00:00"/>
    <n v="18"/>
    <s v="T004"/>
    <x v="2"/>
    <n v="3523.37"/>
    <x v="5"/>
    <n v="3347.2"/>
    <n v="1"/>
    <s v="Walk-in"/>
    <n v="3347.2"/>
    <s v="OK"/>
    <x v="1"/>
    <x v="1"/>
    <s v="1–_x000a_10%"/>
    <x v="0"/>
    <x v="0"/>
  </r>
  <r>
    <x v="3049"/>
    <d v="2025-03-03T00:00:00"/>
    <n v="18"/>
    <s v="T005"/>
    <x v="0"/>
    <n v="1002.7"/>
    <x v="4"/>
    <n v="802.16"/>
    <n v="4"/>
    <s v="Member"/>
    <n v="802.16"/>
    <s v="OK"/>
    <x v="5"/>
    <x v="0"/>
    <s v="11–20%"/>
    <x v="2"/>
    <x v="4"/>
  </r>
  <r>
    <x v="3050"/>
    <d v="2025-01-05T00:00:00"/>
    <n v="13"/>
    <s v="T030"/>
    <x v="0"/>
    <n v="875.68"/>
    <x v="3"/>
    <n v="788.11"/>
    <n v="1"/>
    <s v="Member"/>
    <n v="788.11"/>
    <s v="OK"/>
    <x v="2"/>
    <x v="1"/>
    <s v="1–_x000a_10%"/>
    <x v="2"/>
    <x v="2"/>
  </r>
  <r>
    <x v="3051"/>
    <d v="2025-01-31T00:00:00"/>
    <n v="10"/>
    <s v="T021"/>
    <x v="0"/>
    <n v="874.94"/>
    <x v="3"/>
    <n v="787.45"/>
    <n v="1"/>
    <s v="Walk-in"/>
    <n v="787.45"/>
    <s v="OK"/>
    <x v="2"/>
    <x v="0"/>
    <s v="1–_x000a_10%"/>
    <x v="1"/>
    <x v="1"/>
  </r>
  <r>
    <x v="3052"/>
    <d v="2025-04-27T00:00:00"/>
    <n v="11"/>
    <s v="T020"/>
    <x v="2"/>
    <n v="1251.19"/>
    <x v="1"/>
    <n v="1251.19"/>
    <n v="4"/>
    <s v="Walk-in"/>
    <n v="1251.19"/>
    <s v="OK"/>
    <x v="4"/>
    <x v="1"/>
    <s v="0%"/>
    <x v="2"/>
    <x v="2"/>
  </r>
  <r>
    <x v="3053"/>
    <d v="2025-03-30T00:00:00"/>
    <n v="22"/>
    <s v="T027"/>
    <x v="2"/>
    <n v="3376.09"/>
    <x v="2"/>
    <n v="2363.2600000000002"/>
    <n v="3"/>
    <s v="Walk-in"/>
    <n v="2363.2600000000002"/>
    <s v="OK"/>
    <x v="5"/>
    <x v="1"/>
    <s v="&gt;20%"/>
    <x v="4"/>
    <x v="9"/>
  </r>
  <r>
    <x v="3054"/>
    <d v="2025-02-10T00:00:00"/>
    <n v="17"/>
    <s v="T023"/>
    <x v="0"/>
    <n v="1322.71"/>
    <x v="1"/>
    <n v="1322.71"/>
    <n v="5"/>
    <s v="Walk-in"/>
    <n v="1322.71"/>
    <s v="OK"/>
    <x v="0"/>
    <x v="0"/>
    <s v="0%"/>
    <x v="3"/>
    <x v="11"/>
  </r>
  <r>
    <x v="3055"/>
    <d v="2025-02-10T00:00:00"/>
    <n v="11"/>
    <s v="T011"/>
    <x v="1"/>
    <n v="1249.57"/>
    <x v="1"/>
    <n v="1249.57"/>
    <n v="5"/>
    <s v="Member"/>
    <n v="1249.57"/>
    <s v="OK"/>
    <x v="0"/>
    <x v="0"/>
    <s v="0%"/>
    <x v="1"/>
    <x v="10"/>
  </r>
  <r>
    <x v="3056"/>
    <d v="2025-01-12T00:00:00"/>
    <n v="13"/>
    <s v="T013"/>
    <x v="0"/>
    <n v="1672.53"/>
    <x v="3"/>
    <n v="1505.28"/>
    <n v="1"/>
    <s v="Walk-in"/>
    <n v="1505.28"/>
    <s v="OK"/>
    <x v="2"/>
    <x v="1"/>
    <s v="1–_x000a_10%"/>
    <x v="3"/>
    <x v="11"/>
  </r>
  <r>
    <x v="3057"/>
    <d v="2025-06-06T00:00:00"/>
    <n v="11"/>
    <s v="T028"/>
    <x v="0"/>
    <n v="216.67"/>
    <x v="0"/>
    <n v="184.17"/>
    <n v="2"/>
    <s v="Walk-in"/>
    <n v="184.17"/>
    <s v="OK"/>
    <x v="3"/>
    <x v="0"/>
    <s v="11–20%"/>
    <x v="3"/>
    <x v="5"/>
  </r>
  <r>
    <x v="3058"/>
    <d v="2025-01-21T00:00:00"/>
    <n v="15"/>
    <s v="T029"/>
    <x v="1"/>
    <n v="248.58"/>
    <x v="0"/>
    <n v="211.29"/>
    <n v="3"/>
    <s v="Member"/>
    <n v="211.29"/>
    <s v="OK"/>
    <x v="2"/>
    <x v="0"/>
    <s v="11–20%"/>
    <x v="0"/>
    <x v="6"/>
  </r>
  <r>
    <x v="3059"/>
    <d v="2025-02-05T00:00:00"/>
    <n v="19"/>
    <s v="T029"/>
    <x v="0"/>
    <n v="1799.47"/>
    <x v="0"/>
    <n v="1529.55"/>
    <n v="3"/>
    <s v="Walk-in"/>
    <n v="1529.55"/>
    <s v="OK"/>
    <x v="0"/>
    <x v="0"/>
    <s v="11–20%"/>
    <x v="0"/>
    <x v="6"/>
  </r>
  <r>
    <x v="3060"/>
    <d v="2025-06-25T00:00:00"/>
    <n v="21"/>
    <s v="T011"/>
    <x v="0"/>
    <n v="340.1"/>
    <x v="4"/>
    <n v="272.08"/>
    <n v="4"/>
    <s v="Member"/>
    <n v="272.08"/>
    <s v="OK"/>
    <x v="3"/>
    <x v="0"/>
    <s v="11–20%"/>
    <x v="1"/>
    <x v="10"/>
  </r>
  <r>
    <x v="3061"/>
    <d v="2025-04-22T00:00:00"/>
    <n v="20"/>
    <s v="T025"/>
    <x v="3"/>
    <n v="3110.66"/>
    <x v="1"/>
    <n v="3110.66"/>
    <n v="4"/>
    <s v="Member"/>
    <n v="3110.66"/>
    <s v="OK"/>
    <x v="4"/>
    <x v="0"/>
    <s v="0%"/>
    <x v="2"/>
    <x v="2"/>
  </r>
  <r>
    <x v="3062"/>
    <d v="2025-04-12T00:00:00"/>
    <n v="14"/>
    <s v="T028"/>
    <x v="0"/>
    <n v="1905.95"/>
    <x v="0"/>
    <n v="1620.06"/>
    <n v="3"/>
    <s v="Walk-in"/>
    <n v="1620.06"/>
    <s v="OK"/>
    <x v="4"/>
    <x v="1"/>
    <s v="11–20%"/>
    <x v="3"/>
    <x v="5"/>
  </r>
  <r>
    <x v="3063"/>
    <d v="2025-01-23T00:00:00"/>
    <n v="12"/>
    <s v="T010"/>
    <x v="0"/>
    <n v="2998.12"/>
    <x v="1"/>
    <n v="2998.12"/>
    <n v="3"/>
    <s v="Member"/>
    <n v="2998.12"/>
    <s v="OK"/>
    <x v="2"/>
    <x v="0"/>
    <s v="0%"/>
    <x v="2"/>
    <x v="4"/>
  </r>
  <r>
    <x v="3064"/>
    <d v="2025-01-07T00:00:00"/>
    <n v="17"/>
    <s v="T020"/>
    <x v="0"/>
    <n v="852.08"/>
    <x v="5"/>
    <n v="809.48"/>
    <n v="1"/>
    <s v="Walk-in"/>
    <n v="809.48"/>
    <s v="OK"/>
    <x v="2"/>
    <x v="0"/>
    <s v="1–_x000a_10%"/>
    <x v="2"/>
    <x v="2"/>
  </r>
  <r>
    <x v="3065"/>
    <d v="2025-06-11T00:00:00"/>
    <n v="16"/>
    <s v="T012"/>
    <x v="0"/>
    <n v="1107.1199999999999"/>
    <x v="2"/>
    <n v="774.98"/>
    <n v="1"/>
    <s v="Walk-in"/>
    <n v="774.98"/>
    <s v="OK"/>
    <x v="3"/>
    <x v="0"/>
    <s v="&gt;20%"/>
    <x v="4"/>
    <x v="9"/>
  </r>
  <r>
    <x v="3066"/>
    <d v="2025-04-29T00:00:00"/>
    <n v="15"/>
    <s v="T028"/>
    <x v="0"/>
    <n v="1228.2"/>
    <x v="1"/>
    <n v="1228.2"/>
    <n v="2"/>
    <s v="Walk-in"/>
    <n v="1228.2"/>
    <s v="OK"/>
    <x v="4"/>
    <x v="0"/>
    <s v="0%"/>
    <x v="3"/>
    <x v="5"/>
  </r>
  <r>
    <x v="3067"/>
    <d v="2025-03-05T00:00:00"/>
    <n v="15"/>
    <s v="T018"/>
    <x v="0"/>
    <n v="809.06"/>
    <x v="0"/>
    <n v="687.7"/>
    <n v="1"/>
    <s v="Walk-in"/>
    <n v="687.7"/>
    <s v="OK"/>
    <x v="5"/>
    <x v="0"/>
    <s v="11–20%"/>
    <x v="3"/>
    <x v="3"/>
  </r>
  <r>
    <x v="3068"/>
    <d v="2025-04-14T00:00:00"/>
    <n v="17"/>
    <s v="T002"/>
    <x v="2"/>
    <n v="851.75"/>
    <x v="1"/>
    <n v="851.75"/>
    <n v="2"/>
    <s v="Walk-in"/>
    <n v="851.75"/>
    <s v="OK"/>
    <x v="4"/>
    <x v="0"/>
    <s v="0%"/>
    <x v="4"/>
    <x v="9"/>
  </r>
  <r>
    <x v="3069"/>
    <d v="2025-04-10T00:00:00"/>
    <n v="16"/>
    <s v="T022"/>
    <x v="3"/>
    <n v="1850.63"/>
    <x v="0"/>
    <n v="1573.04"/>
    <n v="2"/>
    <s v="Member"/>
    <n v="1573.04"/>
    <s v="OK"/>
    <x v="4"/>
    <x v="0"/>
    <s v="11–20%"/>
    <x v="4"/>
    <x v="8"/>
  </r>
  <r>
    <x v="3070"/>
    <d v="2025-01-29T00:00:00"/>
    <n v="19"/>
    <s v="T024"/>
    <x v="0"/>
    <n v="578.91"/>
    <x v="1"/>
    <n v="578.91"/>
    <n v="1"/>
    <s v="Walk-in"/>
    <n v="578.91"/>
    <s v="OK"/>
    <x v="2"/>
    <x v="0"/>
    <s v="0%"/>
    <x v="0"/>
    <x v="0"/>
  </r>
  <r>
    <x v="3071"/>
    <d v="2025-06-19T00:00:00"/>
    <n v="17"/>
    <s v="T005"/>
    <x v="2"/>
    <n v="255.14"/>
    <x v="1"/>
    <n v="255.14"/>
    <n v="1"/>
    <s v="Walk-in"/>
    <n v="255.14"/>
    <s v="OK"/>
    <x v="3"/>
    <x v="0"/>
    <s v="0%"/>
    <x v="2"/>
    <x v="4"/>
  </r>
  <r>
    <x v="3072"/>
    <d v="2025-04-19T00:00:00"/>
    <n v="10"/>
    <s v="T007"/>
    <x v="2"/>
    <n v="938.95"/>
    <x v="3"/>
    <n v="845.06"/>
    <n v="1"/>
    <s v="Walk-in"/>
    <n v="845.06"/>
    <s v="OK"/>
    <x v="4"/>
    <x v="1"/>
    <s v="1–_x000a_10%"/>
    <x v="4"/>
    <x v="8"/>
  </r>
  <r>
    <x v="3073"/>
    <d v="2025-02-06T00:00:00"/>
    <n v="12"/>
    <s v="T017"/>
    <x v="0"/>
    <n v="1220.6300000000001"/>
    <x v="1"/>
    <n v="1220.6300000000001"/>
    <n v="1"/>
    <s v="Walk-in"/>
    <n v="1220.6300000000001"/>
    <s v="OK"/>
    <x v="0"/>
    <x v="0"/>
    <s v="0%"/>
    <x v="4"/>
    <x v="8"/>
  </r>
  <r>
    <x v="3074"/>
    <d v="2025-02-13T00:00:00"/>
    <n v="21"/>
    <s v="T022"/>
    <x v="0"/>
    <n v="596.07000000000005"/>
    <x v="1"/>
    <n v="596.07000000000005"/>
    <n v="2"/>
    <s v="Walk-in"/>
    <n v="596.07000000000005"/>
    <s v="OK"/>
    <x v="0"/>
    <x v="0"/>
    <s v="0%"/>
    <x v="4"/>
    <x v="8"/>
  </r>
  <r>
    <x v="3075"/>
    <d v="2025-01-05T00:00:00"/>
    <n v="22"/>
    <s v="T016"/>
    <x v="0"/>
    <n v="864.8"/>
    <x v="1"/>
    <n v="864.8"/>
    <n v="1"/>
    <s v="Member"/>
    <n v="864.8"/>
    <s v="OK"/>
    <x v="2"/>
    <x v="1"/>
    <s v="0%"/>
    <x v="1"/>
    <x v="1"/>
  </r>
  <r>
    <x v="3076"/>
    <d v="2025-01-28T00:00:00"/>
    <n v="17"/>
    <s v="T016"/>
    <x v="2"/>
    <n v="360.65"/>
    <x v="1"/>
    <n v="360.65"/>
    <n v="1"/>
    <s v="Walk-in"/>
    <n v="360.65"/>
    <s v="OK"/>
    <x v="2"/>
    <x v="0"/>
    <s v="0%"/>
    <x v="1"/>
    <x v="1"/>
  </r>
  <r>
    <x v="3077"/>
    <d v="2025-01-22T00:00:00"/>
    <n v="14"/>
    <s v="T017"/>
    <x v="2"/>
    <n v="2596.42"/>
    <x v="5"/>
    <n v="2466.6"/>
    <n v="2"/>
    <s v="Walk-in"/>
    <n v="2466.6"/>
    <s v="OK"/>
    <x v="2"/>
    <x v="0"/>
    <s v="1–_x000a_10%"/>
    <x v="4"/>
    <x v="8"/>
  </r>
  <r>
    <x v="3078"/>
    <d v="2025-01-11T00:00:00"/>
    <n v="13"/>
    <s v="T011"/>
    <x v="2"/>
    <n v="2468.3200000000002"/>
    <x v="1"/>
    <n v="2468.3200000000002"/>
    <n v="3"/>
    <s v="Walk-in"/>
    <n v="2468.3200000000002"/>
    <s v="OK"/>
    <x v="2"/>
    <x v="1"/>
    <s v="0%"/>
    <x v="1"/>
    <x v="10"/>
  </r>
  <r>
    <x v="3079"/>
    <d v="2025-05-01T00:00:00"/>
    <n v="16"/>
    <s v="T004"/>
    <x v="0"/>
    <n v="901.86"/>
    <x v="1"/>
    <n v="901.86"/>
    <n v="3"/>
    <s v="Member"/>
    <n v="901.86"/>
    <s v="OK"/>
    <x v="1"/>
    <x v="0"/>
    <s v="0%"/>
    <x v="0"/>
    <x v="0"/>
  </r>
  <r>
    <x v="3080"/>
    <d v="2025-06-24T00:00:00"/>
    <n v="17"/>
    <s v="T007"/>
    <x v="2"/>
    <n v="1062.25"/>
    <x v="1"/>
    <n v="1062.25"/>
    <n v="2"/>
    <s v="Member"/>
    <n v="1062.25"/>
    <s v="OK"/>
    <x v="3"/>
    <x v="0"/>
    <s v="0%"/>
    <x v="4"/>
    <x v="8"/>
  </r>
  <r>
    <x v="3081"/>
    <d v="2025-02-12T00:00:00"/>
    <n v="10"/>
    <s v="T012"/>
    <x v="2"/>
    <n v="731.1"/>
    <x v="2"/>
    <n v="511.77"/>
    <n v="1"/>
    <s v="Member"/>
    <n v="511.77"/>
    <s v="OK"/>
    <x v="0"/>
    <x v="0"/>
    <s v="&gt;20%"/>
    <x v="4"/>
    <x v="9"/>
  </r>
  <r>
    <x v="3082"/>
    <d v="2025-05-18T00:00:00"/>
    <n v="15"/>
    <s v="T010"/>
    <x v="0"/>
    <n v="1495.1"/>
    <x v="5"/>
    <n v="1420.34"/>
    <n v="4"/>
    <s v="Walk-in"/>
    <n v="1420.35"/>
    <s v="OK"/>
    <x v="1"/>
    <x v="1"/>
    <s v="1–_x000a_10%"/>
    <x v="2"/>
    <x v="4"/>
  </r>
  <r>
    <x v="3083"/>
    <d v="2025-05-21T00:00:00"/>
    <n v="15"/>
    <s v="T027"/>
    <x v="1"/>
    <n v="2783.03"/>
    <x v="3"/>
    <n v="2504.73"/>
    <n v="2"/>
    <s v="Walk-in"/>
    <n v="2504.73"/>
    <s v="OK"/>
    <x v="1"/>
    <x v="0"/>
    <s v="1–_x000a_10%"/>
    <x v="4"/>
    <x v="9"/>
  </r>
  <r>
    <x v="3084"/>
    <d v="2025-06-06T00:00:00"/>
    <n v="15"/>
    <s v="T012"/>
    <x v="1"/>
    <n v="468.39"/>
    <x v="1"/>
    <n v="468.39"/>
    <n v="1"/>
    <s v="Member"/>
    <n v="468.39"/>
    <s v="OK"/>
    <x v="3"/>
    <x v="0"/>
    <s v="0%"/>
    <x v="4"/>
    <x v="9"/>
  </r>
  <r>
    <x v="3085"/>
    <d v="2025-01-04T00:00:00"/>
    <n v="13"/>
    <s v="T018"/>
    <x v="1"/>
    <n v="189.96"/>
    <x v="4"/>
    <n v="151.97"/>
    <n v="1"/>
    <s v="Walk-in"/>
    <n v="151.97"/>
    <s v="OK"/>
    <x v="2"/>
    <x v="1"/>
    <s v="11–20%"/>
    <x v="3"/>
    <x v="3"/>
  </r>
  <r>
    <x v="3086"/>
    <d v="2025-01-17T00:00:00"/>
    <n v="13"/>
    <s v="T008"/>
    <x v="1"/>
    <n v="555.22"/>
    <x v="1"/>
    <n v="555.22"/>
    <n v="3"/>
    <s v="Walk-in"/>
    <n v="555.22"/>
    <s v="OK"/>
    <x v="2"/>
    <x v="0"/>
    <s v="0%"/>
    <x v="3"/>
    <x v="5"/>
  </r>
  <r>
    <x v="3087"/>
    <d v="2025-06-21T00:00:00"/>
    <n v="14"/>
    <s v="T020"/>
    <x v="0"/>
    <n v="1512.52"/>
    <x v="1"/>
    <n v="1512.52"/>
    <n v="3"/>
    <s v="Walk-in"/>
    <n v="1512.52"/>
    <s v="OK"/>
    <x v="3"/>
    <x v="1"/>
    <s v="0%"/>
    <x v="2"/>
    <x v="2"/>
  </r>
  <r>
    <x v="3088"/>
    <d v="2025-03-23T00:00:00"/>
    <n v="19"/>
    <s v="T027"/>
    <x v="0"/>
    <n v="1066.27"/>
    <x v="1"/>
    <n v="1066.27"/>
    <n v="1"/>
    <s v="Walk-in"/>
    <n v="1066.27"/>
    <s v="OK"/>
    <x v="5"/>
    <x v="1"/>
    <s v="0%"/>
    <x v="4"/>
    <x v="9"/>
  </r>
  <r>
    <x v="3089"/>
    <d v="2025-02-09T00:00:00"/>
    <n v="19"/>
    <s v="T011"/>
    <x v="1"/>
    <n v="502.98"/>
    <x v="5"/>
    <n v="477.83"/>
    <n v="3"/>
    <s v="Walk-in"/>
    <n v="477.83"/>
    <s v="OK"/>
    <x v="0"/>
    <x v="1"/>
    <s v="1–_x000a_10%"/>
    <x v="1"/>
    <x v="10"/>
  </r>
  <r>
    <x v="3090"/>
    <d v="2025-05-04T00:00:00"/>
    <n v="13"/>
    <s v="T025"/>
    <x v="0"/>
    <n v="529.07000000000005"/>
    <x v="1"/>
    <n v="529.07000000000005"/>
    <n v="2"/>
    <s v="Walk-in"/>
    <n v="529.07000000000005"/>
    <s v="OK"/>
    <x v="1"/>
    <x v="1"/>
    <s v="0%"/>
    <x v="2"/>
    <x v="2"/>
  </r>
  <r>
    <x v="3091"/>
    <d v="2025-05-30T00:00:00"/>
    <n v="14"/>
    <s v="T024"/>
    <x v="1"/>
    <n v="298.01"/>
    <x v="1"/>
    <n v="298.01"/>
    <n v="3"/>
    <s v="Walk-in"/>
    <n v="298.01"/>
    <s v="OK"/>
    <x v="1"/>
    <x v="0"/>
    <s v="0%"/>
    <x v="0"/>
    <x v="0"/>
  </r>
  <r>
    <x v="3092"/>
    <d v="2025-05-09T00:00:00"/>
    <n v="11"/>
    <s v="T025"/>
    <x v="0"/>
    <n v="1309.0999999999999"/>
    <x v="0"/>
    <n v="1112.73"/>
    <n v="6"/>
    <s v="Walk-in"/>
    <n v="1112.74"/>
    <s v="OK"/>
    <x v="1"/>
    <x v="0"/>
    <s v="11–20%"/>
    <x v="2"/>
    <x v="2"/>
  </r>
  <r>
    <x v="3093"/>
    <d v="2025-04-14T00:00:00"/>
    <n v="11"/>
    <s v="T022"/>
    <x v="3"/>
    <n v="1521.77"/>
    <x v="1"/>
    <n v="1521.77"/>
    <n v="3"/>
    <s v="Member"/>
    <n v="1521.77"/>
    <s v="OK"/>
    <x v="4"/>
    <x v="0"/>
    <s v="0%"/>
    <x v="4"/>
    <x v="8"/>
  </r>
  <r>
    <x v="3094"/>
    <d v="2025-01-08T00:00:00"/>
    <n v="21"/>
    <s v="T025"/>
    <x v="2"/>
    <n v="1131.74"/>
    <x v="1"/>
    <n v="1131.74"/>
    <n v="2"/>
    <s v="Walk-in"/>
    <n v="1131.74"/>
    <s v="OK"/>
    <x v="2"/>
    <x v="0"/>
    <s v="0%"/>
    <x v="2"/>
    <x v="2"/>
  </r>
  <r>
    <x v="3095"/>
    <d v="2025-05-24T00:00:00"/>
    <n v="10"/>
    <s v="T004"/>
    <x v="0"/>
    <n v="555.66999999999996"/>
    <x v="3"/>
    <n v="500.1"/>
    <n v="2"/>
    <s v="Walk-in"/>
    <n v="500.1"/>
    <s v="OK"/>
    <x v="1"/>
    <x v="1"/>
    <s v="1–_x000a_10%"/>
    <x v="0"/>
    <x v="0"/>
  </r>
  <r>
    <x v="3096"/>
    <d v="2025-06-08T00:00:00"/>
    <n v="18"/>
    <s v="T025"/>
    <x v="1"/>
    <n v="1789.97"/>
    <x v="3"/>
    <n v="1610.97"/>
    <n v="1"/>
    <s v="Walk-in"/>
    <n v="1610.97"/>
    <s v="OK"/>
    <x v="3"/>
    <x v="1"/>
    <s v="1–_x000a_10%"/>
    <x v="2"/>
    <x v="2"/>
  </r>
  <r>
    <x v="3097"/>
    <d v="2025-06-09T00:00:00"/>
    <n v="12"/>
    <s v="T013"/>
    <x v="2"/>
    <n v="1878.17"/>
    <x v="1"/>
    <n v="1878.17"/>
    <n v="4"/>
    <s v="Walk-in"/>
    <n v="1878.17"/>
    <s v="OK"/>
    <x v="3"/>
    <x v="0"/>
    <s v="0%"/>
    <x v="3"/>
    <x v="11"/>
  </r>
  <r>
    <x v="3098"/>
    <d v="2025-04-11T00:00:00"/>
    <n v="22"/>
    <s v="T013"/>
    <x v="0"/>
    <n v="802.22"/>
    <x v="1"/>
    <n v="802.22"/>
    <n v="6"/>
    <s v="Member"/>
    <n v="802.22"/>
    <s v="OK"/>
    <x v="4"/>
    <x v="0"/>
    <s v="0%"/>
    <x v="3"/>
    <x v="11"/>
  </r>
  <r>
    <x v="3099"/>
    <d v="2025-02-05T00:00:00"/>
    <n v="19"/>
    <s v="T001"/>
    <x v="1"/>
    <n v="568.02"/>
    <x v="5"/>
    <n v="539.62"/>
    <n v="5"/>
    <s v="Member"/>
    <n v="539.62"/>
    <s v="OK"/>
    <x v="0"/>
    <x v="0"/>
    <s v="1–_x000a_10%"/>
    <x v="1"/>
    <x v="7"/>
  </r>
  <r>
    <x v="3100"/>
    <d v="2025-02-19T00:00:00"/>
    <n v="21"/>
    <s v="T028"/>
    <x v="2"/>
    <n v="966.55"/>
    <x v="0"/>
    <n v="821.57"/>
    <n v="3"/>
    <s v="Walk-in"/>
    <n v="821.57"/>
    <s v="OK"/>
    <x v="0"/>
    <x v="0"/>
    <s v="11–20%"/>
    <x v="3"/>
    <x v="5"/>
  </r>
  <r>
    <x v="3101"/>
    <d v="2025-01-03T00:00:00"/>
    <n v="20"/>
    <s v="T024"/>
    <x v="0"/>
    <n v="539.63"/>
    <x v="4"/>
    <n v="431.7"/>
    <n v="1"/>
    <s v="Member"/>
    <n v="431.7"/>
    <s v="OK"/>
    <x v="2"/>
    <x v="0"/>
    <s v="11–20%"/>
    <x v="0"/>
    <x v="0"/>
  </r>
  <r>
    <x v="3102"/>
    <d v="2025-06-23T00:00:00"/>
    <n v="11"/>
    <s v="T008"/>
    <x v="2"/>
    <n v="3659.54"/>
    <x v="3"/>
    <n v="3293.59"/>
    <n v="1"/>
    <s v="Walk-in"/>
    <n v="3293.59"/>
    <s v="OK"/>
    <x v="3"/>
    <x v="0"/>
    <s v="1–_x000a_10%"/>
    <x v="3"/>
    <x v="5"/>
  </r>
  <r>
    <x v="3103"/>
    <d v="2025-01-27T00:00:00"/>
    <n v="13"/>
    <s v="T003"/>
    <x v="3"/>
    <n v="606.72"/>
    <x v="3"/>
    <n v="546.04999999999995"/>
    <n v="6"/>
    <s v="Member"/>
    <n v="546.04999999999995"/>
    <s v="OK"/>
    <x v="2"/>
    <x v="0"/>
    <s v="1–_x000a_10%"/>
    <x v="3"/>
    <x v="3"/>
  </r>
  <r>
    <x v="3104"/>
    <d v="2025-02-24T00:00:00"/>
    <n v="16"/>
    <s v="T029"/>
    <x v="0"/>
    <n v="441.64"/>
    <x v="4"/>
    <n v="353.31"/>
    <n v="1"/>
    <s v="Walk-in"/>
    <n v="353.31"/>
    <s v="OK"/>
    <x v="0"/>
    <x v="0"/>
    <s v="11–20%"/>
    <x v="0"/>
    <x v="6"/>
  </r>
  <r>
    <x v="3105"/>
    <d v="2025-01-06T00:00:00"/>
    <n v="11"/>
    <s v="T004"/>
    <x v="3"/>
    <n v="793.56"/>
    <x v="3"/>
    <n v="714.2"/>
    <n v="2"/>
    <s v="Walk-in"/>
    <n v="714.2"/>
    <s v="OK"/>
    <x v="2"/>
    <x v="0"/>
    <s v="1–_x000a_10%"/>
    <x v="0"/>
    <x v="0"/>
  </r>
  <r>
    <x v="3106"/>
    <d v="2025-01-06T00:00:00"/>
    <n v="14"/>
    <s v="T006"/>
    <x v="0"/>
    <n v="729.26"/>
    <x v="1"/>
    <n v="729.26"/>
    <n v="1"/>
    <s v="Walk-in"/>
    <n v="729.26"/>
    <s v="OK"/>
    <x v="2"/>
    <x v="0"/>
    <s v="0%"/>
    <x v="1"/>
    <x v="1"/>
  </r>
  <r>
    <x v="3107"/>
    <d v="2025-02-20T00:00:00"/>
    <n v="18"/>
    <s v="T012"/>
    <x v="0"/>
    <n v="476.14"/>
    <x v="1"/>
    <n v="476.14"/>
    <n v="1"/>
    <s v="Walk-in"/>
    <n v="476.14"/>
    <s v="OK"/>
    <x v="0"/>
    <x v="0"/>
    <s v="0%"/>
    <x v="4"/>
    <x v="9"/>
  </r>
  <r>
    <x v="3108"/>
    <d v="2025-01-05T00:00:00"/>
    <n v="14"/>
    <s v="T019"/>
    <x v="1"/>
    <n v="1286.43"/>
    <x v="1"/>
    <n v="1286.43"/>
    <n v="5"/>
    <s v="Member"/>
    <n v="1286.43"/>
    <s v="OK"/>
    <x v="2"/>
    <x v="1"/>
    <s v="0%"/>
    <x v="0"/>
    <x v="0"/>
  </r>
  <r>
    <x v="3109"/>
    <d v="2025-05-28T00:00:00"/>
    <n v="16"/>
    <s v="T013"/>
    <x v="0"/>
    <n v="560.69000000000005"/>
    <x v="0"/>
    <n v="476.59"/>
    <n v="3"/>
    <s v="Member"/>
    <n v="476.59"/>
    <s v="OK"/>
    <x v="1"/>
    <x v="0"/>
    <s v="11–20%"/>
    <x v="3"/>
    <x v="11"/>
  </r>
  <r>
    <x v="3110"/>
    <d v="2025-01-10T00:00:00"/>
    <n v="11"/>
    <s v="T024"/>
    <x v="2"/>
    <n v="552.11"/>
    <x v="0"/>
    <n v="469.29"/>
    <n v="1"/>
    <s v="Walk-in"/>
    <n v="469.29"/>
    <s v="OK"/>
    <x v="2"/>
    <x v="0"/>
    <s v="11–20%"/>
    <x v="0"/>
    <x v="0"/>
  </r>
  <r>
    <x v="3111"/>
    <d v="2025-02-03T00:00:00"/>
    <n v="20"/>
    <s v="T027"/>
    <x v="0"/>
    <n v="850.1"/>
    <x v="1"/>
    <n v="850.1"/>
    <n v="1"/>
    <s v="Walk-in"/>
    <n v="850.1"/>
    <s v="OK"/>
    <x v="0"/>
    <x v="0"/>
    <s v="0%"/>
    <x v="4"/>
    <x v="9"/>
  </r>
  <r>
    <x v="3112"/>
    <d v="2025-02-05T00:00:00"/>
    <n v="14"/>
    <s v="T002"/>
    <x v="0"/>
    <n v="566.88"/>
    <x v="1"/>
    <n v="566.88"/>
    <n v="3"/>
    <s v="Member"/>
    <n v="566.88"/>
    <s v="OK"/>
    <x v="0"/>
    <x v="0"/>
    <s v="0%"/>
    <x v="4"/>
    <x v="9"/>
  </r>
  <r>
    <x v="3113"/>
    <d v="2025-02-19T00:00:00"/>
    <n v="22"/>
    <s v="T011"/>
    <x v="1"/>
    <n v="1032.74"/>
    <x v="1"/>
    <n v="1032.74"/>
    <n v="3"/>
    <s v="Walk-in"/>
    <n v="1032.74"/>
    <s v="OK"/>
    <x v="0"/>
    <x v="0"/>
    <s v="0%"/>
    <x v="1"/>
    <x v="10"/>
  </r>
  <r>
    <x v="3114"/>
    <d v="2025-05-29T00:00:00"/>
    <n v="10"/>
    <s v="T010"/>
    <x v="0"/>
    <n v="1016.71"/>
    <x v="1"/>
    <n v="1016.71"/>
    <n v="2"/>
    <s v="Walk-in"/>
    <n v="1016.71"/>
    <s v="OK"/>
    <x v="1"/>
    <x v="0"/>
    <s v="0%"/>
    <x v="2"/>
    <x v="4"/>
  </r>
  <r>
    <x v="3115"/>
    <d v="2025-04-05T00:00:00"/>
    <n v="12"/>
    <s v="T020"/>
    <x v="0"/>
    <n v="712.38"/>
    <x v="0"/>
    <n v="605.52"/>
    <n v="1"/>
    <s v="Member"/>
    <n v="605.52"/>
    <s v="OK"/>
    <x v="4"/>
    <x v="1"/>
    <s v="11–20%"/>
    <x v="2"/>
    <x v="2"/>
  </r>
  <r>
    <x v="3116"/>
    <d v="2025-05-25T00:00:00"/>
    <n v="13"/>
    <s v="T029"/>
    <x v="2"/>
    <n v="2128.4"/>
    <x v="3"/>
    <n v="1915.56"/>
    <n v="4"/>
    <s v="Walk-in"/>
    <n v="1915.56"/>
    <s v="OK"/>
    <x v="1"/>
    <x v="1"/>
    <s v="1–_x000a_10%"/>
    <x v="0"/>
    <x v="6"/>
  </r>
  <r>
    <x v="3117"/>
    <d v="2025-06-01T00:00:00"/>
    <n v="21"/>
    <s v="T029"/>
    <x v="0"/>
    <n v="405.68"/>
    <x v="1"/>
    <n v="405.68"/>
    <n v="1"/>
    <s v="Walk-in"/>
    <n v="405.68"/>
    <s v="OK"/>
    <x v="3"/>
    <x v="1"/>
    <s v="0%"/>
    <x v="0"/>
    <x v="6"/>
  </r>
  <r>
    <x v="3118"/>
    <d v="2025-06-19T00:00:00"/>
    <n v="13"/>
    <s v="T030"/>
    <x v="1"/>
    <n v="871.97"/>
    <x v="0"/>
    <n v="741.17"/>
    <n v="3"/>
    <s v="Member"/>
    <n v="741.17"/>
    <s v="OK"/>
    <x v="3"/>
    <x v="0"/>
    <s v="11–20%"/>
    <x v="2"/>
    <x v="2"/>
  </r>
  <r>
    <x v="3119"/>
    <d v="2025-04-30T00:00:00"/>
    <n v="16"/>
    <s v="T023"/>
    <x v="0"/>
    <n v="1309.3699999999999"/>
    <x v="1"/>
    <n v="1309.3699999999999"/>
    <n v="1"/>
    <s v="Member"/>
    <n v="1309.3699999999999"/>
    <s v="OK"/>
    <x v="4"/>
    <x v="0"/>
    <s v="0%"/>
    <x v="3"/>
    <x v="11"/>
  </r>
  <r>
    <x v="3120"/>
    <d v="2025-06-05T00:00:00"/>
    <n v="18"/>
    <s v="T007"/>
    <x v="0"/>
    <n v="774.5"/>
    <x v="1"/>
    <n v="774.5"/>
    <n v="6"/>
    <s v="Walk-in"/>
    <n v="774.5"/>
    <s v="OK"/>
    <x v="3"/>
    <x v="0"/>
    <s v="0%"/>
    <x v="4"/>
    <x v="8"/>
  </r>
  <r>
    <x v="3121"/>
    <d v="2025-05-29T00:00:00"/>
    <n v="21"/>
    <s v="T026"/>
    <x v="0"/>
    <n v="794.36"/>
    <x v="3"/>
    <n v="714.92"/>
    <n v="2"/>
    <s v="Walk-in"/>
    <n v="714.92"/>
    <s v="OK"/>
    <x v="1"/>
    <x v="0"/>
    <s v="1–_x000a_10%"/>
    <x v="1"/>
    <x v="10"/>
  </r>
  <r>
    <x v="3122"/>
    <d v="2025-04-22T00:00:00"/>
    <n v="14"/>
    <s v="T002"/>
    <x v="2"/>
    <n v="1178.7"/>
    <x v="4"/>
    <n v="942.96"/>
    <n v="1"/>
    <s v="Member"/>
    <n v="942.96"/>
    <s v="OK"/>
    <x v="4"/>
    <x v="0"/>
    <s v="11–20%"/>
    <x v="4"/>
    <x v="9"/>
  </r>
  <r>
    <x v="3123"/>
    <d v="2025-01-20T00:00:00"/>
    <n v="13"/>
    <s v="T008"/>
    <x v="1"/>
    <n v="158.16"/>
    <x v="0"/>
    <n v="134.44"/>
    <n v="1"/>
    <s v="Member"/>
    <n v="134.44"/>
    <s v="OK"/>
    <x v="2"/>
    <x v="0"/>
    <s v="11–20%"/>
    <x v="3"/>
    <x v="5"/>
  </r>
  <r>
    <x v="3124"/>
    <d v="2025-05-04T00:00:00"/>
    <n v="14"/>
    <s v="T026"/>
    <x v="2"/>
    <n v="615.57000000000005"/>
    <x v="1"/>
    <n v="615.57000000000005"/>
    <n v="2"/>
    <s v="Member"/>
    <n v="615.57000000000005"/>
    <s v="OK"/>
    <x v="1"/>
    <x v="1"/>
    <s v="0%"/>
    <x v="1"/>
    <x v="10"/>
  </r>
  <r>
    <x v="3125"/>
    <d v="2025-03-28T00:00:00"/>
    <n v="22"/>
    <s v="T004"/>
    <x v="2"/>
    <n v="2125.61"/>
    <x v="3"/>
    <n v="1913.05"/>
    <n v="5"/>
    <s v="Walk-in"/>
    <n v="1913.05"/>
    <s v="OK"/>
    <x v="5"/>
    <x v="0"/>
    <s v="1–_x000a_10%"/>
    <x v="0"/>
    <x v="0"/>
  </r>
  <r>
    <x v="3126"/>
    <d v="2025-04-29T00:00:00"/>
    <n v="20"/>
    <s v="T024"/>
    <x v="2"/>
    <n v="3051.42"/>
    <x v="1"/>
    <n v="3051.42"/>
    <n v="1"/>
    <s v="Walk-in"/>
    <n v="3051.42"/>
    <s v="OK"/>
    <x v="4"/>
    <x v="0"/>
    <s v="0%"/>
    <x v="0"/>
    <x v="0"/>
  </r>
  <r>
    <x v="3127"/>
    <d v="2025-05-30T00:00:00"/>
    <n v="20"/>
    <s v="T001"/>
    <x v="0"/>
    <n v="1427.58"/>
    <x v="0"/>
    <n v="1213.44"/>
    <n v="3"/>
    <s v="Walk-in"/>
    <n v="1213.44"/>
    <s v="OK"/>
    <x v="1"/>
    <x v="0"/>
    <s v="11–20%"/>
    <x v="1"/>
    <x v="7"/>
  </r>
  <r>
    <x v="3128"/>
    <d v="2025-02-07T00:00:00"/>
    <n v="14"/>
    <s v="T026"/>
    <x v="2"/>
    <n v="935.86"/>
    <x v="3"/>
    <n v="842.27"/>
    <n v="2"/>
    <s v="Walk-in"/>
    <n v="842.27"/>
    <s v="OK"/>
    <x v="0"/>
    <x v="0"/>
    <s v="1–_x000a_10%"/>
    <x v="1"/>
    <x v="10"/>
  </r>
  <r>
    <x v="3129"/>
    <d v="2025-03-25T00:00:00"/>
    <n v="17"/>
    <s v="T021"/>
    <x v="0"/>
    <n v="1664.09"/>
    <x v="1"/>
    <n v="1664.09"/>
    <n v="2"/>
    <s v="Member"/>
    <n v="1664.09"/>
    <s v="OK"/>
    <x v="5"/>
    <x v="0"/>
    <s v="0%"/>
    <x v="1"/>
    <x v="1"/>
  </r>
  <r>
    <x v="3130"/>
    <d v="2025-05-17T00:00:00"/>
    <n v="20"/>
    <s v="T014"/>
    <x v="1"/>
    <n v="374.68"/>
    <x v="4"/>
    <n v="299.74"/>
    <n v="1"/>
    <s v="Walk-in"/>
    <n v="299.74"/>
    <s v="OK"/>
    <x v="1"/>
    <x v="1"/>
    <s v="11–20%"/>
    <x v="0"/>
    <x v="6"/>
  </r>
  <r>
    <x v="3131"/>
    <d v="2025-01-13T00:00:00"/>
    <n v="19"/>
    <s v="T026"/>
    <x v="2"/>
    <n v="1868.81"/>
    <x v="4"/>
    <n v="1495.05"/>
    <n v="1"/>
    <s v="Walk-in"/>
    <n v="1495.05"/>
    <s v="OK"/>
    <x v="2"/>
    <x v="0"/>
    <s v="11–20%"/>
    <x v="1"/>
    <x v="10"/>
  </r>
  <r>
    <x v="3132"/>
    <d v="2025-04-16T00:00:00"/>
    <n v="20"/>
    <s v="T011"/>
    <x v="2"/>
    <n v="1050.57"/>
    <x v="4"/>
    <n v="840.46"/>
    <n v="2"/>
    <s v="Walk-in"/>
    <n v="840.46"/>
    <s v="OK"/>
    <x v="4"/>
    <x v="0"/>
    <s v="11–20%"/>
    <x v="1"/>
    <x v="10"/>
  </r>
  <r>
    <x v="3133"/>
    <d v="2025-02-26T00:00:00"/>
    <n v="17"/>
    <s v="T019"/>
    <x v="0"/>
    <n v="994.07"/>
    <x v="4"/>
    <n v="795.26"/>
    <n v="4"/>
    <s v="Walk-in"/>
    <n v="795.26"/>
    <s v="OK"/>
    <x v="0"/>
    <x v="0"/>
    <s v="11–20%"/>
    <x v="0"/>
    <x v="0"/>
  </r>
  <r>
    <x v="3134"/>
    <d v="2025-01-15T00:00:00"/>
    <n v="18"/>
    <s v="T009"/>
    <x v="1"/>
    <n v="1744.49"/>
    <x v="1"/>
    <n v="1744.49"/>
    <n v="1"/>
    <s v="Member"/>
    <n v="1744.49"/>
    <s v="OK"/>
    <x v="2"/>
    <x v="0"/>
    <s v="0%"/>
    <x v="0"/>
    <x v="6"/>
  </r>
  <r>
    <x v="3135"/>
    <d v="2025-04-18T00:00:00"/>
    <n v="16"/>
    <s v="T003"/>
    <x v="2"/>
    <n v="1447.52"/>
    <x v="1"/>
    <n v="1447.52"/>
    <n v="2"/>
    <s v="Walk-in"/>
    <n v="1447.52"/>
    <s v="OK"/>
    <x v="4"/>
    <x v="0"/>
    <s v="0%"/>
    <x v="3"/>
    <x v="3"/>
  </r>
  <r>
    <x v="3136"/>
    <d v="2025-04-27T00:00:00"/>
    <n v="14"/>
    <s v="T013"/>
    <x v="0"/>
    <n v="456.72"/>
    <x v="1"/>
    <n v="456.72"/>
    <n v="3"/>
    <s v="Walk-in"/>
    <n v="456.72"/>
    <s v="OK"/>
    <x v="4"/>
    <x v="1"/>
    <s v="0%"/>
    <x v="3"/>
    <x v="11"/>
  </r>
  <r>
    <x v="3137"/>
    <d v="2025-02-16T00:00:00"/>
    <n v="10"/>
    <s v="T008"/>
    <x v="0"/>
    <n v="850.56"/>
    <x v="3"/>
    <n v="765.5"/>
    <n v="4"/>
    <s v="Member"/>
    <n v="765.5"/>
    <s v="OK"/>
    <x v="0"/>
    <x v="1"/>
    <s v="1–_x000a_10%"/>
    <x v="3"/>
    <x v="5"/>
  </r>
  <r>
    <x v="3138"/>
    <d v="2025-05-19T00:00:00"/>
    <n v="10"/>
    <s v="T027"/>
    <x v="0"/>
    <n v="643.37"/>
    <x v="1"/>
    <n v="643.37"/>
    <n v="3"/>
    <s v="Walk-in"/>
    <n v="643.37"/>
    <s v="OK"/>
    <x v="1"/>
    <x v="0"/>
    <s v="0%"/>
    <x v="4"/>
    <x v="9"/>
  </r>
  <r>
    <x v="3139"/>
    <d v="2025-05-14T00:00:00"/>
    <n v="17"/>
    <s v="T007"/>
    <x v="2"/>
    <n v="852.56"/>
    <x v="1"/>
    <n v="852.56"/>
    <n v="3"/>
    <s v="Walk-in"/>
    <n v="852.56"/>
    <s v="OK"/>
    <x v="1"/>
    <x v="0"/>
    <s v="0%"/>
    <x v="4"/>
    <x v="8"/>
  </r>
  <r>
    <x v="3140"/>
    <d v="2025-01-25T00:00:00"/>
    <n v="13"/>
    <s v="T013"/>
    <x v="0"/>
    <n v="1144.75"/>
    <x v="0"/>
    <n v="973.04"/>
    <n v="2"/>
    <s v="Walk-in"/>
    <n v="973.04"/>
    <s v="OK"/>
    <x v="2"/>
    <x v="1"/>
    <s v="11–20%"/>
    <x v="3"/>
    <x v="11"/>
  </r>
  <r>
    <x v="3141"/>
    <d v="2025-05-06T00:00:00"/>
    <n v="20"/>
    <s v="T001"/>
    <x v="0"/>
    <n v="2029.28"/>
    <x v="4"/>
    <n v="1623.42"/>
    <n v="3"/>
    <s v="Walk-in"/>
    <n v="1623.42"/>
    <s v="OK"/>
    <x v="1"/>
    <x v="0"/>
    <s v="11–20%"/>
    <x v="1"/>
    <x v="7"/>
  </r>
  <r>
    <x v="3142"/>
    <d v="2025-06-21T00:00:00"/>
    <n v="18"/>
    <s v="T005"/>
    <x v="0"/>
    <n v="1639.53"/>
    <x v="1"/>
    <n v="1639.53"/>
    <n v="1"/>
    <s v="Walk-in"/>
    <n v="1639.53"/>
    <s v="OK"/>
    <x v="3"/>
    <x v="1"/>
    <s v="0%"/>
    <x v="2"/>
    <x v="4"/>
  </r>
  <r>
    <x v="3143"/>
    <d v="2025-04-20T00:00:00"/>
    <n v="20"/>
    <s v="T003"/>
    <x v="1"/>
    <n v="311.93"/>
    <x v="0"/>
    <n v="265.14"/>
    <n v="3"/>
    <s v="Walk-in"/>
    <n v="265.14"/>
    <s v="OK"/>
    <x v="4"/>
    <x v="1"/>
    <s v="11–20%"/>
    <x v="3"/>
    <x v="3"/>
  </r>
  <r>
    <x v="3144"/>
    <d v="2025-01-02T00:00:00"/>
    <n v="16"/>
    <s v="T013"/>
    <x v="0"/>
    <n v="2063.73"/>
    <x v="4"/>
    <n v="1650.98"/>
    <n v="1"/>
    <s v="Member"/>
    <n v="1650.98"/>
    <s v="OK"/>
    <x v="2"/>
    <x v="0"/>
    <s v="11–20%"/>
    <x v="3"/>
    <x v="11"/>
  </r>
  <r>
    <x v="3145"/>
    <d v="2025-05-04T00:00:00"/>
    <n v="11"/>
    <s v="T026"/>
    <x v="0"/>
    <n v="568.29"/>
    <x v="1"/>
    <n v="568.29"/>
    <n v="4"/>
    <s v="Walk-in"/>
    <n v="568.29"/>
    <s v="OK"/>
    <x v="1"/>
    <x v="1"/>
    <s v="0%"/>
    <x v="1"/>
    <x v="10"/>
  </r>
  <r>
    <x v="3146"/>
    <d v="2025-02-15T00:00:00"/>
    <n v="22"/>
    <s v="T026"/>
    <x v="1"/>
    <n v="787.06"/>
    <x v="1"/>
    <n v="787.06"/>
    <n v="1"/>
    <s v="Walk-in"/>
    <n v="787.06"/>
    <s v="OK"/>
    <x v="0"/>
    <x v="1"/>
    <s v="0%"/>
    <x v="1"/>
    <x v="10"/>
  </r>
  <r>
    <x v="3147"/>
    <d v="2025-02-22T00:00:00"/>
    <n v="12"/>
    <s v="T026"/>
    <x v="0"/>
    <n v="405.59"/>
    <x v="1"/>
    <n v="405.59"/>
    <n v="1"/>
    <s v="Walk-in"/>
    <n v="405.59"/>
    <s v="OK"/>
    <x v="0"/>
    <x v="1"/>
    <s v="0%"/>
    <x v="1"/>
    <x v="10"/>
  </r>
  <r>
    <x v="3148"/>
    <d v="2025-01-08T00:00:00"/>
    <n v="15"/>
    <s v="T003"/>
    <x v="2"/>
    <n v="939.47"/>
    <x v="1"/>
    <n v="939.47"/>
    <n v="3"/>
    <s v="Walk-in"/>
    <n v="939.47"/>
    <s v="OK"/>
    <x v="2"/>
    <x v="0"/>
    <s v="0%"/>
    <x v="3"/>
    <x v="3"/>
  </r>
  <r>
    <x v="3149"/>
    <d v="2025-06-28T00:00:00"/>
    <n v="21"/>
    <s v="T007"/>
    <x v="1"/>
    <n v="1316.36"/>
    <x v="0"/>
    <n v="1118.9100000000001"/>
    <n v="1"/>
    <s v="Member"/>
    <n v="1118.9100000000001"/>
    <s v="OK"/>
    <x v="3"/>
    <x v="1"/>
    <s v="11–20%"/>
    <x v="4"/>
    <x v="8"/>
  </r>
  <r>
    <x v="3150"/>
    <d v="2025-02-22T00:00:00"/>
    <n v="18"/>
    <s v="T017"/>
    <x v="0"/>
    <n v="2056.66"/>
    <x v="1"/>
    <n v="2056.66"/>
    <n v="3"/>
    <s v="Walk-in"/>
    <n v="2056.66"/>
    <s v="OK"/>
    <x v="0"/>
    <x v="1"/>
    <s v="0%"/>
    <x v="4"/>
    <x v="8"/>
  </r>
  <r>
    <x v="3151"/>
    <d v="2025-03-14T00:00:00"/>
    <n v="18"/>
    <s v="T025"/>
    <x v="2"/>
    <n v="2588.5300000000002"/>
    <x v="1"/>
    <n v="2588.5300000000002"/>
    <n v="5"/>
    <s v="Walk-in"/>
    <n v="2588.5300000000002"/>
    <s v="OK"/>
    <x v="5"/>
    <x v="0"/>
    <s v="0%"/>
    <x v="2"/>
    <x v="2"/>
  </r>
  <r>
    <x v="3152"/>
    <d v="2025-05-17T00:00:00"/>
    <n v="20"/>
    <s v="T020"/>
    <x v="0"/>
    <n v="895.67"/>
    <x v="3"/>
    <n v="806.1"/>
    <n v="3"/>
    <s v="Walk-in"/>
    <n v="806.1"/>
    <s v="OK"/>
    <x v="1"/>
    <x v="1"/>
    <s v="1–_x000a_10%"/>
    <x v="2"/>
    <x v="2"/>
  </r>
  <r>
    <x v="3153"/>
    <d v="2025-02-10T00:00:00"/>
    <n v="19"/>
    <s v="T010"/>
    <x v="2"/>
    <n v="2003.32"/>
    <x v="1"/>
    <n v="2003.32"/>
    <n v="3"/>
    <s v="Walk-in"/>
    <n v="2003.32"/>
    <s v="OK"/>
    <x v="0"/>
    <x v="0"/>
    <s v="0%"/>
    <x v="2"/>
    <x v="4"/>
  </r>
  <r>
    <x v="3154"/>
    <d v="2025-06-24T00:00:00"/>
    <n v="21"/>
    <s v="T023"/>
    <x v="0"/>
    <n v="1702.22"/>
    <x v="3"/>
    <n v="1532"/>
    <n v="2"/>
    <s v="Member"/>
    <n v="1532"/>
    <s v="OK"/>
    <x v="3"/>
    <x v="0"/>
    <s v="1–_x000a_10%"/>
    <x v="3"/>
    <x v="11"/>
  </r>
  <r>
    <x v="3155"/>
    <d v="2025-04-21T00:00:00"/>
    <n v="11"/>
    <s v="T009"/>
    <x v="2"/>
    <n v="327.14"/>
    <x v="1"/>
    <n v="327.14"/>
    <n v="2"/>
    <s v="Walk-in"/>
    <n v="327.14"/>
    <s v="OK"/>
    <x v="4"/>
    <x v="0"/>
    <s v="0%"/>
    <x v="0"/>
    <x v="6"/>
  </r>
  <r>
    <x v="3156"/>
    <d v="2025-06-07T00:00:00"/>
    <n v="12"/>
    <s v="T023"/>
    <x v="0"/>
    <n v="1225.77"/>
    <x v="1"/>
    <n v="1225.77"/>
    <n v="4"/>
    <s v="Walk-in"/>
    <n v="1225.77"/>
    <s v="OK"/>
    <x v="3"/>
    <x v="1"/>
    <s v="0%"/>
    <x v="3"/>
    <x v="11"/>
  </r>
  <r>
    <x v="3157"/>
    <d v="2025-06-23T00:00:00"/>
    <n v="13"/>
    <s v="T028"/>
    <x v="0"/>
    <n v="910.5"/>
    <x v="5"/>
    <n v="864.97"/>
    <n v="2"/>
    <s v="Member"/>
    <n v="864.98"/>
    <s v="OK"/>
    <x v="3"/>
    <x v="0"/>
    <s v="1–_x000a_10%"/>
    <x v="3"/>
    <x v="5"/>
  </r>
  <r>
    <x v="3158"/>
    <d v="2025-06-28T00:00:00"/>
    <n v="20"/>
    <s v="T030"/>
    <x v="2"/>
    <n v="895.31"/>
    <x v="1"/>
    <n v="895.31"/>
    <n v="3"/>
    <s v="Walk-in"/>
    <n v="895.31"/>
    <s v="OK"/>
    <x v="3"/>
    <x v="1"/>
    <s v="0%"/>
    <x v="2"/>
    <x v="2"/>
  </r>
  <r>
    <x v="3159"/>
    <d v="2025-05-18T00:00:00"/>
    <n v="10"/>
    <s v="T023"/>
    <x v="2"/>
    <n v="2129.86"/>
    <x v="0"/>
    <n v="1810.38"/>
    <n v="3"/>
    <s v="Member"/>
    <n v="1810.38"/>
    <s v="OK"/>
    <x v="1"/>
    <x v="1"/>
    <s v="11–20%"/>
    <x v="3"/>
    <x v="11"/>
  </r>
  <r>
    <x v="3160"/>
    <d v="2025-02-12T00:00:00"/>
    <n v="11"/>
    <s v="T025"/>
    <x v="2"/>
    <n v="714.59"/>
    <x v="3"/>
    <n v="643.13"/>
    <n v="6"/>
    <s v="Member"/>
    <n v="643.13"/>
    <s v="OK"/>
    <x v="0"/>
    <x v="0"/>
    <s v="1–_x000a_10%"/>
    <x v="2"/>
    <x v="2"/>
  </r>
  <r>
    <x v="3161"/>
    <d v="2025-02-18T00:00:00"/>
    <n v="20"/>
    <s v="T006"/>
    <x v="0"/>
    <n v="280.5"/>
    <x v="1"/>
    <n v="280.5"/>
    <n v="3"/>
    <s v="Member"/>
    <n v="280.5"/>
    <s v="OK"/>
    <x v="0"/>
    <x v="0"/>
    <s v="0%"/>
    <x v="1"/>
    <x v="1"/>
  </r>
  <r>
    <x v="3162"/>
    <d v="2025-01-06T00:00:00"/>
    <n v="12"/>
    <s v="T002"/>
    <x v="2"/>
    <n v="2318.85"/>
    <x v="3"/>
    <n v="2086.9699999999998"/>
    <n v="2"/>
    <s v="Walk-in"/>
    <n v="2086.9699999999998"/>
    <s v="OK"/>
    <x v="2"/>
    <x v="0"/>
    <s v="1–_x000a_10%"/>
    <x v="4"/>
    <x v="9"/>
  </r>
  <r>
    <x v="3163"/>
    <d v="2025-05-17T00:00:00"/>
    <n v="10"/>
    <s v="T005"/>
    <x v="3"/>
    <n v="1714"/>
    <x v="3"/>
    <n v="1542.6"/>
    <n v="2"/>
    <s v="Walk-in"/>
    <n v="1542.6"/>
    <s v="OK"/>
    <x v="1"/>
    <x v="1"/>
    <s v="1–_x000a_10%"/>
    <x v="2"/>
    <x v="4"/>
  </r>
  <r>
    <x v="3164"/>
    <d v="2025-05-08T00:00:00"/>
    <n v="17"/>
    <s v="T023"/>
    <x v="2"/>
    <n v="520.12"/>
    <x v="1"/>
    <n v="520.12"/>
    <n v="1"/>
    <s v="Walk-in"/>
    <n v="520.12"/>
    <s v="OK"/>
    <x v="1"/>
    <x v="0"/>
    <s v="0%"/>
    <x v="3"/>
    <x v="11"/>
  </r>
  <r>
    <x v="3165"/>
    <d v="2025-01-24T00:00:00"/>
    <n v="13"/>
    <s v="T027"/>
    <x v="2"/>
    <n v="525.01"/>
    <x v="1"/>
    <n v="525.01"/>
    <n v="2"/>
    <s v="Member"/>
    <n v="525.01"/>
    <s v="OK"/>
    <x v="2"/>
    <x v="0"/>
    <s v="0%"/>
    <x v="4"/>
    <x v="9"/>
  </r>
  <r>
    <x v="3166"/>
    <d v="2025-04-13T00:00:00"/>
    <n v="14"/>
    <s v="T011"/>
    <x v="1"/>
    <n v="1261.29"/>
    <x v="3"/>
    <n v="1135.1600000000001"/>
    <n v="1"/>
    <s v="Walk-in"/>
    <n v="1135.1600000000001"/>
    <s v="OK"/>
    <x v="4"/>
    <x v="1"/>
    <s v="1–_x000a_10%"/>
    <x v="1"/>
    <x v="10"/>
  </r>
  <r>
    <x v="3167"/>
    <d v="2025-03-20T00:00:00"/>
    <n v="10"/>
    <s v="T009"/>
    <x v="1"/>
    <n v="456.43"/>
    <x v="4"/>
    <n v="365.14"/>
    <n v="1"/>
    <s v="Walk-in"/>
    <n v="365.14"/>
    <s v="OK"/>
    <x v="5"/>
    <x v="0"/>
    <s v="11–20%"/>
    <x v="0"/>
    <x v="6"/>
  </r>
  <r>
    <x v="3168"/>
    <d v="2025-03-25T00:00:00"/>
    <n v="12"/>
    <s v="T025"/>
    <x v="0"/>
    <n v="1189.2"/>
    <x v="1"/>
    <n v="1189.2"/>
    <n v="2"/>
    <s v="Member"/>
    <n v="1189.2"/>
    <s v="OK"/>
    <x v="5"/>
    <x v="0"/>
    <s v="0%"/>
    <x v="2"/>
    <x v="2"/>
  </r>
  <r>
    <x v="3169"/>
    <d v="2025-03-26T00:00:00"/>
    <n v="18"/>
    <s v="T009"/>
    <x v="0"/>
    <n v="845.65"/>
    <x v="1"/>
    <n v="845.65"/>
    <n v="5"/>
    <s v="Walk-in"/>
    <n v="845.65"/>
    <s v="OK"/>
    <x v="5"/>
    <x v="0"/>
    <s v="0%"/>
    <x v="0"/>
    <x v="6"/>
  </r>
  <r>
    <x v="3170"/>
    <d v="2025-03-13T00:00:00"/>
    <n v="20"/>
    <s v="T020"/>
    <x v="2"/>
    <n v="1148.77"/>
    <x v="3"/>
    <n v="1033.8900000000001"/>
    <n v="1"/>
    <s v="Walk-in"/>
    <n v="1033.8900000000001"/>
    <s v="OK"/>
    <x v="5"/>
    <x v="0"/>
    <s v="1–_x000a_10%"/>
    <x v="2"/>
    <x v="2"/>
  </r>
  <r>
    <x v="3171"/>
    <d v="2025-03-16T00:00:00"/>
    <n v="12"/>
    <s v="T017"/>
    <x v="0"/>
    <n v="801.51"/>
    <x v="5"/>
    <n v="761.43"/>
    <n v="3"/>
    <s v="Member"/>
    <n v="761.43"/>
    <s v="OK"/>
    <x v="5"/>
    <x v="1"/>
    <s v="1–_x000a_10%"/>
    <x v="4"/>
    <x v="8"/>
  </r>
  <r>
    <x v="3172"/>
    <d v="2025-05-20T00:00:00"/>
    <n v="14"/>
    <s v="T014"/>
    <x v="0"/>
    <n v="4557"/>
    <x v="0"/>
    <n v="3873.45"/>
    <n v="2"/>
    <s v="Member"/>
    <n v="3873.45"/>
    <s v="OK"/>
    <x v="1"/>
    <x v="0"/>
    <s v="11–20%"/>
    <x v="0"/>
    <x v="6"/>
  </r>
  <r>
    <x v="3173"/>
    <d v="2025-05-07T00:00:00"/>
    <n v="17"/>
    <s v="T001"/>
    <x v="0"/>
    <n v="1636.55"/>
    <x v="1"/>
    <n v="1636.55"/>
    <n v="1"/>
    <s v="Member"/>
    <n v="1636.55"/>
    <s v="OK"/>
    <x v="1"/>
    <x v="0"/>
    <s v="0%"/>
    <x v="1"/>
    <x v="7"/>
  </r>
  <r>
    <x v="3174"/>
    <d v="2025-06-10T00:00:00"/>
    <n v="12"/>
    <s v="T001"/>
    <x v="0"/>
    <n v="1209.54"/>
    <x v="5"/>
    <n v="1149.06"/>
    <n v="2"/>
    <s v="Walk-in"/>
    <n v="1149.06"/>
    <s v="OK"/>
    <x v="3"/>
    <x v="0"/>
    <s v="1–_x000a_10%"/>
    <x v="1"/>
    <x v="7"/>
  </r>
  <r>
    <x v="3175"/>
    <d v="2025-03-20T00:00:00"/>
    <n v="13"/>
    <s v="T008"/>
    <x v="0"/>
    <n v="1234.3399999999999"/>
    <x v="5"/>
    <n v="1172.6199999999999"/>
    <n v="2"/>
    <s v="Walk-in"/>
    <n v="1172.6199999999999"/>
    <s v="OK"/>
    <x v="5"/>
    <x v="0"/>
    <s v="1–_x000a_10%"/>
    <x v="3"/>
    <x v="5"/>
  </r>
  <r>
    <x v="3176"/>
    <d v="2025-01-26T00:00:00"/>
    <n v="10"/>
    <s v="T012"/>
    <x v="0"/>
    <n v="553.30999999999995"/>
    <x v="0"/>
    <n v="470.31"/>
    <n v="5"/>
    <s v="Walk-in"/>
    <n v="470.31"/>
    <s v="OK"/>
    <x v="2"/>
    <x v="1"/>
    <s v="11–20%"/>
    <x v="4"/>
    <x v="9"/>
  </r>
  <r>
    <x v="3177"/>
    <d v="2025-03-14T00:00:00"/>
    <n v="22"/>
    <s v="T016"/>
    <x v="0"/>
    <n v="1024.0899999999999"/>
    <x v="1"/>
    <n v="1024.0899999999999"/>
    <n v="1"/>
    <s v="Walk-in"/>
    <n v="1024.0899999999999"/>
    <s v="OK"/>
    <x v="5"/>
    <x v="0"/>
    <s v="0%"/>
    <x v="1"/>
    <x v="1"/>
  </r>
  <r>
    <x v="3178"/>
    <d v="2025-04-06T00:00:00"/>
    <n v="17"/>
    <s v="T010"/>
    <x v="2"/>
    <n v="1529.45"/>
    <x v="5"/>
    <n v="1452.98"/>
    <n v="1"/>
    <s v="Member"/>
    <n v="1452.98"/>
    <s v="OK"/>
    <x v="4"/>
    <x v="1"/>
    <s v="1–_x000a_10%"/>
    <x v="2"/>
    <x v="4"/>
  </r>
  <r>
    <x v="3179"/>
    <d v="2025-05-29T00:00:00"/>
    <n v="16"/>
    <s v="T011"/>
    <x v="2"/>
    <n v="1993.52"/>
    <x v="3"/>
    <n v="1794.17"/>
    <n v="4"/>
    <s v="Walk-in"/>
    <n v="1794.17"/>
    <s v="OK"/>
    <x v="1"/>
    <x v="0"/>
    <s v="1–_x000a_10%"/>
    <x v="1"/>
    <x v="10"/>
  </r>
  <r>
    <x v="3180"/>
    <d v="2025-05-10T00:00:00"/>
    <n v="12"/>
    <s v="T002"/>
    <x v="0"/>
    <n v="229.77"/>
    <x v="5"/>
    <n v="218.28"/>
    <n v="2"/>
    <s v="Member"/>
    <n v="218.28"/>
    <s v="OK"/>
    <x v="1"/>
    <x v="1"/>
    <s v="1–_x000a_10%"/>
    <x v="4"/>
    <x v="9"/>
  </r>
  <r>
    <x v="3181"/>
    <d v="2025-05-26T00:00:00"/>
    <n v="15"/>
    <s v="T016"/>
    <x v="0"/>
    <n v="765.43"/>
    <x v="0"/>
    <n v="650.62"/>
    <n v="1"/>
    <s v="Member"/>
    <n v="650.62"/>
    <s v="OK"/>
    <x v="1"/>
    <x v="0"/>
    <s v="11–20%"/>
    <x v="1"/>
    <x v="1"/>
  </r>
  <r>
    <x v="3182"/>
    <d v="2025-05-02T00:00:00"/>
    <n v="20"/>
    <s v="T013"/>
    <x v="0"/>
    <n v="2046.31"/>
    <x v="3"/>
    <n v="1841.68"/>
    <n v="2"/>
    <s v="Member"/>
    <n v="1841.68"/>
    <s v="OK"/>
    <x v="1"/>
    <x v="0"/>
    <s v="1–_x000a_10%"/>
    <x v="3"/>
    <x v="11"/>
  </r>
  <r>
    <x v="3183"/>
    <d v="2025-05-02T00:00:00"/>
    <n v="16"/>
    <s v="T026"/>
    <x v="3"/>
    <n v="930.44"/>
    <x v="5"/>
    <n v="883.92"/>
    <n v="1"/>
    <s v="Walk-in"/>
    <n v="883.92"/>
    <s v="OK"/>
    <x v="1"/>
    <x v="0"/>
    <s v="1–_x000a_10%"/>
    <x v="1"/>
    <x v="10"/>
  </r>
  <r>
    <x v="3184"/>
    <d v="2025-01-02T00:00:00"/>
    <n v="15"/>
    <s v="T022"/>
    <x v="2"/>
    <n v="1397.11"/>
    <x v="3"/>
    <n v="1257.4000000000001"/>
    <n v="2"/>
    <s v="Walk-in"/>
    <n v="1257.4000000000001"/>
    <s v="OK"/>
    <x v="2"/>
    <x v="0"/>
    <s v="1–_x000a_10%"/>
    <x v="4"/>
    <x v="8"/>
  </r>
  <r>
    <x v="3185"/>
    <d v="2025-01-05T00:00:00"/>
    <n v="10"/>
    <s v="T030"/>
    <x v="0"/>
    <n v="1847.82"/>
    <x v="4"/>
    <n v="1478.26"/>
    <n v="2"/>
    <s v="Member"/>
    <n v="1478.26"/>
    <s v="OK"/>
    <x v="2"/>
    <x v="1"/>
    <s v="11–20%"/>
    <x v="2"/>
    <x v="2"/>
  </r>
  <r>
    <x v="3186"/>
    <d v="2025-01-25T00:00:00"/>
    <n v="16"/>
    <s v="T019"/>
    <x v="0"/>
    <n v="3668.89"/>
    <x v="4"/>
    <n v="2935.11"/>
    <n v="1"/>
    <s v="Member"/>
    <n v="2935.11"/>
    <s v="OK"/>
    <x v="2"/>
    <x v="1"/>
    <s v="11–20%"/>
    <x v="0"/>
    <x v="0"/>
  </r>
  <r>
    <x v="3187"/>
    <d v="2025-04-12T00:00:00"/>
    <n v="18"/>
    <s v="T006"/>
    <x v="0"/>
    <n v="834.57"/>
    <x v="1"/>
    <n v="834.57"/>
    <n v="3"/>
    <s v="Walk-in"/>
    <n v="834.57"/>
    <s v="OK"/>
    <x v="4"/>
    <x v="1"/>
    <s v="0%"/>
    <x v="1"/>
    <x v="1"/>
  </r>
  <r>
    <x v="3188"/>
    <d v="2025-05-20T00:00:00"/>
    <n v="21"/>
    <s v="T020"/>
    <x v="0"/>
    <n v="471.1"/>
    <x v="1"/>
    <n v="471.1"/>
    <n v="3"/>
    <s v="Member"/>
    <n v="471.1"/>
    <s v="OK"/>
    <x v="1"/>
    <x v="0"/>
    <s v="0%"/>
    <x v="2"/>
    <x v="2"/>
  </r>
  <r>
    <x v="3189"/>
    <d v="2025-03-28T00:00:00"/>
    <n v="16"/>
    <s v="T003"/>
    <x v="0"/>
    <n v="274.8"/>
    <x v="5"/>
    <n v="261.06"/>
    <n v="5"/>
    <s v="Member"/>
    <n v="261.06"/>
    <s v="OK"/>
    <x v="5"/>
    <x v="0"/>
    <s v="1–_x000a_10%"/>
    <x v="3"/>
    <x v="3"/>
  </r>
  <r>
    <x v="3190"/>
    <d v="2025-01-16T00:00:00"/>
    <n v="13"/>
    <s v="T023"/>
    <x v="0"/>
    <n v="264.24"/>
    <x v="4"/>
    <n v="211.39"/>
    <n v="6"/>
    <s v="Walk-in"/>
    <n v="211.39"/>
    <s v="OK"/>
    <x v="2"/>
    <x v="0"/>
    <s v="11–20%"/>
    <x v="3"/>
    <x v="11"/>
  </r>
  <r>
    <x v="3191"/>
    <d v="2025-02-02T00:00:00"/>
    <n v="13"/>
    <s v="T003"/>
    <x v="0"/>
    <n v="1101.46"/>
    <x v="1"/>
    <n v="1101.46"/>
    <n v="2"/>
    <s v="Walk-in"/>
    <n v="1101.46"/>
    <s v="OK"/>
    <x v="0"/>
    <x v="1"/>
    <s v="0%"/>
    <x v="3"/>
    <x v="3"/>
  </r>
  <r>
    <x v="3192"/>
    <d v="2025-01-29T00:00:00"/>
    <n v="18"/>
    <s v="T028"/>
    <x v="0"/>
    <n v="1057.3499999999999"/>
    <x v="4"/>
    <n v="845.88"/>
    <n v="2"/>
    <s v="Member"/>
    <n v="845.88"/>
    <s v="OK"/>
    <x v="2"/>
    <x v="0"/>
    <s v="11–20%"/>
    <x v="3"/>
    <x v="5"/>
  </r>
  <r>
    <x v="3193"/>
    <d v="2025-04-03T00:00:00"/>
    <n v="12"/>
    <s v="T028"/>
    <x v="0"/>
    <n v="511.17"/>
    <x v="3"/>
    <n v="460.05"/>
    <n v="2"/>
    <s v="Member"/>
    <n v="460.05"/>
    <s v="OK"/>
    <x v="4"/>
    <x v="0"/>
    <s v="1–_x000a_10%"/>
    <x v="3"/>
    <x v="5"/>
  </r>
  <r>
    <x v="3194"/>
    <d v="2025-02-17T00:00:00"/>
    <n v="18"/>
    <s v="T017"/>
    <x v="0"/>
    <n v="1439.52"/>
    <x v="4"/>
    <n v="1151.6199999999999"/>
    <n v="3"/>
    <s v="Walk-in"/>
    <n v="1151.6199999999999"/>
    <s v="OK"/>
    <x v="0"/>
    <x v="0"/>
    <s v="11–20%"/>
    <x v="4"/>
    <x v="8"/>
  </r>
  <r>
    <x v="3195"/>
    <d v="2025-04-06T00:00:00"/>
    <n v="20"/>
    <s v="T013"/>
    <x v="2"/>
    <n v="788.05"/>
    <x v="1"/>
    <n v="788.05"/>
    <n v="4"/>
    <s v="Walk-in"/>
    <n v="788.05"/>
    <s v="OK"/>
    <x v="4"/>
    <x v="1"/>
    <s v="0%"/>
    <x v="3"/>
    <x v="11"/>
  </r>
  <r>
    <x v="3196"/>
    <d v="2025-03-31T00:00:00"/>
    <n v="21"/>
    <s v="T014"/>
    <x v="0"/>
    <n v="542.97"/>
    <x v="1"/>
    <n v="542.97"/>
    <n v="1"/>
    <s v="Walk-in"/>
    <n v="542.97"/>
    <s v="OK"/>
    <x v="5"/>
    <x v="0"/>
    <s v="0%"/>
    <x v="0"/>
    <x v="6"/>
  </r>
  <r>
    <x v="3197"/>
    <d v="2025-01-16T00:00:00"/>
    <n v="14"/>
    <s v="T030"/>
    <x v="0"/>
    <n v="1226.3599999999999"/>
    <x v="3"/>
    <n v="1103.72"/>
    <n v="3"/>
    <s v="Member"/>
    <n v="1103.72"/>
    <s v="OK"/>
    <x v="2"/>
    <x v="0"/>
    <s v="1–_x000a_10%"/>
    <x v="2"/>
    <x v="2"/>
  </r>
  <r>
    <x v="3198"/>
    <d v="2025-06-04T00:00:00"/>
    <n v="21"/>
    <s v="T001"/>
    <x v="2"/>
    <n v="250.42"/>
    <x v="1"/>
    <n v="250.42"/>
    <n v="2"/>
    <s v="Walk-in"/>
    <n v="250.42"/>
    <s v="OK"/>
    <x v="3"/>
    <x v="0"/>
    <s v="0%"/>
    <x v="1"/>
    <x v="7"/>
  </r>
  <r>
    <x v="3199"/>
    <d v="2025-03-03T00:00:00"/>
    <n v="19"/>
    <s v="T006"/>
    <x v="1"/>
    <n v="521.11"/>
    <x v="5"/>
    <n v="495.05"/>
    <n v="1"/>
    <s v="Walk-in"/>
    <n v="495.05"/>
    <s v="OK"/>
    <x v="5"/>
    <x v="0"/>
    <s v="1–_x000a_10%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25-01-01T00:00:00"/>
    <x v="0"/>
    <n v="1689"/>
    <s v="Sunny"/>
    <s v="No"/>
  </r>
  <r>
    <d v="2025-01-01T00:00:00"/>
    <x v="1"/>
    <n v="1433"/>
    <s v="Sunny"/>
    <s v="Yes"/>
  </r>
  <r>
    <d v="2025-01-01T00:00:00"/>
    <x v="2"/>
    <n v="1224"/>
    <s v="Cloudy"/>
    <s v="No"/>
  </r>
  <r>
    <d v="2025-01-01T00:00:00"/>
    <x v="3"/>
    <n v="929"/>
    <s v="Sunny"/>
    <s v="No"/>
  </r>
  <r>
    <d v="2025-01-02T00:00:00"/>
    <x v="0"/>
    <n v="1692"/>
    <s v="Cloudy"/>
    <s v="No"/>
  </r>
  <r>
    <d v="2025-01-02T00:00:00"/>
    <x v="1"/>
    <n v="1216"/>
    <s v="Cloudy"/>
    <s v="No"/>
  </r>
  <r>
    <d v="2025-01-02T00:00:00"/>
    <x v="2"/>
    <n v="1165"/>
    <s v="Sunny"/>
    <s v="No"/>
  </r>
  <r>
    <d v="2025-01-02T00:00:00"/>
    <x v="3"/>
    <n v="870"/>
    <s v="Sunny"/>
    <s v="No"/>
  </r>
  <r>
    <d v="2025-01-03T00:00:00"/>
    <x v="0"/>
    <n v="1490"/>
    <s v="Sunny"/>
    <s v="Yes"/>
  </r>
  <r>
    <d v="2025-01-03T00:00:00"/>
    <x v="1"/>
    <n v="1376"/>
    <s v="Sunny"/>
    <s v="No"/>
  </r>
  <r>
    <d v="2025-01-03T00:00:00"/>
    <x v="2"/>
    <n v="1119"/>
    <s v="Cloudy"/>
    <s v="No"/>
  </r>
  <r>
    <d v="2025-01-03T00:00:00"/>
    <x v="3"/>
    <n v="881"/>
    <s v="Cloudy"/>
    <s v="No"/>
  </r>
  <r>
    <d v="2025-01-04T00:00:00"/>
    <x v="0"/>
    <n v="2594"/>
    <s v="Cloudy"/>
    <s v="No"/>
  </r>
  <r>
    <d v="2025-01-04T00:00:00"/>
    <x v="1"/>
    <n v="2178"/>
    <s v="Sunny"/>
    <s v="No"/>
  </r>
  <r>
    <d v="2025-01-04T00:00:00"/>
    <x v="2"/>
    <n v="1943"/>
    <s v="Sunny"/>
    <s v="No"/>
  </r>
  <r>
    <d v="2025-01-04T00:00:00"/>
    <x v="3"/>
    <n v="1456"/>
    <s v="Cloudy"/>
    <s v="No"/>
  </r>
  <r>
    <d v="2025-01-05T00:00:00"/>
    <x v="0"/>
    <n v="2258"/>
    <s v="Rainy"/>
    <s v="No"/>
  </r>
  <r>
    <d v="2025-01-05T00:00:00"/>
    <x v="1"/>
    <n v="1948"/>
    <s v="Sunny"/>
    <s v="No"/>
  </r>
  <r>
    <d v="2025-01-05T00:00:00"/>
    <x v="2"/>
    <n v="1707"/>
    <s v="Cloudy"/>
    <s v="No"/>
  </r>
  <r>
    <d v="2025-01-05T00:00:00"/>
    <x v="3"/>
    <n v="1346"/>
    <s v="Sunny"/>
    <s v="No"/>
  </r>
  <r>
    <d v="2025-01-06T00:00:00"/>
    <x v="0"/>
    <n v="1650"/>
    <s v="Sunny"/>
    <s v="No"/>
  </r>
  <r>
    <d v="2025-01-06T00:00:00"/>
    <x v="1"/>
    <n v="1479"/>
    <s v="Cloudy"/>
    <s v="No"/>
  </r>
  <r>
    <d v="2025-01-06T00:00:00"/>
    <x v="2"/>
    <n v="1264"/>
    <s v="Sunny"/>
    <s v="No"/>
  </r>
  <r>
    <d v="2025-01-06T00:00:00"/>
    <x v="3"/>
    <n v="1097"/>
    <s v="Cloudy"/>
    <s v="Yes"/>
  </r>
  <r>
    <d v="2025-01-07T00:00:00"/>
    <x v="0"/>
    <n v="1687"/>
    <s v="Sunny"/>
    <s v="No"/>
  </r>
  <r>
    <d v="2025-01-07T00:00:00"/>
    <x v="1"/>
    <n v="1433"/>
    <s v="Sunny"/>
    <s v="No"/>
  </r>
  <r>
    <d v="2025-01-07T00:00:00"/>
    <x v="2"/>
    <n v="1161"/>
    <s v="Rainy"/>
    <s v="No"/>
  </r>
  <r>
    <d v="2025-01-07T00:00:00"/>
    <x v="3"/>
    <n v="874"/>
    <s v="Sunny"/>
    <s v="Yes"/>
  </r>
  <r>
    <d v="2025-01-08T00:00:00"/>
    <x v="0"/>
    <n v="1258"/>
    <s v="Cloudy"/>
    <s v="Yes"/>
  </r>
  <r>
    <d v="2025-01-08T00:00:00"/>
    <x v="1"/>
    <n v="1230"/>
    <s v="Sunny"/>
    <s v="No"/>
  </r>
  <r>
    <d v="2025-01-08T00:00:00"/>
    <x v="2"/>
    <n v="905"/>
    <s v="Sunny"/>
    <s v="No"/>
  </r>
  <r>
    <d v="2025-01-08T00:00:00"/>
    <x v="3"/>
    <n v="715"/>
    <s v="Sunny"/>
    <s v="No"/>
  </r>
  <r>
    <d v="2025-01-09T00:00:00"/>
    <x v="0"/>
    <n v="1687"/>
    <s v="Rainy"/>
    <s v="Yes"/>
  </r>
  <r>
    <d v="2025-01-09T00:00:00"/>
    <x v="1"/>
    <n v="1282"/>
    <s v="Sunny"/>
    <s v="No"/>
  </r>
  <r>
    <d v="2025-01-09T00:00:00"/>
    <x v="2"/>
    <n v="1148"/>
    <s v="Cloudy"/>
    <s v="No"/>
  </r>
  <r>
    <d v="2025-01-09T00:00:00"/>
    <x v="3"/>
    <n v="945"/>
    <s v="Rainy"/>
    <s v="No"/>
  </r>
  <r>
    <d v="2025-01-10T00:00:00"/>
    <x v="0"/>
    <n v="1379"/>
    <s v="Sunny"/>
    <s v="No"/>
  </r>
  <r>
    <d v="2025-01-10T00:00:00"/>
    <x v="1"/>
    <n v="1258"/>
    <s v="Sunny"/>
    <s v="No"/>
  </r>
  <r>
    <d v="2025-01-10T00:00:00"/>
    <x v="2"/>
    <n v="1048"/>
    <s v="Sunny"/>
    <s v="No"/>
  </r>
  <r>
    <d v="2025-01-10T00:00:00"/>
    <x v="3"/>
    <n v="778"/>
    <s v="Sunny"/>
    <s v="Yes"/>
  </r>
  <r>
    <d v="2025-01-11T00:00:00"/>
    <x v="0"/>
    <n v="2307"/>
    <s v="Rainy"/>
    <s v="No"/>
  </r>
  <r>
    <d v="2025-01-11T00:00:00"/>
    <x v="1"/>
    <n v="2096"/>
    <s v="Rainy"/>
    <s v="No"/>
  </r>
  <r>
    <d v="2025-01-11T00:00:00"/>
    <x v="2"/>
    <n v="1887"/>
    <s v="Cloudy"/>
    <s v="No"/>
  </r>
  <r>
    <d v="2025-01-11T00:00:00"/>
    <x v="3"/>
    <n v="1463"/>
    <s v="Sunny"/>
    <s v="No"/>
  </r>
  <r>
    <d v="2025-01-12T00:00:00"/>
    <x v="0"/>
    <n v="2589"/>
    <s v="Sunny"/>
    <s v="Yes"/>
  </r>
  <r>
    <d v="2025-01-12T00:00:00"/>
    <x v="1"/>
    <n v="2527"/>
    <s v="Sunny"/>
    <s v="No"/>
  </r>
  <r>
    <d v="2025-01-12T00:00:00"/>
    <x v="2"/>
    <n v="2127"/>
    <s v="Cloudy"/>
    <s v="No"/>
  </r>
  <r>
    <d v="2025-01-12T00:00:00"/>
    <x v="3"/>
    <n v="1482"/>
    <s v="Cloudy"/>
    <s v="No"/>
  </r>
  <r>
    <d v="2025-01-13T00:00:00"/>
    <x v="0"/>
    <n v="1617"/>
    <s v="Sunny"/>
    <s v="No"/>
  </r>
  <r>
    <d v="2025-01-13T00:00:00"/>
    <x v="1"/>
    <n v="1382"/>
    <s v="Cloudy"/>
    <s v="Yes"/>
  </r>
  <r>
    <d v="2025-01-13T00:00:00"/>
    <x v="2"/>
    <n v="1169"/>
    <s v="Cloudy"/>
    <s v="No"/>
  </r>
  <r>
    <d v="2025-01-13T00:00:00"/>
    <x v="3"/>
    <n v="877"/>
    <s v="Cloudy"/>
    <s v="No"/>
  </r>
  <r>
    <d v="2025-01-14T00:00:00"/>
    <x v="0"/>
    <n v="1357"/>
    <s v="Sunny"/>
    <s v="No"/>
  </r>
  <r>
    <d v="2025-01-14T00:00:00"/>
    <x v="1"/>
    <n v="1116"/>
    <s v="Sunny"/>
    <s v="No"/>
  </r>
  <r>
    <d v="2025-01-14T00:00:00"/>
    <x v="2"/>
    <n v="1000"/>
    <s v="Rainy"/>
    <s v="No"/>
  </r>
  <r>
    <d v="2025-01-14T00:00:00"/>
    <x v="3"/>
    <n v="736"/>
    <s v="Sunny"/>
    <s v="No"/>
  </r>
  <r>
    <d v="2025-01-15T00:00:00"/>
    <x v="0"/>
    <n v="1578"/>
    <s v="Sunny"/>
    <s v="No"/>
  </r>
  <r>
    <d v="2025-01-15T00:00:00"/>
    <x v="1"/>
    <n v="1584"/>
    <s v="Sunny"/>
    <s v="No"/>
  </r>
  <r>
    <d v="2025-01-15T00:00:00"/>
    <x v="2"/>
    <n v="1181"/>
    <s v="Sunny"/>
    <s v="No"/>
  </r>
  <r>
    <d v="2025-01-15T00:00:00"/>
    <x v="3"/>
    <n v="953"/>
    <s v="Sunny"/>
    <s v="No"/>
  </r>
  <r>
    <d v="2025-01-16T00:00:00"/>
    <x v="0"/>
    <n v="1335"/>
    <s v="Sunny"/>
    <s v="No"/>
  </r>
  <r>
    <d v="2025-01-16T00:00:00"/>
    <x v="1"/>
    <n v="1228"/>
    <s v="Sunny"/>
    <s v="No"/>
  </r>
  <r>
    <d v="2025-01-16T00:00:00"/>
    <x v="2"/>
    <n v="1069"/>
    <s v="Cloudy"/>
    <s v="No"/>
  </r>
  <r>
    <d v="2025-01-16T00:00:00"/>
    <x v="3"/>
    <n v="930"/>
    <s v="Sunny"/>
    <s v="No"/>
  </r>
  <r>
    <d v="2025-01-17T00:00:00"/>
    <x v="0"/>
    <n v="2306"/>
    <s v="Sunny"/>
    <s v="No"/>
  </r>
  <r>
    <d v="2025-01-17T00:00:00"/>
    <x v="1"/>
    <n v="1728"/>
    <s v="Cloudy"/>
    <s v="No"/>
  </r>
  <r>
    <d v="2025-01-17T00:00:00"/>
    <x v="2"/>
    <n v="1429"/>
    <s v="Rainy"/>
    <s v="No"/>
  </r>
  <r>
    <d v="2025-01-17T00:00:00"/>
    <x v="3"/>
    <n v="1111"/>
    <s v="Sunny"/>
    <s v="Yes"/>
  </r>
  <r>
    <d v="2025-01-18T00:00:00"/>
    <x v="0"/>
    <n v="2634"/>
    <s v="Sunny"/>
    <s v="Yes"/>
  </r>
  <r>
    <d v="2025-01-18T00:00:00"/>
    <x v="1"/>
    <n v="2306"/>
    <s v="Cloudy"/>
    <s v="No"/>
  </r>
  <r>
    <d v="2025-01-18T00:00:00"/>
    <x v="2"/>
    <n v="1953"/>
    <s v="Sunny"/>
    <s v="No"/>
  </r>
  <r>
    <d v="2025-01-18T00:00:00"/>
    <x v="3"/>
    <n v="1447"/>
    <s v="Sunny"/>
    <s v="No"/>
  </r>
  <r>
    <d v="2025-01-19T00:00:00"/>
    <x v="0"/>
    <n v="3651"/>
    <s v="Sunny"/>
    <s v="No"/>
  </r>
  <r>
    <d v="2025-01-19T00:00:00"/>
    <x v="1"/>
    <n v="2682"/>
    <s v="Sunny"/>
    <s v="No"/>
  </r>
  <r>
    <d v="2025-01-19T00:00:00"/>
    <x v="2"/>
    <n v="2243"/>
    <s v="Cloudy"/>
    <s v="Yes"/>
  </r>
  <r>
    <d v="2025-01-19T00:00:00"/>
    <x v="3"/>
    <n v="1903"/>
    <s v="Sunny"/>
    <s v="No"/>
  </r>
  <r>
    <d v="2025-01-20T00:00:00"/>
    <x v="0"/>
    <n v="1630"/>
    <s v="Cloudy"/>
    <s v="No"/>
  </r>
  <r>
    <d v="2025-01-20T00:00:00"/>
    <x v="1"/>
    <n v="1460"/>
    <s v="Cloudy"/>
    <s v="Yes"/>
  </r>
  <r>
    <d v="2025-01-20T00:00:00"/>
    <x v="2"/>
    <n v="1225"/>
    <s v="Sunny"/>
    <s v="No"/>
  </r>
  <r>
    <d v="2025-01-20T00:00:00"/>
    <x v="3"/>
    <n v="846"/>
    <s v="Sunny"/>
    <s v="No"/>
  </r>
  <r>
    <d v="2025-01-21T00:00:00"/>
    <x v="0"/>
    <n v="1661"/>
    <s v="Sunny"/>
    <s v="No"/>
  </r>
  <r>
    <d v="2025-01-21T00:00:00"/>
    <x v="1"/>
    <n v="1552"/>
    <s v="Sunny"/>
    <s v="No"/>
  </r>
  <r>
    <d v="2025-01-21T00:00:00"/>
    <x v="2"/>
    <n v="1197"/>
    <s v="Sunny"/>
    <s v="No"/>
  </r>
  <r>
    <d v="2025-01-21T00:00:00"/>
    <x v="3"/>
    <n v="936"/>
    <s v="Rainy"/>
    <s v="No"/>
  </r>
  <r>
    <d v="2025-01-22T00:00:00"/>
    <x v="0"/>
    <n v="2109"/>
    <s v="Sunny"/>
    <s v="No"/>
  </r>
  <r>
    <d v="2025-01-22T00:00:00"/>
    <x v="1"/>
    <n v="1717"/>
    <s v="Cloudy"/>
    <s v="No"/>
  </r>
  <r>
    <d v="2025-01-22T00:00:00"/>
    <x v="2"/>
    <n v="1436"/>
    <s v="Sunny"/>
    <s v="No"/>
  </r>
  <r>
    <d v="2025-01-22T00:00:00"/>
    <x v="3"/>
    <n v="1054"/>
    <s v="Cloudy"/>
    <s v="No"/>
  </r>
  <r>
    <d v="2025-01-23T00:00:00"/>
    <x v="0"/>
    <n v="1742"/>
    <s v="Sunny"/>
    <s v="No"/>
  </r>
  <r>
    <d v="2025-01-23T00:00:00"/>
    <x v="1"/>
    <n v="1439"/>
    <s v="Rainy"/>
    <s v="Yes"/>
  </r>
  <r>
    <d v="2025-01-23T00:00:00"/>
    <x v="2"/>
    <n v="1114"/>
    <s v="Cloudy"/>
    <s v="No"/>
  </r>
  <r>
    <d v="2025-01-23T00:00:00"/>
    <x v="3"/>
    <n v="955"/>
    <s v="Cloudy"/>
    <s v="No"/>
  </r>
  <r>
    <d v="2025-01-24T00:00:00"/>
    <x v="0"/>
    <n v="1539"/>
    <s v="Sunny"/>
    <s v="No"/>
  </r>
  <r>
    <d v="2025-01-24T00:00:00"/>
    <x v="1"/>
    <n v="1337"/>
    <s v="Sunny"/>
    <s v="No"/>
  </r>
  <r>
    <d v="2025-01-24T00:00:00"/>
    <x v="2"/>
    <n v="1042"/>
    <s v="Sunny"/>
    <s v="No"/>
  </r>
  <r>
    <d v="2025-01-24T00:00:00"/>
    <x v="3"/>
    <n v="940"/>
    <s v="Sunny"/>
    <s v="No"/>
  </r>
  <r>
    <d v="2025-01-25T00:00:00"/>
    <x v="0"/>
    <n v="2673"/>
    <s v="Sunny"/>
    <s v="Yes"/>
  </r>
  <r>
    <d v="2025-01-25T00:00:00"/>
    <x v="1"/>
    <n v="2231"/>
    <s v="Sunny"/>
    <s v="No"/>
  </r>
  <r>
    <d v="2025-01-25T00:00:00"/>
    <x v="2"/>
    <n v="1942"/>
    <s v="Sunny"/>
    <s v="No"/>
  </r>
  <r>
    <d v="2025-01-25T00:00:00"/>
    <x v="3"/>
    <n v="1477"/>
    <s v="Sunny"/>
    <s v="No"/>
  </r>
  <r>
    <d v="2025-01-26T00:00:00"/>
    <x v="0"/>
    <n v="2668"/>
    <s v="Sunny"/>
    <s v="No"/>
  </r>
  <r>
    <d v="2025-01-26T00:00:00"/>
    <x v="1"/>
    <n v="2148"/>
    <s v="Sunny"/>
    <s v="No"/>
  </r>
  <r>
    <d v="2025-01-26T00:00:00"/>
    <x v="2"/>
    <n v="1861"/>
    <s v="Rainy"/>
    <s v="No"/>
  </r>
  <r>
    <d v="2025-01-26T00:00:00"/>
    <x v="3"/>
    <n v="1576"/>
    <s v="Sunny"/>
    <s v="No"/>
  </r>
  <r>
    <d v="2025-01-27T00:00:00"/>
    <x v="0"/>
    <n v="1886"/>
    <s v="Sunny"/>
    <s v="No"/>
  </r>
  <r>
    <d v="2025-01-27T00:00:00"/>
    <x v="1"/>
    <n v="1511"/>
    <s v="Sunny"/>
    <s v="No"/>
  </r>
  <r>
    <d v="2025-01-27T00:00:00"/>
    <x v="2"/>
    <n v="1271"/>
    <s v="Sunny"/>
    <s v="No"/>
  </r>
  <r>
    <d v="2025-01-27T00:00:00"/>
    <x v="3"/>
    <n v="936"/>
    <s v="Sunny"/>
    <s v="No"/>
  </r>
  <r>
    <d v="2025-01-28T00:00:00"/>
    <x v="0"/>
    <n v="1498"/>
    <s v="Rainy"/>
    <s v="No"/>
  </r>
  <r>
    <d v="2025-01-28T00:00:00"/>
    <x v="1"/>
    <n v="1150"/>
    <s v="Rainy"/>
    <s v="No"/>
  </r>
  <r>
    <d v="2025-01-28T00:00:00"/>
    <x v="2"/>
    <n v="1029"/>
    <s v="Cloudy"/>
    <s v="Yes"/>
  </r>
  <r>
    <d v="2025-01-28T00:00:00"/>
    <x v="3"/>
    <n v="830"/>
    <s v="Sunny"/>
    <s v="No"/>
  </r>
  <r>
    <d v="2025-01-29T00:00:00"/>
    <x v="0"/>
    <n v="1680"/>
    <s v="Sunny"/>
    <s v="No"/>
  </r>
  <r>
    <d v="2025-01-29T00:00:00"/>
    <x v="1"/>
    <n v="1530"/>
    <s v="Rainy"/>
    <s v="No"/>
  </r>
  <r>
    <d v="2025-01-29T00:00:00"/>
    <x v="2"/>
    <n v="1235"/>
    <s v="Sunny"/>
    <s v="Yes"/>
  </r>
  <r>
    <d v="2025-01-29T00:00:00"/>
    <x v="3"/>
    <n v="882"/>
    <s v="Cloudy"/>
    <s v="No"/>
  </r>
  <r>
    <d v="2025-01-30T00:00:00"/>
    <x v="0"/>
    <n v="1107"/>
    <s v="Cloudy"/>
    <s v="No"/>
  </r>
  <r>
    <d v="2025-01-30T00:00:00"/>
    <x v="1"/>
    <n v="976"/>
    <s v="Cloudy"/>
    <s v="No"/>
  </r>
  <r>
    <d v="2025-01-30T00:00:00"/>
    <x v="2"/>
    <n v="821"/>
    <s v="Sunny"/>
    <s v="No"/>
  </r>
  <r>
    <d v="2025-01-30T00:00:00"/>
    <x v="3"/>
    <n v="688"/>
    <s v="Cloudy"/>
    <s v="No"/>
  </r>
  <r>
    <d v="2025-01-31T00:00:00"/>
    <x v="0"/>
    <n v="1396"/>
    <s v="Sunny"/>
    <s v="No"/>
  </r>
  <r>
    <d v="2025-01-31T00:00:00"/>
    <x v="1"/>
    <n v="1323"/>
    <s v="Rainy"/>
    <s v="No"/>
  </r>
  <r>
    <d v="2025-01-31T00:00:00"/>
    <x v="2"/>
    <n v="1105"/>
    <s v="Sunny"/>
    <s v="Yes"/>
  </r>
  <r>
    <d v="2025-01-31T00:00:00"/>
    <x v="3"/>
    <n v="842"/>
    <s v="Cloudy"/>
    <s v="No"/>
  </r>
  <r>
    <d v="2025-02-01T00:00:00"/>
    <x v="0"/>
    <n v="2524"/>
    <s v="Rainy"/>
    <s v="No"/>
  </r>
  <r>
    <d v="2025-02-01T00:00:00"/>
    <x v="1"/>
    <n v="2117"/>
    <s v="Cloudy"/>
    <s v="No"/>
  </r>
  <r>
    <d v="2025-02-01T00:00:00"/>
    <x v="2"/>
    <n v="1846"/>
    <s v="Sunny"/>
    <s v="No"/>
  </r>
  <r>
    <d v="2025-02-01T00:00:00"/>
    <x v="3"/>
    <n v="1485"/>
    <s v="Rainy"/>
    <s v="No"/>
  </r>
  <r>
    <d v="2025-02-02T00:00:00"/>
    <x v="0"/>
    <n v="2453"/>
    <s v="Cloudy"/>
    <s v="No"/>
  </r>
  <r>
    <d v="2025-02-02T00:00:00"/>
    <x v="1"/>
    <n v="2197"/>
    <s v="Rainy"/>
    <s v="No"/>
  </r>
  <r>
    <d v="2025-02-02T00:00:00"/>
    <x v="2"/>
    <n v="1940"/>
    <s v="Sunny"/>
    <s v="No"/>
  </r>
  <r>
    <d v="2025-02-02T00:00:00"/>
    <x v="3"/>
    <n v="1515"/>
    <s v="Sunny"/>
    <s v="No"/>
  </r>
  <r>
    <d v="2025-02-03T00:00:00"/>
    <x v="0"/>
    <n v="2071"/>
    <s v="Sunny"/>
    <s v="No"/>
  </r>
  <r>
    <d v="2025-02-03T00:00:00"/>
    <x v="1"/>
    <n v="1835"/>
    <s v="Sunny"/>
    <s v="No"/>
  </r>
  <r>
    <d v="2025-02-03T00:00:00"/>
    <x v="2"/>
    <n v="1508"/>
    <s v="Cloudy"/>
    <s v="No"/>
  </r>
  <r>
    <d v="2025-02-03T00:00:00"/>
    <x v="3"/>
    <n v="1179"/>
    <s v="Sunny"/>
    <s v="No"/>
  </r>
  <r>
    <d v="2025-02-04T00:00:00"/>
    <x v="0"/>
    <n v="1166"/>
    <s v="Sunny"/>
    <s v="No"/>
  </r>
  <r>
    <d v="2025-02-04T00:00:00"/>
    <x v="1"/>
    <n v="1072"/>
    <s v="Sunny"/>
    <s v="No"/>
  </r>
  <r>
    <d v="2025-02-04T00:00:00"/>
    <x v="2"/>
    <n v="1025"/>
    <s v="Sunny"/>
    <s v="No"/>
  </r>
  <r>
    <d v="2025-02-04T00:00:00"/>
    <x v="3"/>
    <n v="696"/>
    <s v="Sunny"/>
    <s v="No"/>
  </r>
  <r>
    <d v="2025-02-05T00:00:00"/>
    <x v="0"/>
    <n v="1525"/>
    <s v="Cloudy"/>
    <s v="No"/>
  </r>
  <r>
    <d v="2025-02-05T00:00:00"/>
    <x v="1"/>
    <n v="1345"/>
    <s v="Cloudy"/>
    <s v="No"/>
  </r>
  <r>
    <d v="2025-02-05T00:00:00"/>
    <x v="2"/>
    <n v="1171"/>
    <s v="Sunny"/>
    <s v="No"/>
  </r>
  <r>
    <d v="2025-02-05T00:00:00"/>
    <x v="3"/>
    <n v="870"/>
    <s v="Sunny"/>
    <s v="No"/>
  </r>
  <r>
    <d v="2025-02-06T00:00:00"/>
    <x v="0"/>
    <n v="1798"/>
    <s v="Cloudy"/>
    <s v="No"/>
  </r>
  <r>
    <d v="2025-02-06T00:00:00"/>
    <x v="1"/>
    <n v="1457"/>
    <s v="Sunny"/>
    <s v="No"/>
  </r>
  <r>
    <d v="2025-02-06T00:00:00"/>
    <x v="2"/>
    <n v="1196"/>
    <s v="Cloudy"/>
    <s v="No"/>
  </r>
  <r>
    <d v="2025-02-06T00:00:00"/>
    <x v="3"/>
    <n v="964"/>
    <s v="Cloudy"/>
    <s v="No"/>
  </r>
  <r>
    <d v="2025-02-07T00:00:00"/>
    <x v="0"/>
    <n v="1866"/>
    <s v="Sunny"/>
    <s v="No"/>
  </r>
  <r>
    <d v="2025-02-07T00:00:00"/>
    <x v="1"/>
    <n v="1472"/>
    <s v="Sunny"/>
    <s v="No"/>
  </r>
  <r>
    <d v="2025-02-07T00:00:00"/>
    <x v="2"/>
    <n v="1252"/>
    <s v="Sunny"/>
    <s v="No"/>
  </r>
  <r>
    <d v="2025-02-07T00:00:00"/>
    <x v="3"/>
    <n v="904"/>
    <s v="Sunny"/>
    <s v="No"/>
  </r>
  <r>
    <d v="2025-02-08T00:00:00"/>
    <x v="0"/>
    <n v="2133"/>
    <s v="Sunny"/>
    <s v="No"/>
  </r>
  <r>
    <d v="2025-02-08T00:00:00"/>
    <x v="1"/>
    <n v="2032"/>
    <s v="Sunny"/>
    <s v="No"/>
  </r>
  <r>
    <d v="2025-02-08T00:00:00"/>
    <x v="2"/>
    <n v="1532"/>
    <s v="Sunny"/>
    <s v="No"/>
  </r>
  <r>
    <d v="2025-02-08T00:00:00"/>
    <x v="3"/>
    <n v="1261"/>
    <s v="Rainy"/>
    <s v="No"/>
  </r>
  <r>
    <d v="2025-02-09T00:00:00"/>
    <x v="0"/>
    <n v="2731"/>
    <s v="Cloudy"/>
    <s v="No"/>
  </r>
  <r>
    <d v="2025-02-09T00:00:00"/>
    <x v="1"/>
    <n v="2186"/>
    <s v="Sunny"/>
    <s v="No"/>
  </r>
  <r>
    <d v="2025-02-09T00:00:00"/>
    <x v="2"/>
    <n v="2029"/>
    <s v="Sunny"/>
    <s v="No"/>
  </r>
  <r>
    <d v="2025-02-09T00:00:00"/>
    <x v="3"/>
    <n v="1643"/>
    <s v="Sunny"/>
    <s v="No"/>
  </r>
  <r>
    <d v="2025-02-10T00:00:00"/>
    <x v="0"/>
    <n v="1709"/>
    <s v="Cloudy"/>
    <s v="No"/>
  </r>
  <r>
    <d v="2025-02-10T00:00:00"/>
    <x v="1"/>
    <n v="1615"/>
    <s v="Sunny"/>
    <s v="No"/>
  </r>
  <r>
    <d v="2025-02-10T00:00:00"/>
    <x v="2"/>
    <n v="1216"/>
    <s v="Rainy"/>
    <s v="No"/>
  </r>
  <r>
    <d v="2025-02-10T00:00:00"/>
    <x v="3"/>
    <n v="986"/>
    <s v="Sunny"/>
    <s v="No"/>
  </r>
  <r>
    <d v="2025-02-11T00:00:00"/>
    <x v="0"/>
    <n v="1651"/>
    <s v="Cloudy"/>
    <s v="No"/>
  </r>
  <r>
    <d v="2025-02-11T00:00:00"/>
    <x v="1"/>
    <n v="1316"/>
    <s v="Sunny"/>
    <s v="No"/>
  </r>
  <r>
    <d v="2025-02-11T00:00:00"/>
    <x v="2"/>
    <n v="1086"/>
    <s v="Sunny"/>
    <s v="No"/>
  </r>
  <r>
    <d v="2025-02-11T00:00:00"/>
    <x v="3"/>
    <n v="846"/>
    <s v="Sunny"/>
    <s v="No"/>
  </r>
  <r>
    <d v="2025-02-12T00:00:00"/>
    <x v="0"/>
    <n v="1347"/>
    <s v="Sunny"/>
    <s v="No"/>
  </r>
  <r>
    <d v="2025-02-12T00:00:00"/>
    <x v="1"/>
    <n v="1165"/>
    <s v="Sunny"/>
    <s v="No"/>
  </r>
  <r>
    <d v="2025-02-12T00:00:00"/>
    <x v="2"/>
    <n v="901"/>
    <s v="Sunny"/>
    <s v="No"/>
  </r>
  <r>
    <d v="2025-02-12T00:00:00"/>
    <x v="3"/>
    <n v="704"/>
    <s v="Cloudy"/>
    <s v="No"/>
  </r>
  <r>
    <d v="2025-02-13T00:00:00"/>
    <x v="0"/>
    <n v="1574"/>
    <s v="Cloudy"/>
    <s v="No"/>
  </r>
  <r>
    <d v="2025-02-13T00:00:00"/>
    <x v="1"/>
    <n v="1359"/>
    <s v="Sunny"/>
    <s v="No"/>
  </r>
  <r>
    <d v="2025-02-13T00:00:00"/>
    <x v="2"/>
    <n v="1186"/>
    <s v="Sunny"/>
    <s v="No"/>
  </r>
  <r>
    <d v="2025-02-13T00:00:00"/>
    <x v="3"/>
    <n v="914"/>
    <s v="Sunny"/>
    <s v="No"/>
  </r>
  <r>
    <d v="2025-02-14T00:00:00"/>
    <x v="0"/>
    <n v="1865"/>
    <s v="Sunny"/>
    <s v="No"/>
  </r>
  <r>
    <d v="2025-02-14T00:00:00"/>
    <x v="1"/>
    <n v="1406"/>
    <s v="Sunny"/>
    <s v="No"/>
  </r>
  <r>
    <d v="2025-02-14T00:00:00"/>
    <x v="2"/>
    <n v="1154"/>
    <s v="Sunny"/>
    <s v="No"/>
  </r>
  <r>
    <d v="2025-02-14T00:00:00"/>
    <x v="3"/>
    <n v="910"/>
    <s v="Sunny"/>
    <s v="No"/>
  </r>
  <r>
    <d v="2025-02-15T00:00:00"/>
    <x v="0"/>
    <n v="2796"/>
    <s v="Sunny"/>
    <s v="No"/>
  </r>
  <r>
    <d v="2025-02-15T00:00:00"/>
    <x v="1"/>
    <n v="2459"/>
    <s v="Sunny"/>
    <s v="No"/>
  </r>
  <r>
    <d v="2025-02-15T00:00:00"/>
    <x v="2"/>
    <n v="1988"/>
    <s v="Rainy"/>
    <s v="No"/>
  </r>
  <r>
    <d v="2025-02-15T00:00:00"/>
    <x v="3"/>
    <n v="1612"/>
    <s v="Sunny"/>
    <s v="No"/>
  </r>
  <r>
    <d v="2025-02-16T00:00:00"/>
    <x v="0"/>
    <n v="2410"/>
    <s v="Sunny"/>
    <s v="No"/>
  </r>
  <r>
    <d v="2025-02-16T00:00:00"/>
    <x v="1"/>
    <n v="1948"/>
    <s v="Cloudy"/>
    <s v="No"/>
  </r>
  <r>
    <d v="2025-02-16T00:00:00"/>
    <x v="2"/>
    <n v="1611"/>
    <s v="Cloudy"/>
    <s v="No"/>
  </r>
  <r>
    <d v="2025-02-16T00:00:00"/>
    <x v="3"/>
    <n v="1445"/>
    <s v="Cloudy"/>
    <s v="No"/>
  </r>
  <r>
    <d v="2025-02-17T00:00:00"/>
    <x v="0"/>
    <n v="1501"/>
    <s v="Rainy"/>
    <s v="No"/>
  </r>
  <r>
    <d v="2025-02-17T00:00:00"/>
    <x v="1"/>
    <n v="1419"/>
    <s v="Cloudy"/>
    <s v="No"/>
  </r>
  <r>
    <d v="2025-02-17T00:00:00"/>
    <x v="2"/>
    <n v="1271"/>
    <s v="Cloudy"/>
    <s v="No"/>
  </r>
  <r>
    <d v="2025-02-17T00:00:00"/>
    <x v="3"/>
    <n v="903"/>
    <s v="Sunny"/>
    <s v="No"/>
  </r>
  <r>
    <d v="2025-02-18T00:00:00"/>
    <x v="0"/>
    <n v="1816"/>
    <s v="Rainy"/>
    <s v="No"/>
  </r>
  <r>
    <d v="2025-02-18T00:00:00"/>
    <x v="1"/>
    <n v="1435"/>
    <s v="Cloudy"/>
    <s v="No"/>
  </r>
  <r>
    <d v="2025-02-18T00:00:00"/>
    <x v="2"/>
    <n v="1108"/>
    <s v="Sunny"/>
    <s v="No"/>
  </r>
  <r>
    <d v="2025-02-18T00:00:00"/>
    <x v="3"/>
    <n v="925"/>
    <s v="Sunny"/>
    <s v="No"/>
  </r>
  <r>
    <d v="2025-02-19T00:00:00"/>
    <x v="0"/>
    <n v="1822"/>
    <s v="Rainy"/>
    <s v="No"/>
  </r>
  <r>
    <d v="2025-02-19T00:00:00"/>
    <x v="1"/>
    <n v="1558"/>
    <s v="Cloudy"/>
    <s v="No"/>
  </r>
  <r>
    <d v="2025-02-19T00:00:00"/>
    <x v="2"/>
    <n v="1376"/>
    <s v="Sunny"/>
    <s v="No"/>
  </r>
  <r>
    <d v="2025-02-19T00:00:00"/>
    <x v="3"/>
    <n v="980"/>
    <s v="Rainy"/>
    <s v="No"/>
  </r>
  <r>
    <d v="2025-02-20T00:00:00"/>
    <x v="0"/>
    <n v="1830"/>
    <s v="Sunny"/>
    <s v="No"/>
  </r>
  <r>
    <d v="2025-02-20T00:00:00"/>
    <x v="1"/>
    <n v="1551"/>
    <s v="Sunny"/>
    <s v="No"/>
  </r>
  <r>
    <d v="2025-02-20T00:00:00"/>
    <x v="2"/>
    <n v="1301"/>
    <s v="Cloudy"/>
    <s v="No"/>
  </r>
  <r>
    <d v="2025-02-20T00:00:00"/>
    <x v="3"/>
    <n v="1029"/>
    <s v="Cloudy"/>
    <s v="No"/>
  </r>
  <r>
    <d v="2025-02-21T00:00:00"/>
    <x v="0"/>
    <n v="1413"/>
    <s v="Sunny"/>
    <s v="No"/>
  </r>
  <r>
    <d v="2025-02-21T00:00:00"/>
    <x v="1"/>
    <n v="1116"/>
    <s v="Cloudy"/>
    <s v="No"/>
  </r>
  <r>
    <d v="2025-02-21T00:00:00"/>
    <x v="2"/>
    <n v="959"/>
    <s v="Sunny"/>
    <s v="No"/>
  </r>
  <r>
    <d v="2025-02-21T00:00:00"/>
    <x v="3"/>
    <n v="778"/>
    <s v="Cloudy"/>
    <s v="No"/>
  </r>
  <r>
    <d v="2025-02-22T00:00:00"/>
    <x v="0"/>
    <n v="2742"/>
    <s v="Rainy"/>
    <s v="No"/>
  </r>
  <r>
    <d v="2025-02-22T00:00:00"/>
    <x v="1"/>
    <n v="2539"/>
    <s v="Sunny"/>
    <s v="No"/>
  </r>
  <r>
    <d v="2025-02-22T00:00:00"/>
    <x v="2"/>
    <n v="1781"/>
    <s v="Sunny"/>
    <s v="No"/>
  </r>
  <r>
    <d v="2025-02-22T00:00:00"/>
    <x v="3"/>
    <n v="1787"/>
    <s v="Sunny"/>
    <s v="No"/>
  </r>
  <r>
    <d v="2025-02-23T00:00:00"/>
    <x v="0"/>
    <n v="2281"/>
    <s v="Sunny"/>
    <s v="No"/>
  </r>
  <r>
    <d v="2025-02-23T00:00:00"/>
    <x v="1"/>
    <n v="1936"/>
    <s v="Sunny"/>
    <s v="No"/>
  </r>
  <r>
    <d v="2025-02-23T00:00:00"/>
    <x v="2"/>
    <n v="1713"/>
    <s v="Sunny"/>
    <s v="No"/>
  </r>
  <r>
    <d v="2025-02-23T00:00:00"/>
    <x v="3"/>
    <n v="1205"/>
    <s v="Cloudy"/>
    <s v="No"/>
  </r>
  <r>
    <d v="2025-02-24T00:00:00"/>
    <x v="0"/>
    <n v="2076"/>
    <s v="Sunny"/>
    <s v="No"/>
  </r>
  <r>
    <d v="2025-02-24T00:00:00"/>
    <x v="1"/>
    <n v="1724"/>
    <s v="Sunny"/>
    <s v="No"/>
  </r>
  <r>
    <d v="2025-02-24T00:00:00"/>
    <x v="2"/>
    <n v="1351"/>
    <s v="Sunny"/>
    <s v="No"/>
  </r>
  <r>
    <d v="2025-02-24T00:00:00"/>
    <x v="3"/>
    <n v="1135"/>
    <s v="Sunny"/>
    <s v="No"/>
  </r>
  <r>
    <d v="2025-02-25T00:00:00"/>
    <x v="0"/>
    <n v="1728"/>
    <s v="Sunny"/>
    <s v="No"/>
  </r>
  <r>
    <d v="2025-02-25T00:00:00"/>
    <x v="1"/>
    <n v="1385"/>
    <s v="Sunny"/>
    <s v="No"/>
  </r>
  <r>
    <d v="2025-02-25T00:00:00"/>
    <x v="2"/>
    <n v="1096"/>
    <s v="Cloudy"/>
    <s v="No"/>
  </r>
  <r>
    <d v="2025-02-25T00:00:00"/>
    <x v="3"/>
    <n v="951"/>
    <s v="Sunny"/>
    <s v="No"/>
  </r>
  <r>
    <d v="2025-02-26T00:00:00"/>
    <x v="0"/>
    <n v="1278"/>
    <s v="Sunny"/>
    <s v="No"/>
  </r>
  <r>
    <d v="2025-02-26T00:00:00"/>
    <x v="1"/>
    <n v="1061"/>
    <s v="Rainy"/>
    <s v="No"/>
  </r>
  <r>
    <d v="2025-02-26T00:00:00"/>
    <x v="2"/>
    <n v="841"/>
    <s v="Sunny"/>
    <s v="No"/>
  </r>
  <r>
    <d v="2025-02-26T00:00:00"/>
    <x v="3"/>
    <n v="737"/>
    <s v="Sunny"/>
    <s v="No"/>
  </r>
  <r>
    <d v="2025-02-27T00:00:00"/>
    <x v="0"/>
    <n v="1141"/>
    <s v="Cloudy"/>
    <s v="No"/>
  </r>
  <r>
    <d v="2025-02-27T00:00:00"/>
    <x v="1"/>
    <n v="893"/>
    <s v="Sunny"/>
    <s v="No"/>
  </r>
  <r>
    <d v="2025-02-27T00:00:00"/>
    <x v="2"/>
    <n v="822"/>
    <s v="Sunny"/>
    <s v="No"/>
  </r>
  <r>
    <d v="2025-02-27T00:00:00"/>
    <x v="3"/>
    <n v="691"/>
    <s v="Sunny"/>
    <s v="No"/>
  </r>
  <r>
    <d v="2025-02-28T00:00:00"/>
    <x v="0"/>
    <n v="1698"/>
    <s v="Sunny"/>
    <s v="No"/>
  </r>
  <r>
    <d v="2025-02-28T00:00:00"/>
    <x v="1"/>
    <n v="1490"/>
    <s v="Rainy"/>
    <s v="No"/>
  </r>
  <r>
    <d v="2025-02-28T00:00:00"/>
    <x v="2"/>
    <n v="1198"/>
    <s v="Cloudy"/>
    <s v="No"/>
  </r>
  <r>
    <d v="2025-02-28T00:00:00"/>
    <x v="3"/>
    <n v="939"/>
    <s v="Cloudy"/>
    <s v="No"/>
  </r>
  <r>
    <d v="2025-03-01T00:00:00"/>
    <x v="0"/>
    <n v="2723"/>
    <s v="Sunny"/>
    <s v="No"/>
  </r>
  <r>
    <d v="2025-03-01T00:00:00"/>
    <x v="1"/>
    <n v="2160"/>
    <s v="Rainy"/>
    <s v="No"/>
  </r>
  <r>
    <d v="2025-03-01T00:00:00"/>
    <x v="2"/>
    <n v="1912"/>
    <s v="Sunny"/>
    <s v="No"/>
  </r>
  <r>
    <d v="2025-03-01T00:00:00"/>
    <x v="3"/>
    <n v="1543"/>
    <s v="Rainy"/>
    <s v="No"/>
  </r>
  <r>
    <d v="2025-03-02T00:00:00"/>
    <x v="0"/>
    <n v="2448"/>
    <s v="Sunny"/>
    <s v="No"/>
  </r>
  <r>
    <d v="2025-03-02T00:00:00"/>
    <x v="1"/>
    <n v="2046"/>
    <s v="Sunny"/>
    <s v="No"/>
  </r>
  <r>
    <d v="2025-03-02T00:00:00"/>
    <x v="2"/>
    <n v="1812"/>
    <s v="Sunny"/>
    <s v="No"/>
  </r>
  <r>
    <d v="2025-03-02T00:00:00"/>
    <x v="3"/>
    <n v="1415"/>
    <s v="Sunny"/>
    <s v="No"/>
  </r>
  <r>
    <d v="2025-03-03T00:00:00"/>
    <x v="0"/>
    <n v="1704"/>
    <s v="Cloudy"/>
    <s v="No"/>
  </r>
  <r>
    <d v="2025-03-03T00:00:00"/>
    <x v="1"/>
    <n v="1304"/>
    <s v="Sunny"/>
    <s v="No"/>
  </r>
  <r>
    <d v="2025-03-03T00:00:00"/>
    <x v="2"/>
    <n v="1151"/>
    <s v="Sunny"/>
    <s v="No"/>
  </r>
  <r>
    <d v="2025-03-03T00:00:00"/>
    <x v="3"/>
    <n v="910"/>
    <s v="Sunny"/>
    <s v="No"/>
  </r>
  <r>
    <d v="2025-03-04T00:00:00"/>
    <x v="0"/>
    <n v="1415"/>
    <s v="Sunny"/>
    <s v="No"/>
  </r>
  <r>
    <d v="2025-03-04T00:00:00"/>
    <x v="1"/>
    <n v="1122"/>
    <s v="Sunny"/>
    <s v="No"/>
  </r>
  <r>
    <d v="2025-03-04T00:00:00"/>
    <x v="2"/>
    <n v="1053"/>
    <s v="Cloudy"/>
    <s v="No"/>
  </r>
  <r>
    <d v="2025-03-04T00:00:00"/>
    <x v="3"/>
    <n v="756"/>
    <s v="Sunny"/>
    <s v="No"/>
  </r>
  <r>
    <d v="2025-03-05T00:00:00"/>
    <x v="0"/>
    <n v="1653"/>
    <s v="Sunny"/>
    <s v="No"/>
  </r>
  <r>
    <d v="2025-03-05T00:00:00"/>
    <x v="1"/>
    <n v="1502"/>
    <s v="Sunny"/>
    <s v="No"/>
  </r>
  <r>
    <d v="2025-03-05T00:00:00"/>
    <x v="2"/>
    <n v="1360"/>
    <s v="Rainy"/>
    <s v="No"/>
  </r>
  <r>
    <d v="2025-03-05T00:00:00"/>
    <x v="3"/>
    <n v="990"/>
    <s v="Sunny"/>
    <s v="No"/>
  </r>
  <r>
    <d v="2025-03-06T00:00:00"/>
    <x v="0"/>
    <n v="1730"/>
    <s v="Sunny"/>
    <s v="No"/>
  </r>
  <r>
    <d v="2025-03-06T00:00:00"/>
    <x v="1"/>
    <n v="1441"/>
    <s v="Rainy"/>
    <s v="No"/>
  </r>
  <r>
    <d v="2025-03-06T00:00:00"/>
    <x v="2"/>
    <n v="1249"/>
    <s v="Sunny"/>
    <s v="No"/>
  </r>
  <r>
    <d v="2025-03-06T00:00:00"/>
    <x v="3"/>
    <n v="1009"/>
    <s v="Sunny"/>
    <s v="No"/>
  </r>
  <r>
    <d v="2025-03-07T00:00:00"/>
    <x v="0"/>
    <n v="1222"/>
    <s v="Sunny"/>
    <s v="No"/>
  </r>
  <r>
    <d v="2025-03-07T00:00:00"/>
    <x v="1"/>
    <n v="932"/>
    <s v="Cloudy"/>
    <s v="No"/>
  </r>
  <r>
    <d v="2025-03-07T00:00:00"/>
    <x v="2"/>
    <n v="841"/>
    <s v="Cloudy"/>
    <s v="No"/>
  </r>
  <r>
    <d v="2025-03-07T00:00:00"/>
    <x v="3"/>
    <n v="713"/>
    <s v="Sunny"/>
    <s v="No"/>
  </r>
  <r>
    <d v="2025-03-08T00:00:00"/>
    <x v="0"/>
    <n v="2524"/>
    <s v="Sunny"/>
    <s v="No"/>
  </r>
  <r>
    <d v="2025-03-08T00:00:00"/>
    <x v="1"/>
    <n v="2196"/>
    <s v="Sunny"/>
    <s v="No"/>
  </r>
  <r>
    <d v="2025-03-08T00:00:00"/>
    <x v="2"/>
    <n v="2093"/>
    <s v="Rainy"/>
    <s v="No"/>
  </r>
  <r>
    <d v="2025-03-08T00:00:00"/>
    <x v="3"/>
    <n v="1570"/>
    <s v="Cloudy"/>
    <s v="No"/>
  </r>
  <r>
    <d v="2025-03-09T00:00:00"/>
    <x v="0"/>
    <n v="2990"/>
    <s v="Sunny"/>
    <s v="No"/>
  </r>
  <r>
    <d v="2025-03-09T00:00:00"/>
    <x v="1"/>
    <n v="2597"/>
    <s v="Sunny"/>
    <s v="No"/>
  </r>
  <r>
    <d v="2025-03-09T00:00:00"/>
    <x v="2"/>
    <n v="2159"/>
    <s v="Sunny"/>
    <s v="No"/>
  </r>
  <r>
    <d v="2025-03-09T00:00:00"/>
    <x v="3"/>
    <n v="1657"/>
    <s v="Sunny"/>
    <s v="No"/>
  </r>
  <r>
    <d v="2025-03-10T00:00:00"/>
    <x v="0"/>
    <n v="1603"/>
    <s v="Cloudy"/>
    <s v="No"/>
  </r>
  <r>
    <d v="2025-03-10T00:00:00"/>
    <x v="1"/>
    <n v="1508"/>
    <s v="Cloudy"/>
    <s v="No"/>
  </r>
  <r>
    <d v="2025-03-10T00:00:00"/>
    <x v="2"/>
    <n v="1265"/>
    <s v="Rainy"/>
    <s v="No"/>
  </r>
  <r>
    <d v="2025-03-10T00:00:00"/>
    <x v="3"/>
    <n v="990"/>
    <s v="Sunny"/>
    <s v="No"/>
  </r>
  <r>
    <d v="2025-03-11T00:00:00"/>
    <x v="0"/>
    <n v="1582"/>
    <s v="Sunny"/>
    <s v="No"/>
  </r>
  <r>
    <d v="2025-03-11T00:00:00"/>
    <x v="1"/>
    <n v="1416"/>
    <s v="Rainy"/>
    <s v="No"/>
  </r>
  <r>
    <d v="2025-03-11T00:00:00"/>
    <x v="2"/>
    <n v="1200"/>
    <s v="Sunny"/>
    <s v="No"/>
  </r>
  <r>
    <d v="2025-03-11T00:00:00"/>
    <x v="3"/>
    <n v="1026"/>
    <s v="Sunny"/>
    <s v="No"/>
  </r>
  <r>
    <d v="2025-03-12T00:00:00"/>
    <x v="0"/>
    <n v="1654"/>
    <s v="Cloudy"/>
    <s v="No"/>
  </r>
  <r>
    <d v="2025-03-12T00:00:00"/>
    <x v="1"/>
    <n v="1364"/>
    <s v="Cloudy"/>
    <s v="No"/>
  </r>
  <r>
    <d v="2025-03-12T00:00:00"/>
    <x v="2"/>
    <n v="1165"/>
    <s v="Sunny"/>
    <s v="No"/>
  </r>
  <r>
    <d v="2025-03-12T00:00:00"/>
    <x v="3"/>
    <n v="861"/>
    <s v="Sunny"/>
    <s v="No"/>
  </r>
  <r>
    <d v="2025-03-13T00:00:00"/>
    <x v="0"/>
    <n v="1560"/>
    <s v="Sunny"/>
    <s v="No"/>
  </r>
  <r>
    <d v="2025-03-13T00:00:00"/>
    <x v="1"/>
    <n v="1517"/>
    <s v="Sunny"/>
    <s v="No"/>
  </r>
  <r>
    <d v="2025-03-13T00:00:00"/>
    <x v="2"/>
    <n v="1294"/>
    <s v="Sunny"/>
    <s v="No"/>
  </r>
  <r>
    <d v="2025-03-13T00:00:00"/>
    <x v="3"/>
    <n v="923"/>
    <s v="Sunny"/>
    <s v="No"/>
  </r>
  <r>
    <d v="2025-03-14T00:00:00"/>
    <x v="0"/>
    <n v="1735"/>
    <s v="Cloudy"/>
    <s v="No"/>
  </r>
  <r>
    <d v="2025-03-14T00:00:00"/>
    <x v="1"/>
    <n v="1516"/>
    <s v="Cloudy"/>
    <s v="No"/>
  </r>
  <r>
    <d v="2025-03-14T00:00:00"/>
    <x v="2"/>
    <n v="1148"/>
    <s v="Sunny"/>
    <s v="No"/>
  </r>
  <r>
    <d v="2025-03-14T00:00:00"/>
    <x v="3"/>
    <n v="968"/>
    <s v="Sunny"/>
    <s v="No"/>
  </r>
  <r>
    <d v="2025-03-15T00:00:00"/>
    <x v="0"/>
    <n v="2632"/>
    <s v="Sunny"/>
    <s v="No"/>
  </r>
  <r>
    <d v="2025-03-15T00:00:00"/>
    <x v="1"/>
    <n v="2124"/>
    <s v="Cloudy"/>
    <s v="No"/>
  </r>
  <r>
    <d v="2025-03-15T00:00:00"/>
    <x v="2"/>
    <n v="1830"/>
    <s v="Cloudy"/>
    <s v="No"/>
  </r>
  <r>
    <d v="2025-03-15T00:00:00"/>
    <x v="3"/>
    <n v="1482"/>
    <s v="Rainy"/>
    <s v="No"/>
  </r>
  <r>
    <d v="2025-03-16T00:00:00"/>
    <x v="0"/>
    <n v="2808"/>
    <s v="Cloudy"/>
    <s v="No"/>
  </r>
  <r>
    <d v="2025-03-16T00:00:00"/>
    <x v="1"/>
    <n v="2245"/>
    <s v="Sunny"/>
    <s v="No"/>
  </r>
  <r>
    <d v="2025-03-16T00:00:00"/>
    <x v="2"/>
    <n v="1683"/>
    <s v="Cloudy"/>
    <s v="No"/>
  </r>
  <r>
    <d v="2025-03-16T00:00:00"/>
    <x v="3"/>
    <n v="1475"/>
    <s v="Sunny"/>
    <s v="No"/>
  </r>
  <r>
    <d v="2025-03-17T00:00:00"/>
    <x v="0"/>
    <n v="1704"/>
    <s v="Cloudy"/>
    <s v="No"/>
  </r>
  <r>
    <d v="2025-03-17T00:00:00"/>
    <x v="1"/>
    <n v="1383"/>
    <s v="Sunny"/>
    <s v="No"/>
  </r>
  <r>
    <d v="2025-03-17T00:00:00"/>
    <x v="2"/>
    <n v="1090"/>
    <s v="Rainy"/>
    <s v="No"/>
  </r>
  <r>
    <d v="2025-03-17T00:00:00"/>
    <x v="3"/>
    <n v="870"/>
    <s v="Cloudy"/>
    <s v="No"/>
  </r>
  <r>
    <d v="2025-03-18T00:00:00"/>
    <x v="0"/>
    <n v="1675"/>
    <s v="Cloudy"/>
    <s v="No"/>
  </r>
  <r>
    <d v="2025-03-18T00:00:00"/>
    <x v="1"/>
    <n v="1297"/>
    <s v="Rainy"/>
    <s v="No"/>
  </r>
  <r>
    <d v="2025-03-18T00:00:00"/>
    <x v="2"/>
    <n v="1126"/>
    <s v="Cloudy"/>
    <s v="No"/>
  </r>
  <r>
    <d v="2025-03-18T00:00:00"/>
    <x v="3"/>
    <n v="875"/>
    <s v="Sunny"/>
    <s v="No"/>
  </r>
  <r>
    <d v="2025-03-19T00:00:00"/>
    <x v="0"/>
    <n v="1979"/>
    <s v="Sunny"/>
    <s v="No"/>
  </r>
  <r>
    <d v="2025-03-19T00:00:00"/>
    <x v="1"/>
    <n v="1390"/>
    <s v="Sunny"/>
    <s v="No"/>
  </r>
  <r>
    <d v="2025-03-19T00:00:00"/>
    <x v="2"/>
    <n v="1205"/>
    <s v="Sunny"/>
    <s v="No"/>
  </r>
  <r>
    <d v="2025-03-19T00:00:00"/>
    <x v="3"/>
    <n v="1004"/>
    <s v="Sunny"/>
    <s v="No"/>
  </r>
  <r>
    <d v="2025-03-20T00:00:00"/>
    <x v="0"/>
    <n v="1691"/>
    <s v="Sunny"/>
    <s v="No"/>
  </r>
  <r>
    <d v="2025-03-20T00:00:00"/>
    <x v="1"/>
    <n v="1456"/>
    <s v="Sunny"/>
    <s v="No"/>
  </r>
  <r>
    <d v="2025-03-20T00:00:00"/>
    <x v="2"/>
    <n v="1255"/>
    <s v="Sunny"/>
    <s v="No"/>
  </r>
  <r>
    <d v="2025-03-20T00:00:00"/>
    <x v="3"/>
    <n v="882"/>
    <s v="Cloudy"/>
    <s v="No"/>
  </r>
  <r>
    <d v="2025-03-21T00:00:00"/>
    <x v="0"/>
    <n v="1592"/>
    <s v="Sunny"/>
    <s v="No"/>
  </r>
  <r>
    <d v="2025-03-21T00:00:00"/>
    <x v="1"/>
    <n v="1298"/>
    <s v="Sunny"/>
    <s v="No"/>
  </r>
  <r>
    <d v="2025-03-21T00:00:00"/>
    <x v="2"/>
    <n v="1150"/>
    <s v="Sunny"/>
    <s v="No"/>
  </r>
  <r>
    <d v="2025-03-21T00:00:00"/>
    <x v="3"/>
    <n v="940"/>
    <s v="Sunny"/>
    <s v="No"/>
  </r>
  <r>
    <d v="2025-03-22T00:00:00"/>
    <x v="0"/>
    <n v="2879"/>
    <s v="Sunny"/>
    <s v="No"/>
  </r>
  <r>
    <d v="2025-03-22T00:00:00"/>
    <x v="1"/>
    <n v="2184"/>
    <s v="Sunny"/>
    <s v="No"/>
  </r>
  <r>
    <d v="2025-03-22T00:00:00"/>
    <x v="2"/>
    <n v="2040"/>
    <s v="Cloudy"/>
    <s v="No"/>
  </r>
  <r>
    <d v="2025-03-22T00:00:00"/>
    <x v="3"/>
    <n v="1612"/>
    <s v="Rainy"/>
    <s v="No"/>
  </r>
  <r>
    <d v="2025-03-23T00:00:00"/>
    <x v="0"/>
    <n v="2754"/>
    <s v="Rainy"/>
    <s v="No"/>
  </r>
  <r>
    <d v="2025-03-23T00:00:00"/>
    <x v="1"/>
    <n v="2326"/>
    <s v="Sunny"/>
    <s v="No"/>
  </r>
  <r>
    <d v="2025-03-23T00:00:00"/>
    <x v="2"/>
    <n v="2226"/>
    <s v="Sunny"/>
    <s v="No"/>
  </r>
  <r>
    <d v="2025-03-23T00:00:00"/>
    <x v="3"/>
    <n v="1435"/>
    <s v="Cloudy"/>
    <s v="No"/>
  </r>
  <r>
    <d v="2025-03-24T00:00:00"/>
    <x v="0"/>
    <n v="1417"/>
    <s v="Sunny"/>
    <s v="No"/>
  </r>
  <r>
    <d v="2025-03-24T00:00:00"/>
    <x v="1"/>
    <n v="1233"/>
    <s v="Sunny"/>
    <s v="No"/>
  </r>
  <r>
    <d v="2025-03-24T00:00:00"/>
    <x v="2"/>
    <n v="1103"/>
    <s v="Sunny"/>
    <s v="No"/>
  </r>
  <r>
    <d v="2025-03-24T00:00:00"/>
    <x v="3"/>
    <n v="785"/>
    <s v="Sunny"/>
    <s v="No"/>
  </r>
  <r>
    <d v="2025-03-25T00:00:00"/>
    <x v="0"/>
    <n v="1337"/>
    <s v="Cloudy"/>
    <s v="No"/>
  </r>
  <r>
    <d v="2025-03-25T00:00:00"/>
    <x v="1"/>
    <n v="1099"/>
    <s v="Sunny"/>
    <s v="No"/>
  </r>
  <r>
    <d v="2025-03-25T00:00:00"/>
    <x v="2"/>
    <n v="913"/>
    <s v="Sunny"/>
    <s v="No"/>
  </r>
  <r>
    <d v="2025-03-25T00:00:00"/>
    <x v="3"/>
    <n v="729"/>
    <s v="Sunny"/>
    <s v="No"/>
  </r>
  <r>
    <d v="2025-03-26T00:00:00"/>
    <x v="0"/>
    <n v="1557"/>
    <s v="Sunny"/>
    <s v="No"/>
  </r>
  <r>
    <d v="2025-03-26T00:00:00"/>
    <x v="1"/>
    <n v="1416"/>
    <s v="Sunny"/>
    <s v="No"/>
  </r>
  <r>
    <d v="2025-03-26T00:00:00"/>
    <x v="2"/>
    <n v="1146"/>
    <s v="Cloudy"/>
    <s v="No"/>
  </r>
  <r>
    <d v="2025-03-26T00:00:00"/>
    <x v="3"/>
    <n v="979"/>
    <s v="Cloudy"/>
    <s v="No"/>
  </r>
  <r>
    <d v="2025-03-27T00:00:00"/>
    <x v="0"/>
    <n v="1469"/>
    <s v="Sunny"/>
    <s v="No"/>
  </r>
  <r>
    <d v="2025-03-27T00:00:00"/>
    <x v="1"/>
    <n v="1094"/>
    <s v="Sunny"/>
    <s v="No"/>
  </r>
  <r>
    <d v="2025-03-27T00:00:00"/>
    <x v="2"/>
    <n v="984"/>
    <s v="Cloudy"/>
    <s v="No"/>
  </r>
  <r>
    <d v="2025-03-27T00:00:00"/>
    <x v="3"/>
    <n v="782"/>
    <s v="Sunny"/>
    <s v="No"/>
  </r>
  <r>
    <d v="2025-03-28T00:00:00"/>
    <x v="0"/>
    <n v="2006"/>
    <s v="Sunny"/>
    <s v="No"/>
  </r>
  <r>
    <d v="2025-03-28T00:00:00"/>
    <x v="1"/>
    <n v="1687"/>
    <s v="Sunny"/>
    <s v="No"/>
  </r>
  <r>
    <d v="2025-03-28T00:00:00"/>
    <x v="2"/>
    <n v="1454"/>
    <s v="Rainy"/>
    <s v="No"/>
  </r>
  <r>
    <d v="2025-03-28T00:00:00"/>
    <x v="3"/>
    <n v="1204"/>
    <s v="Rainy"/>
    <s v="No"/>
  </r>
  <r>
    <d v="2025-03-29T00:00:00"/>
    <x v="0"/>
    <n v="2866"/>
    <s v="Sunny"/>
    <s v="No"/>
  </r>
  <r>
    <d v="2025-03-29T00:00:00"/>
    <x v="1"/>
    <n v="2338"/>
    <s v="Sunny"/>
    <s v="No"/>
  </r>
  <r>
    <d v="2025-03-29T00:00:00"/>
    <x v="2"/>
    <n v="2087"/>
    <s v="Rainy"/>
    <s v="No"/>
  </r>
  <r>
    <d v="2025-03-29T00:00:00"/>
    <x v="3"/>
    <n v="1635"/>
    <s v="Sunny"/>
    <s v="No"/>
  </r>
  <r>
    <d v="2025-03-30T00:00:00"/>
    <x v="0"/>
    <n v="3012"/>
    <s v="Sunny"/>
    <s v="No"/>
  </r>
  <r>
    <d v="2025-03-30T00:00:00"/>
    <x v="1"/>
    <n v="2547"/>
    <s v="Rainy"/>
    <s v="No"/>
  </r>
  <r>
    <d v="2025-03-30T00:00:00"/>
    <x v="2"/>
    <n v="2175"/>
    <s v="Cloudy"/>
    <s v="No"/>
  </r>
  <r>
    <d v="2025-03-30T00:00:00"/>
    <x v="3"/>
    <n v="1526"/>
    <s v="Sunny"/>
    <s v="No"/>
  </r>
  <r>
    <d v="2025-03-31T00:00:00"/>
    <x v="0"/>
    <n v="1630"/>
    <s v="Sunny"/>
    <s v="No"/>
  </r>
  <r>
    <d v="2025-03-31T00:00:00"/>
    <x v="1"/>
    <n v="1560"/>
    <s v="Cloudy"/>
    <s v="No"/>
  </r>
  <r>
    <d v="2025-03-31T00:00:00"/>
    <x v="2"/>
    <n v="1383"/>
    <s v="Cloudy"/>
    <s v="No"/>
  </r>
  <r>
    <d v="2025-03-31T00:00:00"/>
    <x v="3"/>
    <n v="993"/>
    <s v="Sunny"/>
    <s v="No"/>
  </r>
  <r>
    <d v="2025-04-01T00:00:00"/>
    <x v="0"/>
    <n v="1576"/>
    <s v="Cloudy"/>
    <s v="Yes"/>
  </r>
  <r>
    <d v="2025-04-01T00:00:00"/>
    <x v="1"/>
    <n v="1304"/>
    <s v="Sunny"/>
    <s v="Yes"/>
  </r>
  <r>
    <d v="2025-04-01T00:00:00"/>
    <x v="2"/>
    <n v="1247"/>
    <s v="Sunny"/>
    <s v="No"/>
  </r>
  <r>
    <d v="2025-04-01T00:00:00"/>
    <x v="3"/>
    <n v="928"/>
    <s v="Sunny"/>
    <s v="No"/>
  </r>
  <r>
    <d v="2025-04-02T00:00:00"/>
    <x v="0"/>
    <n v="1349"/>
    <s v="Sunny"/>
    <s v="No"/>
  </r>
  <r>
    <d v="2025-04-02T00:00:00"/>
    <x v="1"/>
    <n v="1116"/>
    <s v="Sunny"/>
    <s v="No"/>
  </r>
  <r>
    <d v="2025-04-02T00:00:00"/>
    <x v="2"/>
    <n v="945"/>
    <s v="Sunny"/>
    <s v="No"/>
  </r>
  <r>
    <d v="2025-04-02T00:00:00"/>
    <x v="3"/>
    <n v="815"/>
    <s v="Sunny"/>
    <s v="No"/>
  </r>
  <r>
    <d v="2025-04-03T00:00:00"/>
    <x v="0"/>
    <n v="1675"/>
    <s v="Cloudy"/>
    <s v="No"/>
  </r>
  <r>
    <d v="2025-04-03T00:00:00"/>
    <x v="1"/>
    <n v="1541"/>
    <s v="Sunny"/>
    <s v="No"/>
  </r>
  <r>
    <d v="2025-04-03T00:00:00"/>
    <x v="2"/>
    <n v="1215"/>
    <s v="Sunny"/>
    <s v="No"/>
  </r>
  <r>
    <d v="2025-04-03T00:00:00"/>
    <x v="3"/>
    <n v="962"/>
    <s v="Rainy"/>
    <s v="No"/>
  </r>
  <r>
    <d v="2025-04-04T00:00:00"/>
    <x v="0"/>
    <n v="1560"/>
    <s v="Sunny"/>
    <s v="No"/>
  </r>
  <r>
    <d v="2025-04-04T00:00:00"/>
    <x v="1"/>
    <n v="1366"/>
    <s v="Sunny"/>
    <s v="No"/>
  </r>
  <r>
    <d v="2025-04-04T00:00:00"/>
    <x v="2"/>
    <n v="1142"/>
    <s v="Cloudy"/>
    <s v="Yes"/>
  </r>
  <r>
    <d v="2025-04-04T00:00:00"/>
    <x v="3"/>
    <n v="854"/>
    <s v="Sunny"/>
    <s v="No"/>
  </r>
  <r>
    <d v="2025-04-05T00:00:00"/>
    <x v="0"/>
    <n v="2251"/>
    <s v="Cloudy"/>
    <s v="Yes"/>
  </r>
  <r>
    <d v="2025-04-05T00:00:00"/>
    <x v="1"/>
    <n v="1977"/>
    <s v="Sunny"/>
    <s v="No"/>
  </r>
  <r>
    <d v="2025-04-05T00:00:00"/>
    <x v="2"/>
    <n v="1736"/>
    <s v="Rainy"/>
    <s v="No"/>
  </r>
  <r>
    <d v="2025-04-05T00:00:00"/>
    <x v="3"/>
    <n v="1377"/>
    <s v="Cloudy"/>
    <s v="No"/>
  </r>
  <r>
    <d v="2025-04-06T00:00:00"/>
    <x v="0"/>
    <n v="2270"/>
    <s v="Cloudy"/>
    <s v="No"/>
  </r>
  <r>
    <d v="2025-04-06T00:00:00"/>
    <x v="1"/>
    <n v="2025"/>
    <s v="Sunny"/>
    <s v="No"/>
  </r>
  <r>
    <d v="2025-04-06T00:00:00"/>
    <x v="2"/>
    <n v="1668"/>
    <s v="Sunny"/>
    <s v="No"/>
  </r>
  <r>
    <d v="2025-04-06T00:00:00"/>
    <x v="3"/>
    <n v="1337"/>
    <s v="Sunny"/>
    <s v="No"/>
  </r>
  <r>
    <d v="2025-04-07T00:00:00"/>
    <x v="0"/>
    <n v="1688"/>
    <s v="Sunny"/>
    <s v="No"/>
  </r>
  <r>
    <d v="2025-04-07T00:00:00"/>
    <x v="1"/>
    <n v="1503"/>
    <s v="Sunny"/>
    <s v="No"/>
  </r>
  <r>
    <d v="2025-04-07T00:00:00"/>
    <x v="2"/>
    <n v="1239"/>
    <s v="Rainy"/>
    <s v="No"/>
  </r>
  <r>
    <d v="2025-04-07T00:00:00"/>
    <x v="3"/>
    <n v="1019"/>
    <s v="Cloudy"/>
    <s v="No"/>
  </r>
  <r>
    <d v="2025-04-08T00:00:00"/>
    <x v="0"/>
    <n v="1857"/>
    <s v="Sunny"/>
    <s v="No"/>
  </r>
  <r>
    <d v="2025-04-08T00:00:00"/>
    <x v="1"/>
    <n v="1406"/>
    <s v="Sunny"/>
    <s v="No"/>
  </r>
  <r>
    <d v="2025-04-08T00:00:00"/>
    <x v="2"/>
    <n v="1215"/>
    <s v="Sunny"/>
    <s v="No"/>
  </r>
  <r>
    <d v="2025-04-08T00:00:00"/>
    <x v="3"/>
    <n v="909"/>
    <s v="Cloudy"/>
    <s v="No"/>
  </r>
  <r>
    <d v="2025-04-09T00:00:00"/>
    <x v="0"/>
    <n v="1532"/>
    <s v="Cloudy"/>
    <s v="No"/>
  </r>
  <r>
    <d v="2025-04-09T00:00:00"/>
    <x v="1"/>
    <n v="1360"/>
    <s v="Cloudy"/>
    <s v="Yes"/>
  </r>
  <r>
    <d v="2025-04-09T00:00:00"/>
    <x v="2"/>
    <n v="1150"/>
    <s v="Rainy"/>
    <s v="No"/>
  </r>
  <r>
    <d v="2025-04-09T00:00:00"/>
    <x v="3"/>
    <n v="921"/>
    <s v="Sunny"/>
    <s v="No"/>
  </r>
  <r>
    <d v="2025-04-10T00:00:00"/>
    <x v="0"/>
    <n v="1618"/>
    <s v="Sunny"/>
    <s v="Yes"/>
  </r>
  <r>
    <d v="2025-04-10T00:00:00"/>
    <x v="1"/>
    <n v="1301"/>
    <s v="Sunny"/>
    <s v="No"/>
  </r>
  <r>
    <d v="2025-04-10T00:00:00"/>
    <x v="2"/>
    <n v="1062"/>
    <s v="Sunny"/>
    <s v="No"/>
  </r>
  <r>
    <d v="2025-04-10T00:00:00"/>
    <x v="3"/>
    <n v="876"/>
    <s v="Sunny"/>
    <s v="No"/>
  </r>
  <r>
    <d v="2025-04-11T00:00:00"/>
    <x v="0"/>
    <n v="1698"/>
    <s v="Cloudy"/>
    <s v="No"/>
  </r>
  <r>
    <d v="2025-04-11T00:00:00"/>
    <x v="1"/>
    <n v="1462"/>
    <s v="Sunny"/>
    <s v="No"/>
  </r>
  <r>
    <d v="2025-04-11T00:00:00"/>
    <x v="2"/>
    <n v="1231"/>
    <s v="Sunny"/>
    <s v="No"/>
  </r>
  <r>
    <d v="2025-04-11T00:00:00"/>
    <x v="3"/>
    <n v="947"/>
    <s v="Sunny"/>
    <s v="No"/>
  </r>
  <r>
    <d v="2025-04-12T00:00:00"/>
    <x v="0"/>
    <n v="2578"/>
    <s v="Cloudy"/>
    <s v="No"/>
  </r>
  <r>
    <d v="2025-04-12T00:00:00"/>
    <x v="1"/>
    <n v="2239"/>
    <s v="Sunny"/>
    <s v="No"/>
  </r>
  <r>
    <d v="2025-04-12T00:00:00"/>
    <x v="2"/>
    <n v="1766"/>
    <s v="Sunny"/>
    <s v="No"/>
  </r>
  <r>
    <d v="2025-04-12T00:00:00"/>
    <x v="3"/>
    <n v="1408"/>
    <s v="Cloudy"/>
    <s v="Yes"/>
  </r>
  <r>
    <d v="2025-04-13T00:00:00"/>
    <x v="0"/>
    <n v="2691"/>
    <s v="Sunny"/>
    <s v="Yes"/>
  </r>
  <r>
    <d v="2025-04-13T00:00:00"/>
    <x v="1"/>
    <n v="2231"/>
    <s v="Sunny"/>
    <s v="No"/>
  </r>
  <r>
    <d v="2025-04-13T00:00:00"/>
    <x v="2"/>
    <n v="1883"/>
    <s v="Cloudy"/>
    <s v="No"/>
  </r>
  <r>
    <d v="2025-04-13T00:00:00"/>
    <x v="3"/>
    <n v="1480"/>
    <s v="Sunny"/>
    <s v="No"/>
  </r>
  <r>
    <d v="2025-04-14T00:00:00"/>
    <x v="0"/>
    <n v="1426"/>
    <s v="Cloudy"/>
    <s v="Yes"/>
  </r>
  <r>
    <d v="2025-04-14T00:00:00"/>
    <x v="1"/>
    <n v="1209"/>
    <s v="Cloudy"/>
    <s v="No"/>
  </r>
  <r>
    <d v="2025-04-14T00:00:00"/>
    <x v="2"/>
    <n v="1041"/>
    <s v="Sunny"/>
    <s v="No"/>
  </r>
  <r>
    <d v="2025-04-14T00:00:00"/>
    <x v="3"/>
    <n v="883"/>
    <s v="Sunny"/>
    <s v="No"/>
  </r>
  <r>
    <d v="2025-04-15T00:00:00"/>
    <x v="0"/>
    <n v="1519"/>
    <s v="Sunny"/>
    <s v="Yes"/>
  </r>
  <r>
    <d v="2025-04-15T00:00:00"/>
    <x v="1"/>
    <n v="1256"/>
    <s v="Sunny"/>
    <s v="No"/>
  </r>
  <r>
    <d v="2025-04-15T00:00:00"/>
    <x v="2"/>
    <n v="1101"/>
    <s v="Rainy"/>
    <s v="Yes"/>
  </r>
  <r>
    <d v="2025-04-15T00:00:00"/>
    <x v="3"/>
    <n v="830"/>
    <s v="Sunny"/>
    <s v="No"/>
  </r>
  <r>
    <d v="2025-04-16T00:00:00"/>
    <x v="0"/>
    <n v="1752"/>
    <s v="Cloudy"/>
    <s v="No"/>
  </r>
  <r>
    <d v="2025-04-16T00:00:00"/>
    <x v="1"/>
    <n v="1295"/>
    <s v="Cloudy"/>
    <s v="No"/>
  </r>
  <r>
    <d v="2025-04-16T00:00:00"/>
    <x v="2"/>
    <n v="1084"/>
    <s v="Sunny"/>
    <s v="No"/>
  </r>
  <r>
    <d v="2025-04-16T00:00:00"/>
    <x v="3"/>
    <n v="1030"/>
    <s v="Cloudy"/>
    <s v="Yes"/>
  </r>
  <r>
    <d v="2025-04-17T00:00:00"/>
    <x v="0"/>
    <n v="1466"/>
    <s v="Sunny"/>
    <s v="No"/>
  </r>
  <r>
    <d v="2025-04-17T00:00:00"/>
    <x v="1"/>
    <n v="1247"/>
    <s v="Cloudy"/>
    <s v="No"/>
  </r>
  <r>
    <d v="2025-04-17T00:00:00"/>
    <x v="2"/>
    <n v="1075"/>
    <s v="Sunny"/>
    <s v="No"/>
  </r>
  <r>
    <d v="2025-04-17T00:00:00"/>
    <x v="3"/>
    <n v="893"/>
    <s v="Sunny"/>
    <s v="No"/>
  </r>
  <r>
    <d v="2025-04-18T00:00:00"/>
    <x v="0"/>
    <n v="1511"/>
    <s v="Sunny"/>
    <s v="No"/>
  </r>
  <r>
    <d v="2025-04-18T00:00:00"/>
    <x v="1"/>
    <n v="1216"/>
    <s v="Cloudy"/>
    <s v="No"/>
  </r>
  <r>
    <d v="2025-04-18T00:00:00"/>
    <x v="2"/>
    <n v="1045"/>
    <s v="Sunny"/>
    <s v="No"/>
  </r>
  <r>
    <d v="2025-04-18T00:00:00"/>
    <x v="3"/>
    <n v="813"/>
    <s v="Sunny"/>
    <s v="No"/>
  </r>
  <r>
    <d v="2025-04-19T00:00:00"/>
    <x v="0"/>
    <n v="2935"/>
    <s v="Cloudy"/>
    <s v="No"/>
  </r>
  <r>
    <d v="2025-04-19T00:00:00"/>
    <x v="1"/>
    <n v="2499"/>
    <s v="Sunny"/>
    <s v="No"/>
  </r>
  <r>
    <d v="2025-04-19T00:00:00"/>
    <x v="2"/>
    <n v="2295"/>
    <s v="Sunny"/>
    <s v="No"/>
  </r>
  <r>
    <d v="2025-04-19T00:00:00"/>
    <x v="3"/>
    <n v="1700"/>
    <s v="Sunny"/>
    <s v="Yes"/>
  </r>
  <r>
    <d v="2025-04-20T00:00:00"/>
    <x v="0"/>
    <n v="3242"/>
    <s v="Sunny"/>
    <s v="No"/>
  </r>
  <r>
    <d v="2025-04-20T00:00:00"/>
    <x v="1"/>
    <n v="2670"/>
    <s v="Rainy"/>
    <s v="Yes"/>
  </r>
  <r>
    <d v="2025-04-20T00:00:00"/>
    <x v="2"/>
    <n v="2137"/>
    <s v="Sunny"/>
    <s v="No"/>
  </r>
  <r>
    <d v="2025-04-20T00:00:00"/>
    <x v="3"/>
    <n v="1689"/>
    <s v="Cloudy"/>
    <s v="No"/>
  </r>
  <r>
    <d v="2025-04-21T00:00:00"/>
    <x v="0"/>
    <n v="1939"/>
    <s v="Rainy"/>
    <s v="Yes"/>
  </r>
  <r>
    <d v="2025-04-21T00:00:00"/>
    <x v="1"/>
    <n v="1645"/>
    <s v="Sunny"/>
    <s v="No"/>
  </r>
  <r>
    <d v="2025-04-21T00:00:00"/>
    <x v="2"/>
    <n v="1403"/>
    <s v="Cloudy"/>
    <s v="No"/>
  </r>
  <r>
    <d v="2025-04-21T00:00:00"/>
    <x v="3"/>
    <n v="1008"/>
    <s v="Sunny"/>
    <s v="No"/>
  </r>
  <r>
    <d v="2025-04-22T00:00:00"/>
    <x v="0"/>
    <n v="1161"/>
    <s v="Sunny"/>
    <s v="No"/>
  </r>
  <r>
    <d v="2025-04-22T00:00:00"/>
    <x v="1"/>
    <n v="977"/>
    <s v="Sunny"/>
    <s v="No"/>
  </r>
  <r>
    <d v="2025-04-22T00:00:00"/>
    <x v="2"/>
    <n v="895"/>
    <s v="Cloudy"/>
    <s v="No"/>
  </r>
  <r>
    <d v="2025-04-22T00:00:00"/>
    <x v="3"/>
    <n v="705"/>
    <s v="Sunny"/>
    <s v="No"/>
  </r>
  <r>
    <d v="2025-04-23T00:00:00"/>
    <x v="0"/>
    <n v="1612"/>
    <s v="Rainy"/>
    <s v="No"/>
  </r>
  <r>
    <d v="2025-04-23T00:00:00"/>
    <x v="1"/>
    <n v="1280"/>
    <s v="Sunny"/>
    <s v="No"/>
  </r>
  <r>
    <d v="2025-04-23T00:00:00"/>
    <x v="2"/>
    <n v="1135"/>
    <s v="Cloudy"/>
    <s v="No"/>
  </r>
  <r>
    <d v="2025-04-23T00:00:00"/>
    <x v="3"/>
    <n v="896"/>
    <s v="Sunny"/>
    <s v="No"/>
  </r>
  <r>
    <d v="2025-04-24T00:00:00"/>
    <x v="0"/>
    <n v="1945"/>
    <s v="Cloudy"/>
    <s v="No"/>
  </r>
  <r>
    <d v="2025-04-24T00:00:00"/>
    <x v="1"/>
    <n v="1749"/>
    <s v="Sunny"/>
    <s v="No"/>
  </r>
  <r>
    <d v="2025-04-24T00:00:00"/>
    <x v="2"/>
    <n v="1424"/>
    <s v="Cloudy"/>
    <s v="No"/>
  </r>
  <r>
    <d v="2025-04-24T00:00:00"/>
    <x v="3"/>
    <n v="1157"/>
    <s v="Cloudy"/>
    <s v="Yes"/>
  </r>
  <r>
    <d v="2025-04-25T00:00:00"/>
    <x v="0"/>
    <n v="1897"/>
    <s v="Rainy"/>
    <s v="No"/>
  </r>
  <r>
    <d v="2025-04-25T00:00:00"/>
    <x v="1"/>
    <n v="1633"/>
    <s v="Sunny"/>
    <s v="No"/>
  </r>
  <r>
    <d v="2025-04-25T00:00:00"/>
    <x v="2"/>
    <n v="1414"/>
    <s v="Sunny"/>
    <s v="No"/>
  </r>
  <r>
    <d v="2025-04-25T00:00:00"/>
    <x v="3"/>
    <n v="969"/>
    <s v="Sunny"/>
    <s v="No"/>
  </r>
  <r>
    <d v="2025-04-26T00:00:00"/>
    <x v="0"/>
    <n v="2766"/>
    <s v="Sunny"/>
    <s v="No"/>
  </r>
  <r>
    <d v="2025-04-26T00:00:00"/>
    <x v="1"/>
    <n v="2536"/>
    <s v="Sunny"/>
    <s v="No"/>
  </r>
  <r>
    <d v="2025-04-26T00:00:00"/>
    <x v="2"/>
    <n v="1920"/>
    <s v="Cloudy"/>
    <s v="No"/>
  </r>
  <r>
    <d v="2025-04-26T00:00:00"/>
    <x v="3"/>
    <n v="1556"/>
    <s v="Rainy"/>
    <s v="No"/>
  </r>
  <r>
    <d v="2025-04-27T00:00:00"/>
    <x v="0"/>
    <n v="2432"/>
    <s v="Sunny"/>
    <s v="No"/>
  </r>
  <r>
    <d v="2025-04-27T00:00:00"/>
    <x v="1"/>
    <n v="1951"/>
    <s v="Cloudy"/>
    <s v="No"/>
  </r>
  <r>
    <d v="2025-04-27T00:00:00"/>
    <x v="2"/>
    <n v="1832"/>
    <s v="Rainy"/>
    <s v="No"/>
  </r>
  <r>
    <d v="2025-04-27T00:00:00"/>
    <x v="3"/>
    <n v="1542"/>
    <s v="Sunny"/>
    <s v="No"/>
  </r>
  <r>
    <d v="2025-04-28T00:00:00"/>
    <x v="0"/>
    <n v="1442"/>
    <s v="Cloudy"/>
    <s v="No"/>
  </r>
  <r>
    <d v="2025-04-28T00:00:00"/>
    <x v="1"/>
    <n v="1202"/>
    <s v="Cloudy"/>
    <s v="Yes"/>
  </r>
  <r>
    <d v="2025-04-28T00:00:00"/>
    <x v="2"/>
    <n v="1015"/>
    <s v="Sunny"/>
    <s v="No"/>
  </r>
  <r>
    <d v="2025-04-28T00:00:00"/>
    <x v="3"/>
    <n v="750"/>
    <s v="Cloudy"/>
    <s v="No"/>
  </r>
  <r>
    <d v="2025-04-29T00:00:00"/>
    <x v="0"/>
    <n v="1321"/>
    <s v="Sunny"/>
    <s v="No"/>
  </r>
  <r>
    <d v="2025-04-29T00:00:00"/>
    <x v="1"/>
    <n v="1015"/>
    <s v="Sunny"/>
    <s v="No"/>
  </r>
  <r>
    <d v="2025-04-29T00:00:00"/>
    <x v="2"/>
    <n v="851"/>
    <s v="Sunny"/>
    <s v="No"/>
  </r>
  <r>
    <d v="2025-04-29T00:00:00"/>
    <x v="3"/>
    <n v="745"/>
    <s v="Cloudy"/>
    <s v="No"/>
  </r>
  <r>
    <d v="2025-04-30T00:00:00"/>
    <x v="0"/>
    <n v="1786"/>
    <s v="Cloudy"/>
    <s v="No"/>
  </r>
  <r>
    <d v="2025-04-30T00:00:00"/>
    <x v="1"/>
    <n v="1400"/>
    <s v="Sunny"/>
    <s v="Yes"/>
  </r>
  <r>
    <d v="2025-04-30T00:00:00"/>
    <x v="2"/>
    <n v="1210"/>
    <s v="Rainy"/>
    <s v="No"/>
  </r>
  <r>
    <d v="2025-04-30T00:00:00"/>
    <x v="3"/>
    <n v="988"/>
    <s v="Cloudy"/>
    <s v="No"/>
  </r>
  <r>
    <d v="2025-05-01T00:00:00"/>
    <x v="0"/>
    <n v="1588"/>
    <s v="Rainy"/>
    <s v="No"/>
  </r>
  <r>
    <d v="2025-05-01T00:00:00"/>
    <x v="1"/>
    <n v="1270"/>
    <s v="Sunny"/>
    <s v="No"/>
  </r>
  <r>
    <d v="2025-05-01T00:00:00"/>
    <x v="2"/>
    <n v="1198"/>
    <s v="Cloudy"/>
    <s v="No"/>
  </r>
  <r>
    <d v="2025-05-01T00:00:00"/>
    <x v="3"/>
    <n v="926"/>
    <s v="Sunny"/>
    <s v="No"/>
  </r>
  <r>
    <d v="2025-05-02T00:00:00"/>
    <x v="0"/>
    <n v="1495"/>
    <s v="Sunny"/>
    <s v="No"/>
  </r>
  <r>
    <d v="2025-05-02T00:00:00"/>
    <x v="1"/>
    <n v="1263"/>
    <s v="Sunny"/>
    <s v="No"/>
  </r>
  <r>
    <d v="2025-05-02T00:00:00"/>
    <x v="2"/>
    <n v="1002"/>
    <s v="Sunny"/>
    <s v="No"/>
  </r>
  <r>
    <d v="2025-05-02T00:00:00"/>
    <x v="3"/>
    <n v="842"/>
    <s v="Sunny"/>
    <s v="No"/>
  </r>
  <r>
    <d v="2025-05-03T00:00:00"/>
    <x v="0"/>
    <n v="2650"/>
    <s v="Cloudy"/>
    <s v="No"/>
  </r>
  <r>
    <d v="2025-05-03T00:00:00"/>
    <x v="1"/>
    <n v="2197"/>
    <s v="Cloudy"/>
    <s v="No"/>
  </r>
  <r>
    <d v="2025-05-03T00:00:00"/>
    <x v="2"/>
    <n v="1860"/>
    <s v="Cloudy"/>
    <s v="No"/>
  </r>
  <r>
    <d v="2025-05-03T00:00:00"/>
    <x v="3"/>
    <n v="1285"/>
    <s v="Sunny"/>
    <s v="No"/>
  </r>
  <r>
    <d v="2025-05-04T00:00:00"/>
    <x v="0"/>
    <n v="2873"/>
    <s v="Sunny"/>
    <s v="No"/>
  </r>
  <r>
    <d v="2025-05-04T00:00:00"/>
    <x v="1"/>
    <n v="2393"/>
    <s v="Rainy"/>
    <s v="No"/>
  </r>
  <r>
    <d v="2025-05-04T00:00:00"/>
    <x v="2"/>
    <n v="2132"/>
    <s v="Sunny"/>
    <s v="No"/>
  </r>
  <r>
    <d v="2025-05-04T00:00:00"/>
    <x v="3"/>
    <n v="1547"/>
    <s v="Sunny"/>
    <s v="No"/>
  </r>
  <r>
    <d v="2025-05-05T00:00:00"/>
    <x v="0"/>
    <n v="1273"/>
    <s v="Sunny"/>
    <s v="No"/>
  </r>
  <r>
    <d v="2025-05-05T00:00:00"/>
    <x v="1"/>
    <n v="1011"/>
    <s v="Cloudy"/>
    <s v="No"/>
  </r>
  <r>
    <d v="2025-05-05T00:00:00"/>
    <x v="2"/>
    <n v="869"/>
    <s v="Rainy"/>
    <s v="No"/>
  </r>
  <r>
    <d v="2025-05-05T00:00:00"/>
    <x v="3"/>
    <n v="765"/>
    <s v="Sunny"/>
    <s v="No"/>
  </r>
  <r>
    <d v="2025-05-06T00:00:00"/>
    <x v="0"/>
    <n v="1566"/>
    <s v="Rainy"/>
    <s v="No"/>
  </r>
  <r>
    <d v="2025-05-06T00:00:00"/>
    <x v="1"/>
    <n v="1501"/>
    <s v="Sunny"/>
    <s v="No"/>
  </r>
  <r>
    <d v="2025-05-06T00:00:00"/>
    <x v="2"/>
    <n v="1277"/>
    <s v="Rainy"/>
    <s v="No"/>
  </r>
  <r>
    <d v="2025-05-06T00:00:00"/>
    <x v="3"/>
    <n v="1029"/>
    <s v="Sunny"/>
    <s v="No"/>
  </r>
  <r>
    <d v="2025-05-07T00:00:00"/>
    <x v="0"/>
    <n v="1550"/>
    <s v="Sunny"/>
    <s v="No"/>
  </r>
  <r>
    <d v="2025-05-07T00:00:00"/>
    <x v="1"/>
    <n v="1387"/>
    <s v="Rainy"/>
    <s v="No"/>
  </r>
  <r>
    <d v="2025-05-07T00:00:00"/>
    <x v="2"/>
    <n v="1179"/>
    <s v="Cloudy"/>
    <s v="No"/>
  </r>
  <r>
    <d v="2025-05-07T00:00:00"/>
    <x v="3"/>
    <n v="917"/>
    <s v="Cloudy"/>
    <s v="No"/>
  </r>
  <r>
    <d v="2025-05-08T00:00:00"/>
    <x v="0"/>
    <n v="1931"/>
    <s v="Rainy"/>
    <s v="No"/>
  </r>
  <r>
    <d v="2025-05-08T00:00:00"/>
    <x v="1"/>
    <n v="1889"/>
    <s v="Sunny"/>
    <s v="No"/>
  </r>
  <r>
    <d v="2025-05-08T00:00:00"/>
    <x v="2"/>
    <n v="1674"/>
    <s v="Sunny"/>
    <s v="No"/>
  </r>
  <r>
    <d v="2025-05-08T00:00:00"/>
    <x v="3"/>
    <n v="1236"/>
    <s v="Sunny"/>
    <s v="No"/>
  </r>
  <r>
    <d v="2025-05-09T00:00:00"/>
    <x v="0"/>
    <n v="1569"/>
    <s v="Sunny"/>
    <s v="No"/>
  </r>
  <r>
    <d v="2025-05-09T00:00:00"/>
    <x v="1"/>
    <n v="1432"/>
    <s v="Cloudy"/>
    <s v="No"/>
  </r>
  <r>
    <d v="2025-05-09T00:00:00"/>
    <x v="2"/>
    <n v="1088"/>
    <s v="Sunny"/>
    <s v="No"/>
  </r>
  <r>
    <d v="2025-05-09T00:00:00"/>
    <x v="3"/>
    <n v="933"/>
    <s v="Cloudy"/>
    <s v="No"/>
  </r>
  <r>
    <d v="2025-05-10T00:00:00"/>
    <x v="0"/>
    <n v="2835"/>
    <s v="Sunny"/>
    <s v="No"/>
  </r>
  <r>
    <d v="2025-05-10T00:00:00"/>
    <x v="1"/>
    <n v="2320"/>
    <s v="Sunny"/>
    <s v="No"/>
  </r>
  <r>
    <d v="2025-05-10T00:00:00"/>
    <x v="2"/>
    <n v="2090"/>
    <s v="Sunny"/>
    <s v="No"/>
  </r>
  <r>
    <d v="2025-05-10T00:00:00"/>
    <x v="3"/>
    <n v="1581"/>
    <s v="Rainy"/>
    <s v="No"/>
  </r>
  <r>
    <d v="2025-05-11T00:00:00"/>
    <x v="0"/>
    <n v="2598"/>
    <s v="Sunny"/>
    <s v="No"/>
  </r>
  <r>
    <d v="2025-05-11T00:00:00"/>
    <x v="1"/>
    <n v="2113"/>
    <s v="Sunny"/>
    <s v="No"/>
  </r>
  <r>
    <d v="2025-05-11T00:00:00"/>
    <x v="2"/>
    <n v="1895"/>
    <s v="Cloudy"/>
    <s v="No"/>
  </r>
  <r>
    <d v="2025-05-11T00:00:00"/>
    <x v="3"/>
    <n v="1404"/>
    <s v="Rainy"/>
    <s v="No"/>
  </r>
  <r>
    <d v="2025-05-12T00:00:00"/>
    <x v="0"/>
    <n v="1917"/>
    <s v="Sunny"/>
    <s v="No"/>
  </r>
  <r>
    <d v="2025-05-12T00:00:00"/>
    <x v="1"/>
    <n v="1616"/>
    <s v="Cloudy"/>
    <s v="No"/>
  </r>
  <r>
    <d v="2025-05-12T00:00:00"/>
    <x v="2"/>
    <n v="1392"/>
    <s v="Cloudy"/>
    <s v="No"/>
  </r>
  <r>
    <d v="2025-05-12T00:00:00"/>
    <x v="3"/>
    <n v="1175"/>
    <s v="Cloudy"/>
    <s v="No"/>
  </r>
  <r>
    <d v="2025-05-13T00:00:00"/>
    <x v="0"/>
    <n v="2119"/>
    <s v="Sunny"/>
    <s v="No"/>
  </r>
  <r>
    <d v="2025-05-13T00:00:00"/>
    <x v="1"/>
    <n v="1812"/>
    <s v="Cloudy"/>
    <s v="No"/>
  </r>
  <r>
    <d v="2025-05-13T00:00:00"/>
    <x v="2"/>
    <n v="1461"/>
    <s v="Sunny"/>
    <s v="No"/>
  </r>
  <r>
    <d v="2025-05-13T00:00:00"/>
    <x v="3"/>
    <n v="1214"/>
    <s v="Cloudy"/>
    <s v="No"/>
  </r>
  <r>
    <d v="2025-05-14T00:00:00"/>
    <x v="0"/>
    <n v="1534"/>
    <s v="Sunny"/>
    <s v="No"/>
  </r>
  <r>
    <d v="2025-05-14T00:00:00"/>
    <x v="1"/>
    <n v="1285"/>
    <s v="Cloudy"/>
    <s v="No"/>
  </r>
  <r>
    <d v="2025-05-14T00:00:00"/>
    <x v="2"/>
    <n v="1185"/>
    <s v="Sunny"/>
    <s v="No"/>
  </r>
  <r>
    <d v="2025-05-14T00:00:00"/>
    <x v="3"/>
    <n v="922"/>
    <s v="Cloudy"/>
    <s v="No"/>
  </r>
  <r>
    <d v="2025-05-15T00:00:00"/>
    <x v="0"/>
    <n v="1579"/>
    <s v="Sunny"/>
    <s v="No"/>
  </r>
  <r>
    <d v="2025-05-15T00:00:00"/>
    <x v="1"/>
    <n v="1245"/>
    <s v="Sunny"/>
    <s v="No"/>
  </r>
  <r>
    <d v="2025-05-15T00:00:00"/>
    <x v="2"/>
    <n v="1242"/>
    <s v="Sunny"/>
    <s v="No"/>
  </r>
  <r>
    <d v="2025-05-15T00:00:00"/>
    <x v="3"/>
    <n v="920"/>
    <s v="Cloudy"/>
    <s v="No"/>
  </r>
  <r>
    <d v="2025-05-16T00:00:00"/>
    <x v="0"/>
    <n v="1766"/>
    <s v="Sunny"/>
    <s v="No"/>
  </r>
  <r>
    <d v="2025-05-16T00:00:00"/>
    <x v="1"/>
    <n v="1497"/>
    <s v="Sunny"/>
    <s v="No"/>
  </r>
  <r>
    <d v="2025-05-16T00:00:00"/>
    <x v="2"/>
    <n v="1242"/>
    <s v="Sunny"/>
    <s v="No"/>
  </r>
  <r>
    <d v="2025-05-16T00:00:00"/>
    <x v="3"/>
    <n v="927"/>
    <s v="Sunny"/>
    <s v="No"/>
  </r>
  <r>
    <d v="2025-05-17T00:00:00"/>
    <x v="0"/>
    <n v="2451"/>
    <s v="Sunny"/>
    <s v="No"/>
  </r>
  <r>
    <d v="2025-05-17T00:00:00"/>
    <x v="1"/>
    <n v="2065"/>
    <s v="Cloudy"/>
    <s v="No"/>
  </r>
  <r>
    <d v="2025-05-17T00:00:00"/>
    <x v="2"/>
    <n v="1754"/>
    <s v="Cloudy"/>
    <s v="No"/>
  </r>
  <r>
    <d v="2025-05-17T00:00:00"/>
    <x v="3"/>
    <n v="1371"/>
    <s v="Cloudy"/>
    <s v="No"/>
  </r>
  <r>
    <d v="2025-05-18T00:00:00"/>
    <x v="0"/>
    <n v="2761"/>
    <s v="Sunny"/>
    <s v="No"/>
  </r>
  <r>
    <d v="2025-05-18T00:00:00"/>
    <x v="1"/>
    <n v="2162"/>
    <s v="Sunny"/>
    <s v="No"/>
  </r>
  <r>
    <d v="2025-05-18T00:00:00"/>
    <x v="2"/>
    <n v="1665"/>
    <s v="Cloudy"/>
    <s v="No"/>
  </r>
  <r>
    <d v="2025-05-18T00:00:00"/>
    <x v="3"/>
    <n v="1602"/>
    <s v="Sunny"/>
    <s v="No"/>
  </r>
  <r>
    <d v="2025-05-19T00:00:00"/>
    <x v="0"/>
    <n v="1691"/>
    <s v="Sunny"/>
    <s v="No"/>
  </r>
  <r>
    <d v="2025-05-19T00:00:00"/>
    <x v="1"/>
    <n v="1250"/>
    <s v="Sunny"/>
    <s v="No"/>
  </r>
  <r>
    <d v="2025-05-19T00:00:00"/>
    <x v="2"/>
    <n v="1195"/>
    <s v="Rainy"/>
    <s v="No"/>
  </r>
  <r>
    <d v="2025-05-19T00:00:00"/>
    <x v="3"/>
    <n v="986"/>
    <s v="Cloudy"/>
    <s v="No"/>
  </r>
  <r>
    <d v="2025-05-20T00:00:00"/>
    <x v="0"/>
    <n v="1151"/>
    <s v="Sunny"/>
    <s v="No"/>
  </r>
  <r>
    <d v="2025-05-20T00:00:00"/>
    <x v="1"/>
    <n v="1025"/>
    <s v="Rainy"/>
    <s v="No"/>
  </r>
  <r>
    <d v="2025-05-20T00:00:00"/>
    <x v="2"/>
    <n v="864"/>
    <s v="Sunny"/>
    <s v="No"/>
  </r>
  <r>
    <d v="2025-05-20T00:00:00"/>
    <x v="3"/>
    <n v="733"/>
    <s v="Sunny"/>
    <s v="No"/>
  </r>
  <r>
    <d v="2025-05-21T00:00:00"/>
    <x v="0"/>
    <n v="1224"/>
    <s v="Sunny"/>
    <s v="No"/>
  </r>
  <r>
    <d v="2025-05-21T00:00:00"/>
    <x v="1"/>
    <n v="1017"/>
    <s v="Sunny"/>
    <s v="No"/>
  </r>
  <r>
    <d v="2025-05-21T00:00:00"/>
    <x v="2"/>
    <n v="804"/>
    <s v="Sunny"/>
    <s v="No"/>
  </r>
  <r>
    <d v="2025-05-21T00:00:00"/>
    <x v="3"/>
    <n v="636"/>
    <s v="Cloudy"/>
    <s v="No"/>
  </r>
  <r>
    <d v="2025-05-22T00:00:00"/>
    <x v="0"/>
    <n v="1221"/>
    <s v="Cloudy"/>
    <s v="No"/>
  </r>
  <r>
    <d v="2025-05-22T00:00:00"/>
    <x v="1"/>
    <n v="1066"/>
    <s v="Sunny"/>
    <s v="No"/>
  </r>
  <r>
    <d v="2025-05-22T00:00:00"/>
    <x v="2"/>
    <n v="931"/>
    <s v="Sunny"/>
    <s v="No"/>
  </r>
  <r>
    <d v="2025-05-22T00:00:00"/>
    <x v="3"/>
    <n v="769"/>
    <s v="Rainy"/>
    <s v="No"/>
  </r>
  <r>
    <d v="2025-05-23T00:00:00"/>
    <x v="0"/>
    <n v="1210"/>
    <s v="Sunny"/>
    <s v="No"/>
  </r>
  <r>
    <d v="2025-05-23T00:00:00"/>
    <x v="1"/>
    <n v="1085"/>
    <s v="Sunny"/>
    <s v="No"/>
  </r>
  <r>
    <d v="2025-05-23T00:00:00"/>
    <x v="2"/>
    <n v="873"/>
    <s v="Rainy"/>
    <s v="No"/>
  </r>
  <r>
    <d v="2025-05-23T00:00:00"/>
    <x v="3"/>
    <n v="696"/>
    <s v="Cloudy"/>
    <s v="No"/>
  </r>
  <r>
    <d v="2025-05-24T00:00:00"/>
    <x v="0"/>
    <n v="2494"/>
    <s v="Sunny"/>
    <s v="No"/>
  </r>
  <r>
    <d v="2025-05-24T00:00:00"/>
    <x v="1"/>
    <n v="2272"/>
    <s v="Sunny"/>
    <s v="No"/>
  </r>
  <r>
    <d v="2025-05-24T00:00:00"/>
    <x v="2"/>
    <n v="1824"/>
    <s v="Sunny"/>
    <s v="No"/>
  </r>
  <r>
    <d v="2025-05-24T00:00:00"/>
    <x v="3"/>
    <n v="1396"/>
    <s v="Cloudy"/>
    <s v="No"/>
  </r>
  <r>
    <d v="2025-05-25T00:00:00"/>
    <x v="0"/>
    <n v="2444"/>
    <s v="Rainy"/>
    <s v="No"/>
  </r>
  <r>
    <d v="2025-05-25T00:00:00"/>
    <x v="1"/>
    <n v="2147"/>
    <s v="Sunny"/>
    <s v="No"/>
  </r>
  <r>
    <d v="2025-05-25T00:00:00"/>
    <x v="2"/>
    <n v="1670"/>
    <s v="Sunny"/>
    <s v="No"/>
  </r>
  <r>
    <d v="2025-05-25T00:00:00"/>
    <x v="3"/>
    <n v="1404"/>
    <s v="Cloudy"/>
    <s v="No"/>
  </r>
  <r>
    <d v="2025-05-26T00:00:00"/>
    <x v="0"/>
    <n v="1510"/>
    <s v="Sunny"/>
    <s v="No"/>
  </r>
  <r>
    <d v="2025-05-26T00:00:00"/>
    <x v="1"/>
    <n v="1376"/>
    <s v="Sunny"/>
    <s v="No"/>
  </r>
  <r>
    <d v="2025-05-26T00:00:00"/>
    <x v="2"/>
    <n v="1041"/>
    <s v="Sunny"/>
    <s v="No"/>
  </r>
  <r>
    <d v="2025-05-26T00:00:00"/>
    <x v="3"/>
    <n v="970"/>
    <s v="Sunny"/>
    <s v="No"/>
  </r>
  <r>
    <d v="2025-05-27T00:00:00"/>
    <x v="0"/>
    <n v="1684"/>
    <s v="Sunny"/>
    <s v="No"/>
  </r>
  <r>
    <d v="2025-05-27T00:00:00"/>
    <x v="1"/>
    <n v="1353"/>
    <s v="Sunny"/>
    <s v="No"/>
  </r>
  <r>
    <d v="2025-05-27T00:00:00"/>
    <x v="2"/>
    <n v="1314"/>
    <s v="Sunny"/>
    <s v="No"/>
  </r>
  <r>
    <d v="2025-05-27T00:00:00"/>
    <x v="3"/>
    <n v="959"/>
    <s v="Sunny"/>
    <s v="No"/>
  </r>
  <r>
    <d v="2025-05-28T00:00:00"/>
    <x v="0"/>
    <n v="1326"/>
    <s v="Cloudy"/>
    <s v="No"/>
  </r>
  <r>
    <d v="2025-05-28T00:00:00"/>
    <x v="1"/>
    <n v="1150"/>
    <s v="Sunny"/>
    <s v="No"/>
  </r>
  <r>
    <d v="2025-05-28T00:00:00"/>
    <x v="2"/>
    <n v="977"/>
    <s v="Rainy"/>
    <s v="No"/>
  </r>
  <r>
    <d v="2025-05-28T00:00:00"/>
    <x v="3"/>
    <n v="812"/>
    <s v="Cloudy"/>
    <s v="No"/>
  </r>
  <r>
    <d v="2025-05-29T00:00:00"/>
    <x v="0"/>
    <n v="1712"/>
    <s v="Sunny"/>
    <s v="No"/>
  </r>
  <r>
    <d v="2025-05-29T00:00:00"/>
    <x v="1"/>
    <n v="1270"/>
    <s v="Sunny"/>
    <s v="No"/>
  </r>
  <r>
    <d v="2025-05-29T00:00:00"/>
    <x v="2"/>
    <n v="1243"/>
    <s v="Sunny"/>
    <s v="No"/>
  </r>
  <r>
    <d v="2025-05-29T00:00:00"/>
    <x v="3"/>
    <n v="920"/>
    <s v="Rainy"/>
    <s v="No"/>
  </r>
  <r>
    <d v="2025-05-30T00:00:00"/>
    <x v="0"/>
    <n v="1574"/>
    <s v="Sunny"/>
    <s v="No"/>
  </r>
  <r>
    <d v="2025-05-30T00:00:00"/>
    <x v="1"/>
    <n v="1306"/>
    <s v="Sunny"/>
    <s v="No"/>
  </r>
  <r>
    <d v="2025-05-30T00:00:00"/>
    <x v="2"/>
    <n v="1077"/>
    <s v="Sunny"/>
    <s v="No"/>
  </r>
  <r>
    <d v="2025-05-30T00:00:00"/>
    <x v="3"/>
    <n v="1000"/>
    <s v="Cloudy"/>
    <s v="No"/>
  </r>
  <r>
    <d v="2025-05-31T00:00:00"/>
    <x v="0"/>
    <n v="2681"/>
    <s v="Sunny"/>
    <s v="No"/>
  </r>
  <r>
    <d v="2025-05-31T00:00:00"/>
    <x v="1"/>
    <n v="2357"/>
    <s v="Cloudy"/>
    <s v="No"/>
  </r>
  <r>
    <d v="2025-05-31T00:00:00"/>
    <x v="2"/>
    <n v="2121"/>
    <s v="Rainy"/>
    <s v="No"/>
  </r>
  <r>
    <d v="2025-05-31T00:00:00"/>
    <x v="3"/>
    <n v="1656"/>
    <s v="Cloudy"/>
    <s v="No"/>
  </r>
  <r>
    <d v="2025-06-01T00:00:00"/>
    <x v="0"/>
    <n v="3107"/>
    <s v="Cloudy"/>
    <s v="No"/>
  </r>
  <r>
    <d v="2025-06-01T00:00:00"/>
    <x v="1"/>
    <n v="2416"/>
    <s v="Sunny"/>
    <s v="No"/>
  </r>
  <r>
    <d v="2025-06-01T00:00:00"/>
    <x v="2"/>
    <n v="2208"/>
    <s v="Sunny"/>
    <s v="No"/>
  </r>
  <r>
    <d v="2025-06-01T00:00:00"/>
    <x v="3"/>
    <n v="1740"/>
    <s v="Rainy"/>
    <s v="No"/>
  </r>
  <r>
    <d v="2025-06-02T00:00:00"/>
    <x v="0"/>
    <n v="1326"/>
    <s v="Cloudy"/>
    <s v="No"/>
  </r>
  <r>
    <d v="2025-06-02T00:00:00"/>
    <x v="1"/>
    <n v="1056"/>
    <s v="Cloudy"/>
    <s v="No"/>
  </r>
  <r>
    <d v="2025-06-02T00:00:00"/>
    <x v="2"/>
    <n v="931"/>
    <s v="Cloudy"/>
    <s v="No"/>
  </r>
  <r>
    <d v="2025-06-02T00:00:00"/>
    <x v="3"/>
    <n v="694"/>
    <s v="Sunny"/>
    <s v="No"/>
  </r>
  <r>
    <d v="2025-06-03T00:00:00"/>
    <x v="0"/>
    <n v="1325"/>
    <s v="Sunny"/>
    <s v="No"/>
  </r>
  <r>
    <d v="2025-06-03T00:00:00"/>
    <x v="1"/>
    <n v="1180"/>
    <s v="Sunny"/>
    <s v="No"/>
  </r>
  <r>
    <d v="2025-06-03T00:00:00"/>
    <x v="2"/>
    <n v="916"/>
    <s v="Rainy"/>
    <s v="No"/>
  </r>
  <r>
    <d v="2025-06-03T00:00:00"/>
    <x v="3"/>
    <n v="790"/>
    <s v="Cloudy"/>
    <s v="No"/>
  </r>
  <r>
    <d v="2025-06-04T00:00:00"/>
    <x v="0"/>
    <n v="1533"/>
    <s v="Sunny"/>
    <s v="No"/>
  </r>
  <r>
    <d v="2025-06-04T00:00:00"/>
    <x v="1"/>
    <n v="1334"/>
    <s v="Rainy"/>
    <s v="No"/>
  </r>
  <r>
    <d v="2025-06-04T00:00:00"/>
    <x v="2"/>
    <n v="1157"/>
    <s v="Rainy"/>
    <s v="No"/>
  </r>
  <r>
    <d v="2025-06-04T00:00:00"/>
    <x v="3"/>
    <n v="976"/>
    <s v="Sunny"/>
    <s v="No"/>
  </r>
  <r>
    <d v="2025-06-05T00:00:00"/>
    <x v="0"/>
    <n v="1755"/>
    <s v="Rainy"/>
    <s v="No"/>
  </r>
  <r>
    <d v="2025-06-05T00:00:00"/>
    <x v="1"/>
    <n v="1311"/>
    <s v="Sunny"/>
    <s v="No"/>
  </r>
  <r>
    <d v="2025-06-05T00:00:00"/>
    <x v="2"/>
    <n v="1157"/>
    <s v="Sunny"/>
    <s v="No"/>
  </r>
  <r>
    <d v="2025-06-05T00:00:00"/>
    <x v="3"/>
    <n v="874"/>
    <s v="Sunny"/>
    <s v="No"/>
  </r>
  <r>
    <d v="2025-06-06T00:00:00"/>
    <x v="0"/>
    <n v="1308"/>
    <s v="Sunny"/>
    <s v="No"/>
  </r>
  <r>
    <d v="2025-06-06T00:00:00"/>
    <x v="1"/>
    <n v="1084"/>
    <s v="Sunny"/>
    <s v="No"/>
  </r>
  <r>
    <d v="2025-06-06T00:00:00"/>
    <x v="2"/>
    <n v="980"/>
    <s v="Cloudy"/>
    <s v="No"/>
  </r>
  <r>
    <d v="2025-06-06T00:00:00"/>
    <x v="3"/>
    <n v="704"/>
    <s v="Sunny"/>
    <s v="No"/>
  </r>
  <r>
    <d v="2025-06-07T00:00:00"/>
    <x v="0"/>
    <n v="2284"/>
    <s v="Sunny"/>
    <s v="No"/>
  </r>
  <r>
    <d v="2025-06-07T00:00:00"/>
    <x v="1"/>
    <n v="2156"/>
    <s v="Sunny"/>
    <s v="No"/>
  </r>
  <r>
    <d v="2025-06-07T00:00:00"/>
    <x v="2"/>
    <n v="1785"/>
    <s v="Cloudy"/>
    <s v="No"/>
  </r>
  <r>
    <d v="2025-06-07T00:00:00"/>
    <x v="3"/>
    <n v="1371"/>
    <s v="Sunny"/>
    <s v="No"/>
  </r>
  <r>
    <d v="2025-06-08T00:00:00"/>
    <x v="0"/>
    <n v="2823"/>
    <s v="Cloudy"/>
    <s v="No"/>
  </r>
  <r>
    <d v="2025-06-08T00:00:00"/>
    <x v="1"/>
    <n v="2429"/>
    <s v="Cloudy"/>
    <s v="No"/>
  </r>
  <r>
    <d v="2025-06-08T00:00:00"/>
    <x v="2"/>
    <n v="2029"/>
    <s v="Sunny"/>
    <s v="No"/>
  </r>
  <r>
    <d v="2025-06-08T00:00:00"/>
    <x v="3"/>
    <n v="1665"/>
    <s v="Cloudy"/>
    <s v="No"/>
  </r>
  <r>
    <d v="2025-06-09T00:00:00"/>
    <x v="0"/>
    <n v="1941"/>
    <s v="Sunny"/>
    <s v="No"/>
  </r>
  <r>
    <d v="2025-06-09T00:00:00"/>
    <x v="1"/>
    <n v="1692"/>
    <s v="Cloudy"/>
    <s v="No"/>
  </r>
  <r>
    <d v="2025-06-09T00:00:00"/>
    <x v="2"/>
    <n v="1538"/>
    <s v="Cloudy"/>
    <s v="No"/>
  </r>
  <r>
    <d v="2025-06-09T00:00:00"/>
    <x v="3"/>
    <n v="1209"/>
    <s v="Sunny"/>
    <s v="No"/>
  </r>
  <r>
    <d v="2025-06-10T00:00:00"/>
    <x v="0"/>
    <n v="1557"/>
    <s v="Sunny"/>
    <s v="No"/>
  </r>
  <r>
    <d v="2025-06-10T00:00:00"/>
    <x v="1"/>
    <n v="1286"/>
    <s v="Cloudy"/>
    <s v="No"/>
  </r>
  <r>
    <d v="2025-06-10T00:00:00"/>
    <x v="2"/>
    <n v="979"/>
    <s v="Sunny"/>
    <s v="No"/>
  </r>
  <r>
    <d v="2025-06-10T00:00:00"/>
    <x v="3"/>
    <n v="860"/>
    <s v="Rainy"/>
    <s v="No"/>
  </r>
  <r>
    <d v="2025-06-11T00:00:00"/>
    <x v="0"/>
    <n v="1609"/>
    <s v="Sunny"/>
    <s v="No"/>
  </r>
  <r>
    <d v="2025-06-11T00:00:00"/>
    <x v="1"/>
    <n v="1441"/>
    <s v="Sunny"/>
    <s v="No"/>
  </r>
  <r>
    <d v="2025-06-11T00:00:00"/>
    <x v="2"/>
    <n v="1254"/>
    <s v="Sunny"/>
    <s v="No"/>
  </r>
  <r>
    <d v="2025-06-11T00:00:00"/>
    <x v="3"/>
    <n v="901"/>
    <s v="Rainy"/>
    <s v="No"/>
  </r>
  <r>
    <d v="2025-06-12T00:00:00"/>
    <x v="0"/>
    <n v="1875"/>
    <s v="Cloudy"/>
    <s v="No"/>
  </r>
  <r>
    <d v="2025-06-12T00:00:00"/>
    <x v="1"/>
    <n v="1532"/>
    <s v="Cloudy"/>
    <s v="No"/>
  </r>
  <r>
    <d v="2025-06-12T00:00:00"/>
    <x v="2"/>
    <n v="1343"/>
    <s v="Cloudy"/>
    <s v="No"/>
  </r>
  <r>
    <d v="2025-06-12T00:00:00"/>
    <x v="3"/>
    <n v="1048"/>
    <s v="Sunny"/>
    <s v="No"/>
  </r>
  <r>
    <d v="2025-06-13T00:00:00"/>
    <x v="0"/>
    <n v="1297"/>
    <s v="Sunny"/>
    <s v="No"/>
  </r>
  <r>
    <d v="2025-06-13T00:00:00"/>
    <x v="1"/>
    <n v="1046"/>
    <s v="Sunny"/>
    <s v="No"/>
  </r>
  <r>
    <d v="2025-06-13T00:00:00"/>
    <x v="2"/>
    <n v="918"/>
    <s v="Sunny"/>
    <s v="No"/>
  </r>
  <r>
    <d v="2025-06-13T00:00:00"/>
    <x v="3"/>
    <n v="734"/>
    <s v="Sunny"/>
    <s v="No"/>
  </r>
  <r>
    <d v="2025-06-14T00:00:00"/>
    <x v="0"/>
    <n v="2639"/>
    <s v="Cloudy"/>
    <s v="No"/>
  </r>
  <r>
    <d v="2025-06-14T00:00:00"/>
    <x v="1"/>
    <n v="2291"/>
    <s v="Sunny"/>
    <s v="No"/>
  </r>
  <r>
    <d v="2025-06-14T00:00:00"/>
    <x v="2"/>
    <n v="2062"/>
    <s v="Sunny"/>
    <s v="No"/>
  </r>
  <r>
    <d v="2025-06-14T00:00:00"/>
    <x v="3"/>
    <n v="1660"/>
    <s v="Cloudy"/>
    <s v="No"/>
  </r>
  <r>
    <d v="2025-06-15T00:00:00"/>
    <x v="0"/>
    <n v="2506"/>
    <s v="Sunny"/>
    <s v="No"/>
  </r>
  <r>
    <d v="2025-06-15T00:00:00"/>
    <x v="1"/>
    <n v="2306"/>
    <s v="Sunny"/>
    <s v="No"/>
  </r>
  <r>
    <d v="2025-06-15T00:00:00"/>
    <x v="2"/>
    <n v="2021"/>
    <s v="Sunny"/>
    <s v="No"/>
  </r>
  <r>
    <d v="2025-06-15T00:00:00"/>
    <x v="3"/>
    <n v="1382"/>
    <s v="Sunny"/>
    <s v="No"/>
  </r>
  <r>
    <d v="2025-06-16T00:00:00"/>
    <x v="0"/>
    <n v="1333"/>
    <s v="Cloudy"/>
    <s v="No"/>
  </r>
  <r>
    <d v="2025-06-16T00:00:00"/>
    <x v="1"/>
    <n v="1108"/>
    <s v="Sunny"/>
    <s v="No"/>
  </r>
  <r>
    <d v="2025-06-16T00:00:00"/>
    <x v="2"/>
    <n v="989"/>
    <s v="Sunny"/>
    <s v="No"/>
  </r>
  <r>
    <d v="2025-06-16T00:00:00"/>
    <x v="3"/>
    <n v="813"/>
    <s v="Sunny"/>
    <s v="No"/>
  </r>
  <r>
    <d v="2025-06-17T00:00:00"/>
    <x v="0"/>
    <n v="2166"/>
    <s v="Cloudy"/>
    <s v="No"/>
  </r>
  <r>
    <d v="2025-06-17T00:00:00"/>
    <x v="1"/>
    <n v="1748"/>
    <s v="Sunny"/>
    <s v="No"/>
  </r>
  <r>
    <d v="2025-06-17T00:00:00"/>
    <x v="2"/>
    <n v="1682"/>
    <s v="Rainy"/>
    <s v="No"/>
  </r>
  <r>
    <d v="2025-06-17T00:00:00"/>
    <x v="3"/>
    <n v="1162"/>
    <s v="Sunny"/>
    <s v="No"/>
  </r>
  <r>
    <d v="2025-06-18T00:00:00"/>
    <x v="0"/>
    <n v="1500"/>
    <s v="Sunny"/>
    <s v="No"/>
  </r>
  <r>
    <d v="2025-06-18T00:00:00"/>
    <x v="1"/>
    <n v="1185"/>
    <s v="Sunny"/>
    <s v="No"/>
  </r>
  <r>
    <d v="2025-06-18T00:00:00"/>
    <x v="2"/>
    <n v="955"/>
    <s v="Sunny"/>
    <s v="No"/>
  </r>
  <r>
    <d v="2025-06-18T00:00:00"/>
    <x v="3"/>
    <n v="834"/>
    <s v="Rainy"/>
    <s v="No"/>
  </r>
  <r>
    <d v="2025-06-19T00:00:00"/>
    <x v="0"/>
    <n v="1320"/>
    <s v="Sunny"/>
    <s v="No"/>
  </r>
  <r>
    <d v="2025-06-19T00:00:00"/>
    <x v="1"/>
    <n v="1006"/>
    <s v="Sunny"/>
    <s v="No"/>
  </r>
  <r>
    <d v="2025-06-19T00:00:00"/>
    <x v="2"/>
    <n v="947"/>
    <s v="Cloudy"/>
    <s v="No"/>
  </r>
  <r>
    <d v="2025-06-19T00:00:00"/>
    <x v="3"/>
    <n v="663"/>
    <s v="Sunny"/>
    <s v="No"/>
  </r>
  <r>
    <d v="2025-06-20T00:00:00"/>
    <x v="0"/>
    <n v="1552"/>
    <s v="Rainy"/>
    <s v="No"/>
  </r>
  <r>
    <d v="2025-06-20T00:00:00"/>
    <x v="1"/>
    <n v="1290"/>
    <s v="Cloudy"/>
    <s v="No"/>
  </r>
  <r>
    <d v="2025-06-20T00:00:00"/>
    <x v="2"/>
    <n v="1148"/>
    <s v="Cloudy"/>
    <s v="No"/>
  </r>
  <r>
    <d v="2025-06-20T00:00:00"/>
    <x v="3"/>
    <n v="861"/>
    <s v="Cloudy"/>
    <s v="No"/>
  </r>
  <r>
    <d v="2025-06-21T00:00:00"/>
    <x v="0"/>
    <n v="2375"/>
    <s v="Sunny"/>
    <s v="No"/>
  </r>
  <r>
    <d v="2025-06-21T00:00:00"/>
    <x v="1"/>
    <n v="1961"/>
    <s v="Cloudy"/>
    <s v="No"/>
  </r>
  <r>
    <d v="2025-06-21T00:00:00"/>
    <x v="2"/>
    <n v="1504"/>
    <s v="Sunny"/>
    <s v="No"/>
  </r>
  <r>
    <d v="2025-06-21T00:00:00"/>
    <x v="3"/>
    <n v="1323"/>
    <s v="Sunny"/>
    <s v="No"/>
  </r>
  <r>
    <d v="2025-06-22T00:00:00"/>
    <x v="0"/>
    <n v="2691"/>
    <s v="Rainy"/>
    <s v="No"/>
  </r>
  <r>
    <d v="2025-06-22T00:00:00"/>
    <x v="1"/>
    <n v="2433"/>
    <s v="Sunny"/>
    <s v="No"/>
  </r>
  <r>
    <d v="2025-06-22T00:00:00"/>
    <x v="2"/>
    <n v="1954"/>
    <s v="Cloudy"/>
    <s v="No"/>
  </r>
  <r>
    <d v="2025-06-22T00:00:00"/>
    <x v="3"/>
    <n v="1609"/>
    <s v="Sunny"/>
    <s v="No"/>
  </r>
  <r>
    <d v="2025-06-23T00:00:00"/>
    <x v="0"/>
    <n v="1688"/>
    <s v="Sunny"/>
    <s v="No"/>
  </r>
  <r>
    <d v="2025-06-23T00:00:00"/>
    <x v="1"/>
    <n v="1553"/>
    <s v="Rainy"/>
    <s v="No"/>
  </r>
  <r>
    <d v="2025-06-23T00:00:00"/>
    <x v="2"/>
    <n v="1213"/>
    <s v="Rainy"/>
    <s v="No"/>
  </r>
  <r>
    <d v="2025-06-23T00:00:00"/>
    <x v="3"/>
    <n v="1030"/>
    <s v="Sunny"/>
    <s v="No"/>
  </r>
  <r>
    <d v="2025-06-24T00:00:00"/>
    <x v="0"/>
    <n v="1428"/>
    <s v="Sunny"/>
    <s v="No"/>
  </r>
  <r>
    <d v="2025-06-24T00:00:00"/>
    <x v="1"/>
    <n v="1185"/>
    <s v="Cloudy"/>
    <s v="No"/>
  </r>
  <r>
    <d v="2025-06-24T00:00:00"/>
    <x v="2"/>
    <n v="992"/>
    <s v="Cloudy"/>
    <s v="No"/>
  </r>
  <r>
    <d v="2025-06-24T00:00:00"/>
    <x v="3"/>
    <n v="751"/>
    <s v="Sunny"/>
    <s v="No"/>
  </r>
  <r>
    <d v="2025-06-25T00:00:00"/>
    <x v="0"/>
    <n v="1706"/>
    <s v="Cloudy"/>
    <s v="No"/>
  </r>
  <r>
    <d v="2025-06-25T00:00:00"/>
    <x v="1"/>
    <n v="1288"/>
    <s v="Sunny"/>
    <s v="No"/>
  </r>
  <r>
    <d v="2025-06-25T00:00:00"/>
    <x v="2"/>
    <n v="1176"/>
    <s v="Sunny"/>
    <s v="No"/>
  </r>
  <r>
    <d v="2025-06-25T00:00:00"/>
    <x v="3"/>
    <n v="901"/>
    <s v="Sunny"/>
    <s v="No"/>
  </r>
  <r>
    <d v="2025-06-26T00:00:00"/>
    <x v="0"/>
    <n v="1515"/>
    <s v="Sunny"/>
    <s v="No"/>
  </r>
  <r>
    <d v="2025-06-26T00:00:00"/>
    <x v="1"/>
    <n v="1306"/>
    <s v="Sunny"/>
    <s v="No"/>
  </r>
  <r>
    <d v="2025-06-26T00:00:00"/>
    <x v="2"/>
    <n v="1039"/>
    <s v="Sunny"/>
    <s v="No"/>
  </r>
  <r>
    <d v="2025-06-26T00:00:00"/>
    <x v="3"/>
    <n v="886"/>
    <s v="Sunny"/>
    <s v="No"/>
  </r>
  <r>
    <d v="2025-06-27T00:00:00"/>
    <x v="0"/>
    <n v="1385"/>
    <s v="Sunny"/>
    <s v="No"/>
  </r>
  <r>
    <d v="2025-06-27T00:00:00"/>
    <x v="1"/>
    <n v="1211"/>
    <s v="Cloudy"/>
    <s v="No"/>
  </r>
  <r>
    <d v="2025-06-27T00:00:00"/>
    <x v="2"/>
    <n v="977"/>
    <s v="Sunny"/>
    <s v="No"/>
  </r>
  <r>
    <d v="2025-06-27T00:00:00"/>
    <x v="3"/>
    <n v="746"/>
    <s v="Rainy"/>
    <s v="No"/>
  </r>
  <r>
    <d v="2025-06-28T00:00:00"/>
    <x v="0"/>
    <n v="2673"/>
    <s v="Sunny"/>
    <s v="No"/>
  </r>
  <r>
    <d v="2025-06-28T00:00:00"/>
    <x v="1"/>
    <n v="2167"/>
    <s v="Cloudy"/>
    <s v="No"/>
  </r>
  <r>
    <d v="2025-06-28T00:00:00"/>
    <x v="2"/>
    <n v="1785"/>
    <s v="Rainy"/>
    <s v="No"/>
  </r>
  <r>
    <d v="2025-06-28T00:00:00"/>
    <x v="3"/>
    <n v="1350"/>
    <s v="Sunny"/>
    <s v="No"/>
  </r>
  <r>
    <d v="2025-06-29T00:00:00"/>
    <x v="0"/>
    <n v="3316"/>
    <s v="Sunny"/>
    <s v="No"/>
  </r>
  <r>
    <d v="2025-06-29T00:00:00"/>
    <x v="1"/>
    <n v="2706"/>
    <s v="Sunny"/>
    <s v="No"/>
  </r>
  <r>
    <d v="2025-06-29T00:00:00"/>
    <x v="2"/>
    <n v="2174"/>
    <s v="Sunny"/>
    <s v="No"/>
  </r>
  <r>
    <d v="2025-06-29T00:00:00"/>
    <x v="3"/>
    <n v="1566"/>
    <s v="Cloudy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04A5A-2439-43ED-8848-54E38A0BCDE9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10" firstHeaderRow="0" firstDataRow="1" firstDataCol="1"/>
  <pivotFields count="19">
    <pivotField dataField="1" showAll="0">
      <items count="3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umFmtId="165" showAll="0"/>
    <pivotField showAll="0"/>
    <pivotField showAll="0"/>
    <pivotField showAll="0"/>
    <pivotField numFmtId="167" showAll="0"/>
    <pivotField numFmtId="9" showAll="0"/>
    <pivotField dataField="1" numFmtId="167" showAll="0"/>
    <pivotField showAll="0"/>
    <pivotField showAll="0"/>
    <pivotField showAll="0"/>
    <pivotField showAll="0"/>
    <pivotField axis="axisRow" numFmtId="14" showAll="0">
      <items count="7">
        <item x="2"/>
        <item x="0"/>
        <item x="5"/>
        <item x="4"/>
        <item x="1"/>
        <item x="3"/>
        <item t="default"/>
      </items>
    </pivotField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8"/>
    <field x="17"/>
    <field x="1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Net Sales" fld="7" baseField="18" baseItem="1" numFmtId="167"/>
    <dataField name="Count of transaction_id" fld="0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DDA19-7489-486E-8D96-878805D63906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9">
    <pivotField showAll="0"/>
    <pivotField numFmtId="165" showAll="0"/>
    <pivotField showAll="0"/>
    <pivotField showAll="0"/>
    <pivotField showAll="0"/>
    <pivotField numFmtId="167" showAll="0"/>
    <pivotField numFmtId="9" showAll="0"/>
    <pivotField dataField="1" numFmtId="167" showAll="0"/>
    <pivotField showAll="0"/>
    <pivotField showAll="0"/>
    <pivotField showAll="0"/>
    <pivotField showAll="0"/>
    <pivotField numFmtId="14" showAll="0">
      <items count="7">
        <item x="2"/>
        <item x="0"/>
        <item x="5"/>
        <item x="4"/>
        <item x="1"/>
        <item x="3"/>
        <item t="default"/>
      </items>
    </pivotField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_sales_inr" fld="7" baseField="0" baseItem="0" numFmtId="16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B2F98-55DC-4C87-9886-8A9D1C682B97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19">
    <pivotField showAll="0"/>
    <pivotField numFmtId="165" showAll="0"/>
    <pivotField showAll="0"/>
    <pivotField showAll="0"/>
    <pivotField showAll="0"/>
    <pivotField numFmtId="167" showAll="0"/>
    <pivotField numFmtId="9" showAll="0"/>
    <pivotField dataField="1" numFmtId="167" showAll="0"/>
    <pivotField showAll="0"/>
    <pivotField showAll="0"/>
    <pivotField showAll="0"/>
    <pivotField showAll="0"/>
    <pivotField numFmtId="14" showAll="0">
      <items count="7">
        <item x="2"/>
        <item x="0"/>
        <item x="5"/>
        <item x="4"/>
        <item x="1"/>
        <item x="3"/>
        <item t="default"/>
      </items>
    </pivotField>
    <pivotField showAll="0"/>
    <pivotField showAll="0"/>
    <pivotField showAll="0"/>
    <pivotField axis="axisRow" showAll="0">
      <items count="13">
        <item x="1"/>
        <item x="5"/>
        <item x="2"/>
        <item x="8"/>
        <item x="3"/>
        <item x="7"/>
        <item x="6"/>
        <item x="11"/>
        <item x="10"/>
        <item x="0"/>
        <item x="9"/>
        <item x="4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sales_inr" fld="7" baseField="0" baseItem="0" numFmtId="167"/>
    <dataField name="Average of net_sales_inr2" fld="7" subtotal="average" baseField="16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7361F-3272-4E27-B529-513589908B82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9">
    <pivotField dataField="1" showAll="0"/>
    <pivotField numFmtId="165"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numFmtId="167" showAll="0"/>
    <pivotField numFmtId="9" showAll="0"/>
    <pivotField dataField="1" numFmtId="167" showAll="0"/>
    <pivotField showAll="0"/>
    <pivotField showAll="0"/>
    <pivotField showAll="0"/>
    <pivotField showAll="0"/>
    <pivotField numFmtId="14" showAll="0">
      <items count="7">
        <item x="2"/>
        <item x="0"/>
        <item x="5"/>
        <item x="4"/>
        <item x="1"/>
        <item x="3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0" subtotal="count" showDataAs="percentOfTotal" baseField="0" baseItem="0" numFmtId="10"/>
    <dataField name="Sum of net_sales_inr" fld="7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A3BDD-FB0D-4C85-8A4E-3B06B8BCA349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19">
    <pivotField dataField="1" showAll="0"/>
    <pivotField numFmtId="165" showAll="0"/>
    <pivotField showAll="0"/>
    <pivotField showAll="0"/>
    <pivotField showAll="0"/>
    <pivotField numFmtId="167" showAll="0"/>
    <pivotField axis="axisRow" numFmtId="9" showAll="0">
      <items count="7">
        <item x="1"/>
        <item x="5"/>
        <item x="3"/>
        <item x="0"/>
        <item x="4"/>
        <item x="2"/>
        <item t="default"/>
      </items>
    </pivotField>
    <pivotField dataField="1" numFmtId="167" showAll="0"/>
    <pivotField showAll="0"/>
    <pivotField showAll="0"/>
    <pivotField showAll="0"/>
    <pivotField showAll="0"/>
    <pivotField numFmtId="14" showAll="0">
      <items count="7">
        <item x="2"/>
        <item x="0"/>
        <item x="5"/>
        <item x="4"/>
        <item x="1"/>
        <item x="3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0" subtotal="count" baseField="0" baseItem="0"/>
    <dataField name="Average of net_sales_inr" fld="7" subtotal="average" baseField="6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A0D66-038A-4232-BCA9-1704F13856B6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19">
    <pivotField dataField="1" showAll="0"/>
    <pivotField numFmtId="165" showAll="0"/>
    <pivotField showAll="0"/>
    <pivotField showAll="0"/>
    <pivotField showAll="0"/>
    <pivotField numFmtId="167" showAll="0"/>
    <pivotField numFmtId="9" showAll="0"/>
    <pivotField dataField="1" numFmtId="167" showAll="0"/>
    <pivotField showAll="0"/>
    <pivotField showAll="0"/>
    <pivotField showAll="0"/>
    <pivotField showAll="0"/>
    <pivotField numFmtId="14" showAll="0">
      <items count="7">
        <item x="2"/>
        <item x="0"/>
        <item x="5"/>
        <item x="4"/>
        <item x="1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0" subtotal="count" baseField="0" baseItem="0"/>
    <dataField name="Sum of net_sales_inr" fld="7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CFEA6-29A1-4251-9574-76FE035D8813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5">
    <pivotField numFmtId="165" showAll="0"/>
    <pivotField axis="axisRow" showAll="0">
      <items count="5">
        <item x="2"/>
        <item x="0"/>
        <item x="3"/>
        <item x="1"/>
        <item t="default"/>
      </items>
    </pivotField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visitor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F19C98-89F3-4630-B896-CE0FCB93C897}" name="tblTransactions" displayName="tblTransactions" ref="A1:Q3201" totalsRowShown="0" headerRowDxfId="25" headerRowBorderDxfId="27" tableBorderDxfId="28">
  <autoFilter ref="A1:Q3201" xr:uid="{00000000-0009-0000-0000-000000000000}"/>
  <tableColumns count="17">
    <tableColumn id="1" xr3:uid="{F4CA8EF7-B21B-434E-A681-F59ECE35E2E7}" name="transaction_id"/>
    <tableColumn id="2" xr3:uid="{3EECE1BD-CDD6-4FD7-B616-20714C397308}" name="date" dataDxfId="26"/>
    <tableColumn id="3" xr3:uid="{01740B2B-713E-43B2-8EE5-DC092EEA8437}" name="hour"/>
    <tableColumn id="4" xr3:uid="{D245F20D-8E27-4546-A15E-8751DAEA46F3}" name="tenant_id"/>
    <tableColumn id="5" xr3:uid="{46E226B0-152C-4E57-9143-1008E73E056A}" name="payment_method"/>
    <tableColumn id="6" xr3:uid="{A0D51412-5C0F-4AEE-B663-42B4EA784D61}" name="gross_sales_inr" dataDxfId="14"/>
    <tableColumn id="7" xr3:uid="{6A44E85E-C222-44E0-8D03-1355CA4E5554}" name="discount_pct" dataCellStyle="Percent"/>
    <tableColumn id="8" xr3:uid="{848F0B96-0829-4321-A029-C457501798ED}" name="net_sales_inr" dataDxfId="13"/>
    <tableColumn id="9" xr3:uid="{8DC4EB78-0991-442A-9E71-716722A5E671}" name="items_count"/>
    <tableColumn id="10" xr3:uid="{8D3FC882-A3EB-41D0-9164-6F864691570B}" name="customer_type"/>
    <tableColumn id="11" xr3:uid="{9BB25FCD-2C5A-4F1C-8474-D146C5EDAAAB}" name="Recalc_Net_Sales" dataDxfId="10">
      <calculatedColumnFormula>ROUND(tblTransactions[[#This Row],[gross_sales_inr]]*(1-tblTransactions[[#This Row],[discount_pct]]),2)</calculatedColumnFormula>
    </tableColumn>
    <tableColumn id="12" xr3:uid="{D2AD2B60-F4B2-40CE-A653-94934778BE44}" name="Sales_Check" dataDxfId="9">
      <calculatedColumnFormula>IF(ABS(tblTransactions[[#This Row],[net_sales_inr]]-tblTransactions[[#This Row],[Recalc_Net_Sales]])&lt;0.02,"OK","CHECK")</calculatedColumnFormula>
    </tableColumn>
    <tableColumn id="13" xr3:uid="{54321233-3942-4D08-83B0-660F987113D9}" name="Month" dataDxfId="8">
      <calculatedColumnFormula>DATE(YEAR(tblTransactions[[#This Row],[date]]),MONTH(tblTransactions[[#This Row],[date]]),1)</calculatedColumnFormula>
    </tableColumn>
    <tableColumn id="14" xr3:uid="{B9ACCF7D-37D8-45B0-A989-7E639D48CC7E}" name="Day_Type" dataDxfId="7">
      <calculatedColumnFormula>IF(WEEKDAY(tblTransactions[[#This Row],[date]],2)&gt;5,"Weekend","Weekday")</calculatedColumnFormula>
    </tableColumn>
    <tableColumn id="16" xr3:uid="{52AF90CE-5390-4860-99C0-DE076D549404}" name="Discount_Band" dataDxfId="6">
      <calculatedColumnFormula>IF(tblTransactions[[#This Row],[discount_pct]]=0,"0%",IF(tblTransactions[[#This Row],[discount_pct]]&lt;=10%,"1–
10%",IF(tblTransactions[[#This Row],[discount_pct]]&lt;=20%,"11–20%","&gt;20%")))</calculatedColumnFormula>
    </tableColumn>
    <tableColumn id="17" xr3:uid="{5A5467F5-0E6B-4162-983A-0141D210675D}" name="zone" dataDxfId="1">
      <calculatedColumnFormula>_xlfn.XLOOKUP(tblTransactions[[#This Row],[tenant_id]],tblTenants[tenant_id],tblTenants[zone],"NOT FOUND")</calculatedColumnFormula>
    </tableColumn>
    <tableColumn id="18" xr3:uid="{80B44F7D-30DE-4532-8571-939A8B8E92DE}" name="category" dataDxfId="0">
      <calculatedColumnFormula>_xlfn.XLOOKUP(tblTransactions[[#This Row],[tenant_id]],tblTenants[tenant_id],tblTenants[category],"NOT FOUND")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F8D23D-0FE7-4EA8-A3D5-25E152CC4A29}" name="tblFootfall" displayName="tblFootfall" ref="A1:E721" totalsRowShown="0" headerRowDxfId="21" headerRowBorderDxfId="23" tableBorderDxfId="24">
  <autoFilter ref="A1:E721" xr:uid="{00000000-0009-0000-0000-000001000000}"/>
  <tableColumns count="5">
    <tableColumn id="1" xr3:uid="{B2CE8CA5-08B0-4D92-82EF-6C6B157EE23B}" name="date" dataDxfId="22"/>
    <tableColumn id="2" xr3:uid="{14FE3229-3B9B-417D-8949-019154F78090}" name="entrance"/>
    <tableColumn id="3" xr3:uid="{B935519A-D1DD-43C3-B074-2A5526923E7E}" name="visitors"/>
    <tableColumn id="4" xr3:uid="{1C39C906-EE76-4A5B-AB94-D80F112FDDFD}" name="weather"/>
    <tableColumn id="5" xr3:uid="{6FE398AA-F30A-4091-998B-D17058528BEC}" name="campaign_da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F52FD6-8605-4FAC-AEF7-8BB2BA46CCBB}" name="tblTenants" displayName="tblTenants" ref="A1:G31" totalsRowShown="0" headerRowDxfId="18" headerRowBorderDxfId="19" tableBorderDxfId="20">
  <autoFilter ref="A1:G31" xr:uid="{00000000-0009-0000-0000-000002000000}"/>
  <tableColumns count="7">
    <tableColumn id="1" xr3:uid="{427D914A-C850-444D-8F4E-18FA02B0FF5B}" name="tenant_id"/>
    <tableColumn id="2" xr3:uid="{2C8408FC-737C-4335-8892-0755A5B005A0}" name="tenant_name"/>
    <tableColumn id="3" xr3:uid="{B3738940-6F40-4562-8178-4E7D3DF09433}" name="zone"/>
    <tableColumn id="4" xr3:uid="{8D2AA32A-85BC-42F4-94C2-FC5DBCDB8612}" name="category"/>
    <tableColumn id="5" xr3:uid="{58DCB6A9-3498-4A7E-809C-AF23DD9EDE80}" name="store_size_sqft"/>
    <tableColumn id="6" xr3:uid="{0E57D50B-2FD7-4FD0-AD8B-4F7E1F09050E}" name="monthly_rent_inr" dataDxfId="12"/>
    <tableColumn id="7" xr3:uid="{31D25648-4E54-46F6-A9F7-4E285A19339F}" name="Rent_per_sqft" dataDxfId="5">
      <calculatedColumnFormula>tblTenants[[#This Row],[monthly_rent_inr]]/tblTenants[[#This Row],[store_size_sqft]]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D8A1BB-3659-4C26-9D3D-3AD40A95F30C}" name="tblCampaigns" displayName="tblCampaigns" ref="A1:F5" totalsRowShown="0" headerRowDxfId="15" headerRowBorderDxfId="16" tableBorderDxfId="17">
  <autoFilter ref="A1:F5" xr:uid="{00000000-0009-0000-0000-000003000000}"/>
  <tableColumns count="6">
    <tableColumn id="1" xr3:uid="{0D4F7E58-764D-46AD-A24A-9DCC94538D54}" name="campaign_id"/>
    <tableColumn id="2" xr3:uid="{4662A993-F87B-42FF-9910-F15B046B2BA3}" name="campaign_name"/>
    <tableColumn id="3" xr3:uid="{3C724BEB-43E2-4E18-8256-8A33C67169E8}" name="start_date"/>
    <tableColumn id="4" xr3:uid="{68AC1A4A-1A03-4384-BF3D-08E7AE2D9FF0}" name="end_date"/>
    <tableColumn id="5" xr3:uid="{6E9A6E24-5EFE-43FE-9E49-C76BC86B2C8A}" name="campaign_type"/>
    <tableColumn id="6" xr3:uid="{9BD69676-F630-4B60-B2EB-FA965765435D}" name="budget_inr" dataDxfId="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8C17-CA87-4CEF-A55D-CD697C85E77E}">
  <dimension ref="A3:C10"/>
  <sheetViews>
    <sheetView workbookViewId="0">
      <selection activeCell="F24" sqref="F24"/>
    </sheetView>
  </sheetViews>
  <sheetFormatPr defaultRowHeight="14.4"/>
  <cols>
    <col min="1" max="1" width="12.5546875" bestFit="1" customWidth="1"/>
    <col min="2" max="2" width="13.21875" bestFit="1" customWidth="1"/>
    <col min="3" max="3" width="21" bestFit="1" customWidth="1"/>
  </cols>
  <sheetData>
    <row r="3" spans="1:3">
      <c r="A3" s="15" t="s">
        <v>3357</v>
      </c>
      <c r="B3" t="s">
        <v>3367</v>
      </c>
      <c r="C3" t="s">
        <v>3366</v>
      </c>
    </row>
    <row r="4" spans="1:3">
      <c r="A4" s="16" t="s">
        <v>3359</v>
      </c>
      <c r="B4" s="7">
        <v>667040.09</v>
      </c>
      <c r="C4" s="13">
        <v>574</v>
      </c>
    </row>
    <row r="5" spans="1:3">
      <c r="A5" s="16" t="s">
        <v>3360</v>
      </c>
      <c r="B5" s="7">
        <v>570934.10999999964</v>
      </c>
      <c r="C5" s="13">
        <v>493</v>
      </c>
    </row>
    <row r="6" spans="1:3">
      <c r="A6" s="16" t="s">
        <v>3361</v>
      </c>
      <c r="B6" s="7">
        <v>628240.27</v>
      </c>
      <c r="C6" s="13">
        <v>539</v>
      </c>
    </row>
    <row r="7" spans="1:3">
      <c r="A7" s="16" t="s">
        <v>3362</v>
      </c>
      <c r="B7" s="7">
        <v>585584.2699999999</v>
      </c>
      <c r="C7" s="13">
        <v>520</v>
      </c>
    </row>
    <row r="8" spans="1:3">
      <c r="A8" s="16" t="s">
        <v>3363</v>
      </c>
      <c r="B8" s="7">
        <v>632080.69000000041</v>
      </c>
      <c r="C8" s="13">
        <v>570</v>
      </c>
    </row>
    <row r="9" spans="1:3">
      <c r="A9" s="16" t="s">
        <v>3364</v>
      </c>
      <c r="B9" s="7">
        <v>585439.12000000046</v>
      </c>
      <c r="C9" s="13">
        <v>504</v>
      </c>
    </row>
    <row r="10" spans="1:3">
      <c r="A10" s="16" t="s">
        <v>3358</v>
      </c>
      <c r="B10" s="7">
        <v>3669318.5500000026</v>
      </c>
      <c r="C10" s="13">
        <v>3200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96090-5FD8-476B-8A25-45C66B0C0392}">
  <dimension ref="A3:B9"/>
  <sheetViews>
    <sheetView workbookViewId="0">
      <selection activeCell="B7" sqref="B7"/>
    </sheetView>
  </sheetViews>
  <sheetFormatPr defaultRowHeight="14.4"/>
  <cols>
    <col min="1" max="1" width="16.21875" bestFit="1" customWidth="1"/>
    <col min="2" max="2" width="18.6640625" bestFit="1" customWidth="1"/>
    <col min="3" max="3" width="21" bestFit="1" customWidth="1"/>
  </cols>
  <sheetData>
    <row r="3" spans="1:2">
      <c r="A3" s="15" t="s">
        <v>3357</v>
      </c>
      <c r="B3" t="s">
        <v>3365</v>
      </c>
    </row>
    <row r="4" spans="1:2">
      <c r="A4" s="16" t="s">
        <v>3277</v>
      </c>
      <c r="B4" s="7">
        <v>733204.76000000036</v>
      </c>
    </row>
    <row r="5" spans="1:2">
      <c r="A5" s="16" t="s">
        <v>3271</v>
      </c>
      <c r="B5" s="7">
        <v>699049.26999999967</v>
      </c>
    </row>
    <row r="6" spans="1:2">
      <c r="A6" s="16" t="s">
        <v>3265</v>
      </c>
      <c r="B6" s="7">
        <v>758427.39000000048</v>
      </c>
    </row>
    <row r="7" spans="1:2">
      <c r="A7" s="16" t="s">
        <v>3268</v>
      </c>
      <c r="B7" s="7">
        <v>791562.05999999889</v>
      </c>
    </row>
    <row r="8" spans="1:2">
      <c r="A8" s="16" t="s">
        <v>3274</v>
      </c>
      <c r="B8" s="7">
        <v>687075.0700000003</v>
      </c>
    </row>
    <row r="9" spans="1:2">
      <c r="A9" s="16" t="s">
        <v>3358</v>
      </c>
      <c r="B9" s="7">
        <v>3669318.55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A2D7-82A8-4AE6-BEE7-E0A501E711B7}">
  <dimension ref="A3:C16"/>
  <sheetViews>
    <sheetView workbookViewId="0">
      <selection activeCell="D13" sqref="D13"/>
    </sheetView>
  </sheetViews>
  <sheetFormatPr defaultRowHeight="14.4"/>
  <cols>
    <col min="1" max="1" width="18.5546875" bestFit="1" customWidth="1"/>
    <col min="2" max="2" width="18.6640625" bestFit="1" customWidth="1"/>
    <col min="3" max="3" width="22.88671875" bestFit="1" customWidth="1"/>
  </cols>
  <sheetData>
    <row r="3" spans="1:3">
      <c r="A3" s="15" t="s">
        <v>3357</v>
      </c>
      <c r="B3" t="s">
        <v>3365</v>
      </c>
      <c r="C3" t="s">
        <v>3368</v>
      </c>
    </row>
    <row r="4" spans="1:3">
      <c r="A4" s="16" t="s">
        <v>3280</v>
      </c>
      <c r="B4" s="7">
        <v>339564.7200000002</v>
      </c>
      <c r="C4" s="7">
        <v>1091.847974276528</v>
      </c>
    </row>
    <row r="5" spans="1:3">
      <c r="A5" s="16" t="s">
        <v>3284</v>
      </c>
      <c r="B5" s="7">
        <v>230813.96999999994</v>
      </c>
      <c r="C5" s="7">
        <v>1083.6336619718306</v>
      </c>
    </row>
    <row r="6" spans="1:3">
      <c r="A6" s="16" t="s">
        <v>3300</v>
      </c>
      <c r="B6" s="7">
        <v>400054.41000000021</v>
      </c>
      <c r="C6" s="7">
        <v>1201.3645945945952</v>
      </c>
    </row>
    <row r="7" spans="1:3">
      <c r="A7" s="16" t="s">
        <v>3282</v>
      </c>
      <c r="B7" s="7">
        <v>409742.91999999993</v>
      </c>
      <c r="C7" s="7">
        <v>1194.5857725947519</v>
      </c>
    </row>
    <row r="8" spans="1:3">
      <c r="A8" s="16" t="s">
        <v>3272</v>
      </c>
      <c r="B8" s="7">
        <v>211126.84999999995</v>
      </c>
      <c r="C8" s="7">
        <v>1123.0151595744678</v>
      </c>
    </row>
    <row r="9" spans="1:3">
      <c r="A9" s="16" t="s">
        <v>3266</v>
      </c>
      <c r="B9" s="7">
        <v>145184.74</v>
      </c>
      <c r="C9" s="7">
        <v>1199.8738842975206</v>
      </c>
    </row>
    <row r="10" spans="1:3">
      <c r="A10" s="16" t="s">
        <v>3286</v>
      </c>
      <c r="B10" s="7">
        <v>345271.25000000012</v>
      </c>
      <c r="C10" s="7">
        <v>1135.760690789474</v>
      </c>
    </row>
    <row r="11" spans="1:3">
      <c r="A11" s="16" t="s">
        <v>3292</v>
      </c>
      <c r="B11" s="7">
        <v>257108.45000000004</v>
      </c>
      <c r="C11" s="7">
        <v>1113.0235930735932</v>
      </c>
    </row>
    <row r="12" spans="1:3">
      <c r="A12" s="16" t="s">
        <v>3289</v>
      </c>
      <c r="B12" s="7">
        <v>273677.93000000005</v>
      </c>
      <c r="C12" s="7">
        <v>1195.1001310043671</v>
      </c>
    </row>
    <row r="13" spans="1:3">
      <c r="A13" s="16" t="s">
        <v>3275</v>
      </c>
      <c r="B13" s="7">
        <v>341803.82</v>
      </c>
      <c r="C13" s="7">
        <v>1154.7426351351351</v>
      </c>
    </row>
    <row r="14" spans="1:3">
      <c r="A14" s="16" t="s">
        <v>3269</v>
      </c>
      <c r="B14" s="7">
        <v>381819.13999999996</v>
      </c>
      <c r="C14" s="7">
        <v>1171.2243558282207</v>
      </c>
    </row>
    <row r="15" spans="1:3">
      <c r="A15" s="16" t="s">
        <v>3278</v>
      </c>
      <c r="B15" s="7">
        <v>333150.35000000015</v>
      </c>
      <c r="C15" s="7">
        <v>1092.2962295081973</v>
      </c>
    </row>
    <row r="16" spans="1:3">
      <c r="A16" s="16" t="s">
        <v>3358</v>
      </c>
      <c r="B16" s="7">
        <v>3669318.550000004</v>
      </c>
      <c r="C16" s="7">
        <v>1146.6620468750014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2A8E-0DE8-484D-B482-89AC2BA2F0EB}">
  <dimension ref="A3:C8"/>
  <sheetViews>
    <sheetView workbookViewId="0">
      <selection activeCell="A8" sqref="A8"/>
    </sheetView>
  </sheetViews>
  <sheetFormatPr defaultRowHeight="14.4"/>
  <cols>
    <col min="1" max="1" width="12.5546875" bestFit="1" customWidth="1"/>
    <col min="2" max="2" width="21" bestFit="1" customWidth="1"/>
    <col min="3" max="3" width="18.6640625" bestFit="1" customWidth="1"/>
  </cols>
  <sheetData>
    <row r="3" spans="1:3">
      <c r="A3" s="15" t="s">
        <v>3357</v>
      </c>
      <c r="B3" t="s">
        <v>3366</v>
      </c>
      <c r="C3" t="s">
        <v>3365</v>
      </c>
    </row>
    <row r="4" spans="1:3">
      <c r="A4" s="16" t="s">
        <v>32</v>
      </c>
      <c r="B4" s="8">
        <v>0.31656250000000002</v>
      </c>
      <c r="C4" s="7">
        <v>1153322.7399999988</v>
      </c>
    </row>
    <row r="5" spans="1:3">
      <c r="A5" s="16" t="s">
        <v>21</v>
      </c>
      <c r="B5" s="8">
        <v>0.12</v>
      </c>
      <c r="C5" s="7">
        <v>427957.63999999966</v>
      </c>
    </row>
    <row r="6" spans="1:3">
      <c r="A6" s="16" t="s">
        <v>12</v>
      </c>
      <c r="B6" s="8">
        <v>0.48625000000000002</v>
      </c>
      <c r="C6" s="7">
        <v>1812869.5300000021</v>
      </c>
    </row>
    <row r="7" spans="1:3">
      <c r="A7" s="16" t="s">
        <v>51</v>
      </c>
      <c r="B7" s="8">
        <v>7.7187500000000006E-2</v>
      </c>
      <c r="C7" s="7">
        <v>275168.6399999999</v>
      </c>
    </row>
    <row r="8" spans="1:3">
      <c r="A8" s="16" t="s">
        <v>3358</v>
      </c>
      <c r="B8" s="8">
        <v>1</v>
      </c>
      <c r="C8" s="7">
        <v>3669318.5499999993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75C6E-BF74-4D77-9B6A-FC0B15CEB8EC}">
  <dimension ref="A3:C10"/>
  <sheetViews>
    <sheetView workbookViewId="0">
      <selection activeCell="D22" sqref="D22"/>
    </sheetView>
  </sheetViews>
  <sheetFormatPr defaultRowHeight="14.4"/>
  <cols>
    <col min="1" max="1" width="12.5546875" bestFit="1" customWidth="1"/>
    <col min="2" max="2" width="21" bestFit="1" customWidth="1"/>
    <col min="3" max="3" width="21.88671875" bestFit="1" customWidth="1"/>
  </cols>
  <sheetData>
    <row r="3" spans="1:3">
      <c r="A3" s="15" t="s">
        <v>3357</v>
      </c>
      <c r="B3" t="s">
        <v>3366</v>
      </c>
      <c r="C3" t="s">
        <v>3369</v>
      </c>
    </row>
    <row r="4" spans="1:3">
      <c r="A4" s="17">
        <v>0</v>
      </c>
      <c r="B4" s="13">
        <v>1494</v>
      </c>
      <c r="C4" s="7">
        <v>1226.1025167336027</v>
      </c>
    </row>
    <row r="5" spans="1:3">
      <c r="A5" s="17">
        <v>0.05</v>
      </c>
      <c r="B5" s="13">
        <v>307</v>
      </c>
      <c r="C5" s="7">
        <v>1202.1872638436487</v>
      </c>
    </row>
    <row r="6" spans="1:3">
      <c r="A6" s="17">
        <v>0.1</v>
      </c>
      <c r="B6" s="13">
        <v>549</v>
      </c>
      <c r="C6" s="7">
        <v>1157.3864116575592</v>
      </c>
    </row>
    <row r="7" spans="1:3">
      <c r="A7" s="17">
        <v>0.15</v>
      </c>
      <c r="B7" s="13">
        <v>380</v>
      </c>
      <c r="C7" s="7">
        <v>1048.7034210526315</v>
      </c>
    </row>
    <row r="8" spans="1:3">
      <c r="A8" s="17">
        <v>0.2</v>
      </c>
      <c r="B8" s="13">
        <v>321</v>
      </c>
      <c r="C8" s="7">
        <v>978.81370716510958</v>
      </c>
    </row>
    <row r="9" spans="1:3">
      <c r="A9" s="17">
        <v>0.3</v>
      </c>
      <c r="B9" s="13">
        <v>149</v>
      </c>
      <c r="C9" s="7">
        <v>807.63932885906081</v>
      </c>
    </row>
    <row r="10" spans="1:3">
      <c r="A10" s="17" t="s">
        <v>3358</v>
      </c>
      <c r="B10" s="13">
        <v>3200</v>
      </c>
      <c r="C10" s="7">
        <v>1146.6620468750004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5E0D-85B3-462F-BB46-2AD0405A883E}">
  <dimension ref="A3:C6"/>
  <sheetViews>
    <sheetView tabSelected="1" workbookViewId="0">
      <selection activeCell="E8" sqref="E8"/>
    </sheetView>
  </sheetViews>
  <sheetFormatPr defaultRowHeight="14.4"/>
  <cols>
    <col min="1" max="1" width="12.5546875" bestFit="1" customWidth="1"/>
    <col min="2" max="2" width="21" bestFit="1" customWidth="1"/>
    <col min="3" max="3" width="18.6640625" bestFit="1" customWidth="1"/>
  </cols>
  <sheetData>
    <row r="3" spans="1:3">
      <c r="A3" s="15" t="s">
        <v>3357</v>
      </c>
      <c r="B3" t="s">
        <v>3366</v>
      </c>
      <c r="C3" t="s">
        <v>3365</v>
      </c>
    </row>
    <row r="4" spans="1:3">
      <c r="A4" s="16" t="s">
        <v>3381</v>
      </c>
      <c r="B4" s="13">
        <v>2296</v>
      </c>
      <c r="C4" s="7">
        <v>2515983.2200000011</v>
      </c>
    </row>
    <row r="5" spans="1:3">
      <c r="A5" s="16" t="s">
        <v>3382</v>
      </c>
      <c r="B5" s="13">
        <v>904</v>
      </c>
      <c r="C5" s="7">
        <v>1153335.3300000003</v>
      </c>
    </row>
    <row r="6" spans="1:3">
      <c r="A6" s="16" t="s">
        <v>3358</v>
      </c>
      <c r="B6" s="13">
        <v>3200</v>
      </c>
      <c r="C6" s="7">
        <v>3669318.5500000031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01"/>
  <sheetViews>
    <sheetView workbookViewId="0">
      <pane ySplit="1" topLeftCell="A2" activePane="bottomLeft" state="frozen"/>
      <selection pane="bottomLeft" activeCell="C16" sqref="C16"/>
    </sheetView>
  </sheetViews>
  <sheetFormatPr defaultRowHeight="14.4"/>
  <cols>
    <col min="1" max="1" width="16" customWidth="1"/>
    <col min="2" max="2" width="21" customWidth="1"/>
    <col min="3" max="4" width="12" customWidth="1"/>
    <col min="5" max="5" width="18.109375" customWidth="1"/>
    <col min="6" max="6" width="17" style="7" customWidth="1"/>
    <col min="7" max="7" width="14" style="10" customWidth="1"/>
    <col min="8" max="8" width="15" style="7" customWidth="1"/>
    <col min="9" max="9" width="13.33203125" customWidth="1"/>
    <col min="10" max="10" width="15.5546875" customWidth="1"/>
    <col min="11" max="11" width="18.21875" style="13" customWidth="1"/>
    <col min="12" max="12" width="13.6640625" customWidth="1"/>
    <col min="13" max="13" width="11.33203125" customWidth="1"/>
    <col min="14" max="14" width="10.33203125" customWidth="1"/>
    <col min="15" max="15" width="15.109375" customWidth="1"/>
    <col min="16" max="16" width="17.6640625" customWidth="1"/>
    <col min="17" max="17" width="13.5546875" customWidth="1"/>
  </cols>
  <sheetData>
    <row r="1" spans="1:17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9" t="s">
        <v>6</v>
      </c>
      <c r="H1" s="5" t="s">
        <v>7</v>
      </c>
      <c r="I1" s="18" t="s">
        <v>8</v>
      </c>
      <c r="J1" s="3" t="s">
        <v>9</v>
      </c>
      <c r="K1" s="12" t="s">
        <v>3351</v>
      </c>
      <c r="L1" s="11" t="s">
        <v>3352</v>
      </c>
      <c r="M1" s="11" t="s">
        <v>3353</v>
      </c>
      <c r="N1" s="11" t="s">
        <v>3354</v>
      </c>
      <c r="O1" s="11" t="s">
        <v>3355</v>
      </c>
      <c r="P1" s="11" t="s">
        <v>3260</v>
      </c>
      <c r="Q1" s="11" t="s">
        <v>3261</v>
      </c>
    </row>
    <row r="2" spans="1:17">
      <c r="A2" t="s">
        <v>10</v>
      </c>
      <c r="B2" s="2">
        <v>45702</v>
      </c>
      <c r="C2">
        <v>12</v>
      </c>
      <c r="D2" t="s">
        <v>11</v>
      </c>
      <c r="E2" t="s">
        <v>12</v>
      </c>
      <c r="F2" s="7">
        <v>1074.6600000000001</v>
      </c>
      <c r="G2" s="10">
        <v>0.15</v>
      </c>
      <c r="H2" s="7">
        <v>913.46</v>
      </c>
      <c r="I2">
        <v>2</v>
      </c>
      <c r="J2" t="s">
        <v>13</v>
      </c>
      <c r="K2" s="13">
        <f>ROUND(tblTransactions[[#This Row],[gross_sales_inr]]*(1-tblTransactions[[#This Row],[discount_pct]]),2)</f>
        <v>913.46</v>
      </c>
      <c r="L2" t="str">
        <f>IF(ABS(tblTransactions[[#This Row],[net_sales_inr]]-tblTransactions[[#This Row],[Recalc_Net_Sales]])&lt;0.02,"OK","CHECK")</f>
        <v>OK</v>
      </c>
      <c r="M2" s="14">
        <f>DATE(YEAR(tblTransactions[[#This Row],[date]]),MONTH(tblTransactions[[#This Row],[date]]),1)</f>
        <v>45689</v>
      </c>
      <c r="N2" t="str">
        <f>IF(WEEKDAY(tblTransactions[[#This Row],[date]],2)&gt;5,"Weekend","Weekday")</f>
        <v>Weekday</v>
      </c>
      <c r="O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" t="str">
        <f>_xlfn.XLOOKUP(tblTransactions[[#This Row],[tenant_id]],tblTenants[tenant_id],tblTenants[zone],"NOT FOUND")</f>
        <v>Home &amp; Living</v>
      </c>
      <c r="Q2" s="13" t="str">
        <f>_xlfn.XLOOKUP(tblTransactions[[#This Row],[tenant_id]],tblTenants[tenant_id],tblTenants[category],"NOT FOUND")</f>
        <v>Home Decor</v>
      </c>
    </row>
    <row r="3" spans="1:17">
      <c r="A3" t="s">
        <v>14</v>
      </c>
      <c r="B3" s="2">
        <v>45786</v>
      </c>
      <c r="C3">
        <v>13</v>
      </c>
      <c r="D3" t="s">
        <v>15</v>
      </c>
      <c r="E3" t="s">
        <v>12</v>
      </c>
      <c r="F3" s="7">
        <v>793.8</v>
      </c>
      <c r="G3" s="10">
        <v>0</v>
      </c>
      <c r="H3" s="7">
        <v>793.8</v>
      </c>
      <c r="I3">
        <v>2</v>
      </c>
      <c r="J3" t="s">
        <v>16</v>
      </c>
      <c r="K3" s="13">
        <f>ROUND(tblTransactions[[#This Row],[gross_sales_inr]]*(1-tblTransactions[[#This Row],[discount_pct]]),2)</f>
        <v>793.8</v>
      </c>
      <c r="L3" t="str">
        <f>IF(ABS(tblTransactions[[#This Row],[net_sales_inr]]-tblTransactions[[#This Row],[Recalc_Net_Sales]])&lt;0.02,"OK","CHECK")</f>
        <v>OK</v>
      </c>
      <c r="M3" s="14">
        <f>DATE(YEAR(tblTransactions[[#This Row],[date]]),MONTH(tblTransactions[[#This Row],[date]]),1)</f>
        <v>45778</v>
      </c>
      <c r="N3" t="str">
        <f>IF(WEEKDAY(tblTransactions[[#This Row],[date]],2)&gt;5,"Weekend","Weekday")</f>
        <v>Weekday</v>
      </c>
      <c r="O3" s="13" t="str">
        <f>IF(tblTransactions[[#This Row],[discount_pct]]=0,"0%",IF(tblTransactions[[#This Row],[discount_pct]]&lt;=10%,"1–
10%",IF(tblTransactions[[#This Row],[discount_pct]]&lt;=20%,"11–20%","&gt;20%")))</f>
        <v>0%</v>
      </c>
      <c r="P3" s="13" t="str">
        <f>_xlfn.XLOOKUP(tblTransactions[[#This Row],[tenant_id]],tblTenants[tenant_id],tblTenants[zone],"NOT FOUND")</f>
        <v>Fashion Avenue</v>
      </c>
      <c r="Q3" s="13" t="str">
        <f>_xlfn.XLOOKUP(tblTransactions[[#This Row],[tenant_id]],tblTenants[tenant_id],tblTenants[category],"NOT FOUND")</f>
        <v>Accessories</v>
      </c>
    </row>
    <row r="4" spans="1:17">
      <c r="A4" t="s">
        <v>17</v>
      </c>
      <c r="B4" s="2">
        <v>45683</v>
      </c>
      <c r="C4">
        <v>17</v>
      </c>
      <c r="D4" t="s">
        <v>18</v>
      </c>
      <c r="E4" t="s">
        <v>12</v>
      </c>
      <c r="F4" s="7">
        <v>764.73</v>
      </c>
      <c r="G4" s="10">
        <v>0</v>
      </c>
      <c r="H4" s="7">
        <v>764.73</v>
      </c>
      <c r="I4">
        <v>5</v>
      </c>
      <c r="J4" t="s">
        <v>13</v>
      </c>
      <c r="K4" s="13">
        <f>ROUND(tblTransactions[[#This Row],[gross_sales_inr]]*(1-tblTransactions[[#This Row],[discount_pct]]),2)</f>
        <v>764.73</v>
      </c>
      <c r="L4" t="str">
        <f>IF(ABS(tblTransactions[[#This Row],[net_sales_inr]]-tblTransactions[[#This Row],[Recalc_Net_Sales]])&lt;0.02,"OK","CHECK")</f>
        <v>OK</v>
      </c>
      <c r="M4" s="14">
        <f>DATE(YEAR(tblTransactions[[#This Row],[date]]),MONTH(tblTransactions[[#This Row],[date]]),1)</f>
        <v>45658</v>
      </c>
      <c r="N4" t="str">
        <f>IF(WEEKDAY(tblTransactions[[#This Row],[date]],2)&gt;5,"Weekend","Weekday")</f>
        <v>Weekend</v>
      </c>
      <c r="O4" s="13" t="str">
        <f>IF(tblTransactions[[#This Row],[discount_pct]]=0,"0%",IF(tblTransactions[[#This Row],[discount_pct]]&lt;=10%,"1–
10%",IF(tblTransactions[[#This Row],[discount_pct]]&lt;=20%,"11–20%","&gt;20%")))</f>
        <v>0%</v>
      </c>
      <c r="P4" s="13" t="str">
        <f>_xlfn.XLOOKUP(tblTransactions[[#This Row],[tenant_id]],tblTenants[tenant_id],tblTenants[zone],"NOT FOUND")</f>
        <v>Beauty &amp; Wellness</v>
      </c>
      <c r="Q4" s="13" t="str">
        <f>_xlfn.XLOOKUP(tblTransactions[[#This Row],[tenant_id]],tblTenants[tenant_id],tblTenants[category],"NOT FOUND")</f>
        <v>Beauty</v>
      </c>
    </row>
    <row r="5" spans="1:17">
      <c r="A5" t="s">
        <v>19</v>
      </c>
      <c r="B5" s="2">
        <v>45825</v>
      </c>
      <c r="C5">
        <v>10</v>
      </c>
      <c r="D5" t="s">
        <v>20</v>
      </c>
      <c r="E5" t="s">
        <v>21</v>
      </c>
      <c r="F5" s="7">
        <v>1038.74</v>
      </c>
      <c r="G5" s="10">
        <v>0.3</v>
      </c>
      <c r="H5" s="7">
        <v>727.12</v>
      </c>
      <c r="I5">
        <v>6</v>
      </c>
      <c r="J5" t="s">
        <v>13</v>
      </c>
      <c r="K5" s="13">
        <f>ROUND(tblTransactions[[#This Row],[gross_sales_inr]]*(1-tblTransactions[[#This Row],[discount_pct]]),2)</f>
        <v>727.12</v>
      </c>
      <c r="L5" t="str">
        <f>IF(ABS(tblTransactions[[#This Row],[net_sales_inr]]-tblTransactions[[#This Row],[Recalc_Net_Sales]])&lt;0.02,"OK","CHECK")</f>
        <v>OK</v>
      </c>
      <c r="M5" s="14">
        <f>DATE(YEAR(tblTransactions[[#This Row],[date]]),MONTH(tblTransactions[[#This Row],[date]]),1)</f>
        <v>45809</v>
      </c>
      <c r="N5" t="str">
        <f>IF(WEEKDAY(tblTransactions[[#This Row],[date]],2)&gt;5,"Weekend","Weekday")</f>
        <v>Weekday</v>
      </c>
      <c r="O5" s="13" t="str">
        <f>IF(tblTransactions[[#This Row],[discount_pct]]=0,"0%",IF(tblTransactions[[#This Row],[discount_pct]]&lt;=10%,"1–
10%",IF(tblTransactions[[#This Row],[discount_pct]]&lt;=20%,"11–20%","&gt;20%")))</f>
        <v>&gt;20%</v>
      </c>
      <c r="P5" s="13" t="str">
        <f>_xlfn.XLOOKUP(tblTransactions[[#This Row],[tenant_id]],tblTenants[tenant_id],tblTenants[zone],"NOT FOUND")</f>
        <v>Fashion Avenue</v>
      </c>
      <c r="Q5" s="13" t="str">
        <f>_xlfn.XLOOKUP(tblTransactions[[#This Row],[tenant_id]],tblTenants[tenant_id],tblTenants[category],"NOT FOUND")</f>
        <v>Accessories</v>
      </c>
    </row>
    <row r="6" spans="1:17">
      <c r="A6" t="s">
        <v>22</v>
      </c>
      <c r="B6" s="2">
        <v>45800</v>
      </c>
      <c r="C6">
        <v>22</v>
      </c>
      <c r="D6" t="s">
        <v>23</v>
      </c>
      <c r="E6" t="s">
        <v>12</v>
      </c>
      <c r="F6" s="7">
        <v>141.72</v>
      </c>
      <c r="G6" s="10">
        <v>0.1</v>
      </c>
      <c r="H6" s="7">
        <v>127.55</v>
      </c>
      <c r="I6">
        <v>2</v>
      </c>
      <c r="J6" t="s">
        <v>16</v>
      </c>
      <c r="K6" s="13">
        <f>ROUND(tblTransactions[[#This Row],[gross_sales_inr]]*(1-tblTransactions[[#This Row],[discount_pct]]),2)</f>
        <v>127.55</v>
      </c>
      <c r="L6" t="str">
        <f>IF(ABS(tblTransactions[[#This Row],[net_sales_inr]]-tblTransactions[[#This Row],[Recalc_Net_Sales]])&lt;0.02,"OK","CHECK")</f>
        <v>OK</v>
      </c>
      <c r="M6" s="14">
        <f>DATE(YEAR(tblTransactions[[#This Row],[date]]),MONTH(tblTransactions[[#This Row],[date]]),1)</f>
        <v>45778</v>
      </c>
      <c r="N6" t="str">
        <f>IF(WEEKDAY(tblTransactions[[#This Row],[date]],2)&gt;5,"Weekend","Weekday")</f>
        <v>Weekday</v>
      </c>
      <c r="O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" s="13" t="str">
        <f>_xlfn.XLOOKUP(tblTransactions[[#This Row],[tenant_id]],tblTenants[tenant_id],tblTenants[zone],"NOT FOUND")</f>
        <v>Entertainment</v>
      </c>
      <c r="Q6" s="13" t="str">
        <f>_xlfn.XLOOKUP(tblTransactions[[#This Row],[tenant_id]],tblTenants[tenant_id],tblTenants[category],"NOT FOUND")</f>
        <v>Cinema</v>
      </c>
    </row>
    <row r="7" spans="1:17">
      <c r="A7" t="s">
        <v>24</v>
      </c>
      <c r="B7" s="2">
        <v>45768</v>
      </c>
      <c r="C7">
        <v>19</v>
      </c>
      <c r="D7" t="s">
        <v>25</v>
      </c>
      <c r="E7" t="s">
        <v>21</v>
      </c>
      <c r="F7" s="7">
        <v>463.62</v>
      </c>
      <c r="G7" s="10">
        <v>0.1</v>
      </c>
      <c r="H7" s="7">
        <v>417.26</v>
      </c>
      <c r="I7">
        <v>2</v>
      </c>
      <c r="J7" t="s">
        <v>13</v>
      </c>
      <c r="K7" s="13">
        <f>ROUND(tblTransactions[[#This Row],[gross_sales_inr]]*(1-tblTransactions[[#This Row],[discount_pct]]),2)</f>
        <v>417.26</v>
      </c>
      <c r="L7" t="str">
        <f>IF(ABS(tblTransactions[[#This Row],[net_sales_inr]]-tblTransactions[[#This Row],[Recalc_Net_Sales]])&lt;0.02,"OK","CHECK")</f>
        <v>OK</v>
      </c>
      <c r="M7" s="14">
        <f>DATE(YEAR(tblTransactions[[#This Row],[date]]),MONTH(tblTransactions[[#This Row],[date]]),1)</f>
        <v>45748</v>
      </c>
      <c r="N7" t="str">
        <f>IF(WEEKDAY(tblTransactions[[#This Row],[date]],2)&gt;5,"Weekend","Weekday")</f>
        <v>Weekday</v>
      </c>
      <c r="O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" s="13" t="str">
        <f>_xlfn.XLOOKUP(tblTransactions[[#This Row],[tenant_id]],tblTenants[tenant_id],tblTenants[zone],"NOT FOUND")</f>
        <v>Beauty &amp; Wellness</v>
      </c>
      <c r="Q7" s="13" t="str">
        <f>_xlfn.XLOOKUP(tblTransactions[[#This Row],[tenant_id]],tblTenants[tenant_id],tblTenants[category],"NOT FOUND")</f>
        <v>Beauty</v>
      </c>
    </row>
    <row r="8" spans="1:17">
      <c r="A8" t="s">
        <v>26</v>
      </c>
      <c r="B8" s="2">
        <v>45756</v>
      </c>
      <c r="C8">
        <v>10</v>
      </c>
      <c r="D8" t="s">
        <v>27</v>
      </c>
      <c r="E8" t="s">
        <v>12</v>
      </c>
      <c r="F8" s="7">
        <v>646.11</v>
      </c>
      <c r="G8" s="10">
        <v>0.15</v>
      </c>
      <c r="H8" s="7">
        <v>549.19000000000005</v>
      </c>
      <c r="I8">
        <v>1</v>
      </c>
      <c r="J8" t="s">
        <v>13</v>
      </c>
      <c r="K8" s="13">
        <f>ROUND(tblTransactions[[#This Row],[gross_sales_inr]]*(1-tblTransactions[[#This Row],[discount_pct]]),2)</f>
        <v>549.19000000000005</v>
      </c>
      <c r="L8" t="str">
        <f>IF(ABS(tblTransactions[[#This Row],[net_sales_inr]]-tblTransactions[[#This Row],[Recalc_Net_Sales]])&lt;0.02,"OK","CHECK")</f>
        <v>OK</v>
      </c>
      <c r="M8" s="14">
        <f>DATE(YEAR(tblTransactions[[#This Row],[date]]),MONTH(tblTransactions[[#This Row],[date]]),1)</f>
        <v>45748</v>
      </c>
      <c r="N8" t="str">
        <f>IF(WEEKDAY(tblTransactions[[#This Row],[date]],2)&gt;5,"Weekend","Weekday")</f>
        <v>Weekday</v>
      </c>
      <c r="O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" s="13" t="str">
        <f>_xlfn.XLOOKUP(tblTransactions[[#This Row],[tenant_id]],tblTenants[tenant_id],tblTenants[zone],"NOT FOUND")</f>
        <v>Beauty &amp; Wellness</v>
      </c>
      <c r="Q8" s="13" t="str">
        <f>_xlfn.XLOOKUP(tblTransactions[[#This Row],[tenant_id]],tblTenants[tenant_id],tblTenants[category],"NOT FOUND")</f>
        <v>Wellness</v>
      </c>
    </row>
    <row r="9" spans="1:17">
      <c r="A9" t="s">
        <v>28</v>
      </c>
      <c r="B9" s="2">
        <v>45724</v>
      </c>
      <c r="C9">
        <v>22</v>
      </c>
      <c r="D9" t="s">
        <v>29</v>
      </c>
      <c r="E9" t="s">
        <v>21</v>
      </c>
      <c r="F9" s="7">
        <v>2542.19</v>
      </c>
      <c r="G9" s="10">
        <v>0</v>
      </c>
      <c r="H9" s="7">
        <v>2542.19</v>
      </c>
      <c r="I9">
        <v>2</v>
      </c>
      <c r="J9" t="s">
        <v>13</v>
      </c>
      <c r="K9" s="13">
        <f>ROUND(tblTransactions[[#This Row],[gross_sales_inr]]*(1-tblTransactions[[#This Row],[discount_pct]]),2)</f>
        <v>2542.19</v>
      </c>
      <c r="L9" t="str">
        <f>IF(ABS(tblTransactions[[#This Row],[net_sales_inr]]-tblTransactions[[#This Row],[Recalc_Net_Sales]])&lt;0.02,"OK","CHECK")</f>
        <v>OK</v>
      </c>
      <c r="M9" s="14">
        <f>DATE(YEAR(tblTransactions[[#This Row],[date]]),MONTH(tblTransactions[[#This Row],[date]]),1)</f>
        <v>45717</v>
      </c>
      <c r="N9" t="str">
        <f>IF(WEEKDAY(tblTransactions[[#This Row],[date]],2)&gt;5,"Weekend","Weekday")</f>
        <v>Weekend</v>
      </c>
      <c r="O9" s="13" t="str">
        <f>IF(tblTransactions[[#This Row],[discount_pct]]=0,"0%",IF(tblTransactions[[#This Row],[discount_pct]]&lt;=10%,"1–
10%",IF(tblTransactions[[#This Row],[discount_pct]]&lt;=20%,"11–20%","&gt;20%")))</f>
        <v>0%</v>
      </c>
      <c r="P9" s="13" t="str">
        <f>_xlfn.XLOOKUP(tblTransactions[[#This Row],[tenant_id]],tblTenants[tenant_id],tblTenants[zone],"NOT FOUND")</f>
        <v>Entertainment</v>
      </c>
      <c r="Q9" s="13" t="str">
        <f>_xlfn.XLOOKUP(tblTransactions[[#This Row],[tenant_id]],tblTenants[tenant_id],tblTenants[category],"NOT FOUND")</f>
        <v>Cinema</v>
      </c>
    </row>
    <row r="10" spans="1:17">
      <c r="A10" t="s">
        <v>30</v>
      </c>
      <c r="B10" s="2">
        <v>45799</v>
      </c>
      <c r="C10">
        <v>11</v>
      </c>
      <c r="D10" t="s">
        <v>31</v>
      </c>
      <c r="E10" t="s">
        <v>32</v>
      </c>
      <c r="F10" s="7">
        <v>560.57000000000005</v>
      </c>
      <c r="G10" s="10">
        <v>0.2</v>
      </c>
      <c r="H10" s="7">
        <v>448.46</v>
      </c>
      <c r="I10">
        <v>6</v>
      </c>
      <c r="J10" t="s">
        <v>16</v>
      </c>
      <c r="K10" s="13">
        <f>ROUND(tblTransactions[[#This Row],[gross_sales_inr]]*(1-tblTransactions[[#This Row],[discount_pct]]),2)</f>
        <v>448.46</v>
      </c>
      <c r="L10" t="str">
        <f>IF(ABS(tblTransactions[[#This Row],[net_sales_inr]]-tblTransactions[[#This Row],[Recalc_Net_Sales]])&lt;0.02,"OK","CHECK")</f>
        <v>OK</v>
      </c>
      <c r="M10" s="14">
        <f>DATE(YEAR(tblTransactions[[#This Row],[date]]),MONTH(tblTransactions[[#This Row],[date]]),1)</f>
        <v>45778</v>
      </c>
      <c r="N10" t="str">
        <f>IF(WEEKDAY(tblTransactions[[#This Row],[date]],2)&gt;5,"Weekend","Weekday")</f>
        <v>Weekday</v>
      </c>
      <c r="O1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" s="13" t="str">
        <f>_xlfn.XLOOKUP(tblTransactions[[#This Row],[tenant_id]],tblTenants[tenant_id],tblTenants[zone],"NOT FOUND")</f>
        <v>Entertainment</v>
      </c>
      <c r="Q10" s="13" t="str">
        <f>_xlfn.XLOOKUP(tblTransactions[[#This Row],[tenant_id]],tblTenants[tenant_id],tblTenants[category],"NOT FOUND")</f>
        <v>Arcade</v>
      </c>
    </row>
    <row r="11" spans="1:17">
      <c r="A11" t="s">
        <v>33</v>
      </c>
      <c r="B11" s="2">
        <v>45704</v>
      </c>
      <c r="C11">
        <v>11</v>
      </c>
      <c r="D11" t="s">
        <v>34</v>
      </c>
      <c r="E11" t="s">
        <v>12</v>
      </c>
      <c r="F11" s="7">
        <v>672.56</v>
      </c>
      <c r="G11" s="10">
        <v>0</v>
      </c>
      <c r="H11" s="7">
        <v>672.56</v>
      </c>
      <c r="I11">
        <v>2</v>
      </c>
      <c r="J11" t="s">
        <v>13</v>
      </c>
      <c r="K11" s="13">
        <f>ROUND(tblTransactions[[#This Row],[gross_sales_inr]]*(1-tblTransactions[[#This Row],[discount_pct]]),2)</f>
        <v>672.56</v>
      </c>
      <c r="L11" t="str">
        <f>IF(ABS(tblTransactions[[#This Row],[net_sales_inr]]-tblTransactions[[#This Row],[Recalc_Net_Sales]])&lt;0.02,"OK","CHECK")</f>
        <v>OK</v>
      </c>
      <c r="M11" s="14">
        <f>DATE(YEAR(tblTransactions[[#This Row],[date]]),MONTH(tblTransactions[[#This Row],[date]]),1)</f>
        <v>45689</v>
      </c>
      <c r="N11" t="str">
        <f>IF(WEEKDAY(tblTransactions[[#This Row],[date]],2)&gt;5,"Weekend","Weekday")</f>
        <v>Weekend</v>
      </c>
      <c r="O11" s="13" t="str">
        <f>IF(tblTransactions[[#This Row],[discount_pct]]=0,"0%",IF(tblTransactions[[#This Row],[discount_pct]]&lt;=10%,"1–
10%",IF(tblTransactions[[#This Row],[discount_pct]]&lt;=20%,"11–20%","&gt;20%")))</f>
        <v>0%</v>
      </c>
      <c r="P11" s="13" t="str">
        <f>_xlfn.XLOOKUP(tblTransactions[[#This Row],[tenant_id]],tblTenants[tenant_id],tblTenants[zone],"NOT FOUND")</f>
        <v>Home &amp; Living</v>
      </c>
      <c r="Q11" s="13" t="str">
        <f>_xlfn.XLOOKUP(tblTransactions[[#This Row],[tenant_id]],tblTenants[tenant_id],tblTenants[category],"NOT FOUND")</f>
        <v>Electronics</v>
      </c>
    </row>
    <row r="12" spans="1:17">
      <c r="A12" t="s">
        <v>35</v>
      </c>
      <c r="B12" s="2">
        <v>45683</v>
      </c>
      <c r="C12">
        <v>19</v>
      </c>
      <c r="D12" t="s">
        <v>36</v>
      </c>
      <c r="E12" t="s">
        <v>21</v>
      </c>
      <c r="F12" s="7">
        <v>345.62</v>
      </c>
      <c r="G12" s="10">
        <v>0.15</v>
      </c>
      <c r="H12" s="7">
        <v>293.77999999999997</v>
      </c>
      <c r="I12">
        <v>2</v>
      </c>
      <c r="J12" t="s">
        <v>13</v>
      </c>
      <c r="K12" s="13">
        <f>ROUND(tblTransactions[[#This Row],[gross_sales_inr]]*(1-tblTransactions[[#This Row],[discount_pct]]),2)</f>
        <v>293.77999999999997</v>
      </c>
      <c r="L12" t="str">
        <f>IF(ABS(tblTransactions[[#This Row],[net_sales_inr]]-tblTransactions[[#This Row],[Recalc_Net_Sales]])&lt;0.02,"OK","CHECK")</f>
        <v>OK</v>
      </c>
      <c r="M12" s="14">
        <f>DATE(YEAR(tblTransactions[[#This Row],[date]]),MONTH(tblTransactions[[#This Row],[date]]),1)</f>
        <v>45658</v>
      </c>
      <c r="N12" t="str">
        <f>IF(WEEKDAY(tblTransactions[[#This Row],[date]],2)&gt;5,"Weekend","Weekday")</f>
        <v>Weekend</v>
      </c>
      <c r="O1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" s="13" t="str">
        <f>_xlfn.XLOOKUP(tblTransactions[[#This Row],[tenant_id]],tblTenants[tenant_id],tblTenants[zone],"NOT FOUND")</f>
        <v>Home &amp; Living</v>
      </c>
      <c r="Q12" s="13" t="str">
        <f>_xlfn.XLOOKUP(tblTransactions[[#This Row],[tenant_id]],tblTenants[tenant_id],tblTenants[category],"NOT FOUND")</f>
        <v>Electronics</v>
      </c>
    </row>
    <row r="13" spans="1:17">
      <c r="A13" t="s">
        <v>37</v>
      </c>
      <c r="B13" s="2">
        <v>45751</v>
      </c>
      <c r="C13">
        <v>18</v>
      </c>
      <c r="D13" t="s">
        <v>31</v>
      </c>
      <c r="E13" t="s">
        <v>32</v>
      </c>
      <c r="F13" s="7">
        <v>644.88</v>
      </c>
      <c r="G13" s="10">
        <v>0.2</v>
      </c>
      <c r="H13" s="7">
        <v>515.9</v>
      </c>
      <c r="I13">
        <v>1</v>
      </c>
      <c r="J13" t="s">
        <v>16</v>
      </c>
      <c r="K13" s="13">
        <f>ROUND(tblTransactions[[#This Row],[gross_sales_inr]]*(1-tblTransactions[[#This Row],[discount_pct]]),2)</f>
        <v>515.9</v>
      </c>
      <c r="L13" t="str">
        <f>IF(ABS(tblTransactions[[#This Row],[net_sales_inr]]-tblTransactions[[#This Row],[Recalc_Net_Sales]])&lt;0.02,"OK","CHECK")</f>
        <v>OK</v>
      </c>
      <c r="M13" s="14">
        <f>DATE(YEAR(tblTransactions[[#This Row],[date]]),MONTH(tblTransactions[[#This Row],[date]]),1)</f>
        <v>45748</v>
      </c>
      <c r="N13" t="str">
        <f>IF(WEEKDAY(tblTransactions[[#This Row],[date]],2)&gt;5,"Weekend","Weekday")</f>
        <v>Weekday</v>
      </c>
      <c r="O1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" s="13" t="str">
        <f>_xlfn.XLOOKUP(tblTransactions[[#This Row],[tenant_id]],tblTenants[tenant_id],tblTenants[zone],"NOT FOUND")</f>
        <v>Entertainment</v>
      </c>
      <c r="Q13" s="13" t="str">
        <f>_xlfn.XLOOKUP(tblTransactions[[#This Row],[tenant_id]],tblTenants[tenant_id],tblTenants[category],"NOT FOUND")</f>
        <v>Arcade</v>
      </c>
    </row>
    <row r="14" spans="1:17">
      <c r="A14" t="s">
        <v>38</v>
      </c>
      <c r="B14" s="2">
        <v>45691</v>
      </c>
      <c r="C14">
        <v>15</v>
      </c>
      <c r="D14" t="s">
        <v>15</v>
      </c>
      <c r="E14" t="s">
        <v>12</v>
      </c>
      <c r="F14" s="7">
        <v>1293.76</v>
      </c>
      <c r="G14" s="10">
        <v>0</v>
      </c>
      <c r="H14" s="7">
        <v>1293.76</v>
      </c>
      <c r="I14">
        <v>2</v>
      </c>
      <c r="J14" t="s">
        <v>13</v>
      </c>
      <c r="K14" s="13">
        <f>ROUND(tblTransactions[[#This Row],[gross_sales_inr]]*(1-tblTransactions[[#This Row],[discount_pct]]),2)</f>
        <v>1293.76</v>
      </c>
      <c r="L14" t="str">
        <f>IF(ABS(tblTransactions[[#This Row],[net_sales_inr]]-tblTransactions[[#This Row],[Recalc_Net_Sales]])&lt;0.02,"OK","CHECK")</f>
        <v>OK</v>
      </c>
      <c r="M14" s="14">
        <f>DATE(YEAR(tblTransactions[[#This Row],[date]]),MONTH(tblTransactions[[#This Row],[date]]),1)</f>
        <v>45689</v>
      </c>
      <c r="N14" t="str">
        <f>IF(WEEKDAY(tblTransactions[[#This Row],[date]],2)&gt;5,"Weekend","Weekday")</f>
        <v>Weekday</v>
      </c>
      <c r="O14" s="13" t="str">
        <f>IF(tblTransactions[[#This Row],[discount_pct]]=0,"0%",IF(tblTransactions[[#This Row],[discount_pct]]&lt;=10%,"1–
10%",IF(tblTransactions[[#This Row],[discount_pct]]&lt;=20%,"11–20%","&gt;20%")))</f>
        <v>0%</v>
      </c>
      <c r="P14" s="13" t="str">
        <f>_xlfn.XLOOKUP(tblTransactions[[#This Row],[tenant_id]],tblTenants[tenant_id],tblTenants[zone],"NOT FOUND")</f>
        <v>Fashion Avenue</v>
      </c>
      <c r="Q14" s="13" t="str">
        <f>_xlfn.XLOOKUP(tblTransactions[[#This Row],[tenant_id]],tblTenants[tenant_id],tblTenants[category],"NOT FOUND")</f>
        <v>Accessories</v>
      </c>
    </row>
    <row r="15" spans="1:17">
      <c r="A15" t="s">
        <v>39</v>
      </c>
      <c r="B15" s="2">
        <v>45683</v>
      </c>
      <c r="C15">
        <v>13</v>
      </c>
      <c r="D15" t="s">
        <v>36</v>
      </c>
      <c r="E15" t="s">
        <v>12</v>
      </c>
      <c r="F15" s="7">
        <v>1173.8599999999999</v>
      </c>
      <c r="G15" s="10">
        <v>0.1</v>
      </c>
      <c r="H15" s="7">
        <v>1056.47</v>
      </c>
      <c r="I15">
        <v>3</v>
      </c>
      <c r="J15" t="s">
        <v>16</v>
      </c>
      <c r="K15" s="13">
        <f>ROUND(tblTransactions[[#This Row],[gross_sales_inr]]*(1-tblTransactions[[#This Row],[discount_pct]]),2)</f>
        <v>1056.47</v>
      </c>
      <c r="L15" t="str">
        <f>IF(ABS(tblTransactions[[#This Row],[net_sales_inr]]-tblTransactions[[#This Row],[Recalc_Net_Sales]])&lt;0.02,"OK","CHECK")</f>
        <v>OK</v>
      </c>
      <c r="M15" s="14">
        <f>DATE(YEAR(tblTransactions[[#This Row],[date]]),MONTH(tblTransactions[[#This Row],[date]]),1)</f>
        <v>45658</v>
      </c>
      <c r="N15" t="str">
        <f>IF(WEEKDAY(tblTransactions[[#This Row],[date]],2)&gt;5,"Weekend","Weekday")</f>
        <v>Weekend</v>
      </c>
      <c r="O1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" s="13" t="str">
        <f>_xlfn.XLOOKUP(tblTransactions[[#This Row],[tenant_id]],tblTenants[tenant_id],tblTenants[zone],"NOT FOUND")</f>
        <v>Home &amp; Living</v>
      </c>
      <c r="Q15" s="13" t="str">
        <f>_xlfn.XLOOKUP(tblTransactions[[#This Row],[tenant_id]],tblTenants[tenant_id],tblTenants[category],"NOT FOUND")</f>
        <v>Electronics</v>
      </c>
    </row>
    <row r="16" spans="1:17">
      <c r="A16" t="s">
        <v>40</v>
      </c>
      <c r="B16" s="2">
        <v>45732</v>
      </c>
      <c r="C16">
        <v>14</v>
      </c>
      <c r="D16" t="s">
        <v>41</v>
      </c>
      <c r="E16" t="s">
        <v>21</v>
      </c>
      <c r="F16" s="7">
        <v>3052.77</v>
      </c>
      <c r="G16" s="10">
        <v>0.05</v>
      </c>
      <c r="H16" s="7">
        <v>2900.13</v>
      </c>
      <c r="I16">
        <v>2</v>
      </c>
      <c r="J16" t="s">
        <v>13</v>
      </c>
      <c r="K16" s="13">
        <f>ROUND(tblTransactions[[#This Row],[gross_sales_inr]]*(1-tblTransactions[[#This Row],[discount_pct]]),2)</f>
        <v>2900.13</v>
      </c>
      <c r="L16" t="str">
        <f>IF(ABS(tblTransactions[[#This Row],[net_sales_inr]]-tblTransactions[[#This Row],[Recalc_Net_Sales]])&lt;0.02,"OK","CHECK")</f>
        <v>OK</v>
      </c>
      <c r="M16" s="14">
        <f>DATE(YEAR(tblTransactions[[#This Row],[date]]),MONTH(tblTransactions[[#This Row],[date]]),1)</f>
        <v>45717</v>
      </c>
      <c r="N16" t="str">
        <f>IF(WEEKDAY(tblTransactions[[#This Row],[date]],2)&gt;5,"Weekend","Weekday")</f>
        <v>Weekend</v>
      </c>
      <c r="O1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" s="13" t="str">
        <f>_xlfn.XLOOKUP(tblTransactions[[#This Row],[tenant_id]],tblTenants[tenant_id],tblTenants[zone],"NOT FOUND")</f>
        <v>Fashion Avenue</v>
      </c>
      <c r="Q16" s="13" t="str">
        <f>_xlfn.XLOOKUP(tblTransactions[[#This Row],[tenant_id]],tblTenants[tenant_id],tblTenants[category],"NOT FOUND")</f>
        <v>Clothing</v>
      </c>
    </row>
    <row r="17" spans="1:17">
      <c r="A17" t="s">
        <v>42</v>
      </c>
      <c r="B17" s="2">
        <v>45728</v>
      </c>
      <c r="C17">
        <v>17</v>
      </c>
      <c r="D17" t="s">
        <v>43</v>
      </c>
      <c r="E17" t="s">
        <v>12</v>
      </c>
      <c r="F17" s="7">
        <v>781.79</v>
      </c>
      <c r="G17" s="10">
        <v>0.05</v>
      </c>
      <c r="H17" s="7">
        <v>742.7</v>
      </c>
      <c r="I17">
        <v>2</v>
      </c>
      <c r="J17" t="s">
        <v>16</v>
      </c>
      <c r="K17" s="13">
        <f>ROUND(tblTransactions[[#This Row],[gross_sales_inr]]*(1-tblTransactions[[#This Row],[discount_pct]]),2)</f>
        <v>742.7</v>
      </c>
      <c r="L17" t="str">
        <f>IF(ABS(tblTransactions[[#This Row],[net_sales_inr]]-tblTransactions[[#This Row],[Recalc_Net_Sales]])&lt;0.02,"OK","CHECK")</f>
        <v>OK</v>
      </c>
      <c r="M17" s="14">
        <f>DATE(YEAR(tblTransactions[[#This Row],[date]]),MONTH(tblTransactions[[#This Row],[date]]),1)</f>
        <v>45717</v>
      </c>
      <c r="N17" t="str">
        <f>IF(WEEKDAY(tblTransactions[[#This Row],[date]],2)&gt;5,"Weekend","Weekday")</f>
        <v>Weekday</v>
      </c>
      <c r="O1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" s="13" t="str">
        <f>_xlfn.XLOOKUP(tblTransactions[[#This Row],[tenant_id]],tblTenants[tenant_id],tblTenants[zone],"NOT FOUND")</f>
        <v>Food Court</v>
      </c>
      <c r="Q17" s="13" t="str">
        <f>_xlfn.XLOOKUP(tblTransactions[[#This Row],[tenant_id]],tblTenants[tenant_id],tblTenants[category],"NOT FOUND")</f>
        <v>Casual Dining</v>
      </c>
    </row>
    <row r="18" spans="1:17">
      <c r="A18" t="s">
        <v>44</v>
      </c>
      <c r="B18" s="2">
        <v>45675</v>
      </c>
      <c r="C18">
        <v>22</v>
      </c>
      <c r="D18" t="s">
        <v>45</v>
      </c>
      <c r="E18" t="s">
        <v>32</v>
      </c>
      <c r="F18" s="7">
        <v>1563.15</v>
      </c>
      <c r="G18" s="10">
        <v>0</v>
      </c>
      <c r="H18" s="7">
        <v>1563.15</v>
      </c>
      <c r="I18">
        <v>1</v>
      </c>
      <c r="J18" t="s">
        <v>13</v>
      </c>
      <c r="K18" s="13">
        <f>ROUND(tblTransactions[[#This Row],[gross_sales_inr]]*(1-tblTransactions[[#This Row],[discount_pct]]),2)</f>
        <v>1563.15</v>
      </c>
      <c r="L18" t="str">
        <f>IF(ABS(tblTransactions[[#This Row],[net_sales_inr]]-tblTransactions[[#This Row],[Recalc_Net_Sales]])&lt;0.02,"OK","CHECK")</f>
        <v>OK</v>
      </c>
      <c r="M18" s="14">
        <f>DATE(YEAR(tblTransactions[[#This Row],[date]]),MONTH(tblTransactions[[#This Row],[date]]),1)</f>
        <v>45658</v>
      </c>
      <c r="N18" t="str">
        <f>IF(WEEKDAY(tblTransactions[[#This Row],[date]],2)&gt;5,"Weekend","Weekday")</f>
        <v>Weekend</v>
      </c>
      <c r="O18" s="13" t="str">
        <f>IF(tblTransactions[[#This Row],[discount_pct]]=0,"0%",IF(tblTransactions[[#This Row],[discount_pct]]&lt;=10%,"1–
10%",IF(tblTransactions[[#This Row],[discount_pct]]&lt;=20%,"11–20%","&gt;20%")))</f>
        <v>0%</v>
      </c>
      <c r="P18" s="13" t="str">
        <f>_xlfn.XLOOKUP(tblTransactions[[#This Row],[tenant_id]],tblTenants[tenant_id],tblTenants[zone],"NOT FOUND")</f>
        <v>Home &amp; Living</v>
      </c>
      <c r="Q18" s="13" t="str">
        <f>_xlfn.XLOOKUP(tblTransactions[[#This Row],[tenant_id]],tblTenants[tenant_id],tblTenants[category],"NOT FOUND")</f>
        <v>Home Decor</v>
      </c>
    </row>
    <row r="19" spans="1:17">
      <c r="A19" t="s">
        <v>46</v>
      </c>
      <c r="B19" s="2">
        <v>45766</v>
      </c>
      <c r="C19">
        <v>18</v>
      </c>
      <c r="D19" t="s">
        <v>20</v>
      </c>
      <c r="E19" t="s">
        <v>12</v>
      </c>
      <c r="F19" s="7">
        <v>776.63</v>
      </c>
      <c r="G19" s="10">
        <v>0.3</v>
      </c>
      <c r="H19" s="7">
        <v>543.64</v>
      </c>
      <c r="I19">
        <v>2</v>
      </c>
      <c r="J19" t="s">
        <v>13</v>
      </c>
      <c r="K19" s="13">
        <f>ROUND(tblTransactions[[#This Row],[gross_sales_inr]]*(1-tblTransactions[[#This Row],[discount_pct]]),2)</f>
        <v>543.64</v>
      </c>
      <c r="L19" t="str">
        <f>IF(ABS(tblTransactions[[#This Row],[net_sales_inr]]-tblTransactions[[#This Row],[Recalc_Net_Sales]])&lt;0.02,"OK","CHECK")</f>
        <v>OK</v>
      </c>
      <c r="M19" s="14">
        <f>DATE(YEAR(tblTransactions[[#This Row],[date]]),MONTH(tblTransactions[[#This Row],[date]]),1)</f>
        <v>45748</v>
      </c>
      <c r="N19" t="str">
        <f>IF(WEEKDAY(tblTransactions[[#This Row],[date]],2)&gt;5,"Weekend","Weekday")</f>
        <v>Weekend</v>
      </c>
      <c r="O19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9" s="13" t="str">
        <f>_xlfn.XLOOKUP(tblTransactions[[#This Row],[tenant_id]],tblTenants[tenant_id],tblTenants[zone],"NOT FOUND")</f>
        <v>Fashion Avenue</v>
      </c>
      <c r="Q19" s="13" t="str">
        <f>_xlfn.XLOOKUP(tblTransactions[[#This Row],[tenant_id]],tblTenants[tenant_id],tblTenants[category],"NOT FOUND")</f>
        <v>Accessories</v>
      </c>
    </row>
    <row r="20" spans="1:17">
      <c r="A20" t="s">
        <v>47</v>
      </c>
      <c r="B20" s="2">
        <v>45754</v>
      </c>
      <c r="C20">
        <v>12</v>
      </c>
      <c r="D20" t="s">
        <v>48</v>
      </c>
      <c r="E20" t="s">
        <v>12</v>
      </c>
      <c r="F20" s="7">
        <v>378.75</v>
      </c>
      <c r="G20" s="10">
        <v>0.3</v>
      </c>
      <c r="H20" s="7">
        <v>265.12</v>
      </c>
      <c r="I20">
        <v>4</v>
      </c>
      <c r="J20" t="s">
        <v>16</v>
      </c>
      <c r="K20" s="13">
        <f>ROUND(tblTransactions[[#This Row],[gross_sales_inr]]*(1-tblTransactions[[#This Row],[discount_pct]]),2)</f>
        <v>265.13</v>
      </c>
      <c r="L20" t="str">
        <f>IF(ABS(tblTransactions[[#This Row],[net_sales_inr]]-tblTransactions[[#This Row],[Recalc_Net_Sales]])&lt;0.02,"OK","CHECK")</f>
        <v>OK</v>
      </c>
      <c r="M20" s="14">
        <f>DATE(YEAR(tblTransactions[[#This Row],[date]]),MONTH(tblTransactions[[#This Row],[date]]),1)</f>
        <v>45748</v>
      </c>
      <c r="N20" t="str">
        <f>IF(WEEKDAY(tblTransactions[[#This Row],[date]],2)&gt;5,"Weekend","Weekday")</f>
        <v>Weekday</v>
      </c>
      <c r="O2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0" s="13" t="str">
        <f>_xlfn.XLOOKUP(tblTransactions[[#This Row],[tenant_id]],tblTenants[tenant_id],tblTenants[zone],"NOT FOUND")</f>
        <v>Beauty &amp; Wellness</v>
      </c>
      <c r="Q20" s="13" t="str">
        <f>_xlfn.XLOOKUP(tblTransactions[[#This Row],[tenant_id]],tblTenants[tenant_id],tblTenants[category],"NOT FOUND")</f>
        <v>Wellness</v>
      </c>
    </row>
    <row r="21" spans="1:17">
      <c r="A21" t="s">
        <v>49</v>
      </c>
      <c r="B21" s="2">
        <v>45660</v>
      </c>
      <c r="C21">
        <v>16</v>
      </c>
      <c r="D21" t="s">
        <v>41</v>
      </c>
      <c r="E21" t="s">
        <v>12</v>
      </c>
      <c r="F21" s="7">
        <v>2996.41</v>
      </c>
      <c r="G21" s="10">
        <v>0.05</v>
      </c>
      <c r="H21" s="7">
        <v>2846.59</v>
      </c>
      <c r="I21">
        <v>1</v>
      </c>
      <c r="J21" t="s">
        <v>13</v>
      </c>
      <c r="K21" s="13">
        <f>ROUND(tblTransactions[[#This Row],[gross_sales_inr]]*(1-tblTransactions[[#This Row],[discount_pct]]),2)</f>
        <v>2846.59</v>
      </c>
      <c r="L21" t="str">
        <f>IF(ABS(tblTransactions[[#This Row],[net_sales_inr]]-tblTransactions[[#This Row],[Recalc_Net_Sales]])&lt;0.02,"OK","CHECK")</f>
        <v>OK</v>
      </c>
      <c r="M21" s="14">
        <f>DATE(YEAR(tblTransactions[[#This Row],[date]]),MONTH(tblTransactions[[#This Row],[date]]),1)</f>
        <v>45658</v>
      </c>
      <c r="N21" t="str">
        <f>IF(WEEKDAY(tblTransactions[[#This Row],[date]],2)&gt;5,"Weekend","Weekday")</f>
        <v>Weekday</v>
      </c>
      <c r="O2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" s="13" t="str">
        <f>_xlfn.XLOOKUP(tblTransactions[[#This Row],[tenant_id]],tblTenants[tenant_id],tblTenants[zone],"NOT FOUND")</f>
        <v>Fashion Avenue</v>
      </c>
      <c r="Q21" s="13" t="str">
        <f>_xlfn.XLOOKUP(tblTransactions[[#This Row],[tenant_id]],tblTenants[tenant_id],tblTenants[category],"NOT FOUND")</f>
        <v>Clothing</v>
      </c>
    </row>
    <row r="22" spans="1:17">
      <c r="A22" t="s">
        <v>50</v>
      </c>
      <c r="B22" s="2">
        <v>45835</v>
      </c>
      <c r="C22">
        <v>17</v>
      </c>
      <c r="D22" t="s">
        <v>31</v>
      </c>
      <c r="E22" t="s">
        <v>51</v>
      </c>
      <c r="F22" s="7">
        <v>926.81</v>
      </c>
      <c r="G22" s="10">
        <v>0</v>
      </c>
      <c r="H22" s="7">
        <v>926.81</v>
      </c>
      <c r="I22">
        <v>2</v>
      </c>
      <c r="J22" t="s">
        <v>13</v>
      </c>
      <c r="K22" s="13">
        <f>ROUND(tblTransactions[[#This Row],[gross_sales_inr]]*(1-tblTransactions[[#This Row],[discount_pct]]),2)</f>
        <v>926.81</v>
      </c>
      <c r="L22" t="str">
        <f>IF(ABS(tblTransactions[[#This Row],[net_sales_inr]]-tblTransactions[[#This Row],[Recalc_Net_Sales]])&lt;0.02,"OK","CHECK")</f>
        <v>OK</v>
      </c>
      <c r="M22" s="14">
        <f>DATE(YEAR(tblTransactions[[#This Row],[date]]),MONTH(tblTransactions[[#This Row],[date]]),1)</f>
        <v>45809</v>
      </c>
      <c r="N22" t="str">
        <f>IF(WEEKDAY(tblTransactions[[#This Row],[date]],2)&gt;5,"Weekend","Weekday")</f>
        <v>Weekday</v>
      </c>
      <c r="O22" s="13" t="str">
        <f>IF(tblTransactions[[#This Row],[discount_pct]]=0,"0%",IF(tblTransactions[[#This Row],[discount_pct]]&lt;=10%,"1–
10%",IF(tblTransactions[[#This Row],[discount_pct]]&lt;=20%,"11–20%","&gt;20%")))</f>
        <v>0%</v>
      </c>
      <c r="P22" s="13" t="str">
        <f>_xlfn.XLOOKUP(tblTransactions[[#This Row],[tenant_id]],tblTenants[tenant_id],tblTenants[zone],"NOT FOUND")</f>
        <v>Entertainment</v>
      </c>
      <c r="Q22" s="13" t="str">
        <f>_xlfn.XLOOKUP(tblTransactions[[#This Row],[tenant_id]],tblTenants[tenant_id],tblTenants[category],"NOT FOUND")</f>
        <v>Arcade</v>
      </c>
    </row>
    <row r="23" spans="1:17">
      <c r="A23" t="s">
        <v>52</v>
      </c>
      <c r="B23" s="2">
        <v>45734</v>
      </c>
      <c r="C23">
        <v>13</v>
      </c>
      <c r="D23" t="s">
        <v>53</v>
      </c>
      <c r="E23" t="s">
        <v>12</v>
      </c>
      <c r="F23" s="7">
        <v>902.01</v>
      </c>
      <c r="G23" s="10">
        <v>0.2</v>
      </c>
      <c r="H23" s="7">
        <v>721.61</v>
      </c>
      <c r="I23">
        <v>1</v>
      </c>
      <c r="J23" t="s">
        <v>13</v>
      </c>
      <c r="K23" s="13">
        <f>ROUND(tblTransactions[[#This Row],[gross_sales_inr]]*(1-tblTransactions[[#This Row],[discount_pct]]),2)</f>
        <v>721.61</v>
      </c>
      <c r="L23" t="str">
        <f>IF(ABS(tblTransactions[[#This Row],[net_sales_inr]]-tblTransactions[[#This Row],[Recalc_Net_Sales]])&lt;0.02,"OK","CHECK")</f>
        <v>OK</v>
      </c>
      <c r="M23" s="14">
        <f>DATE(YEAR(tblTransactions[[#This Row],[date]]),MONTH(tblTransactions[[#This Row],[date]]),1)</f>
        <v>45717</v>
      </c>
      <c r="N23" t="str">
        <f>IF(WEEKDAY(tblTransactions[[#This Row],[date]],2)&gt;5,"Weekend","Weekday")</f>
        <v>Weekday</v>
      </c>
      <c r="O2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" s="13" t="str">
        <f>_xlfn.XLOOKUP(tblTransactions[[#This Row],[tenant_id]],tblTenants[tenant_id],tblTenants[zone],"NOT FOUND")</f>
        <v>Beauty &amp; Wellness</v>
      </c>
      <c r="Q23" s="13" t="str">
        <f>_xlfn.XLOOKUP(tblTransactions[[#This Row],[tenant_id]],tblTenants[tenant_id],tblTenants[category],"NOT FOUND")</f>
        <v>Beauty</v>
      </c>
    </row>
    <row r="24" spans="1:17">
      <c r="A24" t="s">
        <v>54</v>
      </c>
      <c r="B24" s="2">
        <v>45813</v>
      </c>
      <c r="C24">
        <v>12</v>
      </c>
      <c r="D24" t="s">
        <v>55</v>
      </c>
      <c r="E24" t="s">
        <v>12</v>
      </c>
      <c r="F24" s="7">
        <v>691.76</v>
      </c>
      <c r="G24" s="10">
        <v>0.3</v>
      </c>
      <c r="H24" s="7">
        <v>484.23</v>
      </c>
      <c r="I24">
        <v>1</v>
      </c>
      <c r="J24" t="s">
        <v>13</v>
      </c>
      <c r="K24" s="13">
        <f>ROUND(tblTransactions[[#This Row],[gross_sales_inr]]*(1-tblTransactions[[#This Row],[discount_pct]]),2)</f>
        <v>484.23</v>
      </c>
      <c r="L24" t="str">
        <f>IF(ABS(tblTransactions[[#This Row],[net_sales_inr]]-tblTransactions[[#This Row],[Recalc_Net_Sales]])&lt;0.02,"OK","CHECK")</f>
        <v>OK</v>
      </c>
      <c r="M24" s="14">
        <f>DATE(YEAR(tblTransactions[[#This Row],[date]]),MONTH(tblTransactions[[#This Row],[date]]),1)</f>
        <v>45809</v>
      </c>
      <c r="N24" t="str">
        <f>IF(WEEKDAY(tblTransactions[[#This Row],[date]],2)&gt;5,"Weekend","Weekday")</f>
        <v>Weekday</v>
      </c>
      <c r="O2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4" s="13" t="str">
        <f>_xlfn.XLOOKUP(tblTransactions[[#This Row],[tenant_id]],tblTenants[tenant_id],tblTenants[zone],"NOT FOUND")</f>
        <v>Food Court</v>
      </c>
      <c r="Q24" s="13" t="str">
        <f>_xlfn.XLOOKUP(tblTransactions[[#This Row],[tenant_id]],tblTenants[tenant_id],tblTenants[category],"NOT FOUND")</f>
        <v>Quick Service</v>
      </c>
    </row>
    <row r="25" spans="1:17">
      <c r="A25" t="s">
        <v>56</v>
      </c>
      <c r="B25" s="2">
        <v>45691</v>
      </c>
      <c r="C25">
        <v>12</v>
      </c>
      <c r="D25" t="s">
        <v>57</v>
      </c>
      <c r="E25" t="s">
        <v>32</v>
      </c>
      <c r="F25" s="7">
        <v>698.78</v>
      </c>
      <c r="G25" s="10">
        <v>0</v>
      </c>
      <c r="H25" s="7">
        <v>698.78</v>
      </c>
      <c r="I25">
        <v>1</v>
      </c>
      <c r="J25" t="s">
        <v>16</v>
      </c>
      <c r="K25" s="13">
        <f>ROUND(tblTransactions[[#This Row],[gross_sales_inr]]*(1-tblTransactions[[#This Row],[discount_pct]]),2)</f>
        <v>698.78</v>
      </c>
      <c r="L25" t="str">
        <f>IF(ABS(tblTransactions[[#This Row],[net_sales_inr]]-tblTransactions[[#This Row],[Recalc_Net_Sales]])&lt;0.02,"OK","CHECK")</f>
        <v>OK</v>
      </c>
      <c r="M25" s="14">
        <f>DATE(YEAR(tblTransactions[[#This Row],[date]]),MONTH(tblTransactions[[#This Row],[date]]),1)</f>
        <v>45689</v>
      </c>
      <c r="N25" t="str">
        <f>IF(WEEKDAY(tblTransactions[[#This Row],[date]],2)&gt;5,"Weekend","Weekday")</f>
        <v>Weekday</v>
      </c>
      <c r="O25" s="13" t="str">
        <f>IF(tblTransactions[[#This Row],[discount_pct]]=0,"0%",IF(tblTransactions[[#This Row],[discount_pct]]&lt;=10%,"1–
10%",IF(tblTransactions[[#This Row],[discount_pct]]&lt;=20%,"11–20%","&gt;20%")))</f>
        <v>0%</v>
      </c>
      <c r="P25" s="13" t="str">
        <f>_xlfn.XLOOKUP(tblTransactions[[#This Row],[tenant_id]],tblTenants[tenant_id],tblTenants[zone],"NOT FOUND")</f>
        <v>Food Court</v>
      </c>
      <c r="Q25" s="13" t="str">
        <f>_xlfn.XLOOKUP(tblTransactions[[#This Row],[tenant_id]],tblTenants[tenant_id],tblTenants[category],"NOT FOUND")</f>
        <v>Casual Dining</v>
      </c>
    </row>
    <row r="26" spans="1:17">
      <c r="A26" t="s">
        <v>58</v>
      </c>
      <c r="B26" s="2">
        <v>45730</v>
      </c>
      <c r="C26">
        <v>18</v>
      </c>
      <c r="D26" t="s">
        <v>59</v>
      </c>
      <c r="E26" t="s">
        <v>21</v>
      </c>
      <c r="F26" s="7">
        <v>3280.3</v>
      </c>
      <c r="G26" s="10">
        <v>0.05</v>
      </c>
      <c r="H26" s="7">
        <v>3116.28</v>
      </c>
      <c r="I26">
        <v>2</v>
      </c>
      <c r="J26" t="s">
        <v>16</v>
      </c>
      <c r="K26" s="13">
        <f>ROUND(tblTransactions[[#This Row],[gross_sales_inr]]*(1-tblTransactions[[#This Row],[discount_pct]]),2)</f>
        <v>3116.29</v>
      </c>
      <c r="L26" t="str">
        <f>IF(ABS(tblTransactions[[#This Row],[net_sales_inr]]-tblTransactions[[#This Row],[Recalc_Net_Sales]])&lt;0.02,"OK","CHECK")</f>
        <v>OK</v>
      </c>
      <c r="M26" s="14">
        <f>DATE(YEAR(tblTransactions[[#This Row],[date]]),MONTH(tblTransactions[[#This Row],[date]]),1)</f>
        <v>45717</v>
      </c>
      <c r="N26" t="str">
        <f>IF(WEEKDAY(tblTransactions[[#This Row],[date]],2)&gt;5,"Weekend","Weekday")</f>
        <v>Weekday</v>
      </c>
      <c r="O2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" s="13" t="str">
        <f>_xlfn.XLOOKUP(tblTransactions[[#This Row],[tenant_id]],tblTenants[tenant_id],tblTenants[zone],"NOT FOUND")</f>
        <v>Fashion Avenue</v>
      </c>
      <c r="Q26" s="13" t="str">
        <f>_xlfn.XLOOKUP(tblTransactions[[#This Row],[tenant_id]],tblTenants[tenant_id],tblTenants[category],"NOT FOUND")</f>
        <v>Footwear</v>
      </c>
    </row>
    <row r="27" spans="1:17">
      <c r="A27" t="s">
        <v>60</v>
      </c>
      <c r="B27" s="2">
        <v>45723</v>
      </c>
      <c r="C27">
        <v>21</v>
      </c>
      <c r="D27" t="s">
        <v>61</v>
      </c>
      <c r="E27" t="s">
        <v>32</v>
      </c>
      <c r="F27" s="7">
        <v>454.9</v>
      </c>
      <c r="G27" s="10">
        <v>0</v>
      </c>
      <c r="H27" s="7">
        <v>454.9</v>
      </c>
      <c r="I27">
        <v>1</v>
      </c>
      <c r="J27" t="s">
        <v>16</v>
      </c>
      <c r="K27" s="13">
        <f>ROUND(tblTransactions[[#This Row],[gross_sales_inr]]*(1-tblTransactions[[#This Row],[discount_pct]]),2)</f>
        <v>454.9</v>
      </c>
      <c r="L27" t="str">
        <f>IF(ABS(tblTransactions[[#This Row],[net_sales_inr]]-tblTransactions[[#This Row],[Recalc_Net_Sales]])&lt;0.02,"OK","CHECK")</f>
        <v>OK</v>
      </c>
      <c r="M27" s="14">
        <f>DATE(YEAR(tblTransactions[[#This Row],[date]]),MONTH(tblTransactions[[#This Row],[date]]),1)</f>
        <v>45717</v>
      </c>
      <c r="N27" t="str">
        <f>IF(WEEKDAY(tblTransactions[[#This Row],[date]],2)&gt;5,"Weekend","Weekday")</f>
        <v>Weekday</v>
      </c>
      <c r="O27" s="13" t="str">
        <f>IF(tblTransactions[[#This Row],[discount_pct]]=0,"0%",IF(tblTransactions[[#This Row],[discount_pct]]&lt;=10%,"1–
10%",IF(tblTransactions[[#This Row],[discount_pct]]&lt;=20%,"11–20%","&gt;20%")))</f>
        <v>0%</v>
      </c>
      <c r="P27" s="13" t="str">
        <f>_xlfn.XLOOKUP(tblTransactions[[#This Row],[tenant_id]],tblTenants[tenant_id],tblTenants[zone],"NOT FOUND")</f>
        <v>Food Court</v>
      </c>
      <c r="Q27" s="13" t="str">
        <f>_xlfn.XLOOKUP(tblTransactions[[#This Row],[tenant_id]],tblTenants[tenant_id],tblTenants[category],"NOT FOUND")</f>
        <v>Quick Service</v>
      </c>
    </row>
    <row r="28" spans="1:17">
      <c r="A28" t="s">
        <v>62</v>
      </c>
      <c r="B28" s="2">
        <v>45780</v>
      </c>
      <c r="C28">
        <v>21</v>
      </c>
      <c r="D28" t="s">
        <v>63</v>
      </c>
      <c r="E28" t="s">
        <v>32</v>
      </c>
      <c r="F28" s="7">
        <v>1135.6500000000001</v>
      </c>
      <c r="G28" s="10">
        <v>0.15</v>
      </c>
      <c r="H28" s="7">
        <v>965.3</v>
      </c>
      <c r="I28">
        <v>3</v>
      </c>
      <c r="J28" t="s">
        <v>13</v>
      </c>
      <c r="K28" s="13">
        <f>ROUND(tblTransactions[[#This Row],[gross_sales_inr]]*(1-tblTransactions[[#This Row],[discount_pct]]),2)</f>
        <v>965.3</v>
      </c>
      <c r="L28" t="str">
        <f>IF(ABS(tblTransactions[[#This Row],[net_sales_inr]]-tblTransactions[[#This Row],[Recalc_Net_Sales]])&lt;0.02,"OK","CHECK")</f>
        <v>OK</v>
      </c>
      <c r="M28" s="14">
        <f>DATE(YEAR(tblTransactions[[#This Row],[date]]),MONTH(tblTransactions[[#This Row],[date]]),1)</f>
        <v>45778</v>
      </c>
      <c r="N28" t="str">
        <f>IF(WEEKDAY(tblTransactions[[#This Row],[date]],2)&gt;5,"Weekend","Weekday")</f>
        <v>Weekend</v>
      </c>
      <c r="O2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" s="13" t="str">
        <f>_xlfn.XLOOKUP(tblTransactions[[#This Row],[tenant_id]],tblTenants[tenant_id],tblTenants[zone],"NOT FOUND")</f>
        <v>Entertainment</v>
      </c>
      <c r="Q28" s="13" t="str">
        <f>_xlfn.XLOOKUP(tblTransactions[[#This Row],[tenant_id]],tblTenants[tenant_id],tblTenants[category],"NOT FOUND")</f>
        <v>Family Entertainment</v>
      </c>
    </row>
    <row r="29" spans="1:17">
      <c r="A29" t="s">
        <v>64</v>
      </c>
      <c r="B29" s="2">
        <v>45826</v>
      </c>
      <c r="C29">
        <v>22</v>
      </c>
      <c r="D29" t="s">
        <v>15</v>
      </c>
      <c r="E29" t="s">
        <v>32</v>
      </c>
      <c r="F29" s="7">
        <v>2891.51</v>
      </c>
      <c r="G29" s="10">
        <v>0</v>
      </c>
      <c r="H29" s="7">
        <v>2891.51</v>
      </c>
      <c r="I29">
        <v>2</v>
      </c>
      <c r="J29" t="s">
        <v>16</v>
      </c>
      <c r="K29" s="13">
        <f>ROUND(tblTransactions[[#This Row],[gross_sales_inr]]*(1-tblTransactions[[#This Row],[discount_pct]]),2)</f>
        <v>2891.51</v>
      </c>
      <c r="L29" t="str">
        <f>IF(ABS(tblTransactions[[#This Row],[net_sales_inr]]-tblTransactions[[#This Row],[Recalc_Net_Sales]])&lt;0.02,"OK","CHECK")</f>
        <v>OK</v>
      </c>
      <c r="M29" s="14">
        <f>DATE(YEAR(tblTransactions[[#This Row],[date]]),MONTH(tblTransactions[[#This Row],[date]]),1)</f>
        <v>45809</v>
      </c>
      <c r="N29" t="str">
        <f>IF(WEEKDAY(tblTransactions[[#This Row],[date]],2)&gt;5,"Weekend","Weekday")</f>
        <v>Weekday</v>
      </c>
      <c r="O29" s="13" t="str">
        <f>IF(tblTransactions[[#This Row],[discount_pct]]=0,"0%",IF(tblTransactions[[#This Row],[discount_pct]]&lt;=10%,"1–
10%",IF(tblTransactions[[#This Row],[discount_pct]]&lt;=20%,"11–20%","&gt;20%")))</f>
        <v>0%</v>
      </c>
      <c r="P29" s="13" t="str">
        <f>_xlfn.XLOOKUP(tblTransactions[[#This Row],[tenant_id]],tblTenants[tenant_id],tblTenants[zone],"NOT FOUND")</f>
        <v>Fashion Avenue</v>
      </c>
      <c r="Q29" s="13" t="str">
        <f>_xlfn.XLOOKUP(tblTransactions[[#This Row],[tenant_id]],tblTenants[tenant_id],tblTenants[category],"NOT FOUND")</f>
        <v>Accessories</v>
      </c>
    </row>
    <row r="30" spans="1:17">
      <c r="A30" t="s">
        <v>65</v>
      </c>
      <c r="B30" s="2">
        <v>45738</v>
      </c>
      <c r="C30">
        <v>17</v>
      </c>
      <c r="D30" t="s">
        <v>11</v>
      </c>
      <c r="E30" t="s">
        <v>12</v>
      </c>
      <c r="F30" s="7">
        <v>1073.82</v>
      </c>
      <c r="G30" s="10">
        <v>0.2</v>
      </c>
      <c r="H30" s="7">
        <v>859.06</v>
      </c>
      <c r="I30">
        <v>1</v>
      </c>
      <c r="J30" t="s">
        <v>16</v>
      </c>
      <c r="K30" s="13">
        <f>ROUND(tblTransactions[[#This Row],[gross_sales_inr]]*(1-tblTransactions[[#This Row],[discount_pct]]),2)</f>
        <v>859.06</v>
      </c>
      <c r="L30" t="str">
        <f>IF(ABS(tblTransactions[[#This Row],[net_sales_inr]]-tblTransactions[[#This Row],[Recalc_Net_Sales]])&lt;0.02,"OK","CHECK")</f>
        <v>OK</v>
      </c>
      <c r="M30" s="14">
        <f>DATE(YEAR(tblTransactions[[#This Row],[date]]),MONTH(tblTransactions[[#This Row],[date]]),1)</f>
        <v>45717</v>
      </c>
      <c r="N30" t="str">
        <f>IF(WEEKDAY(tblTransactions[[#This Row],[date]],2)&gt;5,"Weekend","Weekday")</f>
        <v>Weekend</v>
      </c>
      <c r="O3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" s="13" t="str">
        <f>_xlfn.XLOOKUP(tblTransactions[[#This Row],[tenant_id]],tblTenants[tenant_id],tblTenants[zone],"NOT FOUND")</f>
        <v>Home &amp; Living</v>
      </c>
      <c r="Q30" s="13" t="str">
        <f>_xlfn.XLOOKUP(tblTransactions[[#This Row],[tenant_id]],tblTenants[tenant_id],tblTenants[category],"NOT FOUND")</f>
        <v>Home Decor</v>
      </c>
    </row>
    <row r="31" spans="1:17">
      <c r="A31" t="s">
        <v>66</v>
      </c>
      <c r="B31" s="2">
        <v>45705</v>
      </c>
      <c r="C31">
        <v>13</v>
      </c>
      <c r="D31" t="s">
        <v>59</v>
      </c>
      <c r="E31" t="s">
        <v>12</v>
      </c>
      <c r="F31" s="7">
        <v>979.19</v>
      </c>
      <c r="G31" s="10">
        <v>0</v>
      </c>
      <c r="H31" s="7">
        <v>979.19</v>
      </c>
      <c r="I31">
        <v>2</v>
      </c>
      <c r="J31" t="s">
        <v>16</v>
      </c>
      <c r="K31" s="13">
        <f>ROUND(tblTransactions[[#This Row],[gross_sales_inr]]*(1-tblTransactions[[#This Row],[discount_pct]]),2)</f>
        <v>979.19</v>
      </c>
      <c r="L31" t="str">
        <f>IF(ABS(tblTransactions[[#This Row],[net_sales_inr]]-tblTransactions[[#This Row],[Recalc_Net_Sales]])&lt;0.02,"OK","CHECK")</f>
        <v>OK</v>
      </c>
      <c r="M31" s="14">
        <f>DATE(YEAR(tblTransactions[[#This Row],[date]]),MONTH(tblTransactions[[#This Row],[date]]),1)</f>
        <v>45689</v>
      </c>
      <c r="N31" t="str">
        <f>IF(WEEKDAY(tblTransactions[[#This Row],[date]],2)&gt;5,"Weekend","Weekday")</f>
        <v>Weekday</v>
      </c>
      <c r="O31" s="13" t="str">
        <f>IF(tblTransactions[[#This Row],[discount_pct]]=0,"0%",IF(tblTransactions[[#This Row],[discount_pct]]&lt;=10%,"1–
10%",IF(tblTransactions[[#This Row],[discount_pct]]&lt;=20%,"11–20%","&gt;20%")))</f>
        <v>0%</v>
      </c>
      <c r="P31" s="13" t="str">
        <f>_xlfn.XLOOKUP(tblTransactions[[#This Row],[tenant_id]],tblTenants[tenant_id],tblTenants[zone],"NOT FOUND")</f>
        <v>Fashion Avenue</v>
      </c>
      <c r="Q31" s="13" t="str">
        <f>_xlfn.XLOOKUP(tblTransactions[[#This Row],[tenant_id]],tblTenants[tenant_id],tblTenants[category],"NOT FOUND")</f>
        <v>Footwear</v>
      </c>
    </row>
    <row r="32" spans="1:17">
      <c r="A32" t="s">
        <v>67</v>
      </c>
      <c r="B32" s="2">
        <v>45719</v>
      </c>
      <c r="C32">
        <v>12</v>
      </c>
      <c r="D32" t="s">
        <v>27</v>
      </c>
      <c r="E32" t="s">
        <v>32</v>
      </c>
      <c r="F32" s="7">
        <v>1229.94</v>
      </c>
      <c r="G32" s="10">
        <v>0</v>
      </c>
      <c r="H32" s="7">
        <v>1229.94</v>
      </c>
      <c r="I32">
        <v>6</v>
      </c>
      <c r="J32" t="s">
        <v>13</v>
      </c>
      <c r="K32" s="13">
        <f>ROUND(tblTransactions[[#This Row],[gross_sales_inr]]*(1-tblTransactions[[#This Row],[discount_pct]]),2)</f>
        <v>1229.94</v>
      </c>
      <c r="L32" t="str">
        <f>IF(ABS(tblTransactions[[#This Row],[net_sales_inr]]-tblTransactions[[#This Row],[Recalc_Net_Sales]])&lt;0.02,"OK","CHECK")</f>
        <v>OK</v>
      </c>
      <c r="M32" s="14">
        <f>DATE(YEAR(tblTransactions[[#This Row],[date]]),MONTH(tblTransactions[[#This Row],[date]]),1)</f>
        <v>45717</v>
      </c>
      <c r="N32" t="str">
        <f>IF(WEEKDAY(tblTransactions[[#This Row],[date]],2)&gt;5,"Weekend","Weekday")</f>
        <v>Weekday</v>
      </c>
      <c r="O32" s="13" t="str">
        <f>IF(tblTransactions[[#This Row],[discount_pct]]=0,"0%",IF(tblTransactions[[#This Row],[discount_pct]]&lt;=10%,"1–
10%",IF(tblTransactions[[#This Row],[discount_pct]]&lt;=20%,"11–20%","&gt;20%")))</f>
        <v>0%</v>
      </c>
      <c r="P32" s="13" t="str">
        <f>_xlfn.XLOOKUP(tblTransactions[[#This Row],[tenant_id]],tblTenants[tenant_id],tblTenants[zone],"NOT FOUND")</f>
        <v>Beauty &amp; Wellness</v>
      </c>
      <c r="Q32" s="13" t="str">
        <f>_xlfn.XLOOKUP(tblTransactions[[#This Row],[tenant_id]],tblTenants[tenant_id],tblTenants[category],"NOT FOUND")</f>
        <v>Wellness</v>
      </c>
    </row>
    <row r="33" spans="1:17">
      <c r="A33" t="s">
        <v>68</v>
      </c>
      <c r="B33" s="2">
        <v>45694</v>
      </c>
      <c r="C33">
        <v>16</v>
      </c>
      <c r="D33" t="s">
        <v>61</v>
      </c>
      <c r="E33" t="s">
        <v>32</v>
      </c>
      <c r="F33" s="7">
        <v>696.32</v>
      </c>
      <c r="G33" s="10">
        <v>0</v>
      </c>
      <c r="H33" s="7">
        <v>696.32</v>
      </c>
      <c r="I33">
        <v>3</v>
      </c>
      <c r="J33" t="s">
        <v>13</v>
      </c>
      <c r="K33" s="13">
        <f>ROUND(tblTransactions[[#This Row],[gross_sales_inr]]*(1-tblTransactions[[#This Row],[discount_pct]]),2)</f>
        <v>696.32</v>
      </c>
      <c r="L33" t="str">
        <f>IF(ABS(tblTransactions[[#This Row],[net_sales_inr]]-tblTransactions[[#This Row],[Recalc_Net_Sales]])&lt;0.02,"OK","CHECK")</f>
        <v>OK</v>
      </c>
      <c r="M33" s="14">
        <f>DATE(YEAR(tblTransactions[[#This Row],[date]]),MONTH(tblTransactions[[#This Row],[date]]),1)</f>
        <v>45689</v>
      </c>
      <c r="N33" t="str">
        <f>IF(WEEKDAY(tblTransactions[[#This Row],[date]],2)&gt;5,"Weekend","Weekday")</f>
        <v>Weekday</v>
      </c>
      <c r="O33" s="13" t="str">
        <f>IF(tblTransactions[[#This Row],[discount_pct]]=0,"0%",IF(tblTransactions[[#This Row],[discount_pct]]&lt;=10%,"1–
10%",IF(tblTransactions[[#This Row],[discount_pct]]&lt;=20%,"11–20%","&gt;20%")))</f>
        <v>0%</v>
      </c>
      <c r="P33" s="13" t="str">
        <f>_xlfn.XLOOKUP(tblTransactions[[#This Row],[tenant_id]],tblTenants[tenant_id],tblTenants[zone],"NOT FOUND")</f>
        <v>Food Court</v>
      </c>
      <c r="Q33" s="13" t="str">
        <f>_xlfn.XLOOKUP(tblTransactions[[#This Row],[tenant_id]],tblTenants[tenant_id],tblTenants[category],"NOT FOUND")</f>
        <v>Quick Service</v>
      </c>
    </row>
    <row r="34" spans="1:17">
      <c r="A34" t="s">
        <v>69</v>
      </c>
      <c r="B34" s="2">
        <v>45744</v>
      </c>
      <c r="C34">
        <v>19</v>
      </c>
      <c r="D34" t="s">
        <v>70</v>
      </c>
      <c r="E34" t="s">
        <v>12</v>
      </c>
      <c r="F34" s="7">
        <v>1607.12</v>
      </c>
      <c r="G34" s="10">
        <v>0.15</v>
      </c>
      <c r="H34" s="7">
        <v>1366.05</v>
      </c>
      <c r="I34">
        <v>5</v>
      </c>
      <c r="J34" t="s">
        <v>16</v>
      </c>
      <c r="K34" s="13">
        <f>ROUND(tblTransactions[[#This Row],[gross_sales_inr]]*(1-tblTransactions[[#This Row],[discount_pct]]),2)</f>
        <v>1366.05</v>
      </c>
      <c r="L34" t="str">
        <f>IF(ABS(tblTransactions[[#This Row],[net_sales_inr]]-tblTransactions[[#This Row],[Recalc_Net_Sales]])&lt;0.02,"OK","CHECK")</f>
        <v>OK</v>
      </c>
      <c r="M34" s="14">
        <f>DATE(YEAR(tblTransactions[[#This Row],[date]]),MONTH(tblTransactions[[#This Row],[date]]),1)</f>
        <v>45717</v>
      </c>
      <c r="N34" t="str">
        <f>IF(WEEKDAY(tblTransactions[[#This Row],[date]],2)&gt;5,"Weekend","Weekday")</f>
        <v>Weekday</v>
      </c>
      <c r="O3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4" s="13" t="str">
        <f>_xlfn.XLOOKUP(tblTransactions[[#This Row],[tenant_id]],tblTenants[tenant_id],tblTenants[zone],"NOT FOUND")</f>
        <v>Food Court</v>
      </c>
      <c r="Q34" s="13" t="str">
        <f>_xlfn.XLOOKUP(tblTransactions[[#This Row],[tenant_id]],tblTenants[tenant_id],tblTenants[category],"NOT FOUND")</f>
        <v>Quick Service</v>
      </c>
    </row>
    <row r="35" spans="1:17">
      <c r="A35" t="s">
        <v>71</v>
      </c>
      <c r="B35" s="2">
        <v>45803</v>
      </c>
      <c r="C35">
        <v>22</v>
      </c>
      <c r="D35" t="s">
        <v>72</v>
      </c>
      <c r="E35" t="s">
        <v>32</v>
      </c>
      <c r="F35" s="7">
        <v>1115.24</v>
      </c>
      <c r="G35" s="10">
        <v>0</v>
      </c>
      <c r="H35" s="7">
        <v>1115.24</v>
      </c>
      <c r="I35">
        <v>1</v>
      </c>
      <c r="J35" t="s">
        <v>13</v>
      </c>
      <c r="K35" s="13">
        <f>ROUND(tblTransactions[[#This Row],[gross_sales_inr]]*(1-tblTransactions[[#This Row],[discount_pct]]),2)</f>
        <v>1115.24</v>
      </c>
      <c r="L35" t="str">
        <f>IF(ABS(tblTransactions[[#This Row],[net_sales_inr]]-tblTransactions[[#This Row],[Recalc_Net_Sales]])&lt;0.02,"OK","CHECK")</f>
        <v>OK</v>
      </c>
      <c r="M35" s="14">
        <f>DATE(YEAR(tblTransactions[[#This Row],[date]]),MONTH(tblTransactions[[#This Row],[date]]),1)</f>
        <v>45778</v>
      </c>
      <c r="N35" t="str">
        <f>IF(WEEKDAY(tblTransactions[[#This Row],[date]],2)&gt;5,"Weekend","Weekday")</f>
        <v>Weekday</v>
      </c>
      <c r="O35" s="13" t="str">
        <f>IF(tblTransactions[[#This Row],[discount_pct]]=0,"0%",IF(tblTransactions[[#This Row],[discount_pct]]&lt;=10%,"1–
10%",IF(tblTransactions[[#This Row],[discount_pct]]&lt;=20%,"11–20%","&gt;20%")))</f>
        <v>0%</v>
      </c>
      <c r="P35" s="13" t="str">
        <f>_xlfn.XLOOKUP(tblTransactions[[#This Row],[tenant_id]],tblTenants[tenant_id],tblTenants[zone],"NOT FOUND")</f>
        <v>Entertainment</v>
      </c>
      <c r="Q35" s="13" t="str">
        <f>_xlfn.XLOOKUP(tblTransactions[[#This Row],[tenant_id]],tblTenants[tenant_id],tblTenants[category],"NOT FOUND")</f>
        <v>Arcade</v>
      </c>
    </row>
    <row r="36" spans="1:17">
      <c r="A36" t="s">
        <v>73</v>
      </c>
      <c r="B36" s="2">
        <v>45791</v>
      </c>
      <c r="C36">
        <v>14</v>
      </c>
      <c r="D36" t="s">
        <v>45</v>
      </c>
      <c r="E36" t="s">
        <v>12</v>
      </c>
      <c r="F36" s="7">
        <v>2346.25</v>
      </c>
      <c r="G36" s="10">
        <v>0.2</v>
      </c>
      <c r="H36" s="7">
        <v>1877</v>
      </c>
      <c r="I36">
        <v>2</v>
      </c>
      <c r="J36" t="s">
        <v>16</v>
      </c>
      <c r="K36" s="13">
        <f>ROUND(tblTransactions[[#This Row],[gross_sales_inr]]*(1-tblTransactions[[#This Row],[discount_pct]]),2)</f>
        <v>1877</v>
      </c>
      <c r="L36" t="str">
        <f>IF(ABS(tblTransactions[[#This Row],[net_sales_inr]]-tblTransactions[[#This Row],[Recalc_Net_Sales]])&lt;0.02,"OK","CHECK")</f>
        <v>OK</v>
      </c>
      <c r="M36" s="14">
        <f>DATE(YEAR(tblTransactions[[#This Row],[date]]),MONTH(tblTransactions[[#This Row],[date]]),1)</f>
        <v>45778</v>
      </c>
      <c r="N36" t="str">
        <f>IF(WEEKDAY(tblTransactions[[#This Row],[date]],2)&gt;5,"Weekend","Weekday")</f>
        <v>Weekday</v>
      </c>
      <c r="O3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6" s="13" t="str">
        <f>_xlfn.XLOOKUP(tblTransactions[[#This Row],[tenant_id]],tblTenants[tenant_id],tblTenants[zone],"NOT FOUND")</f>
        <v>Home &amp; Living</v>
      </c>
      <c r="Q36" s="13" t="str">
        <f>_xlfn.XLOOKUP(tblTransactions[[#This Row],[tenant_id]],tblTenants[tenant_id],tblTenants[category],"NOT FOUND")</f>
        <v>Home Decor</v>
      </c>
    </row>
    <row r="37" spans="1:17">
      <c r="A37" t="s">
        <v>74</v>
      </c>
      <c r="B37" s="2">
        <v>45675</v>
      </c>
      <c r="C37">
        <v>15</v>
      </c>
      <c r="D37" t="s">
        <v>25</v>
      </c>
      <c r="E37" t="s">
        <v>12</v>
      </c>
      <c r="F37" s="7">
        <v>1247.72</v>
      </c>
      <c r="G37" s="10">
        <v>0</v>
      </c>
      <c r="H37" s="7">
        <v>1247.72</v>
      </c>
      <c r="I37">
        <v>4</v>
      </c>
      <c r="J37" t="s">
        <v>16</v>
      </c>
      <c r="K37" s="13">
        <f>ROUND(tblTransactions[[#This Row],[gross_sales_inr]]*(1-tblTransactions[[#This Row],[discount_pct]]),2)</f>
        <v>1247.72</v>
      </c>
      <c r="L37" t="str">
        <f>IF(ABS(tblTransactions[[#This Row],[net_sales_inr]]-tblTransactions[[#This Row],[Recalc_Net_Sales]])&lt;0.02,"OK","CHECK")</f>
        <v>OK</v>
      </c>
      <c r="M37" s="14">
        <f>DATE(YEAR(tblTransactions[[#This Row],[date]]),MONTH(tblTransactions[[#This Row],[date]]),1)</f>
        <v>45658</v>
      </c>
      <c r="N37" t="str">
        <f>IF(WEEKDAY(tblTransactions[[#This Row],[date]],2)&gt;5,"Weekend","Weekday")</f>
        <v>Weekend</v>
      </c>
      <c r="O37" s="13" t="str">
        <f>IF(tblTransactions[[#This Row],[discount_pct]]=0,"0%",IF(tblTransactions[[#This Row],[discount_pct]]&lt;=10%,"1–
10%",IF(tblTransactions[[#This Row],[discount_pct]]&lt;=20%,"11–20%","&gt;20%")))</f>
        <v>0%</v>
      </c>
      <c r="P37" s="13" t="str">
        <f>_xlfn.XLOOKUP(tblTransactions[[#This Row],[tenant_id]],tblTenants[tenant_id],tblTenants[zone],"NOT FOUND")</f>
        <v>Beauty &amp; Wellness</v>
      </c>
      <c r="Q37" s="13" t="str">
        <f>_xlfn.XLOOKUP(tblTransactions[[#This Row],[tenant_id]],tblTenants[tenant_id],tblTenants[category],"NOT FOUND")</f>
        <v>Beauty</v>
      </c>
    </row>
    <row r="38" spans="1:17">
      <c r="A38" t="s">
        <v>75</v>
      </c>
      <c r="B38" s="2">
        <v>45812</v>
      </c>
      <c r="C38">
        <v>19</v>
      </c>
      <c r="D38" t="s">
        <v>70</v>
      </c>
      <c r="E38" t="s">
        <v>12</v>
      </c>
      <c r="F38" s="7">
        <v>1559.55</v>
      </c>
      <c r="G38" s="10">
        <v>0</v>
      </c>
      <c r="H38" s="7">
        <v>1559.55</v>
      </c>
      <c r="I38">
        <v>1</v>
      </c>
      <c r="J38" t="s">
        <v>13</v>
      </c>
      <c r="K38" s="13">
        <f>ROUND(tblTransactions[[#This Row],[gross_sales_inr]]*(1-tblTransactions[[#This Row],[discount_pct]]),2)</f>
        <v>1559.55</v>
      </c>
      <c r="L38" t="str">
        <f>IF(ABS(tblTransactions[[#This Row],[net_sales_inr]]-tblTransactions[[#This Row],[Recalc_Net_Sales]])&lt;0.02,"OK","CHECK")</f>
        <v>OK</v>
      </c>
      <c r="M38" s="14">
        <f>DATE(YEAR(tblTransactions[[#This Row],[date]]),MONTH(tblTransactions[[#This Row],[date]]),1)</f>
        <v>45809</v>
      </c>
      <c r="N38" t="str">
        <f>IF(WEEKDAY(tblTransactions[[#This Row],[date]],2)&gt;5,"Weekend","Weekday")</f>
        <v>Weekday</v>
      </c>
      <c r="O38" s="13" t="str">
        <f>IF(tblTransactions[[#This Row],[discount_pct]]=0,"0%",IF(tblTransactions[[#This Row],[discount_pct]]&lt;=10%,"1–
10%",IF(tblTransactions[[#This Row],[discount_pct]]&lt;=20%,"11–20%","&gt;20%")))</f>
        <v>0%</v>
      </c>
      <c r="P38" s="13" t="str">
        <f>_xlfn.XLOOKUP(tblTransactions[[#This Row],[tenant_id]],tblTenants[tenant_id],tblTenants[zone],"NOT FOUND")</f>
        <v>Food Court</v>
      </c>
      <c r="Q38" s="13" t="str">
        <f>_xlfn.XLOOKUP(tblTransactions[[#This Row],[tenant_id]],tblTenants[tenant_id],tblTenants[category],"NOT FOUND")</f>
        <v>Quick Service</v>
      </c>
    </row>
    <row r="39" spans="1:17">
      <c r="A39" t="s">
        <v>76</v>
      </c>
      <c r="B39" s="2">
        <v>45748</v>
      </c>
      <c r="C39">
        <v>11</v>
      </c>
      <c r="D39" t="s">
        <v>61</v>
      </c>
      <c r="E39" t="s">
        <v>12</v>
      </c>
      <c r="F39" s="7">
        <v>3960.96</v>
      </c>
      <c r="G39" s="10">
        <v>0.1</v>
      </c>
      <c r="H39" s="7">
        <v>3564.86</v>
      </c>
      <c r="I39">
        <v>4</v>
      </c>
      <c r="J39" t="s">
        <v>16</v>
      </c>
      <c r="K39" s="13">
        <f>ROUND(tblTransactions[[#This Row],[gross_sales_inr]]*(1-tblTransactions[[#This Row],[discount_pct]]),2)</f>
        <v>3564.86</v>
      </c>
      <c r="L39" t="str">
        <f>IF(ABS(tblTransactions[[#This Row],[net_sales_inr]]-tblTransactions[[#This Row],[Recalc_Net_Sales]])&lt;0.02,"OK","CHECK")</f>
        <v>OK</v>
      </c>
      <c r="M39" s="14">
        <f>DATE(YEAR(tblTransactions[[#This Row],[date]]),MONTH(tblTransactions[[#This Row],[date]]),1)</f>
        <v>45748</v>
      </c>
      <c r="N39" t="str">
        <f>IF(WEEKDAY(tblTransactions[[#This Row],[date]],2)&gt;5,"Weekend","Weekday")</f>
        <v>Weekday</v>
      </c>
      <c r="O3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9" s="13" t="str">
        <f>_xlfn.XLOOKUP(tblTransactions[[#This Row],[tenant_id]],tblTenants[tenant_id],tblTenants[zone],"NOT FOUND")</f>
        <v>Food Court</v>
      </c>
      <c r="Q39" s="13" t="str">
        <f>_xlfn.XLOOKUP(tblTransactions[[#This Row],[tenant_id]],tblTenants[tenant_id],tblTenants[category],"NOT FOUND")</f>
        <v>Quick Service</v>
      </c>
    </row>
    <row r="40" spans="1:17">
      <c r="A40" t="s">
        <v>77</v>
      </c>
      <c r="B40" s="2">
        <v>45778</v>
      </c>
      <c r="C40">
        <v>17</v>
      </c>
      <c r="D40" t="s">
        <v>53</v>
      </c>
      <c r="E40" t="s">
        <v>12</v>
      </c>
      <c r="F40" s="7">
        <v>738.24</v>
      </c>
      <c r="G40" s="10">
        <v>0.3</v>
      </c>
      <c r="H40" s="7">
        <v>516.77</v>
      </c>
      <c r="I40">
        <v>2</v>
      </c>
      <c r="J40" t="s">
        <v>16</v>
      </c>
      <c r="K40" s="13">
        <f>ROUND(tblTransactions[[#This Row],[gross_sales_inr]]*(1-tblTransactions[[#This Row],[discount_pct]]),2)</f>
        <v>516.77</v>
      </c>
      <c r="L40" t="str">
        <f>IF(ABS(tblTransactions[[#This Row],[net_sales_inr]]-tblTransactions[[#This Row],[Recalc_Net_Sales]])&lt;0.02,"OK","CHECK")</f>
        <v>OK</v>
      </c>
      <c r="M40" s="14">
        <f>DATE(YEAR(tblTransactions[[#This Row],[date]]),MONTH(tblTransactions[[#This Row],[date]]),1)</f>
        <v>45778</v>
      </c>
      <c r="N40" t="str">
        <f>IF(WEEKDAY(tblTransactions[[#This Row],[date]],2)&gt;5,"Weekend","Weekday")</f>
        <v>Weekday</v>
      </c>
      <c r="O4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40" s="13" t="str">
        <f>_xlfn.XLOOKUP(tblTransactions[[#This Row],[tenant_id]],tblTenants[tenant_id],tblTenants[zone],"NOT FOUND")</f>
        <v>Beauty &amp; Wellness</v>
      </c>
      <c r="Q40" s="13" t="str">
        <f>_xlfn.XLOOKUP(tblTransactions[[#This Row],[tenant_id]],tblTenants[tenant_id],tblTenants[category],"NOT FOUND")</f>
        <v>Beauty</v>
      </c>
    </row>
    <row r="41" spans="1:17">
      <c r="A41" t="s">
        <v>78</v>
      </c>
      <c r="B41" s="2">
        <v>45808</v>
      </c>
      <c r="C41">
        <v>20</v>
      </c>
      <c r="D41" t="s">
        <v>43</v>
      </c>
      <c r="E41" t="s">
        <v>51</v>
      </c>
      <c r="F41" s="7">
        <v>2485.9899999999998</v>
      </c>
      <c r="G41" s="10">
        <v>0</v>
      </c>
      <c r="H41" s="7">
        <v>2485.9899999999998</v>
      </c>
      <c r="I41">
        <v>1</v>
      </c>
      <c r="J41" t="s">
        <v>13</v>
      </c>
      <c r="K41" s="13">
        <f>ROUND(tblTransactions[[#This Row],[gross_sales_inr]]*(1-tblTransactions[[#This Row],[discount_pct]]),2)</f>
        <v>2485.9899999999998</v>
      </c>
      <c r="L41" t="str">
        <f>IF(ABS(tblTransactions[[#This Row],[net_sales_inr]]-tblTransactions[[#This Row],[Recalc_Net_Sales]])&lt;0.02,"OK","CHECK")</f>
        <v>OK</v>
      </c>
      <c r="M41" s="14">
        <f>DATE(YEAR(tblTransactions[[#This Row],[date]]),MONTH(tblTransactions[[#This Row],[date]]),1)</f>
        <v>45778</v>
      </c>
      <c r="N41" t="str">
        <f>IF(WEEKDAY(tblTransactions[[#This Row],[date]],2)&gt;5,"Weekend","Weekday")</f>
        <v>Weekend</v>
      </c>
      <c r="O41" s="13" t="str">
        <f>IF(tblTransactions[[#This Row],[discount_pct]]=0,"0%",IF(tblTransactions[[#This Row],[discount_pct]]&lt;=10%,"1–
10%",IF(tblTransactions[[#This Row],[discount_pct]]&lt;=20%,"11–20%","&gt;20%")))</f>
        <v>0%</v>
      </c>
      <c r="P41" s="13" t="str">
        <f>_xlfn.XLOOKUP(tblTransactions[[#This Row],[tenant_id]],tblTenants[tenant_id],tblTenants[zone],"NOT FOUND")</f>
        <v>Food Court</v>
      </c>
      <c r="Q41" s="13" t="str">
        <f>_xlfn.XLOOKUP(tblTransactions[[#This Row],[tenant_id]],tblTenants[tenant_id],tblTenants[category],"NOT FOUND")</f>
        <v>Casual Dining</v>
      </c>
    </row>
    <row r="42" spans="1:17">
      <c r="A42" t="s">
        <v>79</v>
      </c>
      <c r="B42" s="2">
        <v>45726</v>
      </c>
      <c r="C42">
        <v>12</v>
      </c>
      <c r="D42" t="s">
        <v>80</v>
      </c>
      <c r="E42" t="s">
        <v>12</v>
      </c>
      <c r="F42" s="7">
        <v>601.08000000000004</v>
      </c>
      <c r="G42" s="10">
        <v>0.1</v>
      </c>
      <c r="H42" s="7">
        <v>540.97</v>
      </c>
      <c r="I42">
        <v>2</v>
      </c>
      <c r="J42" t="s">
        <v>16</v>
      </c>
      <c r="K42" s="13">
        <f>ROUND(tblTransactions[[#This Row],[gross_sales_inr]]*(1-tblTransactions[[#This Row],[discount_pct]]),2)</f>
        <v>540.97</v>
      </c>
      <c r="L42" t="str">
        <f>IF(ABS(tblTransactions[[#This Row],[net_sales_inr]]-tblTransactions[[#This Row],[Recalc_Net_Sales]])&lt;0.02,"OK","CHECK")</f>
        <v>OK</v>
      </c>
      <c r="M42" s="14">
        <f>DATE(YEAR(tblTransactions[[#This Row],[date]]),MONTH(tblTransactions[[#This Row],[date]]),1)</f>
        <v>45717</v>
      </c>
      <c r="N42" t="str">
        <f>IF(WEEKDAY(tblTransactions[[#This Row],[date]],2)&gt;5,"Weekend","Weekday")</f>
        <v>Weekday</v>
      </c>
      <c r="O4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2" s="13" t="str">
        <f>_xlfn.XLOOKUP(tblTransactions[[#This Row],[tenant_id]],tblTenants[tenant_id],tblTenants[zone],"NOT FOUND")</f>
        <v>Food Court</v>
      </c>
      <c r="Q42" s="13" t="str">
        <f>_xlfn.XLOOKUP(tblTransactions[[#This Row],[tenant_id]],tblTenants[tenant_id],tblTenants[category],"NOT FOUND")</f>
        <v>Casual Dining</v>
      </c>
    </row>
    <row r="43" spans="1:17">
      <c r="A43" t="s">
        <v>81</v>
      </c>
      <c r="B43" s="2">
        <v>45804</v>
      </c>
      <c r="C43">
        <v>18</v>
      </c>
      <c r="D43" t="s">
        <v>23</v>
      </c>
      <c r="E43" t="s">
        <v>21</v>
      </c>
      <c r="F43" s="7">
        <v>544.36</v>
      </c>
      <c r="G43" s="10">
        <v>0.2</v>
      </c>
      <c r="H43" s="7">
        <v>435.49</v>
      </c>
      <c r="I43">
        <v>1</v>
      </c>
      <c r="J43" t="s">
        <v>16</v>
      </c>
      <c r="K43" s="13">
        <f>ROUND(tblTransactions[[#This Row],[gross_sales_inr]]*(1-tblTransactions[[#This Row],[discount_pct]]),2)</f>
        <v>435.49</v>
      </c>
      <c r="L43" t="str">
        <f>IF(ABS(tblTransactions[[#This Row],[net_sales_inr]]-tblTransactions[[#This Row],[Recalc_Net_Sales]])&lt;0.02,"OK","CHECK")</f>
        <v>OK</v>
      </c>
      <c r="M43" s="14">
        <f>DATE(YEAR(tblTransactions[[#This Row],[date]]),MONTH(tblTransactions[[#This Row],[date]]),1)</f>
        <v>45778</v>
      </c>
      <c r="N43" t="str">
        <f>IF(WEEKDAY(tblTransactions[[#This Row],[date]],2)&gt;5,"Weekend","Weekday")</f>
        <v>Weekday</v>
      </c>
      <c r="O4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3" s="13" t="str">
        <f>_xlfn.XLOOKUP(tblTransactions[[#This Row],[tenant_id]],tblTenants[tenant_id],tblTenants[zone],"NOT FOUND")</f>
        <v>Entertainment</v>
      </c>
      <c r="Q43" s="13" t="str">
        <f>_xlfn.XLOOKUP(tblTransactions[[#This Row],[tenant_id]],tblTenants[tenant_id],tblTenants[category],"NOT FOUND")</f>
        <v>Cinema</v>
      </c>
    </row>
    <row r="44" spans="1:17">
      <c r="A44" t="s">
        <v>82</v>
      </c>
      <c r="B44" s="2">
        <v>45679</v>
      </c>
      <c r="C44">
        <v>16</v>
      </c>
      <c r="D44" t="s">
        <v>29</v>
      </c>
      <c r="E44" t="s">
        <v>12</v>
      </c>
      <c r="F44" s="7">
        <v>1466.11</v>
      </c>
      <c r="G44" s="10">
        <v>0</v>
      </c>
      <c r="H44" s="7">
        <v>1466.11</v>
      </c>
      <c r="I44">
        <v>6</v>
      </c>
      <c r="J44" t="s">
        <v>13</v>
      </c>
      <c r="K44" s="13">
        <f>ROUND(tblTransactions[[#This Row],[gross_sales_inr]]*(1-tblTransactions[[#This Row],[discount_pct]]),2)</f>
        <v>1466.11</v>
      </c>
      <c r="L44" t="str">
        <f>IF(ABS(tblTransactions[[#This Row],[net_sales_inr]]-tblTransactions[[#This Row],[Recalc_Net_Sales]])&lt;0.02,"OK","CHECK")</f>
        <v>OK</v>
      </c>
      <c r="M44" s="14">
        <f>DATE(YEAR(tblTransactions[[#This Row],[date]]),MONTH(tblTransactions[[#This Row],[date]]),1)</f>
        <v>45658</v>
      </c>
      <c r="N44" t="str">
        <f>IF(WEEKDAY(tblTransactions[[#This Row],[date]],2)&gt;5,"Weekend","Weekday")</f>
        <v>Weekday</v>
      </c>
      <c r="O44" s="13" t="str">
        <f>IF(tblTransactions[[#This Row],[discount_pct]]=0,"0%",IF(tblTransactions[[#This Row],[discount_pct]]&lt;=10%,"1–
10%",IF(tblTransactions[[#This Row],[discount_pct]]&lt;=20%,"11–20%","&gt;20%")))</f>
        <v>0%</v>
      </c>
      <c r="P44" s="13" t="str">
        <f>_xlfn.XLOOKUP(tblTransactions[[#This Row],[tenant_id]],tblTenants[tenant_id],tblTenants[zone],"NOT FOUND")</f>
        <v>Entertainment</v>
      </c>
      <c r="Q44" s="13" t="str">
        <f>_xlfn.XLOOKUP(tblTransactions[[#This Row],[tenant_id]],tblTenants[tenant_id],tblTenants[category],"NOT FOUND")</f>
        <v>Cinema</v>
      </c>
    </row>
    <row r="45" spans="1:17">
      <c r="A45" t="s">
        <v>83</v>
      </c>
      <c r="B45" s="2">
        <v>45686</v>
      </c>
      <c r="C45">
        <v>21</v>
      </c>
      <c r="D45" t="s">
        <v>27</v>
      </c>
      <c r="E45" t="s">
        <v>12</v>
      </c>
      <c r="F45" s="7">
        <v>1424.71</v>
      </c>
      <c r="G45" s="10">
        <v>0.2</v>
      </c>
      <c r="H45" s="7">
        <v>1139.77</v>
      </c>
      <c r="I45">
        <v>1</v>
      </c>
      <c r="J45" t="s">
        <v>13</v>
      </c>
      <c r="K45" s="13">
        <f>ROUND(tblTransactions[[#This Row],[gross_sales_inr]]*(1-tblTransactions[[#This Row],[discount_pct]]),2)</f>
        <v>1139.77</v>
      </c>
      <c r="L45" t="str">
        <f>IF(ABS(tblTransactions[[#This Row],[net_sales_inr]]-tblTransactions[[#This Row],[Recalc_Net_Sales]])&lt;0.02,"OK","CHECK")</f>
        <v>OK</v>
      </c>
      <c r="M45" s="14">
        <f>DATE(YEAR(tblTransactions[[#This Row],[date]]),MONTH(tblTransactions[[#This Row],[date]]),1)</f>
        <v>45658</v>
      </c>
      <c r="N45" t="str">
        <f>IF(WEEKDAY(tblTransactions[[#This Row],[date]],2)&gt;5,"Weekend","Weekday")</f>
        <v>Weekday</v>
      </c>
      <c r="O4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5" s="13" t="str">
        <f>_xlfn.XLOOKUP(tblTransactions[[#This Row],[tenant_id]],tblTenants[tenant_id],tblTenants[zone],"NOT FOUND")</f>
        <v>Beauty &amp; Wellness</v>
      </c>
      <c r="Q45" s="13" t="str">
        <f>_xlfn.XLOOKUP(tblTransactions[[#This Row],[tenant_id]],tblTenants[tenant_id],tblTenants[category],"NOT FOUND")</f>
        <v>Wellness</v>
      </c>
    </row>
    <row r="46" spans="1:17">
      <c r="A46" t="s">
        <v>84</v>
      </c>
      <c r="B46" s="2">
        <v>45775</v>
      </c>
      <c r="C46">
        <v>18</v>
      </c>
      <c r="D46" t="s">
        <v>85</v>
      </c>
      <c r="E46" t="s">
        <v>12</v>
      </c>
      <c r="F46" s="7">
        <v>632.38</v>
      </c>
      <c r="G46" s="10">
        <v>0</v>
      </c>
      <c r="H46" s="7">
        <v>632.38</v>
      </c>
      <c r="I46">
        <v>1</v>
      </c>
      <c r="J46" t="s">
        <v>13</v>
      </c>
      <c r="K46" s="13">
        <f>ROUND(tblTransactions[[#This Row],[gross_sales_inr]]*(1-tblTransactions[[#This Row],[discount_pct]]),2)</f>
        <v>632.38</v>
      </c>
      <c r="L46" t="str">
        <f>IF(ABS(tblTransactions[[#This Row],[net_sales_inr]]-tblTransactions[[#This Row],[Recalc_Net_Sales]])&lt;0.02,"OK","CHECK")</f>
        <v>OK</v>
      </c>
      <c r="M46" s="14">
        <f>DATE(YEAR(tblTransactions[[#This Row],[date]]),MONTH(tblTransactions[[#This Row],[date]]),1)</f>
        <v>45748</v>
      </c>
      <c r="N46" t="str">
        <f>IF(WEEKDAY(tblTransactions[[#This Row],[date]],2)&gt;5,"Weekend","Weekday")</f>
        <v>Weekday</v>
      </c>
      <c r="O46" s="13" t="str">
        <f>IF(tblTransactions[[#This Row],[discount_pct]]=0,"0%",IF(tblTransactions[[#This Row],[discount_pct]]&lt;=10%,"1–
10%",IF(tblTransactions[[#This Row],[discount_pct]]&lt;=20%,"11–20%","&gt;20%")))</f>
        <v>0%</v>
      </c>
      <c r="P46" s="13" t="str">
        <f>_xlfn.XLOOKUP(tblTransactions[[#This Row],[tenant_id]],tblTenants[tenant_id],tblTenants[zone],"NOT FOUND")</f>
        <v>Home &amp; Living</v>
      </c>
      <c r="Q46" s="13" t="str">
        <f>_xlfn.XLOOKUP(tblTransactions[[#This Row],[tenant_id]],tblTenants[tenant_id],tblTenants[category],"NOT FOUND")</f>
        <v>Electronics</v>
      </c>
    </row>
    <row r="47" spans="1:17">
      <c r="A47" t="s">
        <v>86</v>
      </c>
      <c r="B47" s="2">
        <v>45739</v>
      </c>
      <c r="C47">
        <v>13</v>
      </c>
      <c r="D47" t="s">
        <v>87</v>
      </c>
      <c r="E47" t="s">
        <v>12</v>
      </c>
      <c r="F47" s="7">
        <v>1499.17</v>
      </c>
      <c r="G47" s="10">
        <v>0</v>
      </c>
      <c r="H47" s="7">
        <v>1499.17</v>
      </c>
      <c r="I47">
        <v>3</v>
      </c>
      <c r="J47" t="s">
        <v>16</v>
      </c>
      <c r="K47" s="13">
        <f>ROUND(tblTransactions[[#This Row],[gross_sales_inr]]*(1-tblTransactions[[#This Row],[discount_pct]]),2)</f>
        <v>1499.17</v>
      </c>
      <c r="L47" t="str">
        <f>IF(ABS(tblTransactions[[#This Row],[net_sales_inr]]-tblTransactions[[#This Row],[Recalc_Net_Sales]])&lt;0.02,"OK","CHECK")</f>
        <v>OK</v>
      </c>
      <c r="M47" s="14">
        <f>DATE(YEAR(tblTransactions[[#This Row],[date]]),MONTH(tblTransactions[[#This Row],[date]]),1)</f>
        <v>45717</v>
      </c>
      <c r="N47" t="str">
        <f>IF(WEEKDAY(tblTransactions[[#This Row],[date]],2)&gt;5,"Weekend","Weekday")</f>
        <v>Weekend</v>
      </c>
      <c r="O47" s="13" t="str">
        <f>IF(tblTransactions[[#This Row],[discount_pct]]=0,"0%",IF(tblTransactions[[#This Row],[discount_pct]]&lt;=10%,"1–
10%",IF(tblTransactions[[#This Row],[discount_pct]]&lt;=20%,"11–20%","&gt;20%")))</f>
        <v>0%</v>
      </c>
      <c r="P47" s="13" t="str">
        <f>_xlfn.XLOOKUP(tblTransactions[[#This Row],[tenant_id]],tblTenants[tenant_id],tblTenants[zone],"NOT FOUND")</f>
        <v>Fashion Avenue</v>
      </c>
      <c r="Q47" s="13" t="str">
        <f>_xlfn.XLOOKUP(tblTransactions[[#This Row],[tenant_id]],tblTenants[tenant_id],tblTenants[category],"NOT FOUND")</f>
        <v>Footwear</v>
      </c>
    </row>
    <row r="48" spans="1:17">
      <c r="A48" t="s">
        <v>88</v>
      </c>
      <c r="B48" s="2">
        <v>45763</v>
      </c>
      <c r="C48">
        <v>21</v>
      </c>
      <c r="D48" t="s">
        <v>25</v>
      </c>
      <c r="E48" t="s">
        <v>21</v>
      </c>
      <c r="F48" s="7">
        <v>281.29000000000002</v>
      </c>
      <c r="G48" s="10">
        <v>0.2</v>
      </c>
      <c r="H48" s="7">
        <v>225.03</v>
      </c>
      <c r="I48">
        <v>1</v>
      </c>
      <c r="J48" t="s">
        <v>16</v>
      </c>
      <c r="K48" s="13">
        <f>ROUND(tblTransactions[[#This Row],[gross_sales_inr]]*(1-tblTransactions[[#This Row],[discount_pct]]),2)</f>
        <v>225.03</v>
      </c>
      <c r="L48" t="str">
        <f>IF(ABS(tblTransactions[[#This Row],[net_sales_inr]]-tblTransactions[[#This Row],[Recalc_Net_Sales]])&lt;0.02,"OK","CHECK")</f>
        <v>OK</v>
      </c>
      <c r="M48" s="14">
        <f>DATE(YEAR(tblTransactions[[#This Row],[date]]),MONTH(tblTransactions[[#This Row],[date]]),1)</f>
        <v>45748</v>
      </c>
      <c r="N48" t="str">
        <f>IF(WEEKDAY(tblTransactions[[#This Row],[date]],2)&gt;5,"Weekend","Weekday")</f>
        <v>Weekday</v>
      </c>
      <c r="O4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8" s="13" t="str">
        <f>_xlfn.XLOOKUP(tblTransactions[[#This Row],[tenant_id]],tblTenants[tenant_id],tblTenants[zone],"NOT FOUND")</f>
        <v>Beauty &amp; Wellness</v>
      </c>
      <c r="Q48" s="13" t="str">
        <f>_xlfn.XLOOKUP(tblTransactions[[#This Row],[tenant_id]],tblTenants[tenant_id],tblTenants[category],"NOT FOUND")</f>
        <v>Beauty</v>
      </c>
    </row>
    <row r="49" spans="1:17">
      <c r="A49" t="s">
        <v>89</v>
      </c>
      <c r="B49" s="2">
        <v>45792</v>
      </c>
      <c r="C49">
        <v>14</v>
      </c>
      <c r="D49" t="s">
        <v>85</v>
      </c>
      <c r="E49" t="s">
        <v>12</v>
      </c>
      <c r="F49" s="7">
        <v>1348.62</v>
      </c>
      <c r="G49" s="10">
        <v>0</v>
      </c>
      <c r="H49" s="7">
        <v>1348.62</v>
      </c>
      <c r="I49">
        <v>2</v>
      </c>
      <c r="J49" t="s">
        <v>16</v>
      </c>
      <c r="K49" s="13">
        <f>ROUND(tblTransactions[[#This Row],[gross_sales_inr]]*(1-tblTransactions[[#This Row],[discount_pct]]),2)</f>
        <v>1348.62</v>
      </c>
      <c r="L49" t="str">
        <f>IF(ABS(tblTransactions[[#This Row],[net_sales_inr]]-tblTransactions[[#This Row],[Recalc_Net_Sales]])&lt;0.02,"OK","CHECK")</f>
        <v>OK</v>
      </c>
      <c r="M49" s="14">
        <f>DATE(YEAR(tblTransactions[[#This Row],[date]]),MONTH(tblTransactions[[#This Row],[date]]),1)</f>
        <v>45778</v>
      </c>
      <c r="N49" t="str">
        <f>IF(WEEKDAY(tblTransactions[[#This Row],[date]],2)&gt;5,"Weekend","Weekday")</f>
        <v>Weekday</v>
      </c>
      <c r="O49" s="13" t="str">
        <f>IF(tblTransactions[[#This Row],[discount_pct]]=0,"0%",IF(tblTransactions[[#This Row],[discount_pct]]&lt;=10%,"1–
10%",IF(tblTransactions[[#This Row],[discount_pct]]&lt;=20%,"11–20%","&gt;20%")))</f>
        <v>0%</v>
      </c>
      <c r="P49" s="13" t="str">
        <f>_xlfn.XLOOKUP(tblTransactions[[#This Row],[tenant_id]],tblTenants[tenant_id],tblTenants[zone],"NOT FOUND")</f>
        <v>Home &amp; Living</v>
      </c>
      <c r="Q49" s="13" t="str">
        <f>_xlfn.XLOOKUP(tblTransactions[[#This Row],[tenant_id]],tblTenants[tenant_id],tblTenants[category],"NOT FOUND")</f>
        <v>Electronics</v>
      </c>
    </row>
    <row r="50" spans="1:17">
      <c r="A50" t="s">
        <v>90</v>
      </c>
      <c r="B50" s="2">
        <v>45777</v>
      </c>
      <c r="C50">
        <v>13</v>
      </c>
      <c r="D50" t="s">
        <v>55</v>
      </c>
      <c r="E50" t="s">
        <v>12</v>
      </c>
      <c r="F50" s="7">
        <v>282.42</v>
      </c>
      <c r="G50" s="10">
        <v>0</v>
      </c>
      <c r="H50" s="7">
        <v>282.42</v>
      </c>
      <c r="I50">
        <v>2</v>
      </c>
      <c r="J50" t="s">
        <v>13</v>
      </c>
      <c r="K50" s="13">
        <f>ROUND(tblTransactions[[#This Row],[gross_sales_inr]]*(1-tblTransactions[[#This Row],[discount_pct]]),2)</f>
        <v>282.42</v>
      </c>
      <c r="L50" t="str">
        <f>IF(ABS(tblTransactions[[#This Row],[net_sales_inr]]-tblTransactions[[#This Row],[Recalc_Net_Sales]])&lt;0.02,"OK","CHECK")</f>
        <v>OK</v>
      </c>
      <c r="M50" s="14">
        <f>DATE(YEAR(tblTransactions[[#This Row],[date]]),MONTH(tblTransactions[[#This Row],[date]]),1)</f>
        <v>45748</v>
      </c>
      <c r="N50" t="str">
        <f>IF(WEEKDAY(tblTransactions[[#This Row],[date]],2)&gt;5,"Weekend","Weekday")</f>
        <v>Weekday</v>
      </c>
      <c r="O50" s="13" t="str">
        <f>IF(tblTransactions[[#This Row],[discount_pct]]=0,"0%",IF(tblTransactions[[#This Row],[discount_pct]]&lt;=10%,"1–
10%",IF(tblTransactions[[#This Row],[discount_pct]]&lt;=20%,"11–20%","&gt;20%")))</f>
        <v>0%</v>
      </c>
      <c r="P50" s="13" t="str">
        <f>_xlfn.XLOOKUP(tblTransactions[[#This Row],[tenant_id]],tblTenants[tenant_id],tblTenants[zone],"NOT FOUND")</f>
        <v>Food Court</v>
      </c>
      <c r="Q50" s="13" t="str">
        <f>_xlfn.XLOOKUP(tblTransactions[[#This Row],[tenant_id]],tblTenants[tenant_id],tblTenants[category],"NOT FOUND")</f>
        <v>Quick Service</v>
      </c>
    </row>
    <row r="51" spans="1:17">
      <c r="A51" t="s">
        <v>91</v>
      </c>
      <c r="B51" s="2">
        <v>45770</v>
      </c>
      <c r="C51">
        <v>20</v>
      </c>
      <c r="D51" t="s">
        <v>53</v>
      </c>
      <c r="E51" t="s">
        <v>51</v>
      </c>
      <c r="F51" s="7">
        <v>1001.27</v>
      </c>
      <c r="G51" s="10">
        <v>0.1</v>
      </c>
      <c r="H51" s="7">
        <v>901.14</v>
      </c>
      <c r="I51">
        <v>2</v>
      </c>
      <c r="J51" t="s">
        <v>13</v>
      </c>
      <c r="K51" s="13">
        <f>ROUND(tblTransactions[[#This Row],[gross_sales_inr]]*(1-tblTransactions[[#This Row],[discount_pct]]),2)</f>
        <v>901.14</v>
      </c>
      <c r="L51" t="str">
        <f>IF(ABS(tblTransactions[[#This Row],[net_sales_inr]]-tblTransactions[[#This Row],[Recalc_Net_Sales]])&lt;0.02,"OK","CHECK")</f>
        <v>OK</v>
      </c>
      <c r="M51" s="14">
        <f>DATE(YEAR(tblTransactions[[#This Row],[date]]),MONTH(tblTransactions[[#This Row],[date]]),1)</f>
        <v>45748</v>
      </c>
      <c r="N51" t="str">
        <f>IF(WEEKDAY(tblTransactions[[#This Row],[date]],2)&gt;5,"Weekend","Weekday")</f>
        <v>Weekday</v>
      </c>
      <c r="O5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1" s="13" t="str">
        <f>_xlfn.XLOOKUP(tblTransactions[[#This Row],[tenant_id]],tblTenants[tenant_id],tblTenants[zone],"NOT FOUND")</f>
        <v>Beauty &amp; Wellness</v>
      </c>
      <c r="Q51" s="13" t="str">
        <f>_xlfn.XLOOKUP(tblTransactions[[#This Row],[tenant_id]],tblTenants[tenant_id],tblTenants[category],"NOT FOUND")</f>
        <v>Beauty</v>
      </c>
    </row>
    <row r="52" spans="1:17">
      <c r="A52" t="s">
        <v>92</v>
      </c>
      <c r="B52" s="2">
        <v>45822</v>
      </c>
      <c r="C52">
        <v>22</v>
      </c>
      <c r="D52" t="s">
        <v>45</v>
      </c>
      <c r="E52" t="s">
        <v>51</v>
      </c>
      <c r="F52" s="7">
        <v>1631.16</v>
      </c>
      <c r="G52" s="10">
        <v>0</v>
      </c>
      <c r="H52" s="7">
        <v>1631.16</v>
      </c>
      <c r="I52">
        <v>2</v>
      </c>
      <c r="J52" t="s">
        <v>16</v>
      </c>
      <c r="K52" s="13">
        <f>ROUND(tblTransactions[[#This Row],[gross_sales_inr]]*(1-tblTransactions[[#This Row],[discount_pct]]),2)</f>
        <v>1631.16</v>
      </c>
      <c r="L52" t="str">
        <f>IF(ABS(tblTransactions[[#This Row],[net_sales_inr]]-tblTransactions[[#This Row],[Recalc_Net_Sales]])&lt;0.02,"OK","CHECK")</f>
        <v>OK</v>
      </c>
      <c r="M52" s="14">
        <f>DATE(YEAR(tblTransactions[[#This Row],[date]]),MONTH(tblTransactions[[#This Row],[date]]),1)</f>
        <v>45809</v>
      </c>
      <c r="N52" t="str">
        <f>IF(WEEKDAY(tblTransactions[[#This Row],[date]],2)&gt;5,"Weekend","Weekday")</f>
        <v>Weekend</v>
      </c>
      <c r="O52" s="13" t="str">
        <f>IF(tblTransactions[[#This Row],[discount_pct]]=0,"0%",IF(tblTransactions[[#This Row],[discount_pct]]&lt;=10%,"1–
10%",IF(tblTransactions[[#This Row],[discount_pct]]&lt;=20%,"11–20%","&gt;20%")))</f>
        <v>0%</v>
      </c>
      <c r="P52" s="13" t="str">
        <f>_xlfn.XLOOKUP(tblTransactions[[#This Row],[tenant_id]],tblTenants[tenant_id],tblTenants[zone],"NOT FOUND")</f>
        <v>Home &amp; Living</v>
      </c>
      <c r="Q52" s="13" t="str">
        <f>_xlfn.XLOOKUP(tblTransactions[[#This Row],[tenant_id]],tblTenants[tenant_id],tblTenants[category],"NOT FOUND")</f>
        <v>Home Decor</v>
      </c>
    </row>
    <row r="53" spans="1:17">
      <c r="A53" t="s">
        <v>93</v>
      </c>
      <c r="B53" s="2">
        <v>45783</v>
      </c>
      <c r="C53">
        <v>17</v>
      </c>
      <c r="D53" t="s">
        <v>34</v>
      </c>
      <c r="E53" t="s">
        <v>32</v>
      </c>
      <c r="F53" s="7">
        <v>952.45</v>
      </c>
      <c r="G53" s="10">
        <v>0.15</v>
      </c>
      <c r="H53" s="7">
        <v>809.58</v>
      </c>
      <c r="I53">
        <v>3</v>
      </c>
      <c r="J53" t="s">
        <v>13</v>
      </c>
      <c r="K53" s="13">
        <f>ROUND(tblTransactions[[#This Row],[gross_sales_inr]]*(1-tblTransactions[[#This Row],[discount_pct]]),2)</f>
        <v>809.58</v>
      </c>
      <c r="L53" t="str">
        <f>IF(ABS(tblTransactions[[#This Row],[net_sales_inr]]-tblTransactions[[#This Row],[Recalc_Net_Sales]])&lt;0.02,"OK","CHECK")</f>
        <v>OK</v>
      </c>
      <c r="M53" s="14">
        <f>DATE(YEAR(tblTransactions[[#This Row],[date]]),MONTH(tblTransactions[[#This Row],[date]]),1)</f>
        <v>45778</v>
      </c>
      <c r="N53" t="str">
        <f>IF(WEEKDAY(tblTransactions[[#This Row],[date]],2)&gt;5,"Weekend","Weekday")</f>
        <v>Weekday</v>
      </c>
      <c r="O5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3" s="13" t="str">
        <f>_xlfn.XLOOKUP(tblTransactions[[#This Row],[tenant_id]],tblTenants[tenant_id],tblTenants[zone],"NOT FOUND")</f>
        <v>Home &amp; Living</v>
      </c>
      <c r="Q53" s="13" t="str">
        <f>_xlfn.XLOOKUP(tblTransactions[[#This Row],[tenant_id]],tblTenants[tenant_id],tblTenants[category],"NOT FOUND")</f>
        <v>Electronics</v>
      </c>
    </row>
    <row r="54" spans="1:17">
      <c r="A54" t="s">
        <v>94</v>
      </c>
      <c r="B54" s="2">
        <v>45765</v>
      </c>
      <c r="C54">
        <v>17</v>
      </c>
      <c r="D54" t="s">
        <v>11</v>
      </c>
      <c r="E54" t="s">
        <v>21</v>
      </c>
      <c r="F54" s="7">
        <v>572.82000000000005</v>
      </c>
      <c r="G54" s="10">
        <v>0.15</v>
      </c>
      <c r="H54" s="7">
        <v>486.9</v>
      </c>
      <c r="I54">
        <v>1</v>
      </c>
      <c r="J54" t="s">
        <v>13</v>
      </c>
      <c r="K54" s="13">
        <f>ROUND(tblTransactions[[#This Row],[gross_sales_inr]]*(1-tblTransactions[[#This Row],[discount_pct]]),2)</f>
        <v>486.9</v>
      </c>
      <c r="L54" t="str">
        <f>IF(ABS(tblTransactions[[#This Row],[net_sales_inr]]-tblTransactions[[#This Row],[Recalc_Net_Sales]])&lt;0.02,"OK","CHECK")</f>
        <v>OK</v>
      </c>
      <c r="M54" s="14">
        <f>DATE(YEAR(tblTransactions[[#This Row],[date]]),MONTH(tblTransactions[[#This Row],[date]]),1)</f>
        <v>45748</v>
      </c>
      <c r="N54" t="str">
        <f>IF(WEEKDAY(tblTransactions[[#This Row],[date]],2)&gt;5,"Weekend","Weekday")</f>
        <v>Weekday</v>
      </c>
      <c r="O5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4" s="13" t="str">
        <f>_xlfn.XLOOKUP(tblTransactions[[#This Row],[tenant_id]],tblTenants[tenant_id],tblTenants[zone],"NOT FOUND")</f>
        <v>Home &amp; Living</v>
      </c>
      <c r="Q54" s="13" t="str">
        <f>_xlfn.XLOOKUP(tblTransactions[[#This Row],[tenant_id]],tblTenants[tenant_id],tblTenants[category],"NOT FOUND")</f>
        <v>Home Decor</v>
      </c>
    </row>
    <row r="55" spans="1:17">
      <c r="A55" t="s">
        <v>95</v>
      </c>
      <c r="B55" s="2">
        <v>45809</v>
      </c>
      <c r="C55">
        <v>12</v>
      </c>
      <c r="D55" t="s">
        <v>80</v>
      </c>
      <c r="E55" t="s">
        <v>12</v>
      </c>
      <c r="F55" s="7">
        <v>4540.59</v>
      </c>
      <c r="G55" s="10">
        <v>0.1</v>
      </c>
      <c r="H55" s="7">
        <v>4086.53</v>
      </c>
      <c r="I55">
        <v>1</v>
      </c>
      <c r="J55" t="s">
        <v>16</v>
      </c>
      <c r="K55" s="13">
        <f>ROUND(tblTransactions[[#This Row],[gross_sales_inr]]*(1-tblTransactions[[#This Row],[discount_pct]]),2)</f>
        <v>4086.53</v>
      </c>
      <c r="L55" t="str">
        <f>IF(ABS(tblTransactions[[#This Row],[net_sales_inr]]-tblTransactions[[#This Row],[Recalc_Net_Sales]])&lt;0.02,"OK","CHECK")</f>
        <v>OK</v>
      </c>
      <c r="M55" s="14">
        <f>DATE(YEAR(tblTransactions[[#This Row],[date]]),MONTH(tblTransactions[[#This Row],[date]]),1)</f>
        <v>45809</v>
      </c>
      <c r="N55" t="str">
        <f>IF(WEEKDAY(tblTransactions[[#This Row],[date]],2)&gt;5,"Weekend","Weekday")</f>
        <v>Weekend</v>
      </c>
      <c r="O5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5" s="13" t="str">
        <f>_xlfn.XLOOKUP(tblTransactions[[#This Row],[tenant_id]],tblTenants[tenant_id],tblTenants[zone],"NOT FOUND")</f>
        <v>Food Court</v>
      </c>
      <c r="Q55" s="13" t="str">
        <f>_xlfn.XLOOKUP(tblTransactions[[#This Row],[tenant_id]],tblTenants[tenant_id],tblTenants[category],"NOT FOUND")</f>
        <v>Casual Dining</v>
      </c>
    </row>
    <row r="56" spans="1:17">
      <c r="A56" t="s">
        <v>96</v>
      </c>
      <c r="B56" s="2">
        <v>45784</v>
      </c>
      <c r="C56">
        <v>16</v>
      </c>
      <c r="D56" t="s">
        <v>80</v>
      </c>
      <c r="E56" t="s">
        <v>32</v>
      </c>
      <c r="F56" s="7">
        <v>517.88</v>
      </c>
      <c r="G56" s="10">
        <v>0</v>
      </c>
      <c r="H56" s="7">
        <v>517.88</v>
      </c>
      <c r="I56">
        <v>1</v>
      </c>
      <c r="J56" t="s">
        <v>16</v>
      </c>
      <c r="K56" s="13">
        <f>ROUND(tblTransactions[[#This Row],[gross_sales_inr]]*(1-tblTransactions[[#This Row],[discount_pct]]),2)</f>
        <v>517.88</v>
      </c>
      <c r="L56" t="str">
        <f>IF(ABS(tblTransactions[[#This Row],[net_sales_inr]]-tblTransactions[[#This Row],[Recalc_Net_Sales]])&lt;0.02,"OK","CHECK")</f>
        <v>OK</v>
      </c>
      <c r="M56" s="14">
        <f>DATE(YEAR(tblTransactions[[#This Row],[date]]),MONTH(tblTransactions[[#This Row],[date]]),1)</f>
        <v>45778</v>
      </c>
      <c r="N56" t="str">
        <f>IF(WEEKDAY(tblTransactions[[#This Row],[date]],2)&gt;5,"Weekend","Weekday")</f>
        <v>Weekday</v>
      </c>
      <c r="O56" s="13" t="str">
        <f>IF(tblTransactions[[#This Row],[discount_pct]]=0,"0%",IF(tblTransactions[[#This Row],[discount_pct]]&lt;=10%,"1–
10%",IF(tblTransactions[[#This Row],[discount_pct]]&lt;=20%,"11–20%","&gt;20%")))</f>
        <v>0%</v>
      </c>
      <c r="P56" s="13" t="str">
        <f>_xlfn.XLOOKUP(tblTransactions[[#This Row],[tenant_id]],tblTenants[tenant_id],tblTenants[zone],"NOT FOUND")</f>
        <v>Food Court</v>
      </c>
      <c r="Q56" s="13" t="str">
        <f>_xlfn.XLOOKUP(tblTransactions[[#This Row],[tenant_id]],tblTenants[tenant_id],tblTenants[category],"NOT FOUND")</f>
        <v>Casual Dining</v>
      </c>
    </row>
    <row r="57" spans="1:17">
      <c r="A57" t="s">
        <v>97</v>
      </c>
      <c r="B57" s="2">
        <v>45817</v>
      </c>
      <c r="C57">
        <v>22</v>
      </c>
      <c r="D57" t="s">
        <v>98</v>
      </c>
      <c r="E57" t="s">
        <v>12</v>
      </c>
      <c r="F57" s="7">
        <v>558.97</v>
      </c>
      <c r="G57" s="10">
        <v>0.1</v>
      </c>
      <c r="H57" s="7">
        <v>503.07</v>
      </c>
      <c r="I57">
        <v>1</v>
      </c>
      <c r="J57" t="s">
        <v>16</v>
      </c>
      <c r="K57" s="13">
        <f>ROUND(tblTransactions[[#This Row],[gross_sales_inr]]*(1-tblTransactions[[#This Row],[discount_pct]]),2)</f>
        <v>503.07</v>
      </c>
      <c r="L57" t="str">
        <f>IF(ABS(tblTransactions[[#This Row],[net_sales_inr]]-tblTransactions[[#This Row],[Recalc_Net_Sales]])&lt;0.02,"OK","CHECK")</f>
        <v>OK</v>
      </c>
      <c r="M57" s="14">
        <f>DATE(YEAR(tblTransactions[[#This Row],[date]]),MONTH(tblTransactions[[#This Row],[date]]),1)</f>
        <v>45809</v>
      </c>
      <c r="N57" t="str">
        <f>IF(WEEKDAY(tblTransactions[[#This Row],[date]],2)&gt;5,"Weekend","Weekday")</f>
        <v>Weekday</v>
      </c>
      <c r="O5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7" s="13" t="str">
        <f>_xlfn.XLOOKUP(tblTransactions[[#This Row],[tenant_id]],tblTenants[tenant_id],tblTenants[zone],"NOT FOUND")</f>
        <v>Fashion Avenue</v>
      </c>
      <c r="Q57" s="13" t="str">
        <f>_xlfn.XLOOKUP(tblTransactions[[#This Row],[tenant_id]],tblTenants[tenant_id],tblTenants[category],"NOT FOUND")</f>
        <v>Accessories</v>
      </c>
    </row>
    <row r="58" spans="1:17">
      <c r="A58" t="s">
        <v>99</v>
      </c>
      <c r="B58" s="2">
        <v>45671</v>
      </c>
      <c r="C58">
        <v>22</v>
      </c>
      <c r="D58" t="s">
        <v>80</v>
      </c>
      <c r="E58" t="s">
        <v>51</v>
      </c>
      <c r="F58" s="7">
        <v>581.72</v>
      </c>
      <c r="G58" s="10">
        <v>0</v>
      </c>
      <c r="H58" s="7">
        <v>581.72</v>
      </c>
      <c r="I58">
        <v>3</v>
      </c>
      <c r="J58" t="s">
        <v>13</v>
      </c>
      <c r="K58" s="13">
        <f>ROUND(tblTransactions[[#This Row],[gross_sales_inr]]*(1-tblTransactions[[#This Row],[discount_pct]]),2)</f>
        <v>581.72</v>
      </c>
      <c r="L58" t="str">
        <f>IF(ABS(tblTransactions[[#This Row],[net_sales_inr]]-tblTransactions[[#This Row],[Recalc_Net_Sales]])&lt;0.02,"OK","CHECK")</f>
        <v>OK</v>
      </c>
      <c r="M58" s="14">
        <f>DATE(YEAR(tblTransactions[[#This Row],[date]]),MONTH(tblTransactions[[#This Row],[date]]),1)</f>
        <v>45658</v>
      </c>
      <c r="N58" t="str">
        <f>IF(WEEKDAY(tblTransactions[[#This Row],[date]],2)&gt;5,"Weekend","Weekday")</f>
        <v>Weekday</v>
      </c>
      <c r="O58" s="13" t="str">
        <f>IF(tblTransactions[[#This Row],[discount_pct]]=0,"0%",IF(tblTransactions[[#This Row],[discount_pct]]&lt;=10%,"1–
10%",IF(tblTransactions[[#This Row],[discount_pct]]&lt;=20%,"11–20%","&gt;20%")))</f>
        <v>0%</v>
      </c>
      <c r="P58" s="13" t="str">
        <f>_xlfn.XLOOKUP(tblTransactions[[#This Row],[tenant_id]],tblTenants[tenant_id],tblTenants[zone],"NOT FOUND")</f>
        <v>Food Court</v>
      </c>
      <c r="Q58" s="13" t="str">
        <f>_xlfn.XLOOKUP(tblTransactions[[#This Row],[tenant_id]],tblTenants[tenant_id],tblTenants[category],"NOT FOUND")</f>
        <v>Casual Dining</v>
      </c>
    </row>
    <row r="59" spans="1:17">
      <c r="A59" t="s">
        <v>100</v>
      </c>
      <c r="B59" s="2">
        <v>45789</v>
      </c>
      <c r="C59">
        <v>16</v>
      </c>
      <c r="D59" t="s">
        <v>31</v>
      </c>
      <c r="E59" t="s">
        <v>32</v>
      </c>
      <c r="F59" s="7">
        <v>1848.19</v>
      </c>
      <c r="G59" s="10">
        <v>0</v>
      </c>
      <c r="H59" s="7">
        <v>1848.19</v>
      </c>
      <c r="I59">
        <v>2</v>
      </c>
      <c r="J59" t="s">
        <v>13</v>
      </c>
      <c r="K59" s="13">
        <f>ROUND(tblTransactions[[#This Row],[gross_sales_inr]]*(1-tblTransactions[[#This Row],[discount_pct]]),2)</f>
        <v>1848.19</v>
      </c>
      <c r="L59" t="str">
        <f>IF(ABS(tblTransactions[[#This Row],[net_sales_inr]]-tblTransactions[[#This Row],[Recalc_Net_Sales]])&lt;0.02,"OK","CHECK")</f>
        <v>OK</v>
      </c>
      <c r="M59" s="14">
        <f>DATE(YEAR(tblTransactions[[#This Row],[date]]),MONTH(tblTransactions[[#This Row],[date]]),1)</f>
        <v>45778</v>
      </c>
      <c r="N59" t="str">
        <f>IF(WEEKDAY(tblTransactions[[#This Row],[date]],2)&gt;5,"Weekend","Weekday")</f>
        <v>Weekday</v>
      </c>
      <c r="O59" s="13" t="str">
        <f>IF(tblTransactions[[#This Row],[discount_pct]]=0,"0%",IF(tblTransactions[[#This Row],[discount_pct]]&lt;=10%,"1–
10%",IF(tblTransactions[[#This Row],[discount_pct]]&lt;=20%,"11–20%","&gt;20%")))</f>
        <v>0%</v>
      </c>
      <c r="P59" s="13" t="str">
        <f>_xlfn.XLOOKUP(tblTransactions[[#This Row],[tenant_id]],tblTenants[tenant_id],tblTenants[zone],"NOT FOUND")</f>
        <v>Entertainment</v>
      </c>
      <c r="Q59" s="13" t="str">
        <f>_xlfn.XLOOKUP(tblTransactions[[#This Row],[tenant_id]],tblTenants[tenant_id],tblTenants[category],"NOT FOUND")</f>
        <v>Arcade</v>
      </c>
    </row>
    <row r="60" spans="1:17">
      <c r="A60" t="s">
        <v>101</v>
      </c>
      <c r="B60" s="2">
        <v>45771</v>
      </c>
      <c r="C60">
        <v>15</v>
      </c>
      <c r="D60" t="s">
        <v>70</v>
      </c>
      <c r="E60" t="s">
        <v>12</v>
      </c>
      <c r="F60" s="7">
        <v>201.29</v>
      </c>
      <c r="G60" s="10">
        <v>0</v>
      </c>
      <c r="H60" s="7">
        <v>201.29</v>
      </c>
      <c r="I60">
        <v>2</v>
      </c>
      <c r="J60" t="s">
        <v>16</v>
      </c>
      <c r="K60" s="13">
        <f>ROUND(tblTransactions[[#This Row],[gross_sales_inr]]*(1-tblTransactions[[#This Row],[discount_pct]]),2)</f>
        <v>201.29</v>
      </c>
      <c r="L60" t="str">
        <f>IF(ABS(tblTransactions[[#This Row],[net_sales_inr]]-tblTransactions[[#This Row],[Recalc_Net_Sales]])&lt;0.02,"OK","CHECK")</f>
        <v>OK</v>
      </c>
      <c r="M60" s="14">
        <f>DATE(YEAR(tblTransactions[[#This Row],[date]]),MONTH(tblTransactions[[#This Row],[date]]),1)</f>
        <v>45748</v>
      </c>
      <c r="N60" t="str">
        <f>IF(WEEKDAY(tblTransactions[[#This Row],[date]],2)&gt;5,"Weekend","Weekday")</f>
        <v>Weekday</v>
      </c>
      <c r="O60" s="13" t="str">
        <f>IF(tblTransactions[[#This Row],[discount_pct]]=0,"0%",IF(tblTransactions[[#This Row],[discount_pct]]&lt;=10%,"1–
10%",IF(tblTransactions[[#This Row],[discount_pct]]&lt;=20%,"11–20%","&gt;20%")))</f>
        <v>0%</v>
      </c>
      <c r="P60" s="13" t="str">
        <f>_xlfn.XLOOKUP(tblTransactions[[#This Row],[tenant_id]],tblTenants[tenant_id],tblTenants[zone],"NOT FOUND")</f>
        <v>Food Court</v>
      </c>
      <c r="Q60" s="13" t="str">
        <f>_xlfn.XLOOKUP(tblTransactions[[#This Row],[tenant_id]],tblTenants[tenant_id],tblTenants[category],"NOT FOUND")</f>
        <v>Quick Service</v>
      </c>
    </row>
    <row r="61" spans="1:17">
      <c r="A61" t="s">
        <v>102</v>
      </c>
      <c r="B61" s="2">
        <v>45727</v>
      </c>
      <c r="C61">
        <v>12</v>
      </c>
      <c r="D61" t="s">
        <v>36</v>
      </c>
      <c r="E61" t="s">
        <v>21</v>
      </c>
      <c r="F61" s="7">
        <v>821.16</v>
      </c>
      <c r="G61" s="10">
        <v>0.05</v>
      </c>
      <c r="H61" s="7">
        <v>780.1</v>
      </c>
      <c r="I61">
        <v>1</v>
      </c>
      <c r="J61" t="s">
        <v>16</v>
      </c>
      <c r="K61" s="13">
        <f>ROUND(tblTransactions[[#This Row],[gross_sales_inr]]*(1-tblTransactions[[#This Row],[discount_pct]]),2)</f>
        <v>780.1</v>
      </c>
      <c r="L61" t="str">
        <f>IF(ABS(tblTransactions[[#This Row],[net_sales_inr]]-tblTransactions[[#This Row],[Recalc_Net_Sales]])&lt;0.02,"OK","CHECK")</f>
        <v>OK</v>
      </c>
      <c r="M61" s="14">
        <f>DATE(YEAR(tblTransactions[[#This Row],[date]]),MONTH(tblTransactions[[#This Row],[date]]),1)</f>
        <v>45717</v>
      </c>
      <c r="N61" t="str">
        <f>IF(WEEKDAY(tblTransactions[[#This Row],[date]],2)&gt;5,"Weekend","Weekday")</f>
        <v>Weekday</v>
      </c>
      <c r="O6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1" s="13" t="str">
        <f>_xlfn.XLOOKUP(tblTransactions[[#This Row],[tenant_id]],tblTenants[tenant_id],tblTenants[zone],"NOT FOUND")</f>
        <v>Home &amp; Living</v>
      </c>
      <c r="Q61" s="13" t="str">
        <f>_xlfn.XLOOKUP(tblTransactions[[#This Row],[tenant_id]],tblTenants[tenant_id],tblTenants[category],"NOT FOUND")</f>
        <v>Electronics</v>
      </c>
    </row>
    <row r="62" spans="1:17">
      <c r="A62" t="s">
        <v>103</v>
      </c>
      <c r="B62" s="2">
        <v>45662</v>
      </c>
      <c r="C62">
        <v>15</v>
      </c>
      <c r="D62" t="s">
        <v>104</v>
      </c>
      <c r="E62" t="s">
        <v>12</v>
      </c>
      <c r="F62" s="7">
        <v>1979.22</v>
      </c>
      <c r="G62" s="10">
        <v>0</v>
      </c>
      <c r="H62" s="7">
        <v>1979.22</v>
      </c>
      <c r="I62">
        <v>1</v>
      </c>
      <c r="J62" t="s">
        <v>13</v>
      </c>
      <c r="K62" s="13">
        <f>ROUND(tblTransactions[[#This Row],[gross_sales_inr]]*(1-tblTransactions[[#This Row],[discount_pct]]),2)</f>
        <v>1979.22</v>
      </c>
      <c r="L62" t="str">
        <f>IF(ABS(tblTransactions[[#This Row],[net_sales_inr]]-tblTransactions[[#This Row],[Recalc_Net_Sales]])&lt;0.02,"OK","CHECK")</f>
        <v>OK</v>
      </c>
      <c r="M62" s="14">
        <f>DATE(YEAR(tblTransactions[[#This Row],[date]]),MONTH(tblTransactions[[#This Row],[date]]),1)</f>
        <v>45658</v>
      </c>
      <c r="N62" t="str">
        <f>IF(WEEKDAY(tblTransactions[[#This Row],[date]],2)&gt;5,"Weekend","Weekday")</f>
        <v>Weekend</v>
      </c>
      <c r="O62" s="13" t="str">
        <f>IF(tblTransactions[[#This Row],[discount_pct]]=0,"0%",IF(tblTransactions[[#This Row],[discount_pct]]&lt;=10%,"1–
10%",IF(tblTransactions[[#This Row],[discount_pct]]&lt;=20%,"11–20%","&gt;20%")))</f>
        <v>0%</v>
      </c>
      <c r="P62" s="13" t="str">
        <f>_xlfn.XLOOKUP(tblTransactions[[#This Row],[tenant_id]],tblTenants[tenant_id],tblTenants[zone],"NOT FOUND")</f>
        <v>Entertainment</v>
      </c>
      <c r="Q62" s="13" t="str">
        <f>_xlfn.XLOOKUP(tblTransactions[[#This Row],[tenant_id]],tblTenants[tenant_id],tblTenants[category],"NOT FOUND")</f>
        <v>Family Entertainment</v>
      </c>
    </row>
    <row r="63" spans="1:17">
      <c r="A63" t="s">
        <v>105</v>
      </c>
      <c r="B63" s="2">
        <v>45835</v>
      </c>
      <c r="C63">
        <v>16</v>
      </c>
      <c r="D63" t="s">
        <v>104</v>
      </c>
      <c r="E63" t="s">
        <v>21</v>
      </c>
      <c r="F63" s="7">
        <v>2106.77</v>
      </c>
      <c r="G63" s="10">
        <v>0</v>
      </c>
      <c r="H63" s="7">
        <v>2106.77</v>
      </c>
      <c r="I63">
        <v>1</v>
      </c>
      <c r="J63" t="s">
        <v>13</v>
      </c>
      <c r="K63" s="13">
        <f>ROUND(tblTransactions[[#This Row],[gross_sales_inr]]*(1-tblTransactions[[#This Row],[discount_pct]]),2)</f>
        <v>2106.77</v>
      </c>
      <c r="L63" t="str">
        <f>IF(ABS(tblTransactions[[#This Row],[net_sales_inr]]-tblTransactions[[#This Row],[Recalc_Net_Sales]])&lt;0.02,"OK","CHECK")</f>
        <v>OK</v>
      </c>
      <c r="M63" s="14">
        <f>DATE(YEAR(tblTransactions[[#This Row],[date]]),MONTH(tblTransactions[[#This Row],[date]]),1)</f>
        <v>45809</v>
      </c>
      <c r="N63" t="str">
        <f>IF(WEEKDAY(tblTransactions[[#This Row],[date]],2)&gt;5,"Weekend","Weekday")</f>
        <v>Weekday</v>
      </c>
      <c r="O63" s="13" t="str">
        <f>IF(tblTransactions[[#This Row],[discount_pct]]=0,"0%",IF(tblTransactions[[#This Row],[discount_pct]]&lt;=10%,"1–
10%",IF(tblTransactions[[#This Row],[discount_pct]]&lt;=20%,"11–20%","&gt;20%")))</f>
        <v>0%</v>
      </c>
      <c r="P63" s="13" t="str">
        <f>_xlfn.XLOOKUP(tblTransactions[[#This Row],[tenant_id]],tblTenants[tenant_id],tblTenants[zone],"NOT FOUND")</f>
        <v>Entertainment</v>
      </c>
      <c r="Q63" s="13" t="str">
        <f>_xlfn.XLOOKUP(tblTransactions[[#This Row],[tenant_id]],tblTenants[tenant_id],tblTenants[category],"NOT FOUND")</f>
        <v>Family Entertainment</v>
      </c>
    </row>
    <row r="64" spans="1:17">
      <c r="A64" t="s">
        <v>106</v>
      </c>
      <c r="B64" s="2">
        <v>45675</v>
      </c>
      <c r="C64">
        <v>17</v>
      </c>
      <c r="D64" t="s">
        <v>15</v>
      </c>
      <c r="E64" t="s">
        <v>12</v>
      </c>
      <c r="F64" s="7">
        <v>1725.66</v>
      </c>
      <c r="G64" s="10">
        <v>0</v>
      </c>
      <c r="H64" s="7">
        <v>1725.66</v>
      </c>
      <c r="I64">
        <v>1</v>
      </c>
      <c r="J64" t="s">
        <v>16</v>
      </c>
      <c r="K64" s="13">
        <f>ROUND(tblTransactions[[#This Row],[gross_sales_inr]]*(1-tblTransactions[[#This Row],[discount_pct]]),2)</f>
        <v>1725.66</v>
      </c>
      <c r="L64" t="str">
        <f>IF(ABS(tblTransactions[[#This Row],[net_sales_inr]]-tblTransactions[[#This Row],[Recalc_Net_Sales]])&lt;0.02,"OK","CHECK")</f>
        <v>OK</v>
      </c>
      <c r="M64" s="14">
        <f>DATE(YEAR(tblTransactions[[#This Row],[date]]),MONTH(tblTransactions[[#This Row],[date]]),1)</f>
        <v>45658</v>
      </c>
      <c r="N64" t="str">
        <f>IF(WEEKDAY(tblTransactions[[#This Row],[date]],2)&gt;5,"Weekend","Weekday")</f>
        <v>Weekend</v>
      </c>
      <c r="O64" s="13" t="str">
        <f>IF(tblTransactions[[#This Row],[discount_pct]]=0,"0%",IF(tblTransactions[[#This Row],[discount_pct]]&lt;=10%,"1–
10%",IF(tblTransactions[[#This Row],[discount_pct]]&lt;=20%,"11–20%","&gt;20%")))</f>
        <v>0%</v>
      </c>
      <c r="P64" s="13" t="str">
        <f>_xlfn.XLOOKUP(tblTransactions[[#This Row],[tenant_id]],tblTenants[tenant_id],tblTenants[zone],"NOT FOUND")</f>
        <v>Fashion Avenue</v>
      </c>
      <c r="Q64" s="13" t="str">
        <f>_xlfn.XLOOKUP(tblTransactions[[#This Row],[tenant_id]],tblTenants[tenant_id],tblTenants[category],"NOT FOUND")</f>
        <v>Accessories</v>
      </c>
    </row>
    <row r="65" spans="1:17">
      <c r="A65" t="s">
        <v>107</v>
      </c>
      <c r="B65" s="2">
        <v>45760</v>
      </c>
      <c r="C65">
        <v>19</v>
      </c>
      <c r="D65" t="s">
        <v>20</v>
      </c>
      <c r="E65" t="s">
        <v>12</v>
      </c>
      <c r="F65" s="7">
        <v>831.06</v>
      </c>
      <c r="G65" s="10">
        <v>0.1</v>
      </c>
      <c r="H65" s="7">
        <v>747.95</v>
      </c>
      <c r="I65">
        <v>4</v>
      </c>
      <c r="J65" t="s">
        <v>13</v>
      </c>
      <c r="K65" s="13">
        <f>ROUND(tblTransactions[[#This Row],[gross_sales_inr]]*(1-tblTransactions[[#This Row],[discount_pct]]),2)</f>
        <v>747.95</v>
      </c>
      <c r="L65" t="str">
        <f>IF(ABS(tblTransactions[[#This Row],[net_sales_inr]]-tblTransactions[[#This Row],[Recalc_Net_Sales]])&lt;0.02,"OK","CHECK")</f>
        <v>OK</v>
      </c>
      <c r="M65" s="14">
        <f>DATE(YEAR(tblTransactions[[#This Row],[date]]),MONTH(tblTransactions[[#This Row],[date]]),1)</f>
        <v>45748</v>
      </c>
      <c r="N65" t="str">
        <f>IF(WEEKDAY(tblTransactions[[#This Row],[date]],2)&gt;5,"Weekend","Weekday")</f>
        <v>Weekend</v>
      </c>
      <c r="O6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5" s="13" t="str">
        <f>_xlfn.XLOOKUP(tblTransactions[[#This Row],[tenant_id]],tblTenants[tenant_id],tblTenants[zone],"NOT FOUND")</f>
        <v>Fashion Avenue</v>
      </c>
      <c r="Q65" s="13" t="str">
        <f>_xlfn.XLOOKUP(tblTransactions[[#This Row],[tenant_id]],tblTenants[tenant_id],tblTenants[category],"NOT FOUND")</f>
        <v>Accessories</v>
      </c>
    </row>
    <row r="66" spans="1:17">
      <c r="A66" t="s">
        <v>108</v>
      </c>
      <c r="B66" s="2">
        <v>45671</v>
      </c>
      <c r="C66">
        <v>17</v>
      </c>
      <c r="D66" t="s">
        <v>23</v>
      </c>
      <c r="E66" t="s">
        <v>12</v>
      </c>
      <c r="F66" s="7">
        <v>773.57</v>
      </c>
      <c r="G66" s="10">
        <v>0</v>
      </c>
      <c r="H66" s="7">
        <v>773.57</v>
      </c>
      <c r="I66">
        <v>2</v>
      </c>
      <c r="J66" t="s">
        <v>13</v>
      </c>
      <c r="K66" s="13">
        <f>ROUND(tblTransactions[[#This Row],[gross_sales_inr]]*(1-tblTransactions[[#This Row],[discount_pct]]),2)</f>
        <v>773.57</v>
      </c>
      <c r="L66" t="str">
        <f>IF(ABS(tblTransactions[[#This Row],[net_sales_inr]]-tblTransactions[[#This Row],[Recalc_Net_Sales]])&lt;0.02,"OK","CHECK")</f>
        <v>OK</v>
      </c>
      <c r="M66" s="14">
        <f>DATE(YEAR(tblTransactions[[#This Row],[date]]),MONTH(tblTransactions[[#This Row],[date]]),1)</f>
        <v>45658</v>
      </c>
      <c r="N66" t="str">
        <f>IF(WEEKDAY(tblTransactions[[#This Row],[date]],2)&gt;5,"Weekend","Weekday")</f>
        <v>Weekday</v>
      </c>
      <c r="O66" s="13" t="str">
        <f>IF(tblTransactions[[#This Row],[discount_pct]]=0,"0%",IF(tblTransactions[[#This Row],[discount_pct]]&lt;=10%,"1–
10%",IF(tblTransactions[[#This Row],[discount_pct]]&lt;=20%,"11–20%","&gt;20%")))</f>
        <v>0%</v>
      </c>
      <c r="P66" s="13" t="str">
        <f>_xlfn.XLOOKUP(tblTransactions[[#This Row],[tenant_id]],tblTenants[tenant_id],tblTenants[zone],"NOT FOUND")</f>
        <v>Entertainment</v>
      </c>
      <c r="Q66" s="13" t="str">
        <f>_xlfn.XLOOKUP(tblTransactions[[#This Row],[tenant_id]],tblTenants[tenant_id],tblTenants[category],"NOT FOUND")</f>
        <v>Cinema</v>
      </c>
    </row>
    <row r="67" spans="1:17">
      <c r="A67" t="s">
        <v>109</v>
      </c>
      <c r="B67" s="2">
        <v>45811</v>
      </c>
      <c r="C67">
        <v>20</v>
      </c>
      <c r="D67" t="s">
        <v>36</v>
      </c>
      <c r="E67" t="s">
        <v>51</v>
      </c>
      <c r="F67" s="7">
        <v>3320.92</v>
      </c>
      <c r="G67" s="10">
        <v>0.05</v>
      </c>
      <c r="H67" s="7">
        <v>3154.87</v>
      </c>
      <c r="I67">
        <v>1</v>
      </c>
      <c r="J67" t="s">
        <v>13</v>
      </c>
      <c r="K67" s="13">
        <f>ROUND(tblTransactions[[#This Row],[gross_sales_inr]]*(1-tblTransactions[[#This Row],[discount_pct]]),2)</f>
        <v>3154.87</v>
      </c>
      <c r="L67" t="str">
        <f>IF(ABS(tblTransactions[[#This Row],[net_sales_inr]]-tblTransactions[[#This Row],[Recalc_Net_Sales]])&lt;0.02,"OK","CHECK")</f>
        <v>OK</v>
      </c>
      <c r="M67" s="14">
        <f>DATE(YEAR(tblTransactions[[#This Row],[date]]),MONTH(tblTransactions[[#This Row],[date]]),1)</f>
        <v>45809</v>
      </c>
      <c r="N67" t="str">
        <f>IF(WEEKDAY(tblTransactions[[#This Row],[date]],2)&gt;5,"Weekend","Weekday")</f>
        <v>Weekday</v>
      </c>
      <c r="O6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7" s="13" t="str">
        <f>_xlfn.XLOOKUP(tblTransactions[[#This Row],[tenant_id]],tblTenants[tenant_id],tblTenants[zone],"NOT FOUND")</f>
        <v>Home &amp; Living</v>
      </c>
      <c r="Q67" s="13" t="str">
        <f>_xlfn.XLOOKUP(tblTransactions[[#This Row],[tenant_id]],tblTenants[tenant_id],tblTenants[category],"NOT FOUND")</f>
        <v>Electronics</v>
      </c>
    </row>
    <row r="68" spans="1:17">
      <c r="A68" t="s">
        <v>110</v>
      </c>
      <c r="B68" s="2">
        <v>45828</v>
      </c>
      <c r="C68">
        <v>11</v>
      </c>
      <c r="D68" t="s">
        <v>61</v>
      </c>
      <c r="E68" t="s">
        <v>32</v>
      </c>
      <c r="F68" s="7">
        <v>2297.81</v>
      </c>
      <c r="G68" s="10">
        <v>0.2</v>
      </c>
      <c r="H68" s="7">
        <v>1838.25</v>
      </c>
      <c r="I68">
        <v>1</v>
      </c>
      <c r="J68" t="s">
        <v>13</v>
      </c>
      <c r="K68" s="13">
        <f>ROUND(tblTransactions[[#This Row],[gross_sales_inr]]*(1-tblTransactions[[#This Row],[discount_pct]]),2)</f>
        <v>1838.25</v>
      </c>
      <c r="L68" t="str">
        <f>IF(ABS(tblTransactions[[#This Row],[net_sales_inr]]-tblTransactions[[#This Row],[Recalc_Net_Sales]])&lt;0.02,"OK","CHECK")</f>
        <v>OK</v>
      </c>
      <c r="M68" s="14">
        <f>DATE(YEAR(tblTransactions[[#This Row],[date]]),MONTH(tblTransactions[[#This Row],[date]]),1)</f>
        <v>45809</v>
      </c>
      <c r="N68" t="str">
        <f>IF(WEEKDAY(tblTransactions[[#This Row],[date]],2)&gt;5,"Weekend","Weekday")</f>
        <v>Weekday</v>
      </c>
      <c r="O6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8" s="13" t="str">
        <f>_xlfn.XLOOKUP(tblTransactions[[#This Row],[tenant_id]],tblTenants[tenant_id],tblTenants[zone],"NOT FOUND")</f>
        <v>Food Court</v>
      </c>
      <c r="Q68" s="13" t="str">
        <f>_xlfn.XLOOKUP(tblTransactions[[#This Row],[tenant_id]],tblTenants[tenant_id],tblTenants[category],"NOT FOUND")</f>
        <v>Quick Service</v>
      </c>
    </row>
    <row r="69" spans="1:17">
      <c r="A69" t="s">
        <v>111</v>
      </c>
      <c r="B69" s="2">
        <v>45777</v>
      </c>
      <c r="C69">
        <v>14</v>
      </c>
      <c r="D69" t="s">
        <v>61</v>
      </c>
      <c r="E69" t="s">
        <v>12</v>
      </c>
      <c r="F69" s="7">
        <v>791.75</v>
      </c>
      <c r="G69" s="10">
        <v>0.05</v>
      </c>
      <c r="H69" s="7">
        <v>752.16</v>
      </c>
      <c r="I69">
        <v>1</v>
      </c>
      <c r="J69" t="s">
        <v>16</v>
      </c>
      <c r="K69" s="13">
        <f>ROUND(tblTransactions[[#This Row],[gross_sales_inr]]*(1-tblTransactions[[#This Row],[discount_pct]]),2)</f>
        <v>752.16</v>
      </c>
      <c r="L69" t="str">
        <f>IF(ABS(tblTransactions[[#This Row],[net_sales_inr]]-tblTransactions[[#This Row],[Recalc_Net_Sales]])&lt;0.02,"OK","CHECK")</f>
        <v>OK</v>
      </c>
      <c r="M69" s="14">
        <f>DATE(YEAR(tblTransactions[[#This Row],[date]]),MONTH(tblTransactions[[#This Row],[date]]),1)</f>
        <v>45748</v>
      </c>
      <c r="N69" t="str">
        <f>IF(WEEKDAY(tblTransactions[[#This Row],[date]],2)&gt;5,"Weekend","Weekday")</f>
        <v>Weekday</v>
      </c>
      <c r="O6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9" s="13" t="str">
        <f>_xlfn.XLOOKUP(tblTransactions[[#This Row],[tenant_id]],tblTenants[tenant_id],tblTenants[zone],"NOT FOUND")</f>
        <v>Food Court</v>
      </c>
      <c r="Q69" s="13" t="str">
        <f>_xlfn.XLOOKUP(tblTransactions[[#This Row],[tenant_id]],tblTenants[tenant_id],tblTenants[category],"NOT FOUND")</f>
        <v>Quick Service</v>
      </c>
    </row>
    <row r="70" spans="1:17">
      <c r="A70" t="s">
        <v>112</v>
      </c>
      <c r="B70" s="2">
        <v>45813</v>
      </c>
      <c r="C70">
        <v>12</v>
      </c>
      <c r="D70" t="s">
        <v>59</v>
      </c>
      <c r="E70" t="s">
        <v>12</v>
      </c>
      <c r="F70" s="7">
        <v>1320.62</v>
      </c>
      <c r="G70" s="10">
        <v>0.2</v>
      </c>
      <c r="H70" s="7">
        <v>1056.5</v>
      </c>
      <c r="I70">
        <v>3</v>
      </c>
      <c r="J70" t="s">
        <v>13</v>
      </c>
      <c r="K70" s="13">
        <f>ROUND(tblTransactions[[#This Row],[gross_sales_inr]]*(1-tblTransactions[[#This Row],[discount_pct]]),2)</f>
        <v>1056.5</v>
      </c>
      <c r="L70" t="str">
        <f>IF(ABS(tblTransactions[[#This Row],[net_sales_inr]]-tblTransactions[[#This Row],[Recalc_Net_Sales]])&lt;0.02,"OK","CHECK")</f>
        <v>OK</v>
      </c>
      <c r="M70" s="14">
        <f>DATE(YEAR(tblTransactions[[#This Row],[date]]),MONTH(tblTransactions[[#This Row],[date]]),1)</f>
        <v>45809</v>
      </c>
      <c r="N70" t="str">
        <f>IF(WEEKDAY(tblTransactions[[#This Row],[date]],2)&gt;5,"Weekend","Weekday")</f>
        <v>Weekday</v>
      </c>
      <c r="O7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0" s="13" t="str">
        <f>_xlfn.XLOOKUP(tblTransactions[[#This Row],[tenant_id]],tblTenants[tenant_id],tblTenants[zone],"NOT FOUND")</f>
        <v>Fashion Avenue</v>
      </c>
      <c r="Q70" s="13" t="str">
        <f>_xlfn.XLOOKUP(tblTransactions[[#This Row],[tenant_id]],tblTenants[tenant_id],tblTenants[category],"NOT FOUND")</f>
        <v>Footwear</v>
      </c>
    </row>
    <row r="71" spans="1:17">
      <c r="A71" t="s">
        <v>113</v>
      </c>
      <c r="B71" s="2">
        <v>45766</v>
      </c>
      <c r="C71">
        <v>13</v>
      </c>
      <c r="D71" t="s">
        <v>23</v>
      </c>
      <c r="E71" t="s">
        <v>12</v>
      </c>
      <c r="F71" s="7">
        <v>1299.18</v>
      </c>
      <c r="G71" s="10">
        <v>0</v>
      </c>
      <c r="H71" s="7">
        <v>1299.18</v>
      </c>
      <c r="I71">
        <v>3</v>
      </c>
      <c r="J71" t="s">
        <v>13</v>
      </c>
      <c r="K71" s="13">
        <f>ROUND(tblTransactions[[#This Row],[gross_sales_inr]]*(1-tblTransactions[[#This Row],[discount_pct]]),2)</f>
        <v>1299.18</v>
      </c>
      <c r="L71" t="str">
        <f>IF(ABS(tblTransactions[[#This Row],[net_sales_inr]]-tblTransactions[[#This Row],[Recalc_Net_Sales]])&lt;0.02,"OK","CHECK")</f>
        <v>OK</v>
      </c>
      <c r="M71" s="14">
        <f>DATE(YEAR(tblTransactions[[#This Row],[date]]),MONTH(tblTransactions[[#This Row],[date]]),1)</f>
        <v>45748</v>
      </c>
      <c r="N71" t="str">
        <f>IF(WEEKDAY(tblTransactions[[#This Row],[date]],2)&gt;5,"Weekend","Weekday")</f>
        <v>Weekend</v>
      </c>
      <c r="O71" s="13" t="str">
        <f>IF(tblTransactions[[#This Row],[discount_pct]]=0,"0%",IF(tblTransactions[[#This Row],[discount_pct]]&lt;=10%,"1–
10%",IF(tblTransactions[[#This Row],[discount_pct]]&lt;=20%,"11–20%","&gt;20%")))</f>
        <v>0%</v>
      </c>
      <c r="P71" s="13" t="str">
        <f>_xlfn.XLOOKUP(tblTransactions[[#This Row],[tenant_id]],tblTenants[tenant_id],tblTenants[zone],"NOT FOUND")</f>
        <v>Entertainment</v>
      </c>
      <c r="Q71" s="13" t="str">
        <f>_xlfn.XLOOKUP(tblTransactions[[#This Row],[tenant_id]],tblTenants[tenant_id],tblTenants[category],"NOT FOUND")</f>
        <v>Cinema</v>
      </c>
    </row>
    <row r="72" spans="1:17">
      <c r="A72" t="s">
        <v>114</v>
      </c>
      <c r="B72" s="2">
        <v>45706</v>
      </c>
      <c r="C72">
        <v>21</v>
      </c>
      <c r="D72" t="s">
        <v>61</v>
      </c>
      <c r="E72" t="s">
        <v>32</v>
      </c>
      <c r="F72" s="7">
        <v>1867.16</v>
      </c>
      <c r="G72" s="10">
        <v>0</v>
      </c>
      <c r="H72" s="7">
        <v>1867.16</v>
      </c>
      <c r="I72">
        <v>2</v>
      </c>
      <c r="J72" t="s">
        <v>16</v>
      </c>
      <c r="K72" s="13">
        <f>ROUND(tblTransactions[[#This Row],[gross_sales_inr]]*(1-tblTransactions[[#This Row],[discount_pct]]),2)</f>
        <v>1867.16</v>
      </c>
      <c r="L72" t="str">
        <f>IF(ABS(tblTransactions[[#This Row],[net_sales_inr]]-tblTransactions[[#This Row],[Recalc_Net_Sales]])&lt;0.02,"OK","CHECK")</f>
        <v>OK</v>
      </c>
      <c r="M72" s="14">
        <f>DATE(YEAR(tblTransactions[[#This Row],[date]]),MONTH(tblTransactions[[#This Row],[date]]),1)</f>
        <v>45689</v>
      </c>
      <c r="N72" t="str">
        <f>IF(WEEKDAY(tblTransactions[[#This Row],[date]],2)&gt;5,"Weekend","Weekday")</f>
        <v>Weekday</v>
      </c>
      <c r="O72" s="13" t="str">
        <f>IF(tblTransactions[[#This Row],[discount_pct]]=0,"0%",IF(tblTransactions[[#This Row],[discount_pct]]&lt;=10%,"1–
10%",IF(tblTransactions[[#This Row],[discount_pct]]&lt;=20%,"11–20%","&gt;20%")))</f>
        <v>0%</v>
      </c>
      <c r="P72" s="13" t="str">
        <f>_xlfn.XLOOKUP(tblTransactions[[#This Row],[tenant_id]],tblTenants[tenant_id],tblTenants[zone],"NOT FOUND")</f>
        <v>Food Court</v>
      </c>
      <c r="Q72" s="13" t="str">
        <f>_xlfn.XLOOKUP(tblTransactions[[#This Row],[tenant_id]],tblTenants[tenant_id],tblTenants[category],"NOT FOUND")</f>
        <v>Quick Service</v>
      </c>
    </row>
    <row r="73" spans="1:17">
      <c r="A73" t="s">
        <v>115</v>
      </c>
      <c r="B73" s="2">
        <v>45764</v>
      </c>
      <c r="C73">
        <v>17</v>
      </c>
      <c r="D73" t="s">
        <v>27</v>
      </c>
      <c r="E73" t="s">
        <v>12</v>
      </c>
      <c r="F73" s="7">
        <v>502.52</v>
      </c>
      <c r="G73" s="10">
        <v>0</v>
      </c>
      <c r="H73" s="7">
        <v>502.52</v>
      </c>
      <c r="I73">
        <v>1</v>
      </c>
      <c r="J73" t="s">
        <v>13</v>
      </c>
      <c r="K73" s="13">
        <f>ROUND(tblTransactions[[#This Row],[gross_sales_inr]]*(1-tblTransactions[[#This Row],[discount_pct]]),2)</f>
        <v>502.52</v>
      </c>
      <c r="L73" t="str">
        <f>IF(ABS(tblTransactions[[#This Row],[net_sales_inr]]-tblTransactions[[#This Row],[Recalc_Net_Sales]])&lt;0.02,"OK","CHECK")</f>
        <v>OK</v>
      </c>
      <c r="M73" s="14">
        <f>DATE(YEAR(tblTransactions[[#This Row],[date]]),MONTH(tblTransactions[[#This Row],[date]]),1)</f>
        <v>45748</v>
      </c>
      <c r="N73" t="str">
        <f>IF(WEEKDAY(tblTransactions[[#This Row],[date]],2)&gt;5,"Weekend","Weekday")</f>
        <v>Weekday</v>
      </c>
      <c r="O73" s="13" t="str">
        <f>IF(tblTransactions[[#This Row],[discount_pct]]=0,"0%",IF(tblTransactions[[#This Row],[discount_pct]]&lt;=10%,"1–
10%",IF(tblTransactions[[#This Row],[discount_pct]]&lt;=20%,"11–20%","&gt;20%")))</f>
        <v>0%</v>
      </c>
      <c r="P73" s="13" t="str">
        <f>_xlfn.XLOOKUP(tblTransactions[[#This Row],[tenant_id]],tblTenants[tenant_id],tblTenants[zone],"NOT FOUND")</f>
        <v>Beauty &amp; Wellness</v>
      </c>
      <c r="Q73" s="13" t="str">
        <f>_xlfn.XLOOKUP(tblTransactions[[#This Row],[tenant_id]],tblTenants[tenant_id],tblTenants[category],"NOT FOUND")</f>
        <v>Wellness</v>
      </c>
    </row>
    <row r="74" spans="1:17">
      <c r="A74" t="s">
        <v>116</v>
      </c>
      <c r="B74" s="2">
        <v>45768</v>
      </c>
      <c r="C74">
        <v>16</v>
      </c>
      <c r="D74" t="s">
        <v>29</v>
      </c>
      <c r="E74" t="s">
        <v>21</v>
      </c>
      <c r="F74" s="7">
        <v>1413.81</v>
      </c>
      <c r="G74" s="10">
        <v>0.15</v>
      </c>
      <c r="H74" s="7">
        <v>1201.74</v>
      </c>
      <c r="I74">
        <v>1</v>
      </c>
      <c r="J74" t="s">
        <v>13</v>
      </c>
      <c r="K74" s="13">
        <f>ROUND(tblTransactions[[#This Row],[gross_sales_inr]]*(1-tblTransactions[[#This Row],[discount_pct]]),2)</f>
        <v>1201.74</v>
      </c>
      <c r="L74" t="str">
        <f>IF(ABS(tblTransactions[[#This Row],[net_sales_inr]]-tblTransactions[[#This Row],[Recalc_Net_Sales]])&lt;0.02,"OK","CHECK")</f>
        <v>OK</v>
      </c>
      <c r="M74" s="14">
        <f>DATE(YEAR(tblTransactions[[#This Row],[date]]),MONTH(tblTransactions[[#This Row],[date]]),1)</f>
        <v>45748</v>
      </c>
      <c r="N74" t="str">
        <f>IF(WEEKDAY(tblTransactions[[#This Row],[date]],2)&gt;5,"Weekend","Weekday")</f>
        <v>Weekday</v>
      </c>
      <c r="O7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4" s="13" t="str">
        <f>_xlfn.XLOOKUP(tblTransactions[[#This Row],[tenant_id]],tblTenants[tenant_id],tblTenants[zone],"NOT FOUND")</f>
        <v>Entertainment</v>
      </c>
      <c r="Q74" s="13" t="str">
        <f>_xlfn.XLOOKUP(tblTransactions[[#This Row],[tenant_id]],tblTenants[tenant_id],tblTenants[category],"NOT FOUND")</f>
        <v>Cinema</v>
      </c>
    </row>
    <row r="75" spans="1:17">
      <c r="A75" t="s">
        <v>117</v>
      </c>
      <c r="B75" s="2">
        <v>45818</v>
      </c>
      <c r="C75">
        <v>13</v>
      </c>
      <c r="D75" t="s">
        <v>63</v>
      </c>
      <c r="E75" t="s">
        <v>32</v>
      </c>
      <c r="F75" s="7">
        <v>2071.4899999999998</v>
      </c>
      <c r="G75" s="10">
        <v>0.2</v>
      </c>
      <c r="H75" s="7">
        <v>1657.19</v>
      </c>
      <c r="I75">
        <v>6</v>
      </c>
      <c r="J75" t="s">
        <v>13</v>
      </c>
      <c r="K75" s="13">
        <f>ROUND(tblTransactions[[#This Row],[gross_sales_inr]]*(1-tblTransactions[[#This Row],[discount_pct]]),2)</f>
        <v>1657.19</v>
      </c>
      <c r="L75" t="str">
        <f>IF(ABS(tblTransactions[[#This Row],[net_sales_inr]]-tblTransactions[[#This Row],[Recalc_Net_Sales]])&lt;0.02,"OK","CHECK")</f>
        <v>OK</v>
      </c>
      <c r="M75" s="14">
        <f>DATE(YEAR(tblTransactions[[#This Row],[date]]),MONTH(tblTransactions[[#This Row],[date]]),1)</f>
        <v>45809</v>
      </c>
      <c r="N75" t="str">
        <f>IF(WEEKDAY(tblTransactions[[#This Row],[date]],2)&gt;5,"Weekend","Weekday")</f>
        <v>Weekday</v>
      </c>
      <c r="O7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5" s="13" t="str">
        <f>_xlfn.XLOOKUP(tblTransactions[[#This Row],[tenant_id]],tblTenants[tenant_id],tblTenants[zone],"NOT FOUND")</f>
        <v>Entertainment</v>
      </c>
      <c r="Q75" s="13" t="str">
        <f>_xlfn.XLOOKUP(tblTransactions[[#This Row],[tenant_id]],tblTenants[tenant_id],tblTenants[category],"NOT FOUND")</f>
        <v>Family Entertainment</v>
      </c>
    </row>
    <row r="76" spans="1:17">
      <c r="A76" t="s">
        <v>118</v>
      </c>
      <c r="B76" s="2">
        <v>45693</v>
      </c>
      <c r="C76">
        <v>15</v>
      </c>
      <c r="D76" t="s">
        <v>57</v>
      </c>
      <c r="E76" t="s">
        <v>32</v>
      </c>
      <c r="F76" s="7">
        <v>4893.87</v>
      </c>
      <c r="G76" s="10">
        <v>0</v>
      </c>
      <c r="H76" s="7">
        <v>4893.87</v>
      </c>
      <c r="I76">
        <v>1</v>
      </c>
      <c r="J76" t="s">
        <v>13</v>
      </c>
      <c r="K76" s="13">
        <f>ROUND(tblTransactions[[#This Row],[gross_sales_inr]]*(1-tblTransactions[[#This Row],[discount_pct]]),2)</f>
        <v>4893.87</v>
      </c>
      <c r="L76" t="str">
        <f>IF(ABS(tblTransactions[[#This Row],[net_sales_inr]]-tblTransactions[[#This Row],[Recalc_Net_Sales]])&lt;0.02,"OK","CHECK")</f>
        <v>OK</v>
      </c>
      <c r="M76" s="14">
        <f>DATE(YEAR(tblTransactions[[#This Row],[date]]),MONTH(tblTransactions[[#This Row],[date]]),1)</f>
        <v>45689</v>
      </c>
      <c r="N76" t="str">
        <f>IF(WEEKDAY(tblTransactions[[#This Row],[date]],2)&gt;5,"Weekend","Weekday")</f>
        <v>Weekday</v>
      </c>
      <c r="O76" s="13" t="str">
        <f>IF(tblTransactions[[#This Row],[discount_pct]]=0,"0%",IF(tblTransactions[[#This Row],[discount_pct]]&lt;=10%,"1–
10%",IF(tblTransactions[[#This Row],[discount_pct]]&lt;=20%,"11–20%","&gt;20%")))</f>
        <v>0%</v>
      </c>
      <c r="P76" s="13" t="str">
        <f>_xlfn.XLOOKUP(tblTransactions[[#This Row],[tenant_id]],tblTenants[tenant_id],tblTenants[zone],"NOT FOUND")</f>
        <v>Food Court</v>
      </c>
      <c r="Q76" s="13" t="str">
        <f>_xlfn.XLOOKUP(tblTransactions[[#This Row],[tenant_id]],tblTenants[tenant_id],tblTenants[category],"NOT FOUND")</f>
        <v>Casual Dining</v>
      </c>
    </row>
    <row r="77" spans="1:17">
      <c r="A77" t="s">
        <v>119</v>
      </c>
      <c r="B77" s="2">
        <v>45700</v>
      </c>
      <c r="C77">
        <v>11</v>
      </c>
      <c r="D77" t="s">
        <v>63</v>
      </c>
      <c r="E77" t="s">
        <v>12</v>
      </c>
      <c r="F77" s="7">
        <v>808.37</v>
      </c>
      <c r="G77" s="10">
        <v>0.15</v>
      </c>
      <c r="H77" s="7">
        <v>687.11</v>
      </c>
      <c r="I77">
        <v>5</v>
      </c>
      <c r="J77" t="s">
        <v>13</v>
      </c>
      <c r="K77" s="13">
        <f>ROUND(tblTransactions[[#This Row],[gross_sales_inr]]*(1-tblTransactions[[#This Row],[discount_pct]]),2)</f>
        <v>687.11</v>
      </c>
      <c r="L77" t="str">
        <f>IF(ABS(tblTransactions[[#This Row],[net_sales_inr]]-tblTransactions[[#This Row],[Recalc_Net_Sales]])&lt;0.02,"OK","CHECK")</f>
        <v>OK</v>
      </c>
      <c r="M77" s="14">
        <f>DATE(YEAR(tblTransactions[[#This Row],[date]]),MONTH(tblTransactions[[#This Row],[date]]),1)</f>
        <v>45689</v>
      </c>
      <c r="N77" t="str">
        <f>IF(WEEKDAY(tblTransactions[[#This Row],[date]],2)&gt;5,"Weekend","Weekday")</f>
        <v>Weekday</v>
      </c>
      <c r="O7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7" s="13" t="str">
        <f>_xlfn.XLOOKUP(tblTransactions[[#This Row],[tenant_id]],tblTenants[tenant_id],tblTenants[zone],"NOT FOUND")</f>
        <v>Entertainment</v>
      </c>
      <c r="Q77" s="13" t="str">
        <f>_xlfn.XLOOKUP(tblTransactions[[#This Row],[tenant_id]],tblTenants[tenant_id],tblTenants[category],"NOT FOUND")</f>
        <v>Family Entertainment</v>
      </c>
    </row>
    <row r="78" spans="1:17">
      <c r="A78" t="s">
        <v>120</v>
      </c>
      <c r="B78" s="2">
        <v>45677</v>
      </c>
      <c r="C78">
        <v>13</v>
      </c>
      <c r="D78" t="s">
        <v>23</v>
      </c>
      <c r="E78" t="s">
        <v>21</v>
      </c>
      <c r="F78" s="7">
        <v>599.22</v>
      </c>
      <c r="G78" s="10">
        <v>0.1</v>
      </c>
      <c r="H78" s="7">
        <v>539.29999999999995</v>
      </c>
      <c r="I78">
        <v>3</v>
      </c>
      <c r="J78" t="s">
        <v>13</v>
      </c>
      <c r="K78" s="13">
        <f>ROUND(tblTransactions[[#This Row],[gross_sales_inr]]*(1-tblTransactions[[#This Row],[discount_pct]]),2)</f>
        <v>539.29999999999995</v>
      </c>
      <c r="L78" t="str">
        <f>IF(ABS(tblTransactions[[#This Row],[net_sales_inr]]-tblTransactions[[#This Row],[Recalc_Net_Sales]])&lt;0.02,"OK","CHECK")</f>
        <v>OK</v>
      </c>
      <c r="M78" s="14">
        <f>DATE(YEAR(tblTransactions[[#This Row],[date]]),MONTH(tblTransactions[[#This Row],[date]]),1)</f>
        <v>45658</v>
      </c>
      <c r="N78" t="str">
        <f>IF(WEEKDAY(tblTransactions[[#This Row],[date]],2)&gt;5,"Weekend","Weekday")</f>
        <v>Weekday</v>
      </c>
      <c r="O7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8" s="13" t="str">
        <f>_xlfn.XLOOKUP(tblTransactions[[#This Row],[tenant_id]],tblTenants[tenant_id],tblTenants[zone],"NOT FOUND")</f>
        <v>Entertainment</v>
      </c>
      <c r="Q78" s="13" t="str">
        <f>_xlfn.XLOOKUP(tblTransactions[[#This Row],[tenant_id]],tblTenants[tenant_id],tblTenants[category],"NOT FOUND")</f>
        <v>Cinema</v>
      </c>
    </row>
    <row r="79" spans="1:17">
      <c r="A79" t="s">
        <v>121</v>
      </c>
      <c r="B79" s="2">
        <v>45794</v>
      </c>
      <c r="C79">
        <v>14</v>
      </c>
      <c r="D79" t="s">
        <v>122</v>
      </c>
      <c r="E79" t="s">
        <v>32</v>
      </c>
      <c r="F79" s="7">
        <v>1710.64</v>
      </c>
      <c r="G79" s="10">
        <v>0.3</v>
      </c>
      <c r="H79" s="7">
        <v>1197.45</v>
      </c>
      <c r="I79">
        <v>3</v>
      </c>
      <c r="J79" t="s">
        <v>13</v>
      </c>
      <c r="K79" s="13">
        <f>ROUND(tblTransactions[[#This Row],[gross_sales_inr]]*(1-tblTransactions[[#This Row],[discount_pct]]),2)</f>
        <v>1197.45</v>
      </c>
      <c r="L79" t="str">
        <f>IF(ABS(tblTransactions[[#This Row],[net_sales_inr]]-tblTransactions[[#This Row],[Recalc_Net_Sales]])&lt;0.02,"OK","CHECK")</f>
        <v>OK</v>
      </c>
      <c r="M79" s="14">
        <f>DATE(YEAR(tblTransactions[[#This Row],[date]]),MONTH(tblTransactions[[#This Row],[date]]),1)</f>
        <v>45778</v>
      </c>
      <c r="N79" t="str">
        <f>IF(WEEKDAY(tblTransactions[[#This Row],[date]],2)&gt;5,"Weekend","Weekday")</f>
        <v>Weekend</v>
      </c>
      <c r="O79" s="13" t="str">
        <f>IF(tblTransactions[[#This Row],[discount_pct]]=0,"0%",IF(tblTransactions[[#This Row],[discount_pct]]&lt;=10%,"1–
10%",IF(tblTransactions[[#This Row],[discount_pct]]&lt;=20%,"11–20%","&gt;20%")))</f>
        <v>&gt;20%</v>
      </c>
      <c r="P79" s="13" t="str">
        <f>_xlfn.XLOOKUP(tblTransactions[[#This Row],[tenant_id]],tblTenants[tenant_id],tblTenants[zone],"NOT FOUND")</f>
        <v>Beauty &amp; Wellness</v>
      </c>
      <c r="Q79" s="13" t="str">
        <f>_xlfn.XLOOKUP(tblTransactions[[#This Row],[tenant_id]],tblTenants[tenant_id],tblTenants[category],"NOT FOUND")</f>
        <v>Wellness</v>
      </c>
    </row>
    <row r="80" spans="1:17">
      <c r="A80" t="s">
        <v>123</v>
      </c>
      <c r="B80" s="2">
        <v>45778</v>
      </c>
      <c r="C80">
        <v>10</v>
      </c>
      <c r="D80" t="s">
        <v>63</v>
      </c>
      <c r="E80" t="s">
        <v>32</v>
      </c>
      <c r="F80" s="7">
        <v>263.87</v>
      </c>
      <c r="G80" s="10">
        <v>0</v>
      </c>
      <c r="H80" s="7">
        <v>263.87</v>
      </c>
      <c r="I80">
        <v>2</v>
      </c>
      <c r="J80" t="s">
        <v>13</v>
      </c>
      <c r="K80" s="13">
        <f>ROUND(tblTransactions[[#This Row],[gross_sales_inr]]*(1-tblTransactions[[#This Row],[discount_pct]]),2)</f>
        <v>263.87</v>
      </c>
      <c r="L80" t="str">
        <f>IF(ABS(tblTransactions[[#This Row],[net_sales_inr]]-tblTransactions[[#This Row],[Recalc_Net_Sales]])&lt;0.02,"OK","CHECK")</f>
        <v>OK</v>
      </c>
      <c r="M80" s="14">
        <f>DATE(YEAR(tblTransactions[[#This Row],[date]]),MONTH(tblTransactions[[#This Row],[date]]),1)</f>
        <v>45778</v>
      </c>
      <c r="N80" t="str">
        <f>IF(WEEKDAY(tblTransactions[[#This Row],[date]],2)&gt;5,"Weekend","Weekday")</f>
        <v>Weekday</v>
      </c>
      <c r="O80" s="13" t="str">
        <f>IF(tblTransactions[[#This Row],[discount_pct]]=0,"0%",IF(tblTransactions[[#This Row],[discount_pct]]&lt;=10%,"1–
10%",IF(tblTransactions[[#This Row],[discount_pct]]&lt;=20%,"11–20%","&gt;20%")))</f>
        <v>0%</v>
      </c>
      <c r="P80" s="13" t="str">
        <f>_xlfn.XLOOKUP(tblTransactions[[#This Row],[tenant_id]],tblTenants[tenant_id],tblTenants[zone],"NOT FOUND")</f>
        <v>Entertainment</v>
      </c>
      <c r="Q80" s="13" t="str">
        <f>_xlfn.XLOOKUP(tblTransactions[[#This Row],[tenant_id]],tblTenants[tenant_id],tblTenants[category],"NOT FOUND")</f>
        <v>Family Entertainment</v>
      </c>
    </row>
    <row r="81" spans="1:17">
      <c r="A81" t="s">
        <v>124</v>
      </c>
      <c r="B81" s="2">
        <v>45694</v>
      </c>
      <c r="C81">
        <v>10</v>
      </c>
      <c r="D81" t="s">
        <v>61</v>
      </c>
      <c r="E81" t="s">
        <v>32</v>
      </c>
      <c r="F81" s="7">
        <v>837.86</v>
      </c>
      <c r="G81" s="10">
        <v>0.1</v>
      </c>
      <c r="H81" s="7">
        <v>754.07</v>
      </c>
      <c r="I81">
        <v>3</v>
      </c>
      <c r="J81" t="s">
        <v>13</v>
      </c>
      <c r="K81" s="13">
        <f>ROUND(tblTransactions[[#This Row],[gross_sales_inr]]*(1-tblTransactions[[#This Row],[discount_pct]]),2)</f>
        <v>754.07</v>
      </c>
      <c r="L81" t="str">
        <f>IF(ABS(tblTransactions[[#This Row],[net_sales_inr]]-tblTransactions[[#This Row],[Recalc_Net_Sales]])&lt;0.02,"OK","CHECK")</f>
        <v>OK</v>
      </c>
      <c r="M81" s="14">
        <f>DATE(YEAR(tblTransactions[[#This Row],[date]]),MONTH(tblTransactions[[#This Row],[date]]),1)</f>
        <v>45689</v>
      </c>
      <c r="N81" t="str">
        <f>IF(WEEKDAY(tblTransactions[[#This Row],[date]],2)&gt;5,"Weekend","Weekday")</f>
        <v>Weekday</v>
      </c>
      <c r="O8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1" s="13" t="str">
        <f>_xlfn.XLOOKUP(tblTransactions[[#This Row],[tenant_id]],tblTenants[tenant_id],tblTenants[zone],"NOT FOUND")</f>
        <v>Food Court</v>
      </c>
      <c r="Q81" s="13" t="str">
        <f>_xlfn.XLOOKUP(tblTransactions[[#This Row],[tenant_id]],tblTenants[tenant_id],tblTenants[category],"NOT FOUND")</f>
        <v>Quick Service</v>
      </c>
    </row>
    <row r="82" spans="1:17">
      <c r="A82" t="s">
        <v>125</v>
      </c>
      <c r="B82" s="2">
        <v>45692</v>
      </c>
      <c r="C82">
        <v>22</v>
      </c>
      <c r="D82" t="s">
        <v>25</v>
      </c>
      <c r="E82" t="s">
        <v>32</v>
      </c>
      <c r="F82" s="7">
        <v>599.79</v>
      </c>
      <c r="G82" s="10">
        <v>0.1</v>
      </c>
      <c r="H82" s="7">
        <v>539.80999999999995</v>
      </c>
      <c r="I82">
        <v>1</v>
      </c>
      <c r="J82" t="s">
        <v>16</v>
      </c>
      <c r="K82" s="13">
        <f>ROUND(tblTransactions[[#This Row],[gross_sales_inr]]*(1-tblTransactions[[#This Row],[discount_pct]]),2)</f>
        <v>539.80999999999995</v>
      </c>
      <c r="L82" t="str">
        <f>IF(ABS(tblTransactions[[#This Row],[net_sales_inr]]-tblTransactions[[#This Row],[Recalc_Net_Sales]])&lt;0.02,"OK","CHECK")</f>
        <v>OK</v>
      </c>
      <c r="M82" s="14">
        <f>DATE(YEAR(tblTransactions[[#This Row],[date]]),MONTH(tblTransactions[[#This Row],[date]]),1)</f>
        <v>45689</v>
      </c>
      <c r="N82" t="str">
        <f>IF(WEEKDAY(tblTransactions[[#This Row],[date]],2)&gt;5,"Weekend","Weekday")</f>
        <v>Weekday</v>
      </c>
      <c r="O8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2" s="13" t="str">
        <f>_xlfn.XLOOKUP(tblTransactions[[#This Row],[tenant_id]],tblTenants[tenant_id],tblTenants[zone],"NOT FOUND")</f>
        <v>Beauty &amp; Wellness</v>
      </c>
      <c r="Q82" s="13" t="str">
        <f>_xlfn.XLOOKUP(tblTransactions[[#This Row],[tenant_id]],tblTenants[tenant_id],tblTenants[category],"NOT FOUND")</f>
        <v>Beauty</v>
      </c>
    </row>
    <row r="83" spans="1:17">
      <c r="A83" t="s">
        <v>126</v>
      </c>
      <c r="B83" s="2">
        <v>45754</v>
      </c>
      <c r="C83">
        <v>16</v>
      </c>
      <c r="D83" t="s">
        <v>87</v>
      </c>
      <c r="E83" t="s">
        <v>12</v>
      </c>
      <c r="F83" s="7">
        <v>201.96</v>
      </c>
      <c r="G83" s="10">
        <v>0.1</v>
      </c>
      <c r="H83" s="7">
        <v>181.76</v>
      </c>
      <c r="I83">
        <v>3</v>
      </c>
      <c r="J83" t="s">
        <v>16</v>
      </c>
      <c r="K83" s="13">
        <f>ROUND(tblTransactions[[#This Row],[gross_sales_inr]]*(1-tblTransactions[[#This Row],[discount_pct]]),2)</f>
        <v>181.76</v>
      </c>
      <c r="L83" t="str">
        <f>IF(ABS(tblTransactions[[#This Row],[net_sales_inr]]-tblTransactions[[#This Row],[Recalc_Net_Sales]])&lt;0.02,"OK","CHECK")</f>
        <v>OK</v>
      </c>
      <c r="M83" s="14">
        <f>DATE(YEAR(tblTransactions[[#This Row],[date]]),MONTH(tblTransactions[[#This Row],[date]]),1)</f>
        <v>45748</v>
      </c>
      <c r="N83" t="str">
        <f>IF(WEEKDAY(tblTransactions[[#This Row],[date]],2)&gt;5,"Weekend","Weekday")</f>
        <v>Weekday</v>
      </c>
      <c r="O8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3" s="13" t="str">
        <f>_xlfn.XLOOKUP(tblTransactions[[#This Row],[tenant_id]],tblTenants[tenant_id],tblTenants[zone],"NOT FOUND")</f>
        <v>Fashion Avenue</v>
      </c>
      <c r="Q83" s="13" t="str">
        <f>_xlfn.XLOOKUP(tblTransactions[[#This Row],[tenant_id]],tblTenants[tenant_id],tblTenants[category],"NOT FOUND")</f>
        <v>Footwear</v>
      </c>
    </row>
    <row r="84" spans="1:17">
      <c r="A84" t="s">
        <v>127</v>
      </c>
      <c r="B84" s="2">
        <v>45660</v>
      </c>
      <c r="C84">
        <v>22</v>
      </c>
      <c r="D84" t="s">
        <v>63</v>
      </c>
      <c r="E84" t="s">
        <v>12</v>
      </c>
      <c r="F84" s="7">
        <v>1942.01</v>
      </c>
      <c r="G84" s="10">
        <v>0.1</v>
      </c>
      <c r="H84" s="7">
        <v>1747.81</v>
      </c>
      <c r="I84">
        <v>2</v>
      </c>
      <c r="J84" t="s">
        <v>13</v>
      </c>
      <c r="K84" s="13">
        <f>ROUND(tblTransactions[[#This Row],[gross_sales_inr]]*(1-tblTransactions[[#This Row],[discount_pct]]),2)</f>
        <v>1747.81</v>
      </c>
      <c r="L84" t="str">
        <f>IF(ABS(tblTransactions[[#This Row],[net_sales_inr]]-tblTransactions[[#This Row],[Recalc_Net_Sales]])&lt;0.02,"OK","CHECK")</f>
        <v>OK</v>
      </c>
      <c r="M84" s="14">
        <f>DATE(YEAR(tblTransactions[[#This Row],[date]]),MONTH(tblTransactions[[#This Row],[date]]),1)</f>
        <v>45658</v>
      </c>
      <c r="N84" t="str">
        <f>IF(WEEKDAY(tblTransactions[[#This Row],[date]],2)&gt;5,"Weekend","Weekday")</f>
        <v>Weekday</v>
      </c>
      <c r="O8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4" s="13" t="str">
        <f>_xlfn.XLOOKUP(tblTransactions[[#This Row],[tenant_id]],tblTenants[tenant_id],tblTenants[zone],"NOT FOUND")</f>
        <v>Entertainment</v>
      </c>
      <c r="Q84" s="13" t="str">
        <f>_xlfn.XLOOKUP(tblTransactions[[#This Row],[tenant_id]],tblTenants[tenant_id],tblTenants[category],"NOT FOUND")</f>
        <v>Family Entertainment</v>
      </c>
    </row>
    <row r="85" spans="1:17">
      <c r="A85" t="s">
        <v>128</v>
      </c>
      <c r="B85" s="2">
        <v>45764</v>
      </c>
      <c r="C85">
        <v>19</v>
      </c>
      <c r="D85" t="s">
        <v>61</v>
      </c>
      <c r="E85" t="s">
        <v>12</v>
      </c>
      <c r="F85" s="7">
        <v>786.45</v>
      </c>
      <c r="G85" s="10">
        <v>0</v>
      </c>
      <c r="H85" s="7">
        <v>786.45</v>
      </c>
      <c r="I85">
        <v>1</v>
      </c>
      <c r="J85" t="s">
        <v>16</v>
      </c>
      <c r="K85" s="13">
        <f>ROUND(tblTransactions[[#This Row],[gross_sales_inr]]*(1-tblTransactions[[#This Row],[discount_pct]]),2)</f>
        <v>786.45</v>
      </c>
      <c r="L85" t="str">
        <f>IF(ABS(tblTransactions[[#This Row],[net_sales_inr]]-tblTransactions[[#This Row],[Recalc_Net_Sales]])&lt;0.02,"OK","CHECK")</f>
        <v>OK</v>
      </c>
      <c r="M85" s="14">
        <f>DATE(YEAR(tblTransactions[[#This Row],[date]]),MONTH(tblTransactions[[#This Row],[date]]),1)</f>
        <v>45748</v>
      </c>
      <c r="N85" t="str">
        <f>IF(WEEKDAY(tblTransactions[[#This Row],[date]],2)&gt;5,"Weekend","Weekday")</f>
        <v>Weekday</v>
      </c>
      <c r="O85" s="13" t="str">
        <f>IF(tblTransactions[[#This Row],[discount_pct]]=0,"0%",IF(tblTransactions[[#This Row],[discount_pct]]&lt;=10%,"1–
10%",IF(tblTransactions[[#This Row],[discount_pct]]&lt;=20%,"11–20%","&gt;20%")))</f>
        <v>0%</v>
      </c>
      <c r="P85" s="13" t="str">
        <f>_xlfn.XLOOKUP(tblTransactions[[#This Row],[tenant_id]],tblTenants[tenant_id],tblTenants[zone],"NOT FOUND")</f>
        <v>Food Court</v>
      </c>
      <c r="Q85" s="13" t="str">
        <f>_xlfn.XLOOKUP(tblTransactions[[#This Row],[tenant_id]],tblTenants[tenant_id],tblTenants[category],"NOT FOUND")</f>
        <v>Quick Service</v>
      </c>
    </row>
    <row r="86" spans="1:17">
      <c r="A86" t="s">
        <v>129</v>
      </c>
      <c r="B86" s="2">
        <v>45686</v>
      </c>
      <c r="C86">
        <v>22</v>
      </c>
      <c r="D86" t="s">
        <v>55</v>
      </c>
      <c r="E86" t="s">
        <v>12</v>
      </c>
      <c r="F86" s="7">
        <v>648.75</v>
      </c>
      <c r="G86" s="10">
        <v>0.05</v>
      </c>
      <c r="H86" s="7">
        <v>616.30999999999995</v>
      </c>
      <c r="I86">
        <v>2</v>
      </c>
      <c r="J86" t="s">
        <v>13</v>
      </c>
      <c r="K86" s="13">
        <f>ROUND(tblTransactions[[#This Row],[gross_sales_inr]]*(1-tblTransactions[[#This Row],[discount_pct]]),2)</f>
        <v>616.30999999999995</v>
      </c>
      <c r="L86" t="str">
        <f>IF(ABS(tblTransactions[[#This Row],[net_sales_inr]]-tblTransactions[[#This Row],[Recalc_Net_Sales]])&lt;0.02,"OK","CHECK")</f>
        <v>OK</v>
      </c>
      <c r="M86" s="14">
        <f>DATE(YEAR(tblTransactions[[#This Row],[date]]),MONTH(tblTransactions[[#This Row],[date]]),1)</f>
        <v>45658</v>
      </c>
      <c r="N86" t="str">
        <f>IF(WEEKDAY(tblTransactions[[#This Row],[date]],2)&gt;5,"Weekend","Weekday")</f>
        <v>Weekday</v>
      </c>
      <c r="O8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6" s="13" t="str">
        <f>_xlfn.XLOOKUP(tblTransactions[[#This Row],[tenant_id]],tblTenants[tenant_id],tblTenants[zone],"NOT FOUND")</f>
        <v>Food Court</v>
      </c>
      <c r="Q86" s="13" t="str">
        <f>_xlfn.XLOOKUP(tblTransactions[[#This Row],[tenant_id]],tblTenants[tenant_id],tblTenants[category],"NOT FOUND")</f>
        <v>Quick Service</v>
      </c>
    </row>
    <row r="87" spans="1:17">
      <c r="A87" t="s">
        <v>130</v>
      </c>
      <c r="B87" s="2">
        <v>45700</v>
      </c>
      <c r="C87">
        <v>14</v>
      </c>
      <c r="D87" t="s">
        <v>87</v>
      </c>
      <c r="E87" t="s">
        <v>12</v>
      </c>
      <c r="F87" s="7">
        <v>806.17</v>
      </c>
      <c r="G87" s="10">
        <v>0.15</v>
      </c>
      <c r="H87" s="7">
        <v>685.24</v>
      </c>
      <c r="I87">
        <v>3</v>
      </c>
      <c r="J87" t="s">
        <v>13</v>
      </c>
      <c r="K87" s="13">
        <f>ROUND(tblTransactions[[#This Row],[gross_sales_inr]]*(1-tblTransactions[[#This Row],[discount_pct]]),2)</f>
        <v>685.24</v>
      </c>
      <c r="L87" t="str">
        <f>IF(ABS(tblTransactions[[#This Row],[net_sales_inr]]-tblTransactions[[#This Row],[Recalc_Net_Sales]])&lt;0.02,"OK","CHECK")</f>
        <v>OK</v>
      </c>
      <c r="M87" s="14">
        <f>DATE(YEAR(tblTransactions[[#This Row],[date]]),MONTH(tblTransactions[[#This Row],[date]]),1)</f>
        <v>45689</v>
      </c>
      <c r="N87" t="str">
        <f>IF(WEEKDAY(tblTransactions[[#This Row],[date]],2)&gt;5,"Weekend","Weekday")</f>
        <v>Weekday</v>
      </c>
      <c r="O8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7" s="13" t="str">
        <f>_xlfn.XLOOKUP(tblTransactions[[#This Row],[tenant_id]],tblTenants[tenant_id],tblTenants[zone],"NOT FOUND")</f>
        <v>Fashion Avenue</v>
      </c>
      <c r="Q87" s="13" t="str">
        <f>_xlfn.XLOOKUP(tblTransactions[[#This Row],[tenant_id]],tblTenants[tenant_id],tblTenants[category],"NOT FOUND")</f>
        <v>Footwear</v>
      </c>
    </row>
    <row r="88" spans="1:17">
      <c r="A88" t="s">
        <v>131</v>
      </c>
      <c r="B88" s="2">
        <v>45691</v>
      </c>
      <c r="C88">
        <v>22</v>
      </c>
      <c r="D88" t="s">
        <v>104</v>
      </c>
      <c r="E88" t="s">
        <v>32</v>
      </c>
      <c r="F88" s="7">
        <v>1802.81</v>
      </c>
      <c r="G88" s="10">
        <v>0.2</v>
      </c>
      <c r="H88" s="7">
        <v>1442.25</v>
      </c>
      <c r="I88">
        <v>2</v>
      </c>
      <c r="J88" t="s">
        <v>16</v>
      </c>
      <c r="K88" s="13">
        <f>ROUND(tblTransactions[[#This Row],[gross_sales_inr]]*(1-tblTransactions[[#This Row],[discount_pct]]),2)</f>
        <v>1442.25</v>
      </c>
      <c r="L88" t="str">
        <f>IF(ABS(tblTransactions[[#This Row],[net_sales_inr]]-tblTransactions[[#This Row],[Recalc_Net_Sales]])&lt;0.02,"OK","CHECK")</f>
        <v>OK</v>
      </c>
      <c r="M88" s="14">
        <f>DATE(YEAR(tblTransactions[[#This Row],[date]]),MONTH(tblTransactions[[#This Row],[date]]),1)</f>
        <v>45689</v>
      </c>
      <c r="N88" t="str">
        <f>IF(WEEKDAY(tblTransactions[[#This Row],[date]],2)&gt;5,"Weekend","Weekday")</f>
        <v>Weekday</v>
      </c>
      <c r="O8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8" s="13" t="str">
        <f>_xlfn.XLOOKUP(tblTransactions[[#This Row],[tenant_id]],tblTenants[tenant_id],tblTenants[zone],"NOT FOUND")</f>
        <v>Entertainment</v>
      </c>
      <c r="Q88" s="13" t="str">
        <f>_xlfn.XLOOKUP(tblTransactions[[#This Row],[tenant_id]],tblTenants[tenant_id],tblTenants[category],"NOT FOUND")</f>
        <v>Family Entertainment</v>
      </c>
    </row>
    <row r="89" spans="1:17">
      <c r="A89" t="s">
        <v>132</v>
      </c>
      <c r="B89" s="2">
        <v>45817</v>
      </c>
      <c r="C89">
        <v>20</v>
      </c>
      <c r="D89" t="s">
        <v>63</v>
      </c>
      <c r="E89" t="s">
        <v>32</v>
      </c>
      <c r="F89" s="7">
        <v>5127.42</v>
      </c>
      <c r="G89" s="10">
        <v>0</v>
      </c>
      <c r="H89" s="7">
        <v>5127.42</v>
      </c>
      <c r="I89">
        <v>5</v>
      </c>
      <c r="J89" t="s">
        <v>13</v>
      </c>
      <c r="K89" s="13">
        <f>ROUND(tblTransactions[[#This Row],[gross_sales_inr]]*(1-tblTransactions[[#This Row],[discount_pct]]),2)</f>
        <v>5127.42</v>
      </c>
      <c r="L89" t="str">
        <f>IF(ABS(tblTransactions[[#This Row],[net_sales_inr]]-tblTransactions[[#This Row],[Recalc_Net_Sales]])&lt;0.02,"OK","CHECK")</f>
        <v>OK</v>
      </c>
      <c r="M89" s="14">
        <f>DATE(YEAR(tblTransactions[[#This Row],[date]]),MONTH(tblTransactions[[#This Row],[date]]),1)</f>
        <v>45809</v>
      </c>
      <c r="N89" t="str">
        <f>IF(WEEKDAY(tblTransactions[[#This Row],[date]],2)&gt;5,"Weekend","Weekday")</f>
        <v>Weekday</v>
      </c>
      <c r="O89" s="13" t="str">
        <f>IF(tblTransactions[[#This Row],[discount_pct]]=0,"0%",IF(tblTransactions[[#This Row],[discount_pct]]&lt;=10%,"1–
10%",IF(tblTransactions[[#This Row],[discount_pct]]&lt;=20%,"11–20%","&gt;20%")))</f>
        <v>0%</v>
      </c>
      <c r="P89" s="13" t="str">
        <f>_xlfn.XLOOKUP(tblTransactions[[#This Row],[tenant_id]],tblTenants[tenant_id],tblTenants[zone],"NOT FOUND")</f>
        <v>Entertainment</v>
      </c>
      <c r="Q89" s="13" t="str">
        <f>_xlfn.XLOOKUP(tblTransactions[[#This Row],[tenant_id]],tblTenants[tenant_id],tblTenants[category],"NOT FOUND")</f>
        <v>Family Entertainment</v>
      </c>
    </row>
    <row r="90" spans="1:17">
      <c r="A90" t="s">
        <v>133</v>
      </c>
      <c r="B90" s="2">
        <v>45786</v>
      </c>
      <c r="C90">
        <v>18</v>
      </c>
      <c r="D90" t="s">
        <v>36</v>
      </c>
      <c r="E90" t="s">
        <v>32</v>
      </c>
      <c r="F90" s="7">
        <v>726.29</v>
      </c>
      <c r="G90" s="10">
        <v>0.2</v>
      </c>
      <c r="H90" s="7">
        <v>581.03</v>
      </c>
      <c r="I90">
        <v>3</v>
      </c>
      <c r="J90" t="s">
        <v>13</v>
      </c>
      <c r="K90" s="13">
        <f>ROUND(tblTransactions[[#This Row],[gross_sales_inr]]*(1-tblTransactions[[#This Row],[discount_pct]]),2)</f>
        <v>581.03</v>
      </c>
      <c r="L90" t="str">
        <f>IF(ABS(tblTransactions[[#This Row],[net_sales_inr]]-tblTransactions[[#This Row],[Recalc_Net_Sales]])&lt;0.02,"OK","CHECK")</f>
        <v>OK</v>
      </c>
      <c r="M90" s="14">
        <f>DATE(YEAR(tblTransactions[[#This Row],[date]]),MONTH(tblTransactions[[#This Row],[date]]),1)</f>
        <v>45778</v>
      </c>
      <c r="N90" t="str">
        <f>IF(WEEKDAY(tblTransactions[[#This Row],[date]],2)&gt;5,"Weekend","Weekday")</f>
        <v>Weekday</v>
      </c>
      <c r="O9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0" s="13" t="str">
        <f>_xlfn.XLOOKUP(tblTransactions[[#This Row],[tenant_id]],tblTenants[tenant_id],tblTenants[zone],"NOT FOUND")</f>
        <v>Home &amp; Living</v>
      </c>
      <c r="Q90" s="13" t="str">
        <f>_xlfn.XLOOKUP(tblTransactions[[#This Row],[tenant_id]],tblTenants[tenant_id],tblTenants[category],"NOT FOUND")</f>
        <v>Electronics</v>
      </c>
    </row>
    <row r="91" spans="1:17">
      <c r="A91" t="s">
        <v>134</v>
      </c>
      <c r="B91" s="2">
        <v>45826</v>
      </c>
      <c r="C91">
        <v>15</v>
      </c>
      <c r="D91" t="s">
        <v>15</v>
      </c>
      <c r="E91" t="s">
        <v>12</v>
      </c>
      <c r="F91" s="7">
        <v>284.99</v>
      </c>
      <c r="G91" s="10">
        <v>0</v>
      </c>
      <c r="H91" s="7">
        <v>284.99</v>
      </c>
      <c r="I91">
        <v>4</v>
      </c>
      <c r="J91" t="s">
        <v>16</v>
      </c>
      <c r="K91" s="13">
        <f>ROUND(tblTransactions[[#This Row],[gross_sales_inr]]*(1-tblTransactions[[#This Row],[discount_pct]]),2)</f>
        <v>284.99</v>
      </c>
      <c r="L91" t="str">
        <f>IF(ABS(tblTransactions[[#This Row],[net_sales_inr]]-tblTransactions[[#This Row],[Recalc_Net_Sales]])&lt;0.02,"OK","CHECK")</f>
        <v>OK</v>
      </c>
      <c r="M91" s="14">
        <f>DATE(YEAR(tblTransactions[[#This Row],[date]]),MONTH(tblTransactions[[#This Row],[date]]),1)</f>
        <v>45809</v>
      </c>
      <c r="N91" t="str">
        <f>IF(WEEKDAY(tblTransactions[[#This Row],[date]],2)&gt;5,"Weekend","Weekday")</f>
        <v>Weekday</v>
      </c>
      <c r="O91" s="13" t="str">
        <f>IF(tblTransactions[[#This Row],[discount_pct]]=0,"0%",IF(tblTransactions[[#This Row],[discount_pct]]&lt;=10%,"1–
10%",IF(tblTransactions[[#This Row],[discount_pct]]&lt;=20%,"11–20%","&gt;20%")))</f>
        <v>0%</v>
      </c>
      <c r="P91" s="13" t="str">
        <f>_xlfn.XLOOKUP(tblTransactions[[#This Row],[tenant_id]],tblTenants[tenant_id],tblTenants[zone],"NOT FOUND")</f>
        <v>Fashion Avenue</v>
      </c>
      <c r="Q91" s="13" t="str">
        <f>_xlfn.XLOOKUP(tblTransactions[[#This Row],[tenant_id]],tblTenants[tenant_id],tblTenants[category],"NOT FOUND")</f>
        <v>Accessories</v>
      </c>
    </row>
    <row r="92" spans="1:17">
      <c r="A92" t="s">
        <v>135</v>
      </c>
      <c r="B92" s="2">
        <v>45661</v>
      </c>
      <c r="C92">
        <v>14</v>
      </c>
      <c r="D92" t="s">
        <v>43</v>
      </c>
      <c r="E92" t="s">
        <v>32</v>
      </c>
      <c r="F92" s="7">
        <v>694.51</v>
      </c>
      <c r="G92" s="10">
        <v>0</v>
      </c>
      <c r="H92" s="7">
        <v>694.51</v>
      </c>
      <c r="I92">
        <v>2</v>
      </c>
      <c r="J92" t="s">
        <v>13</v>
      </c>
      <c r="K92" s="13">
        <f>ROUND(tblTransactions[[#This Row],[gross_sales_inr]]*(1-tblTransactions[[#This Row],[discount_pct]]),2)</f>
        <v>694.51</v>
      </c>
      <c r="L92" t="str">
        <f>IF(ABS(tblTransactions[[#This Row],[net_sales_inr]]-tblTransactions[[#This Row],[Recalc_Net_Sales]])&lt;0.02,"OK","CHECK")</f>
        <v>OK</v>
      </c>
      <c r="M92" s="14">
        <f>DATE(YEAR(tblTransactions[[#This Row],[date]]),MONTH(tblTransactions[[#This Row],[date]]),1)</f>
        <v>45658</v>
      </c>
      <c r="N92" t="str">
        <f>IF(WEEKDAY(tblTransactions[[#This Row],[date]],2)&gt;5,"Weekend","Weekday")</f>
        <v>Weekend</v>
      </c>
      <c r="O92" s="13" t="str">
        <f>IF(tblTransactions[[#This Row],[discount_pct]]=0,"0%",IF(tblTransactions[[#This Row],[discount_pct]]&lt;=10%,"1–
10%",IF(tblTransactions[[#This Row],[discount_pct]]&lt;=20%,"11–20%","&gt;20%")))</f>
        <v>0%</v>
      </c>
      <c r="P92" s="13" t="str">
        <f>_xlfn.XLOOKUP(tblTransactions[[#This Row],[tenant_id]],tblTenants[tenant_id],tblTenants[zone],"NOT FOUND")</f>
        <v>Food Court</v>
      </c>
      <c r="Q92" s="13" t="str">
        <f>_xlfn.XLOOKUP(tblTransactions[[#This Row],[tenant_id]],tblTenants[tenant_id],tblTenants[category],"NOT FOUND")</f>
        <v>Casual Dining</v>
      </c>
    </row>
    <row r="93" spans="1:17">
      <c r="A93" t="s">
        <v>136</v>
      </c>
      <c r="B93" s="2">
        <v>45687</v>
      </c>
      <c r="C93">
        <v>21</v>
      </c>
      <c r="D93" t="s">
        <v>36</v>
      </c>
      <c r="E93" t="s">
        <v>21</v>
      </c>
      <c r="F93" s="7">
        <v>712.23</v>
      </c>
      <c r="G93" s="10">
        <v>0.2</v>
      </c>
      <c r="H93" s="7">
        <v>569.78</v>
      </c>
      <c r="I93">
        <v>4</v>
      </c>
      <c r="J93" t="s">
        <v>13</v>
      </c>
      <c r="K93" s="13">
        <f>ROUND(tblTransactions[[#This Row],[gross_sales_inr]]*(1-tblTransactions[[#This Row],[discount_pct]]),2)</f>
        <v>569.78</v>
      </c>
      <c r="L93" t="str">
        <f>IF(ABS(tblTransactions[[#This Row],[net_sales_inr]]-tblTransactions[[#This Row],[Recalc_Net_Sales]])&lt;0.02,"OK","CHECK")</f>
        <v>OK</v>
      </c>
      <c r="M93" s="14">
        <f>DATE(YEAR(tblTransactions[[#This Row],[date]]),MONTH(tblTransactions[[#This Row],[date]]),1)</f>
        <v>45658</v>
      </c>
      <c r="N93" t="str">
        <f>IF(WEEKDAY(tblTransactions[[#This Row],[date]],2)&gt;5,"Weekend","Weekday")</f>
        <v>Weekday</v>
      </c>
      <c r="O9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3" s="13" t="str">
        <f>_xlfn.XLOOKUP(tblTransactions[[#This Row],[tenant_id]],tblTenants[tenant_id],tblTenants[zone],"NOT FOUND")</f>
        <v>Home &amp; Living</v>
      </c>
      <c r="Q93" s="13" t="str">
        <f>_xlfn.XLOOKUP(tblTransactions[[#This Row],[tenant_id]],tblTenants[tenant_id],tblTenants[category],"NOT FOUND")</f>
        <v>Electronics</v>
      </c>
    </row>
    <row r="94" spans="1:17">
      <c r="A94" t="s">
        <v>137</v>
      </c>
      <c r="B94" s="2">
        <v>45754</v>
      </c>
      <c r="C94">
        <v>16</v>
      </c>
      <c r="D94" t="s">
        <v>11</v>
      </c>
      <c r="E94" t="s">
        <v>51</v>
      </c>
      <c r="F94" s="7">
        <v>1083.1300000000001</v>
      </c>
      <c r="G94" s="10">
        <v>0.1</v>
      </c>
      <c r="H94" s="7">
        <v>974.82</v>
      </c>
      <c r="I94">
        <v>2</v>
      </c>
      <c r="J94" t="s">
        <v>13</v>
      </c>
      <c r="K94" s="13">
        <f>ROUND(tblTransactions[[#This Row],[gross_sales_inr]]*(1-tblTransactions[[#This Row],[discount_pct]]),2)</f>
        <v>974.82</v>
      </c>
      <c r="L94" t="str">
        <f>IF(ABS(tblTransactions[[#This Row],[net_sales_inr]]-tblTransactions[[#This Row],[Recalc_Net_Sales]])&lt;0.02,"OK","CHECK")</f>
        <v>OK</v>
      </c>
      <c r="M94" s="14">
        <f>DATE(YEAR(tblTransactions[[#This Row],[date]]),MONTH(tblTransactions[[#This Row],[date]]),1)</f>
        <v>45748</v>
      </c>
      <c r="N94" t="str">
        <f>IF(WEEKDAY(tblTransactions[[#This Row],[date]],2)&gt;5,"Weekend","Weekday")</f>
        <v>Weekday</v>
      </c>
      <c r="O9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4" s="13" t="str">
        <f>_xlfn.XLOOKUP(tblTransactions[[#This Row],[tenant_id]],tblTenants[tenant_id],tblTenants[zone],"NOT FOUND")</f>
        <v>Home &amp; Living</v>
      </c>
      <c r="Q94" s="13" t="str">
        <f>_xlfn.XLOOKUP(tblTransactions[[#This Row],[tenant_id]],tblTenants[tenant_id],tblTenants[category],"NOT FOUND")</f>
        <v>Home Decor</v>
      </c>
    </row>
    <row r="95" spans="1:17">
      <c r="A95" t="s">
        <v>138</v>
      </c>
      <c r="B95" s="2">
        <v>45660</v>
      </c>
      <c r="C95">
        <v>14</v>
      </c>
      <c r="D95" t="s">
        <v>48</v>
      </c>
      <c r="E95" t="s">
        <v>32</v>
      </c>
      <c r="F95" s="7">
        <v>884.31</v>
      </c>
      <c r="G95" s="10">
        <v>0.05</v>
      </c>
      <c r="H95" s="7">
        <v>840.09</v>
      </c>
      <c r="I95">
        <v>2</v>
      </c>
      <c r="J95" t="s">
        <v>16</v>
      </c>
      <c r="K95" s="13">
        <f>ROUND(tblTransactions[[#This Row],[gross_sales_inr]]*(1-tblTransactions[[#This Row],[discount_pct]]),2)</f>
        <v>840.09</v>
      </c>
      <c r="L95" t="str">
        <f>IF(ABS(tblTransactions[[#This Row],[net_sales_inr]]-tblTransactions[[#This Row],[Recalc_Net_Sales]])&lt;0.02,"OK","CHECK")</f>
        <v>OK</v>
      </c>
      <c r="M95" s="14">
        <f>DATE(YEAR(tblTransactions[[#This Row],[date]]),MONTH(tblTransactions[[#This Row],[date]]),1)</f>
        <v>45658</v>
      </c>
      <c r="N95" t="str">
        <f>IF(WEEKDAY(tblTransactions[[#This Row],[date]],2)&gt;5,"Weekend","Weekday")</f>
        <v>Weekday</v>
      </c>
      <c r="O9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5" s="13" t="str">
        <f>_xlfn.XLOOKUP(tblTransactions[[#This Row],[tenant_id]],tblTenants[tenant_id],tblTenants[zone],"NOT FOUND")</f>
        <v>Beauty &amp; Wellness</v>
      </c>
      <c r="Q95" s="13" t="str">
        <f>_xlfn.XLOOKUP(tblTransactions[[#This Row],[tenant_id]],tblTenants[tenant_id],tblTenants[category],"NOT FOUND")</f>
        <v>Wellness</v>
      </c>
    </row>
    <row r="96" spans="1:17">
      <c r="A96" t="s">
        <v>139</v>
      </c>
      <c r="B96" s="2">
        <v>45807</v>
      </c>
      <c r="C96">
        <v>10</v>
      </c>
      <c r="D96" t="s">
        <v>31</v>
      </c>
      <c r="E96" t="s">
        <v>12</v>
      </c>
      <c r="F96" s="7">
        <v>1095.94</v>
      </c>
      <c r="G96" s="10">
        <v>0</v>
      </c>
      <c r="H96" s="7">
        <v>1095.94</v>
      </c>
      <c r="I96">
        <v>1</v>
      </c>
      <c r="J96" t="s">
        <v>16</v>
      </c>
      <c r="K96" s="13">
        <f>ROUND(tblTransactions[[#This Row],[gross_sales_inr]]*(1-tblTransactions[[#This Row],[discount_pct]]),2)</f>
        <v>1095.94</v>
      </c>
      <c r="L96" t="str">
        <f>IF(ABS(tblTransactions[[#This Row],[net_sales_inr]]-tblTransactions[[#This Row],[Recalc_Net_Sales]])&lt;0.02,"OK","CHECK")</f>
        <v>OK</v>
      </c>
      <c r="M96" s="14">
        <f>DATE(YEAR(tblTransactions[[#This Row],[date]]),MONTH(tblTransactions[[#This Row],[date]]),1)</f>
        <v>45778</v>
      </c>
      <c r="N96" t="str">
        <f>IF(WEEKDAY(tblTransactions[[#This Row],[date]],2)&gt;5,"Weekend","Weekday")</f>
        <v>Weekday</v>
      </c>
      <c r="O96" s="13" t="str">
        <f>IF(tblTransactions[[#This Row],[discount_pct]]=0,"0%",IF(tblTransactions[[#This Row],[discount_pct]]&lt;=10%,"1–
10%",IF(tblTransactions[[#This Row],[discount_pct]]&lt;=20%,"11–20%","&gt;20%")))</f>
        <v>0%</v>
      </c>
      <c r="P96" s="13" t="str">
        <f>_xlfn.XLOOKUP(tblTransactions[[#This Row],[tenant_id]],tblTenants[tenant_id],tblTenants[zone],"NOT FOUND")</f>
        <v>Entertainment</v>
      </c>
      <c r="Q96" s="13" t="str">
        <f>_xlfn.XLOOKUP(tblTransactions[[#This Row],[tenant_id]],tblTenants[tenant_id],tblTenants[category],"NOT FOUND")</f>
        <v>Arcade</v>
      </c>
    </row>
    <row r="97" spans="1:17">
      <c r="A97" t="s">
        <v>140</v>
      </c>
      <c r="B97" s="2">
        <v>45832</v>
      </c>
      <c r="C97">
        <v>17</v>
      </c>
      <c r="D97" t="s">
        <v>57</v>
      </c>
      <c r="E97" t="s">
        <v>51</v>
      </c>
      <c r="F97" s="7">
        <v>3971.57</v>
      </c>
      <c r="G97" s="10">
        <v>0.1</v>
      </c>
      <c r="H97" s="7">
        <v>3574.41</v>
      </c>
      <c r="I97">
        <v>1</v>
      </c>
      <c r="J97" t="s">
        <v>13</v>
      </c>
      <c r="K97" s="13">
        <f>ROUND(tblTransactions[[#This Row],[gross_sales_inr]]*(1-tblTransactions[[#This Row],[discount_pct]]),2)</f>
        <v>3574.41</v>
      </c>
      <c r="L97" t="str">
        <f>IF(ABS(tblTransactions[[#This Row],[net_sales_inr]]-tblTransactions[[#This Row],[Recalc_Net_Sales]])&lt;0.02,"OK","CHECK")</f>
        <v>OK</v>
      </c>
      <c r="M97" s="14">
        <f>DATE(YEAR(tblTransactions[[#This Row],[date]]),MONTH(tblTransactions[[#This Row],[date]]),1)</f>
        <v>45809</v>
      </c>
      <c r="N97" t="str">
        <f>IF(WEEKDAY(tblTransactions[[#This Row],[date]],2)&gt;5,"Weekend","Weekday")</f>
        <v>Weekday</v>
      </c>
      <c r="O9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7" s="13" t="str">
        <f>_xlfn.XLOOKUP(tblTransactions[[#This Row],[tenant_id]],tblTenants[tenant_id],tblTenants[zone],"NOT FOUND")</f>
        <v>Food Court</v>
      </c>
      <c r="Q97" s="13" t="str">
        <f>_xlfn.XLOOKUP(tblTransactions[[#This Row],[tenant_id]],tblTenants[tenant_id],tblTenants[category],"NOT FOUND")</f>
        <v>Casual Dining</v>
      </c>
    </row>
    <row r="98" spans="1:17">
      <c r="A98" t="s">
        <v>141</v>
      </c>
      <c r="B98" s="2">
        <v>45836</v>
      </c>
      <c r="C98">
        <v>21</v>
      </c>
      <c r="D98" t="s">
        <v>41</v>
      </c>
      <c r="E98" t="s">
        <v>32</v>
      </c>
      <c r="F98" s="7">
        <v>1289.22</v>
      </c>
      <c r="G98" s="10">
        <v>0.05</v>
      </c>
      <c r="H98" s="7">
        <v>1224.76</v>
      </c>
      <c r="I98">
        <v>3</v>
      </c>
      <c r="J98" t="s">
        <v>13</v>
      </c>
      <c r="K98" s="13">
        <f>ROUND(tblTransactions[[#This Row],[gross_sales_inr]]*(1-tblTransactions[[#This Row],[discount_pct]]),2)</f>
        <v>1224.76</v>
      </c>
      <c r="L98" t="str">
        <f>IF(ABS(tblTransactions[[#This Row],[net_sales_inr]]-tblTransactions[[#This Row],[Recalc_Net_Sales]])&lt;0.02,"OK","CHECK")</f>
        <v>OK</v>
      </c>
      <c r="M98" s="14">
        <f>DATE(YEAR(tblTransactions[[#This Row],[date]]),MONTH(tblTransactions[[#This Row],[date]]),1)</f>
        <v>45809</v>
      </c>
      <c r="N98" t="str">
        <f>IF(WEEKDAY(tblTransactions[[#This Row],[date]],2)&gt;5,"Weekend","Weekday")</f>
        <v>Weekend</v>
      </c>
      <c r="O9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8" s="13" t="str">
        <f>_xlfn.XLOOKUP(tblTransactions[[#This Row],[tenant_id]],tblTenants[tenant_id],tblTenants[zone],"NOT FOUND")</f>
        <v>Fashion Avenue</v>
      </c>
      <c r="Q98" s="13" t="str">
        <f>_xlfn.XLOOKUP(tblTransactions[[#This Row],[tenant_id]],tblTenants[tenant_id],tblTenants[category],"NOT FOUND")</f>
        <v>Clothing</v>
      </c>
    </row>
    <row r="99" spans="1:17">
      <c r="A99" t="s">
        <v>142</v>
      </c>
      <c r="B99" s="2">
        <v>45663</v>
      </c>
      <c r="C99">
        <v>16</v>
      </c>
      <c r="D99" t="s">
        <v>31</v>
      </c>
      <c r="E99" t="s">
        <v>12</v>
      </c>
      <c r="F99" s="7">
        <v>1700.06</v>
      </c>
      <c r="G99" s="10">
        <v>0</v>
      </c>
      <c r="H99" s="7">
        <v>1700.06</v>
      </c>
      <c r="I99">
        <v>1</v>
      </c>
      <c r="J99" t="s">
        <v>13</v>
      </c>
      <c r="K99" s="13">
        <f>ROUND(tblTransactions[[#This Row],[gross_sales_inr]]*(1-tblTransactions[[#This Row],[discount_pct]]),2)</f>
        <v>1700.06</v>
      </c>
      <c r="L99" t="str">
        <f>IF(ABS(tblTransactions[[#This Row],[net_sales_inr]]-tblTransactions[[#This Row],[Recalc_Net_Sales]])&lt;0.02,"OK","CHECK")</f>
        <v>OK</v>
      </c>
      <c r="M99" s="14">
        <f>DATE(YEAR(tblTransactions[[#This Row],[date]]),MONTH(tblTransactions[[#This Row],[date]]),1)</f>
        <v>45658</v>
      </c>
      <c r="N99" t="str">
        <f>IF(WEEKDAY(tblTransactions[[#This Row],[date]],2)&gt;5,"Weekend","Weekday")</f>
        <v>Weekday</v>
      </c>
      <c r="O99" s="13" t="str">
        <f>IF(tblTransactions[[#This Row],[discount_pct]]=0,"0%",IF(tblTransactions[[#This Row],[discount_pct]]&lt;=10%,"1–
10%",IF(tblTransactions[[#This Row],[discount_pct]]&lt;=20%,"11–20%","&gt;20%")))</f>
        <v>0%</v>
      </c>
      <c r="P99" s="13" t="str">
        <f>_xlfn.XLOOKUP(tblTransactions[[#This Row],[tenant_id]],tblTenants[tenant_id],tblTenants[zone],"NOT FOUND")</f>
        <v>Entertainment</v>
      </c>
      <c r="Q99" s="13" t="str">
        <f>_xlfn.XLOOKUP(tblTransactions[[#This Row],[tenant_id]],tblTenants[tenant_id],tblTenants[category],"NOT FOUND")</f>
        <v>Arcade</v>
      </c>
    </row>
    <row r="100" spans="1:17">
      <c r="A100" t="s">
        <v>143</v>
      </c>
      <c r="B100" s="2">
        <v>45672</v>
      </c>
      <c r="C100">
        <v>18</v>
      </c>
      <c r="D100" t="s">
        <v>53</v>
      </c>
      <c r="E100" t="s">
        <v>21</v>
      </c>
      <c r="F100" s="7">
        <v>1022.93</v>
      </c>
      <c r="G100" s="10">
        <v>0.1</v>
      </c>
      <c r="H100" s="7">
        <v>920.64</v>
      </c>
      <c r="I100">
        <v>2</v>
      </c>
      <c r="J100" t="s">
        <v>13</v>
      </c>
      <c r="K100" s="13">
        <f>ROUND(tblTransactions[[#This Row],[gross_sales_inr]]*(1-tblTransactions[[#This Row],[discount_pct]]),2)</f>
        <v>920.64</v>
      </c>
      <c r="L100" t="str">
        <f>IF(ABS(tblTransactions[[#This Row],[net_sales_inr]]-tblTransactions[[#This Row],[Recalc_Net_Sales]])&lt;0.02,"OK","CHECK")</f>
        <v>OK</v>
      </c>
      <c r="M100" s="14">
        <f>DATE(YEAR(tblTransactions[[#This Row],[date]]),MONTH(tblTransactions[[#This Row],[date]]),1)</f>
        <v>45658</v>
      </c>
      <c r="N100" t="str">
        <f>IF(WEEKDAY(tblTransactions[[#This Row],[date]],2)&gt;5,"Weekend","Weekday")</f>
        <v>Weekday</v>
      </c>
      <c r="O10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0" s="13" t="str">
        <f>_xlfn.XLOOKUP(tblTransactions[[#This Row],[tenant_id]],tblTenants[tenant_id],tblTenants[zone],"NOT FOUND")</f>
        <v>Beauty &amp; Wellness</v>
      </c>
      <c r="Q100" s="13" t="str">
        <f>_xlfn.XLOOKUP(tblTransactions[[#This Row],[tenant_id]],tblTenants[tenant_id],tblTenants[category],"NOT FOUND")</f>
        <v>Beauty</v>
      </c>
    </row>
    <row r="101" spans="1:17">
      <c r="A101" t="s">
        <v>144</v>
      </c>
      <c r="B101" s="2">
        <v>45793</v>
      </c>
      <c r="C101">
        <v>19</v>
      </c>
      <c r="D101" t="s">
        <v>31</v>
      </c>
      <c r="E101" t="s">
        <v>51</v>
      </c>
      <c r="F101" s="7">
        <v>3006.38</v>
      </c>
      <c r="G101" s="10">
        <v>0</v>
      </c>
      <c r="H101" s="7">
        <v>3006.38</v>
      </c>
      <c r="I101">
        <v>1</v>
      </c>
      <c r="J101" t="s">
        <v>13</v>
      </c>
      <c r="K101" s="13">
        <f>ROUND(tblTransactions[[#This Row],[gross_sales_inr]]*(1-tblTransactions[[#This Row],[discount_pct]]),2)</f>
        <v>3006.38</v>
      </c>
      <c r="L101" t="str">
        <f>IF(ABS(tblTransactions[[#This Row],[net_sales_inr]]-tblTransactions[[#This Row],[Recalc_Net_Sales]])&lt;0.02,"OK","CHECK")</f>
        <v>OK</v>
      </c>
      <c r="M101" s="14">
        <f>DATE(YEAR(tblTransactions[[#This Row],[date]]),MONTH(tblTransactions[[#This Row],[date]]),1)</f>
        <v>45778</v>
      </c>
      <c r="N101" t="str">
        <f>IF(WEEKDAY(tblTransactions[[#This Row],[date]],2)&gt;5,"Weekend","Weekday")</f>
        <v>Weekday</v>
      </c>
      <c r="O101" s="13" t="str">
        <f>IF(tblTransactions[[#This Row],[discount_pct]]=0,"0%",IF(tblTransactions[[#This Row],[discount_pct]]&lt;=10%,"1–
10%",IF(tblTransactions[[#This Row],[discount_pct]]&lt;=20%,"11–20%","&gt;20%")))</f>
        <v>0%</v>
      </c>
      <c r="P101" s="13" t="str">
        <f>_xlfn.XLOOKUP(tblTransactions[[#This Row],[tenant_id]],tblTenants[tenant_id],tblTenants[zone],"NOT FOUND")</f>
        <v>Entertainment</v>
      </c>
      <c r="Q101" s="13" t="str">
        <f>_xlfn.XLOOKUP(tblTransactions[[#This Row],[tenant_id]],tblTenants[tenant_id],tblTenants[category],"NOT FOUND")</f>
        <v>Arcade</v>
      </c>
    </row>
    <row r="102" spans="1:17">
      <c r="A102" t="s">
        <v>145</v>
      </c>
      <c r="B102" s="2">
        <v>45721</v>
      </c>
      <c r="C102">
        <v>17</v>
      </c>
      <c r="D102" t="s">
        <v>23</v>
      </c>
      <c r="E102" t="s">
        <v>12</v>
      </c>
      <c r="F102" s="7">
        <v>1470.79</v>
      </c>
      <c r="G102" s="10">
        <v>0</v>
      </c>
      <c r="H102" s="7">
        <v>1470.79</v>
      </c>
      <c r="I102">
        <v>1</v>
      </c>
      <c r="J102" t="s">
        <v>13</v>
      </c>
      <c r="K102" s="13">
        <f>ROUND(tblTransactions[[#This Row],[gross_sales_inr]]*(1-tblTransactions[[#This Row],[discount_pct]]),2)</f>
        <v>1470.79</v>
      </c>
      <c r="L102" t="str">
        <f>IF(ABS(tblTransactions[[#This Row],[net_sales_inr]]-tblTransactions[[#This Row],[Recalc_Net_Sales]])&lt;0.02,"OK","CHECK")</f>
        <v>OK</v>
      </c>
      <c r="M102" s="14">
        <f>DATE(YEAR(tblTransactions[[#This Row],[date]]),MONTH(tblTransactions[[#This Row],[date]]),1)</f>
        <v>45717</v>
      </c>
      <c r="N102" t="str">
        <f>IF(WEEKDAY(tblTransactions[[#This Row],[date]],2)&gt;5,"Weekend","Weekday")</f>
        <v>Weekday</v>
      </c>
      <c r="O102" s="13" t="str">
        <f>IF(tblTransactions[[#This Row],[discount_pct]]=0,"0%",IF(tblTransactions[[#This Row],[discount_pct]]&lt;=10%,"1–
10%",IF(tblTransactions[[#This Row],[discount_pct]]&lt;=20%,"11–20%","&gt;20%")))</f>
        <v>0%</v>
      </c>
      <c r="P102" s="13" t="str">
        <f>_xlfn.XLOOKUP(tblTransactions[[#This Row],[tenant_id]],tblTenants[tenant_id],tblTenants[zone],"NOT FOUND")</f>
        <v>Entertainment</v>
      </c>
      <c r="Q102" s="13" t="str">
        <f>_xlfn.XLOOKUP(tblTransactions[[#This Row],[tenant_id]],tblTenants[tenant_id],tblTenants[category],"NOT FOUND")</f>
        <v>Cinema</v>
      </c>
    </row>
    <row r="103" spans="1:17">
      <c r="A103" t="s">
        <v>146</v>
      </c>
      <c r="B103" s="2">
        <v>45738</v>
      </c>
      <c r="C103">
        <v>15</v>
      </c>
      <c r="D103" t="s">
        <v>23</v>
      </c>
      <c r="E103" t="s">
        <v>32</v>
      </c>
      <c r="F103" s="7">
        <v>1285.68</v>
      </c>
      <c r="G103" s="10">
        <v>0.2</v>
      </c>
      <c r="H103" s="7">
        <v>1028.54</v>
      </c>
      <c r="I103">
        <v>1</v>
      </c>
      <c r="J103" t="s">
        <v>16</v>
      </c>
      <c r="K103" s="13">
        <f>ROUND(tblTransactions[[#This Row],[gross_sales_inr]]*(1-tblTransactions[[#This Row],[discount_pct]]),2)</f>
        <v>1028.54</v>
      </c>
      <c r="L103" t="str">
        <f>IF(ABS(tblTransactions[[#This Row],[net_sales_inr]]-tblTransactions[[#This Row],[Recalc_Net_Sales]])&lt;0.02,"OK","CHECK")</f>
        <v>OK</v>
      </c>
      <c r="M103" s="14">
        <f>DATE(YEAR(tblTransactions[[#This Row],[date]]),MONTH(tblTransactions[[#This Row],[date]]),1)</f>
        <v>45717</v>
      </c>
      <c r="N103" t="str">
        <f>IF(WEEKDAY(tblTransactions[[#This Row],[date]],2)&gt;5,"Weekend","Weekday")</f>
        <v>Weekend</v>
      </c>
      <c r="O10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3" s="13" t="str">
        <f>_xlfn.XLOOKUP(tblTransactions[[#This Row],[tenant_id]],tblTenants[tenant_id],tblTenants[zone],"NOT FOUND")</f>
        <v>Entertainment</v>
      </c>
      <c r="Q103" s="13" t="str">
        <f>_xlfn.XLOOKUP(tblTransactions[[#This Row],[tenant_id]],tblTenants[tenant_id],tblTenants[category],"NOT FOUND")</f>
        <v>Cinema</v>
      </c>
    </row>
    <row r="104" spans="1:17">
      <c r="A104" t="s">
        <v>147</v>
      </c>
      <c r="B104" s="2">
        <v>45789</v>
      </c>
      <c r="C104">
        <v>22</v>
      </c>
      <c r="D104" t="s">
        <v>72</v>
      </c>
      <c r="E104" t="s">
        <v>51</v>
      </c>
      <c r="F104" s="7">
        <v>328.9</v>
      </c>
      <c r="G104" s="10">
        <v>0</v>
      </c>
      <c r="H104" s="7">
        <v>328.9</v>
      </c>
      <c r="I104">
        <v>2</v>
      </c>
      <c r="J104" t="s">
        <v>13</v>
      </c>
      <c r="K104" s="13">
        <f>ROUND(tblTransactions[[#This Row],[gross_sales_inr]]*(1-tblTransactions[[#This Row],[discount_pct]]),2)</f>
        <v>328.9</v>
      </c>
      <c r="L104" t="str">
        <f>IF(ABS(tblTransactions[[#This Row],[net_sales_inr]]-tblTransactions[[#This Row],[Recalc_Net_Sales]])&lt;0.02,"OK","CHECK")</f>
        <v>OK</v>
      </c>
      <c r="M104" s="14">
        <f>DATE(YEAR(tblTransactions[[#This Row],[date]]),MONTH(tblTransactions[[#This Row],[date]]),1)</f>
        <v>45778</v>
      </c>
      <c r="N104" t="str">
        <f>IF(WEEKDAY(tblTransactions[[#This Row],[date]],2)&gt;5,"Weekend","Weekday")</f>
        <v>Weekday</v>
      </c>
      <c r="O104" s="13" t="str">
        <f>IF(tblTransactions[[#This Row],[discount_pct]]=0,"0%",IF(tblTransactions[[#This Row],[discount_pct]]&lt;=10%,"1–
10%",IF(tblTransactions[[#This Row],[discount_pct]]&lt;=20%,"11–20%","&gt;20%")))</f>
        <v>0%</v>
      </c>
      <c r="P104" s="13" t="str">
        <f>_xlfn.XLOOKUP(tblTransactions[[#This Row],[tenant_id]],tblTenants[tenant_id],tblTenants[zone],"NOT FOUND")</f>
        <v>Entertainment</v>
      </c>
      <c r="Q104" s="13" t="str">
        <f>_xlfn.XLOOKUP(tblTransactions[[#This Row],[tenant_id]],tblTenants[tenant_id],tblTenants[category],"NOT FOUND")</f>
        <v>Arcade</v>
      </c>
    </row>
    <row r="105" spans="1:17">
      <c r="A105" t="s">
        <v>148</v>
      </c>
      <c r="B105" s="2">
        <v>45827</v>
      </c>
      <c r="C105">
        <v>15</v>
      </c>
      <c r="D105" t="s">
        <v>20</v>
      </c>
      <c r="E105" t="s">
        <v>12</v>
      </c>
      <c r="F105" s="7">
        <v>916.34</v>
      </c>
      <c r="G105" s="10">
        <v>0</v>
      </c>
      <c r="H105" s="7">
        <v>916.34</v>
      </c>
      <c r="I105">
        <v>3</v>
      </c>
      <c r="J105" t="s">
        <v>16</v>
      </c>
      <c r="K105" s="13">
        <f>ROUND(tblTransactions[[#This Row],[gross_sales_inr]]*(1-tblTransactions[[#This Row],[discount_pct]]),2)</f>
        <v>916.34</v>
      </c>
      <c r="L105" t="str">
        <f>IF(ABS(tblTransactions[[#This Row],[net_sales_inr]]-tblTransactions[[#This Row],[Recalc_Net_Sales]])&lt;0.02,"OK","CHECK")</f>
        <v>OK</v>
      </c>
      <c r="M105" s="14">
        <f>DATE(YEAR(tblTransactions[[#This Row],[date]]),MONTH(tblTransactions[[#This Row],[date]]),1)</f>
        <v>45809</v>
      </c>
      <c r="N105" t="str">
        <f>IF(WEEKDAY(tblTransactions[[#This Row],[date]],2)&gt;5,"Weekend","Weekday")</f>
        <v>Weekday</v>
      </c>
      <c r="O105" s="13" t="str">
        <f>IF(tblTransactions[[#This Row],[discount_pct]]=0,"0%",IF(tblTransactions[[#This Row],[discount_pct]]&lt;=10%,"1–
10%",IF(tblTransactions[[#This Row],[discount_pct]]&lt;=20%,"11–20%","&gt;20%")))</f>
        <v>0%</v>
      </c>
      <c r="P105" s="13" t="str">
        <f>_xlfn.XLOOKUP(tblTransactions[[#This Row],[tenant_id]],tblTenants[tenant_id],tblTenants[zone],"NOT FOUND")</f>
        <v>Fashion Avenue</v>
      </c>
      <c r="Q105" s="13" t="str">
        <f>_xlfn.XLOOKUP(tblTransactions[[#This Row],[tenant_id]],tblTenants[tenant_id],tblTenants[category],"NOT FOUND")</f>
        <v>Accessories</v>
      </c>
    </row>
    <row r="106" spans="1:17">
      <c r="A106" t="s">
        <v>149</v>
      </c>
      <c r="B106" s="2">
        <v>45799</v>
      </c>
      <c r="C106">
        <v>21</v>
      </c>
      <c r="D106" t="s">
        <v>25</v>
      </c>
      <c r="E106" t="s">
        <v>32</v>
      </c>
      <c r="F106" s="7">
        <v>316.89999999999998</v>
      </c>
      <c r="G106" s="10">
        <v>0.2</v>
      </c>
      <c r="H106" s="7">
        <v>253.52</v>
      </c>
      <c r="I106">
        <v>4</v>
      </c>
      <c r="J106" t="s">
        <v>16</v>
      </c>
      <c r="K106" s="13">
        <f>ROUND(tblTransactions[[#This Row],[gross_sales_inr]]*(1-tblTransactions[[#This Row],[discount_pct]]),2)</f>
        <v>253.52</v>
      </c>
      <c r="L106" t="str">
        <f>IF(ABS(tblTransactions[[#This Row],[net_sales_inr]]-tblTransactions[[#This Row],[Recalc_Net_Sales]])&lt;0.02,"OK","CHECK")</f>
        <v>OK</v>
      </c>
      <c r="M106" s="14">
        <f>DATE(YEAR(tblTransactions[[#This Row],[date]]),MONTH(tblTransactions[[#This Row],[date]]),1)</f>
        <v>45778</v>
      </c>
      <c r="N106" t="str">
        <f>IF(WEEKDAY(tblTransactions[[#This Row],[date]],2)&gt;5,"Weekend","Weekday")</f>
        <v>Weekday</v>
      </c>
      <c r="O10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6" s="13" t="str">
        <f>_xlfn.XLOOKUP(tblTransactions[[#This Row],[tenant_id]],tblTenants[tenant_id],tblTenants[zone],"NOT FOUND")</f>
        <v>Beauty &amp; Wellness</v>
      </c>
      <c r="Q106" s="13" t="str">
        <f>_xlfn.XLOOKUP(tblTransactions[[#This Row],[tenant_id]],tblTenants[tenant_id],tblTenants[category],"NOT FOUND")</f>
        <v>Beauty</v>
      </c>
    </row>
    <row r="107" spans="1:17">
      <c r="A107" t="s">
        <v>150</v>
      </c>
      <c r="B107" s="2">
        <v>45805</v>
      </c>
      <c r="C107">
        <v>16</v>
      </c>
      <c r="D107" t="s">
        <v>48</v>
      </c>
      <c r="E107" t="s">
        <v>21</v>
      </c>
      <c r="F107" s="7">
        <v>1629</v>
      </c>
      <c r="G107" s="10">
        <v>0.2</v>
      </c>
      <c r="H107" s="7">
        <v>1303.2</v>
      </c>
      <c r="I107">
        <v>5</v>
      </c>
      <c r="J107" t="s">
        <v>13</v>
      </c>
      <c r="K107" s="13">
        <f>ROUND(tblTransactions[[#This Row],[gross_sales_inr]]*(1-tblTransactions[[#This Row],[discount_pct]]),2)</f>
        <v>1303.2</v>
      </c>
      <c r="L107" t="str">
        <f>IF(ABS(tblTransactions[[#This Row],[net_sales_inr]]-tblTransactions[[#This Row],[Recalc_Net_Sales]])&lt;0.02,"OK","CHECK")</f>
        <v>OK</v>
      </c>
      <c r="M107" s="14">
        <f>DATE(YEAR(tblTransactions[[#This Row],[date]]),MONTH(tblTransactions[[#This Row],[date]]),1)</f>
        <v>45778</v>
      </c>
      <c r="N107" t="str">
        <f>IF(WEEKDAY(tblTransactions[[#This Row],[date]],2)&gt;5,"Weekend","Weekday")</f>
        <v>Weekday</v>
      </c>
      <c r="O10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7" s="13" t="str">
        <f>_xlfn.XLOOKUP(tblTransactions[[#This Row],[tenant_id]],tblTenants[tenant_id],tblTenants[zone],"NOT FOUND")</f>
        <v>Beauty &amp; Wellness</v>
      </c>
      <c r="Q107" s="13" t="str">
        <f>_xlfn.XLOOKUP(tblTransactions[[#This Row],[tenant_id]],tblTenants[tenant_id],tblTenants[category],"NOT FOUND")</f>
        <v>Wellness</v>
      </c>
    </row>
    <row r="108" spans="1:17">
      <c r="A108" t="s">
        <v>151</v>
      </c>
      <c r="B108" s="2">
        <v>45821</v>
      </c>
      <c r="C108">
        <v>21</v>
      </c>
      <c r="D108" t="s">
        <v>85</v>
      </c>
      <c r="E108" t="s">
        <v>12</v>
      </c>
      <c r="F108" s="7">
        <v>2817.34</v>
      </c>
      <c r="G108" s="10">
        <v>0.2</v>
      </c>
      <c r="H108" s="7">
        <v>2253.87</v>
      </c>
      <c r="I108">
        <v>2</v>
      </c>
      <c r="J108" t="s">
        <v>16</v>
      </c>
      <c r="K108" s="13">
        <f>ROUND(tblTransactions[[#This Row],[gross_sales_inr]]*(1-tblTransactions[[#This Row],[discount_pct]]),2)</f>
        <v>2253.87</v>
      </c>
      <c r="L108" t="str">
        <f>IF(ABS(tblTransactions[[#This Row],[net_sales_inr]]-tblTransactions[[#This Row],[Recalc_Net_Sales]])&lt;0.02,"OK","CHECK")</f>
        <v>OK</v>
      </c>
      <c r="M108" s="14">
        <f>DATE(YEAR(tblTransactions[[#This Row],[date]]),MONTH(tblTransactions[[#This Row],[date]]),1)</f>
        <v>45809</v>
      </c>
      <c r="N108" t="str">
        <f>IF(WEEKDAY(tblTransactions[[#This Row],[date]],2)&gt;5,"Weekend","Weekday")</f>
        <v>Weekday</v>
      </c>
      <c r="O10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8" s="13" t="str">
        <f>_xlfn.XLOOKUP(tblTransactions[[#This Row],[tenant_id]],tblTenants[tenant_id],tblTenants[zone],"NOT FOUND")</f>
        <v>Home &amp; Living</v>
      </c>
      <c r="Q108" s="13" t="str">
        <f>_xlfn.XLOOKUP(tblTransactions[[#This Row],[tenant_id]],tblTenants[tenant_id],tblTenants[category],"NOT FOUND")</f>
        <v>Electronics</v>
      </c>
    </row>
    <row r="109" spans="1:17">
      <c r="A109" t="s">
        <v>152</v>
      </c>
      <c r="B109" s="2">
        <v>45760</v>
      </c>
      <c r="C109">
        <v>13</v>
      </c>
      <c r="D109" t="s">
        <v>61</v>
      </c>
      <c r="E109" t="s">
        <v>32</v>
      </c>
      <c r="F109" s="7">
        <v>4805.16</v>
      </c>
      <c r="G109" s="10">
        <v>0</v>
      </c>
      <c r="H109" s="7">
        <v>4805.16</v>
      </c>
      <c r="I109">
        <v>4</v>
      </c>
      <c r="J109" t="s">
        <v>13</v>
      </c>
      <c r="K109" s="13">
        <f>ROUND(tblTransactions[[#This Row],[gross_sales_inr]]*(1-tblTransactions[[#This Row],[discount_pct]]),2)</f>
        <v>4805.16</v>
      </c>
      <c r="L109" t="str">
        <f>IF(ABS(tblTransactions[[#This Row],[net_sales_inr]]-tblTransactions[[#This Row],[Recalc_Net_Sales]])&lt;0.02,"OK","CHECK")</f>
        <v>OK</v>
      </c>
      <c r="M109" s="14">
        <f>DATE(YEAR(tblTransactions[[#This Row],[date]]),MONTH(tblTransactions[[#This Row],[date]]),1)</f>
        <v>45748</v>
      </c>
      <c r="N109" t="str">
        <f>IF(WEEKDAY(tblTransactions[[#This Row],[date]],2)&gt;5,"Weekend","Weekday")</f>
        <v>Weekend</v>
      </c>
      <c r="O109" s="13" t="str">
        <f>IF(tblTransactions[[#This Row],[discount_pct]]=0,"0%",IF(tblTransactions[[#This Row],[discount_pct]]&lt;=10%,"1–
10%",IF(tblTransactions[[#This Row],[discount_pct]]&lt;=20%,"11–20%","&gt;20%")))</f>
        <v>0%</v>
      </c>
      <c r="P109" s="13" t="str">
        <f>_xlfn.XLOOKUP(tblTransactions[[#This Row],[tenant_id]],tblTenants[tenant_id],tblTenants[zone],"NOT FOUND")</f>
        <v>Food Court</v>
      </c>
      <c r="Q109" s="13" t="str">
        <f>_xlfn.XLOOKUP(tblTransactions[[#This Row],[tenant_id]],tblTenants[tenant_id],tblTenants[category],"NOT FOUND")</f>
        <v>Quick Service</v>
      </c>
    </row>
    <row r="110" spans="1:17">
      <c r="A110" t="s">
        <v>153</v>
      </c>
      <c r="B110" s="2">
        <v>45783</v>
      </c>
      <c r="C110">
        <v>17</v>
      </c>
      <c r="D110" t="s">
        <v>20</v>
      </c>
      <c r="E110" t="s">
        <v>21</v>
      </c>
      <c r="F110" s="7">
        <v>555.41</v>
      </c>
      <c r="G110" s="10">
        <v>0.05</v>
      </c>
      <c r="H110" s="7">
        <v>527.64</v>
      </c>
      <c r="I110">
        <v>1</v>
      </c>
      <c r="J110" t="s">
        <v>13</v>
      </c>
      <c r="K110" s="13">
        <f>ROUND(tblTransactions[[#This Row],[gross_sales_inr]]*(1-tblTransactions[[#This Row],[discount_pct]]),2)</f>
        <v>527.64</v>
      </c>
      <c r="L110" t="str">
        <f>IF(ABS(tblTransactions[[#This Row],[net_sales_inr]]-tblTransactions[[#This Row],[Recalc_Net_Sales]])&lt;0.02,"OK","CHECK")</f>
        <v>OK</v>
      </c>
      <c r="M110" s="14">
        <f>DATE(YEAR(tblTransactions[[#This Row],[date]]),MONTH(tblTransactions[[#This Row],[date]]),1)</f>
        <v>45778</v>
      </c>
      <c r="N110" t="str">
        <f>IF(WEEKDAY(tblTransactions[[#This Row],[date]],2)&gt;5,"Weekend","Weekday")</f>
        <v>Weekday</v>
      </c>
      <c r="O11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0" s="13" t="str">
        <f>_xlfn.XLOOKUP(tblTransactions[[#This Row],[tenant_id]],tblTenants[tenant_id],tblTenants[zone],"NOT FOUND")</f>
        <v>Fashion Avenue</v>
      </c>
      <c r="Q110" s="13" t="str">
        <f>_xlfn.XLOOKUP(tblTransactions[[#This Row],[tenant_id]],tblTenants[tenant_id],tblTenants[category],"NOT FOUND")</f>
        <v>Accessories</v>
      </c>
    </row>
    <row r="111" spans="1:17">
      <c r="A111" t="s">
        <v>154</v>
      </c>
      <c r="B111" s="2">
        <v>45695</v>
      </c>
      <c r="C111">
        <v>19</v>
      </c>
      <c r="D111" t="s">
        <v>18</v>
      </c>
      <c r="E111" t="s">
        <v>12</v>
      </c>
      <c r="F111" s="7">
        <v>1177.18</v>
      </c>
      <c r="G111" s="10">
        <v>0.2</v>
      </c>
      <c r="H111" s="7">
        <v>941.74</v>
      </c>
      <c r="I111">
        <v>4</v>
      </c>
      <c r="J111" t="s">
        <v>13</v>
      </c>
      <c r="K111" s="13">
        <f>ROUND(tblTransactions[[#This Row],[gross_sales_inr]]*(1-tblTransactions[[#This Row],[discount_pct]]),2)</f>
        <v>941.74</v>
      </c>
      <c r="L111" t="str">
        <f>IF(ABS(tblTransactions[[#This Row],[net_sales_inr]]-tblTransactions[[#This Row],[Recalc_Net_Sales]])&lt;0.02,"OK","CHECK")</f>
        <v>OK</v>
      </c>
      <c r="M111" s="14">
        <f>DATE(YEAR(tblTransactions[[#This Row],[date]]),MONTH(tblTransactions[[#This Row],[date]]),1)</f>
        <v>45689</v>
      </c>
      <c r="N111" t="str">
        <f>IF(WEEKDAY(tblTransactions[[#This Row],[date]],2)&gt;5,"Weekend","Weekday")</f>
        <v>Weekday</v>
      </c>
      <c r="O11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1" s="13" t="str">
        <f>_xlfn.XLOOKUP(tblTransactions[[#This Row],[tenant_id]],tblTenants[tenant_id],tblTenants[zone],"NOT FOUND")</f>
        <v>Beauty &amp; Wellness</v>
      </c>
      <c r="Q111" s="13" t="str">
        <f>_xlfn.XLOOKUP(tblTransactions[[#This Row],[tenant_id]],tblTenants[tenant_id],tblTenants[category],"NOT FOUND")</f>
        <v>Beauty</v>
      </c>
    </row>
    <row r="112" spans="1:17">
      <c r="A112" t="s">
        <v>155</v>
      </c>
      <c r="B112" s="2">
        <v>45824</v>
      </c>
      <c r="C112">
        <v>10</v>
      </c>
      <c r="D112" t="s">
        <v>45</v>
      </c>
      <c r="E112" t="s">
        <v>12</v>
      </c>
      <c r="F112" s="7">
        <v>1416.18</v>
      </c>
      <c r="G112" s="10">
        <v>0.15</v>
      </c>
      <c r="H112" s="7">
        <v>1203.75</v>
      </c>
      <c r="I112">
        <v>4</v>
      </c>
      <c r="J112" t="s">
        <v>13</v>
      </c>
      <c r="K112" s="13">
        <f>ROUND(tblTransactions[[#This Row],[gross_sales_inr]]*(1-tblTransactions[[#This Row],[discount_pct]]),2)</f>
        <v>1203.75</v>
      </c>
      <c r="L112" t="str">
        <f>IF(ABS(tblTransactions[[#This Row],[net_sales_inr]]-tblTransactions[[#This Row],[Recalc_Net_Sales]])&lt;0.02,"OK","CHECK")</f>
        <v>OK</v>
      </c>
      <c r="M112" s="14">
        <f>DATE(YEAR(tblTransactions[[#This Row],[date]]),MONTH(tblTransactions[[#This Row],[date]]),1)</f>
        <v>45809</v>
      </c>
      <c r="N112" t="str">
        <f>IF(WEEKDAY(tblTransactions[[#This Row],[date]],2)&gt;5,"Weekend","Weekday")</f>
        <v>Weekday</v>
      </c>
      <c r="O11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2" s="13" t="str">
        <f>_xlfn.XLOOKUP(tblTransactions[[#This Row],[tenant_id]],tblTenants[tenant_id],tblTenants[zone],"NOT FOUND")</f>
        <v>Home &amp; Living</v>
      </c>
      <c r="Q112" s="13" t="str">
        <f>_xlfn.XLOOKUP(tblTransactions[[#This Row],[tenant_id]],tblTenants[tenant_id],tblTenants[category],"NOT FOUND")</f>
        <v>Home Decor</v>
      </c>
    </row>
    <row r="113" spans="1:17">
      <c r="A113" t="s">
        <v>156</v>
      </c>
      <c r="B113" s="2">
        <v>45836</v>
      </c>
      <c r="C113">
        <v>15</v>
      </c>
      <c r="D113" t="s">
        <v>23</v>
      </c>
      <c r="E113" t="s">
        <v>32</v>
      </c>
      <c r="F113" s="7">
        <v>2451.91</v>
      </c>
      <c r="G113" s="10">
        <v>0</v>
      </c>
      <c r="H113" s="7">
        <v>2451.91</v>
      </c>
      <c r="I113">
        <v>1</v>
      </c>
      <c r="J113" t="s">
        <v>16</v>
      </c>
      <c r="K113" s="13">
        <f>ROUND(tblTransactions[[#This Row],[gross_sales_inr]]*(1-tblTransactions[[#This Row],[discount_pct]]),2)</f>
        <v>2451.91</v>
      </c>
      <c r="L113" t="str">
        <f>IF(ABS(tblTransactions[[#This Row],[net_sales_inr]]-tblTransactions[[#This Row],[Recalc_Net_Sales]])&lt;0.02,"OK","CHECK")</f>
        <v>OK</v>
      </c>
      <c r="M113" s="14">
        <f>DATE(YEAR(tblTransactions[[#This Row],[date]]),MONTH(tblTransactions[[#This Row],[date]]),1)</f>
        <v>45809</v>
      </c>
      <c r="N113" t="str">
        <f>IF(WEEKDAY(tblTransactions[[#This Row],[date]],2)&gt;5,"Weekend","Weekday")</f>
        <v>Weekend</v>
      </c>
      <c r="O113" s="13" t="str">
        <f>IF(tblTransactions[[#This Row],[discount_pct]]=0,"0%",IF(tblTransactions[[#This Row],[discount_pct]]&lt;=10%,"1–
10%",IF(tblTransactions[[#This Row],[discount_pct]]&lt;=20%,"11–20%","&gt;20%")))</f>
        <v>0%</v>
      </c>
      <c r="P113" s="13" t="str">
        <f>_xlfn.XLOOKUP(tblTransactions[[#This Row],[tenant_id]],tblTenants[tenant_id],tblTenants[zone],"NOT FOUND")</f>
        <v>Entertainment</v>
      </c>
      <c r="Q113" s="13" t="str">
        <f>_xlfn.XLOOKUP(tblTransactions[[#This Row],[tenant_id]],tblTenants[tenant_id],tblTenants[category],"NOT FOUND")</f>
        <v>Cinema</v>
      </c>
    </row>
    <row r="114" spans="1:17">
      <c r="A114" t="s">
        <v>157</v>
      </c>
      <c r="B114" s="2">
        <v>45714</v>
      </c>
      <c r="C114">
        <v>17</v>
      </c>
      <c r="D114" t="s">
        <v>87</v>
      </c>
      <c r="E114" t="s">
        <v>32</v>
      </c>
      <c r="F114" s="7">
        <v>891.5</v>
      </c>
      <c r="G114" s="10">
        <v>0</v>
      </c>
      <c r="H114" s="7">
        <v>891.5</v>
      </c>
      <c r="I114">
        <v>4</v>
      </c>
      <c r="J114" t="s">
        <v>13</v>
      </c>
      <c r="K114" s="13">
        <f>ROUND(tblTransactions[[#This Row],[gross_sales_inr]]*(1-tblTransactions[[#This Row],[discount_pct]]),2)</f>
        <v>891.5</v>
      </c>
      <c r="L114" t="str">
        <f>IF(ABS(tblTransactions[[#This Row],[net_sales_inr]]-tblTransactions[[#This Row],[Recalc_Net_Sales]])&lt;0.02,"OK","CHECK")</f>
        <v>OK</v>
      </c>
      <c r="M114" s="14">
        <f>DATE(YEAR(tblTransactions[[#This Row],[date]]),MONTH(tblTransactions[[#This Row],[date]]),1)</f>
        <v>45689</v>
      </c>
      <c r="N114" t="str">
        <f>IF(WEEKDAY(tblTransactions[[#This Row],[date]],2)&gt;5,"Weekend","Weekday")</f>
        <v>Weekday</v>
      </c>
      <c r="O114" s="13" t="str">
        <f>IF(tblTransactions[[#This Row],[discount_pct]]=0,"0%",IF(tblTransactions[[#This Row],[discount_pct]]&lt;=10%,"1–
10%",IF(tblTransactions[[#This Row],[discount_pct]]&lt;=20%,"11–20%","&gt;20%")))</f>
        <v>0%</v>
      </c>
      <c r="P114" s="13" t="str">
        <f>_xlfn.XLOOKUP(tblTransactions[[#This Row],[tenant_id]],tblTenants[tenant_id],tblTenants[zone],"NOT FOUND")</f>
        <v>Fashion Avenue</v>
      </c>
      <c r="Q114" s="13" t="str">
        <f>_xlfn.XLOOKUP(tblTransactions[[#This Row],[tenant_id]],tblTenants[tenant_id],tblTenants[category],"NOT FOUND")</f>
        <v>Footwear</v>
      </c>
    </row>
    <row r="115" spans="1:17">
      <c r="A115" t="s">
        <v>158</v>
      </c>
      <c r="B115" s="2">
        <v>45702</v>
      </c>
      <c r="C115">
        <v>10</v>
      </c>
      <c r="D115" t="s">
        <v>11</v>
      </c>
      <c r="E115" t="s">
        <v>32</v>
      </c>
      <c r="F115" s="7">
        <v>397.39</v>
      </c>
      <c r="G115" s="10">
        <v>0.05</v>
      </c>
      <c r="H115" s="7">
        <v>377.52</v>
      </c>
      <c r="I115">
        <v>2</v>
      </c>
      <c r="J115" t="s">
        <v>13</v>
      </c>
      <c r="K115" s="13">
        <f>ROUND(tblTransactions[[#This Row],[gross_sales_inr]]*(1-tblTransactions[[#This Row],[discount_pct]]),2)</f>
        <v>377.52</v>
      </c>
      <c r="L115" t="str">
        <f>IF(ABS(tblTransactions[[#This Row],[net_sales_inr]]-tblTransactions[[#This Row],[Recalc_Net_Sales]])&lt;0.02,"OK","CHECK")</f>
        <v>OK</v>
      </c>
      <c r="M115" s="14">
        <f>DATE(YEAR(tblTransactions[[#This Row],[date]]),MONTH(tblTransactions[[#This Row],[date]]),1)</f>
        <v>45689</v>
      </c>
      <c r="N115" t="str">
        <f>IF(WEEKDAY(tblTransactions[[#This Row],[date]],2)&gt;5,"Weekend","Weekday")</f>
        <v>Weekday</v>
      </c>
      <c r="O11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5" s="13" t="str">
        <f>_xlfn.XLOOKUP(tblTransactions[[#This Row],[tenant_id]],tblTenants[tenant_id],tblTenants[zone],"NOT FOUND")</f>
        <v>Home &amp; Living</v>
      </c>
      <c r="Q115" s="13" t="str">
        <f>_xlfn.XLOOKUP(tblTransactions[[#This Row],[tenant_id]],tblTenants[tenant_id],tblTenants[category],"NOT FOUND")</f>
        <v>Home Decor</v>
      </c>
    </row>
    <row r="116" spans="1:17">
      <c r="A116" t="s">
        <v>159</v>
      </c>
      <c r="B116" s="2">
        <v>45747</v>
      </c>
      <c r="C116">
        <v>11</v>
      </c>
      <c r="D116" t="s">
        <v>122</v>
      </c>
      <c r="E116" t="s">
        <v>21</v>
      </c>
      <c r="F116" s="7">
        <v>607.08000000000004</v>
      </c>
      <c r="G116" s="10">
        <v>0.05</v>
      </c>
      <c r="H116" s="7">
        <v>576.73</v>
      </c>
      <c r="I116">
        <v>3</v>
      </c>
      <c r="J116" t="s">
        <v>16</v>
      </c>
      <c r="K116" s="13">
        <f>ROUND(tblTransactions[[#This Row],[gross_sales_inr]]*(1-tblTransactions[[#This Row],[discount_pct]]),2)</f>
        <v>576.73</v>
      </c>
      <c r="L116" t="str">
        <f>IF(ABS(tblTransactions[[#This Row],[net_sales_inr]]-tblTransactions[[#This Row],[Recalc_Net_Sales]])&lt;0.02,"OK","CHECK")</f>
        <v>OK</v>
      </c>
      <c r="M116" s="14">
        <f>DATE(YEAR(tblTransactions[[#This Row],[date]]),MONTH(tblTransactions[[#This Row],[date]]),1)</f>
        <v>45717</v>
      </c>
      <c r="N116" t="str">
        <f>IF(WEEKDAY(tblTransactions[[#This Row],[date]],2)&gt;5,"Weekend","Weekday")</f>
        <v>Weekday</v>
      </c>
      <c r="O11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6" s="13" t="str">
        <f>_xlfn.XLOOKUP(tblTransactions[[#This Row],[tenant_id]],tblTenants[tenant_id],tblTenants[zone],"NOT FOUND")</f>
        <v>Beauty &amp; Wellness</v>
      </c>
      <c r="Q116" s="13" t="str">
        <f>_xlfn.XLOOKUP(tblTransactions[[#This Row],[tenant_id]],tblTenants[tenant_id],tblTenants[category],"NOT FOUND")</f>
        <v>Wellness</v>
      </c>
    </row>
    <row r="117" spans="1:17">
      <c r="A117" t="s">
        <v>160</v>
      </c>
      <c r="B117" s="2">
        <v>45742</v>
      </c>
      <c r="C117">
        <v>20</v>
      </c>
      <c r="D117" t="s">
        <v>25</v>
      </c>
      <c r="E117" t="s">
        <v>32</v>
      </c>
      <c r="F117" s="7">
        <v>2563.89</v>
      </c>
      <c r="G117" s="10">
        <v>0</v>
      </c>
      <c r="H117" s="7">
        <v>2563.89</v>
      </c>
      <c r="I117">
        <v>1</v>
      </c>
      <c r="J117" t="s">
        <v>13</v>
      </c>
      <c r="K117" s="13">
        <f>ROUND(tblTransactions[[#This Row],[gross_sales_inr]]*(1-tblTransactions[[#This Row],[discount_pct]]),2)</f>
        <v>2563.89</v>
      </c>
      <c r="L117" t="str">
        <f>IF(ABS(tblTransactions[[#This Row],[net_sales_inr]]-tblTransactions[[#This Row],[Recalc_Net_Sales]])&lt;0.02,"OK","CHECK")</f>
        <v>OK</v>
      </c>
      <c r="M117" s="14">
        <f>DATE(YEAR(tblTransactions[[#This Row],[date]]),MONTH(tblTransactions[[#This Row],[date]]),1)</f>
        <v>45717</v>
      </c>
      <c r="N117" t="str">
        <f>IF(WEEKDAY(tblTransactions[[#This Row],[date]],2)&gt;5,"Weekend","Weekday")</f>
        <v>Weekday</v>
      </c>
      <c r="O117" s="13" t="str">
        <f>IF(tblTransactions[[#This Row],[discount_pct]]=0,"0%",IF(tblTransactions[[#This Row],[discount_pct]]&lt;=10%,"1–
10%",IF(tblTransactions[[#This Row],[discount_pct]]&lt;=20%,"11–20%","&gt;20%")))</f>
        <v>0%</v>
      </c>
      <c r="P117" s="13" t="str">
        <f>_xlfn.XLOOKUP(tblTransactions[[#This Row],[tenant_id]],tblTenants[tenant_id],tblTenants[zone],"NOT FOUND")</f>
        <v>Beauty &amp; Wellness</v>
      </c>
      <c r="Q117" s="13" t="str">
        <f>_xlfn.XLOOKUP(tblTransactions[[#This Row],[tenant_id]],tblTenants[tenant_id],tblTenants[category],"NOT FOUND")</f>
        <v>Beauty</v>
      </c>
    </row>
    <row r="118" spans="1:17">
      <c r="A118" t="s">
        <v>161</v>
      </c>
      <c r="B118" s="2">
        <v>45722</v>
      </c>
      <c r="C118">
        <v>16</v>
      </c>
      <c r="D118" t="s">
        <v>31</v>
      </c>
      <c r="E118" t="s">
        <v>51</v>
      </c>
      <c r="F118" s="7">
        <v>555.05999999999995</v>
      </c>
      <c r="G118" s="10">
        <v>0</v>
      </c>
      <c r="H118" s="7">
        <v>555.05999999999995</v>
      </c>
      <c r="I118">
        <v>2</v>
      </c>
      <c r="J118" t="s">
        <v>13</v>
      </c>
      <c r="K118" s="13">
        <f>ROUND(tblTransactions[[#This Row],[gross_sales_inr]]*(1-tblTransactions[[#This Row],[discount_pct]]),2)</f>
        <v>555.05999999999995</v>
      </c>
      <c r="L118" t="str">
        <f>IF(ABS(tblTransactions[[#This Row],[net_sales_inr]]-tblTransactions[[#This Row],[Recalc_Net_Sales]])&lt;0.02,"OK","CHECK")</f>
        <v>OK</v>
      </c>
      <c r="M118" s="14">
        <f>DATE(YEAR(tblTransactions[[#This Row],[date]]),MONTH(tblTransactions[[#This Row],[date]]),1)</f>
        <v>45717</v>
      </c>
      <c r="N118" t="str">
        <f>IF(WEEKDAY(tblTransactions[[#This Row],[date]],2)&gt;5,"Weekend","Weekday")</f>
        <v>Weekday</v>
      </c>
      <c r="O118" s="13" t="str">
        <f>IF(tblTransactions[[#This Row],[discount_pct]]=0,"0%",IF(tblTransactions[[#This Row],[discount_pct]]&lt;=10%,"1–
10%",IF(tblTransactions[[#This Row],[discount_pct]]&lt;=20%,"11–20%","&gt;20%")))</f>
        <v>0%</v>
      </c>
      <c r="P118" s="13" t="str">
        <f>_xlfn.XLOOKUP(tblTransactions[[#This Row],[tenant_id]],tblTenants[tenant_id],tblTenants[zone],"NOT FOUND")</f>
        <v>Entertainment</v>
      </c>
      <c r="Q118" s="13" t="str">
        <f>_xlfn.XLOOKUP(tblTransactions[[#This Row],[tenant_id]],tblTenants[tenant_id],tblTenants[category],"NOT FOUND")</f>
        <v>Arcade</v>
      </c>
    </row>
    <row r="119" spans="1:17">
      <c r="A119" t="s">
        <v>162</v>
      </c>
      <c r="B119" s="2">
        <v>45750</v>
      </c>
      <c r="C119">
        <v>22</v>
      </c>
      <c r="D119" t="s">
        <v>31</v>
      </c>
      <c r="E119" t="s">
        <v>12</v>
      </c>
      <c r="F119" s="7">
        <v>2069.0100000000002</v>
      </c>
      <c r="G119" s="10">
        <v>0</v>
      </c>
      <c r="H119" s="7">
        <v>2069.0100000000002</v>
      </c>
      <c r="I119">
        <v>4</v>
      </c>
      <c r="J119" t="s">
        <v>13</v>
      </c>
      <c r="K119" s="13">
        <f>ROUND(tblTransactions[[#This Row],[gross_sales_inr]]*(1-tblTransactions[[#This Row],[discount_pct]]),2)</f>
        <v>2069.0100000000002</v>
      </c>
      <c r="L119" t="str">
        <f>IF(ABS(tblTransactions[[#This Row],[net_sales_inr]]-tblTransactions[[#This Row],[Recalc_Net_Sales]])&lt;0.02,"OK","CHECK")</f>
        <v>OK</v>
      </c>
      <c r="M119" s="14">
        <f>DATE(YEAR(tblTransactions[[#This Row],[date]]),MONTH(tblTransactions[[#This Row],[date]]),1)</f>
        <v>45748</v>
      </c>
      <c r="N119" t="str">
        <f>IF(WEEKDAY(tblTransactions[[#This Row],[date]],2)&gt;5,"Weekend","Weekday")</f>
        <v>Weekday</v>
      </c>
      <c r="O119" s="13" t="str">
        <f>IF(tblTransactions[[#This Row],[discount_pct]]=0,"0%",IF(tblTransactions[[#This Row],[discount_pct]]&lt;=10%,"1–
10%",IF(tblTransactions[[#This Row],[discount_pct]]&lt;=20%,"11–20%","&gt;20%")))</f>
        <v>0%</v>
      </c>
      <c r="P119" s="13" t="str">
        <f>_xlfn.XLOOKUP(tblTransactions[[#This Row],[tenant_id]],tblTenants[tenant_id],tblTenants[zone],"NOT FOUND")</f>
        <v>Entertainment</v>
      </c>
      <c r="Q119" s="13" t="str">
        <f>_xlfn.XLOOKUP(tblTransactions[[#This Row],[tenant_id]],tblTenants[tenant_id],tblTenants[category],"NOT FOUND")</f>
        <v>Arcade</v>
      </c>
    </row>
    <row r="120" spans="1:17">
      <c r="A120" t="s">
        <v>163</v>
      </c>
      <c r="B120" s="2">
        <v>45779</v>
      </c>
      <c r="C120">
        <v>17</v>
      </c>
      <c r="D120" t="s">
        <v>20</v>
      </c>
      <c r="E120" t="s">
        <v>12</v>
      </c>
      <c r="F120" s="7">
        <v>891.46</v>
      </c>
      <c r="G120" s="10">
        <v>0.15</v>
      </c>
      <c r="H120" s="7">
        <v>757.74</v>
      </c>
      <c r="I120">
        <v>5</v>
      </c>
      <c r="J120" t="s">
        <v>16</v>
      </c>
      <c r="K120" s="13">
        <f>ROUND(tblTransactions[[#This Row],[gross_sales_inr]]*(1-tblTransactions[[#This Row],[discount_pct]]),2)</f>
        <v>757.74</v>
      </c>
      <c r="L120" t="str">
        <f>IF(ABS(tblTransactions[[#This Row],[net_sales_inr]]-tblTransactions[[#This Row],[Recalc_Net_Sales]])&lt;0.02,"OK","CHECK")</f>
        <v>OK</v>
      </c>
      <c r="M120" s="14">
        <f>DATE(YEAR(tblTransactions[[#This Row],[date]]),MONTH(tblTransactions[[#This Row],[date]]),1)</f>
        <v>45778</v>
      </c>
      <c r="N120" t="str">
        <f>IF(WEEKDAY(tblTransactions[[#This Row],[date]],2)&gt;5,"Weekend","Weekday")</f>
        <v>Weekday</v>
      </c>
      <c r="O12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0" s="13" t="str">
        <f>_xlfn.XLOOKUP(tblTransactions[[#This Row],[tenant_id]],tblTenants[tenant_id],tblTenants[zone],"NOT FOUND")</f>
        <v>Fashion Avenue</v>
      </c>
      <c r="Q120" s="13" t="str">
        <f>_xlfn.XLOOKUP(tblTransactions[[#This Row],[tenant_id]],tblTenants[tenant_id],tblTenants[category],"NOT FOUND")</f>
        <v>Accessories</v>
      </c>
    </row>
    <row r="121" spans="1:17">
      <c r="A121" t="s">
        <v>164</v>
      </c>
      <c r="B121" s="2">
        <v>45785</v>
      </c>
      <c r="C121">
        <v>12</v>
      </c>
      <c r="D121" t="s">
        <v>59</v>
      </c>
      <c r="E121" t="s">
        <v>12</v>
      </c>
      <c r="F121" s="7">
        <v>1140.57</v>
      </c>
      <c r="G121" s="10">
        <v>0.3</v>
      </c>
      <c r="H121" s="7">
        <v>798.4</v>
      </c>
      <c r="I121">
        <v>1</v>
      </c>
      <c r="J121" t="s">
        <v>16</v>
      </c>
      <c r="K121" s="13">
        <f>ROUND(tblTransactions[[#This Row],[gross_sales_inr]]*(1-tblTransactions[[#This Row],[discount_pct]]),2)</f>
        <v>798.4</v>
      </c>
      <c r="L121" t="str">
        <f>IF(ABS(tblTransactions[[#This Row],[net_sales_inr]]-tblTransactions[[#This Row],[Recalc_Net_Sales]])&lt;0.02,"OK","CHECK")</f>
        <v>OK</v>
      </c>
      <c r="M121" s="14">
        <f>DATE(YEAR(tblTransactions[[#This Row],[date]]),MONTH(tblTransactions[[#This Row],[date]]),1)</f>
        <v>45778</v>
      </c>
      <c r="N121" t="str">
        <f>IF(WEEKDAY(tblTransactions[[#This Row],[date]],2)&gt;5,"Weekend","Weekday")</f>
        <v>Weekday</v>
      </c>
      <c r="O121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21" s="13" t="str">
        <f>_xlfn.XLOOKUP(tblTransactions[[#This Row],[tenant_id]],tblTenants[tenant_id],tblTenants[zone],"NOT FOUND")</f>
        <v>Fashion Avenue</v>
      </c>
      <c r="Q121" s="13" t="str">
        <f>_xlfn.XLOOKUP(tblTransactions[[#This Row],[tenant_id]],tblTenants[tenant_id],tblTenants[category],"NOT FOUND")</f>
        <v>Footwear</v>
      </c>
    </row>
    <row r="122" spans="1:17">
      <c r="A122" t="s">
        <v>165</v>
      </c>
      <c r="B122" s="2">
        <v>45663</v>
      </c>
      <c r="C122">
        <v>16</v>
      </c>
      <c r="D122" t="s">
        <v>87</v>
      </c>
      <c r="E122" t="s">
        <v>12</v>
      </c>
      <c r="F122" s="7">
        <v>551.46</v>
      </c>
      <c r="G122" s="10">
        <v>0.05</v>
      </c>
      <c r="H122" s="7">
        <v>523.89</v>
      </c>
      <c r="I122">
        <v>2</v>
      </c>
      <c r="J122" t="s">
        <v>13</v>
      </c>
      <c r="K122" s="13">
        <f>ROUND(tblTransactions[[#This Row],[gross_sales_inr]]*(1-tblTransactions[[#This Row],[discount_pct]]),2)</f>
        <v>523.89</v>
      </c>
      <c r="L122" t="str">
        <f>IF(ABS(tblTransactions[[#This Row],[net_sales_inr]]-tblTransactions[[#This Row],[Recalc_Net_Sales]])&lt;0.02,"OK","CHECK")</f>
        <v>OK</v>
      </c>
      <c r="M122" s="14">
        <f>DATE(YEAR(tblTransactions[[#This Row],[date]]),MONTH(tblTransactions[[#This Row],[date]]),1)</f>
        <v>45658</v>
      </c>
      <c r="N122" t="str">
        <f>IF(WEEKDAY(tblTransactions[[#This Row],[date]],2)&gt;5,"Weekend","Weekday")</f>
        <v>Weekday</v>
      </c>
      <c r="O12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2" s="13" t="str">
        <f>_xlfn.XLOOKUP(tblTransactions[[#This Row],[tenant_id]],tblTenants[tenant_id],tblTenants[zone],"NOT FOUND")</f>
        <v>Fashion Avenue</v>
      </c>
      <c r="Q122" s="13" t="str">
        <f>_xlfn.XLOOKUP(tblTransactions[[#This Row],[tenant_id]],tblTenants[tenant_id],tblTenants[category],"NOT FOUND")</f>
        <v>Footwear</v>
      </c>
    </row>
    <row r="123" spans="1:17">
      <c r="A123" t="s">
        <v>166</v>
      </c>
      <c r="B123" s="2">
        <v>45836</v>
      </c>
      <c r="C123">
        <v>20</v>
      </c>
      <c r="D123" t="s">
        <v>72</v>
      </c>
      <c r="E123" t="s">
        <v>12</v>
      </c>
      <c r="F123" s="7">
        <v>569.41</v>
      </c>
      <c r="G123" s="10">
        <v>0</v>
      </c>
      <c r="H123" s="7">
        <v>569.41</v>
      </c>
      <c r="I123">
        <v>3</v>
      </c>
      <c r="J123" t="s">
        <v>13</v>
      </c>
      <c r="K123" s="13">
        <f>ROUND(tblTransactions[[#This Row],[gross_sales_inr]]*(1-tblTransactions[[#This Row],[discount_pct]]),2)</f>
        <v>569.41</v>
      </c>
      <c r="L123" t="str">
        <f>IF(ABS(tblTransactions[[#This Row],[net_sales_inr]]-tblTransactions[[#This Row],[Recalc_Net_Sales]])&lt;0.02,"OK","CHECK")</f>
        <v>OK</v>
      </c>
      <c r="M123" s="14">
        <f>DATE(YEAR(tblTransactions[[#This Row],[date]]),MONTH(tblTransactions[[#This Row],[date]]),1)</f>
        <v>45809</v>
      </c>
      <c r="N123" t="str">
        <f>IF(WEEKDAY(tblTransactions[[#This Row],[date]],2)&gt;5,"Weekend","Weekday")</f>
        <v>Weekend</v>
      </c>
      <c r="O123" s="13" t="str">
        <f>IF(tblTransactions[[#This Row],[discount_pct]]=0,"0%",IF(tblTransactions[[#This Row],[discount_pct]]&lt;=10%,"1–
10%",IF(tblTransactions[[#This Row],[discount_pct]]&lt;=20%,"11–20%","&gt;20%")))</f>
        <v>0%</v>
      </c>
      <c r="P123" s="13" t="str">
        <f>_xlfn.XLOOKUP(tblTransactions[[#This Row],[tenant_id]],tblTenants[tenant_id],tblTenants[zone],"NOT FOUND")</f>
        <v>Entertainment</v>
      </c>
      <c r="Q123" s="13" t="str">
        <f>_xlfn.XLOOKUP(tblTransactions[[#This Row],[tenant_id]],tblTenants[tenant_id],tblTenants[category],"NOT FOUND")</f>
        <v>Arcade</v>
      </c>
    </row>
    <row r="124" spans="1:17">
      <c r="A124" t="s">
        <v>167</v>
      </c>
      <c r="B124" s="2">
        <v>45713</v>
      </c>
      <c r="C124">
        <v>21</v>
      </c>
      <c r="D124" t="s">
        <v>48</v>
      </c>
      <c r="E124" t="s">
        <v>12</v>
      </c>
      <c r="F124" s="7">
        <v>727.99</v>
      </c>
      <c r="G124" s="10">
        <v>0.2</v>
      </c>
      <c r="H124" s="7">
        <v>582.39</v>
      </c>
      <c r="I124">
        <v>2</v>
      </c>
      <c r="J124" t="s">
        <v>16</v>
      </c>
      <c r="K124" s="13">
        <f>ROUND(tblTransactions[[#This Row],[gross_sales_inr]]*(1-tblTransactions[[#This Row],[discount_pct]]),2)</f>
        <v>582.39</v>
      </c>
      <c r="L124" t="str">
        <f>IF(ABS(tblTransactions[[#This Row],[net_sales_inr]]-tblTransactions[[#This Row],[Recalc_Net_Sales]])&lt;0.02,"OK","CHECK")</f>
        <v>OK</v>
      </c>
      <c r="M124" s="14">
        <f>DATE(YEAR(tblTransactions[[#This Row],[date]]),MONTH(tblTransactions[[#This Row],[date]]),1)</f>
        <v>45689</v>
      </c>
      <c r="N124" t="str">
        <f>IF(WEEKDAY(tblTransactions[[#This Row],[date]],2)&gt;5,"Weekend","Weekday")</f>
        <v>Weekday</v>
      </c>
      <c r="O12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4" s="13" t="str">
        <f>_xlfn.XLOOKUP(tblTransactions[[#This Row],[tenant_id]],tblTenants[tenant_id],tblTenants[zone],"NOT FOUND")</f>
        <v>Beauty &amp; Wellness</v>
      </c>
      <c r="Q124" s="13" t="str">
        <f>_xlfn.XLOOKUP(tblTransactions[[#This Row],[tenant_id]],tblTenants[tenant_id],tblTenants[category],"NOT FOUND")</f>
        <v>Wellness</v>
      </c>
    </row>
    <row r="125" spans="1:17">
      <c r="A125" t="s">
        <v>168</v>
      </c>
      <c r="B125" s="2">
        <v>45658</v>
      </c>
      <c r="C125">
        <v>13</v>
      </c>
      <c r="D125" t="s">
        <v>57</v>
      </c>
      <c r="E125" t="s">
        <v>32</v>
      </c>
      <c r="F125" s="7">
        <v>1293.8499999999999</v>
      </c>
      <c r="G125" s="10">
        <v>0</v>
      </c>
      <c r="H125" s="7">
        <v>1293.8499999999999</v>
      </c>
      <c r="I125">
        <v>3</v>
      </c>
      <c r="J125" t="s">
        <v>13</v>
      </c>
      <c r="K125" s="13">
        <f>ROUND(tblTransactions[[#This Row],[gross_sales_inr]]*(1-tblTransactions[[#This Row],[discount_pct]]),2)</f>
        <v>1293.8499999999999</v>
      </c>
      <c r="L125" t="str">
        <f>IF(ABS(tblTransactions[[#This Row],[net_sales_inr]]-tblTransactions[[#This Row],[Recalc_Net_Sales]])&lt;0.02,"OK","CHECK")</f>
        <v>OK</v>
      </c>
      <c r="M125" s="14">
        <f>DATE(YEAR(tblTransactions[[#This Row],[date]]),MONTH(tblTransactions[[#This Row],[date]]),1)</f>
        <v>45658</v>
      </c>
      <c r="N125" t="str">
        <f>IF(WEEKDAY(tblTransactions[[#This Row],[date]],2)&gt;5,"Weekend","Weekday")</f>
        <v>Weekday</v>
      </c>
      <c r="O125" s="13" t="str">
        <f>IF(tblTransactions[[#This Row],[discount_pct]]=0,"0%",IF(tblTransactions[[#This Row],[discount_pct]]&lt;=10%,"1–
10%",IF(tblTransactions[[#This Row],[discount_pct]]&lt;=20%,"11–20%","&gt;20%")))</f>
        <v>0%</v>
      </c>
      <c r="P125" s="13" t="str">
        <f>_xlfn.XLOOKUP(tblTransactions[[#This Row],[tenant_id]],tblTenants[tenant_id],tblTenants[zone],"NOT FOUND")</f>
        <v>Food Court</v>
      </c>
      <c r="Q125" s="13" t="str">
        <f>_xlfn.XLOOKUP(tblTransactions[[#This Row],[tenant_id]],tblTenants[tenant_id],tblTenants[category],"NOT FOUND")</f>
        <v>Casual Dining</v>
      </c>
    </row>
    <row r="126" spans="1:17">
      <c r="A126" t="s">
        <v>169</v>
      </c>
      <c r="B126" s="2">
        <v>45836</v>
      </c>
      <c r="C126">
        <v>12</v>
      </c>
      <c r="D126" t="s">
        <v>23</v>
      </c>
      <c r="E126" t="s">
        <v>12</v>
      </c>
      <c r="F126" s="7">
        <v>1473.06</v>
      </c>
      <c r="G126" s="10">
        <v>0</v>
      </c>
      <c r="H126" s="7">
        <v>1473.06</v>
      </c>
      <c r="I126">
        <v>4</v>
      </c>
      <c r="J126" t="s">
        <v>16</v>
      </c>
      <c r="K126" s="13">
        <f>ROUND(tblTransactions[[#This Row],[gross_sales_inr]]*(1-tblTransactions[[#This Row],[discount_pct]]),2)</f>
        <v>1473.06</v>
      </c>
      <c r="L126" t="str">
        <f>IF(ABS(tblTransactions[[#This Row],[net_sales_inr]]-tblTransactions[[#This Row],[Recalc_Net_Sales]])&lt;0.02,"OK","CHECK")</f>
        <v>OK</v>
      </c>
      <c r="M126" s="14">
        <f>DATE(YEAR(tblTransactions[[#This Row],[date]]),MONTH(tblTransactions[[#This Row],[date]]),1)</f>
        <v>45809</v>
      </c>
      <c r="N126" t="str">
        <f>IF(WEEKDAY(tblTransactions[[#This Row],[date]],2)&gt;5,"Weekend","Weekday")</f>
        <v>Weekend</v>
      </c>
      <c r="O126" s="13" t="str">
        <f>IF(tblTransactions[[#This Row],[discount_pct]]=0,"0%",IF(tblTransactions[[#This Row],[discount_pct]]&lt;=10%,"1–
10%",IF(tblTransactions[[#This Row],[discount_pct]]&lt;=20%,"11–20%","&gt;20%")))</f>
        <v>0%</v>
      </c>
      <c r="P126" s="13" t="str">
        <f>_xlfn.XLOOKUP(tblTransactions[[#This Row],[tenant_id]],tblTenants[tenant_id],tblTenants[zone],"NOT FOUND")</f>
        <v>Entertainment</v>
      </c>
      <c r="Q126" s="13" t="str">
        <f>_xlfn.XLOOKUP(tblTransactions[[#This Row],[tenant_id]],tblTenants[tenant_id],tblTenants[category],"NOT FOUND")</f>
        <v>Cinema</v>
      </c>
    </row>
    <row r="127" spans="1:17">
      <c r="A127" t="s">
        <v>170</v>
      </c>
      <c r="B127" s="2">
        <v>45795</v>
      </c>
      <c r="C127">
        <v>12</v>
      </c>
      <c r="D127" t="s">
        <v>45</v>
      </c>
      <c r="E127" t="s">
        <v>12</v>
      </c>
      <c r="F127" s="7">
        <v>350.12</v>
      </c>
      <c r="G127" s="10">
        <v>0</v>
      </c>
      <c r="H127" s="7">
        <v>350.12</v>
      </c>
      <c r="I127">
        <v>3</v>
      </c>
      <c r="J127" t="s">
        <v>13</v>
      </c>
      <c r="K127" s="13">
        <f>ROUND(tblTransactions[[#This Row],[gross_sales_inr]]*(1-tblTransactions[[#This Row],[discount_pct]]),2)</f>
        <v>350.12</v>
      </c>
      <c r="L127" t="str">
        <f>IF(ABS(tblTransactions[[#This Row],[net_sales_inr]]-tblTransactions[[#This Row],[Recalc_Net_Sales]])&lt;0.02,"OK","CHECK")</f>
        <v>OK</v>
      </c>
      <c r="M127" s="14">
        <f>DATE(YEAR(tblTransactions[[#This Row],[date]]),MONTH(tblTransactions[[#This Row],[date]]),1)</f>
        <v>45778</v>
      </c>
      <c r="N127" t="str">
        <f>IF(WEEKDAY(tblTransactions[[#This Row],[date]],2)&gt;5,"Weekend","Weekday")</f>
        <v>Weekend</v>
      </c>
      <c r="O127" s="13" t="str">
        <f>IF(tblTransactions[[#This Row],[discount_pct]]=0,"0%",IF(tblTransactions[[#This Row],[discount_pct]]&lt;=10%,"1–
10%",IF(tblTransactions[[#This Row],[discount_pct]]&lt;=20%,"11–20%","&gt;20%")))</f>
        <v>0%</v>
      </c>
      <c r="P127" s="13" t="str">
        <f>_xlfn.XLOOKUP(tblTransactions[[#This Row],[tenant_id]],tblTenants[tenant_id],tblTenants[zone],"NOT FOUND")</f>
        <v>Home &amp; Living</v>
      </c>
      <c r="Q127" s="13" t="str">
        <f>_xlfn.XLOOKUP(tblTransactions[[#This Row],[tenant_id]],tblTenants[tenant_id],tblTenants[category],"NOT FOUND")</f>
        <v>Home Decor</v>
      </c>
    </row>
    <row r="128" spans="1:17">
      <c r="A128" t="s">
        <v>171</v>
      </c>
      <c r="B128" s="2">
        <v>45677</v>
      </c>
      <c r="C128">
        <v>21</v>
      </c>
      <c r="D128" t="s">
        <v>23</v>
      </c>
      <c r="E128" t="s">
        <v>32</v>
      </c>
      <c r="F128" s="7">
        <v>905.82</v>
      </c>
      <c r="G128" s="10">
        <v>0.15</v>
      </c>
      <c r="H128" s="7">
        <v>769.95</v>
      </c>
      <c r="I128">
        <v>3</v>
      </c>
      <c r="J128" t="s">
        <v>13</v>
      </c>
      <c r="K128" s="13">
        <f>ROUND(tblTransactions[[#This Row],[gross_sales_inr]]*(1-tblTransactions[[#This Row],[discount_pct]]),2)</f>
        <v>769.95</v>
      </c>
      <c r="L128" t="str">
        <f>IF(ABS(tblTransactions[[#This Row],[net_sales_inr]]-tblTransactions[[#This Row],[Recalc_Net_Sales]])&lt;0.02,"OK","CHECK")</f>
        <v>OK</v>
      </c>
      <c r="M128" s="14">
        <f>DATE(YEAR(tblTransactions[[#This Row],[date]]),MONTH(tblTransactions[[#This Row],[date]]),1)</f>
        <v>45658</v>
      </c>
      <c r="N128" t="str">
        <f>IF(WEEKDAY(tblTransactions[[#This Row],[date]],2)&gt;5,"Weekend","Weekday")</f>
        <v>Weekday</v>
      </c>
      <c r="O12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8" s="13" t="str">
        <f>_xlfn.XLOOKUP(tblTransactions[[#This Row],[tenant_id]],tblTenants[tenant_id],tblTenants[zone],"NOT FOUND")</f>
        <v>Entertainment</v>
      </c>
      <c r="Q128" s="13" t="str">
        <f>_xlfn.XLOOKUP(tblTransactions[[#This Row],[tenant_id]],tblTenants[tenant_id],tblTenants[category],"NOT FOUND")</f>
        <v>Cinema</v>
      </c>
    </row>
    <row r="129" spans="1:17">
      <c r="A129" t="s">
        <v>172</v>
      </c>
      <c r="B129" s="2">
        <v>45814</v>
      </c>
      <c r="C129">
        <v>18</v>
      </c>
      <c r="D129" t="s">
        <v>34</v>
      </c>
      <c r="E129" t="s">
        <v>12</v>
      </c>
      <c r="F129" s="7">
        <v>539</v>
      </c>
      <c r="G129" s="10">
        <v>0</v>
      </c>
      <c r="H129" s="7">
        <v>539</v>
      </c>
      <c r="I129">
        <v>1</v>
      </c>
      <c r="J129" t="s">
        <v>13</v>
      </c>
      <c r="K129" s="13">
        <f>ROUND(tblTransactions[[#This Row],[gross_sales_inr]]*(1-tblTransactions[[#This Row],[discount_pct]]),2)</f>
        <v>539</v>
      </c>
      <c r="L129" t="str">
        <f>IF(ABS(tblTransactions[[#This Row],[net_sales_inr]]-tblTransactions[[#This Row],[Recalc_Net_Sales]])&lt;0.02,"OK","CHECK")</f>
        <v>OK</v>
      </c>
      <c r="M129" s="14">
        <f>DATE(YEAR(tblTransactions[[#This Row],[date]]),MONTH(tblTransactions[[#This Row],[date]]),1)</f>
        <v>45809</v>
      </c>
      <c r="N129" t="str">
        <f>IF(WEEKDAY(tblTransactions[[#This Row],[date]],2)&gt;5,"Weekend","Weekday")</f>
        <v>Weekday</v>
      </c>
      <c r="O129" s="13" t="str">
        <f>IF(tblTransactions[[#This Row],[discount_pct]]=0,"0%",IF(tblTransactions[[#This Row],[discount_pct]]&lt;=10%,"1–
10%",IF(tblTransactions[[#This Row],[discount_pct]]&lt;=20%,"11–20%","&gt;20%")))</f>
        <v>0%</v>
      </c>
      <c r="P129" s="13" t="str">
        <f>_xlfn.XLOOKUP(tblTransactions[[#This Row],[tenant_id]],tblTenants[tenant_id],tblTenants[zone],"NOT FOUND")</f>
        <v>Home &amp; Living</v>
      </c>
      <c r="Q129" s="13" t="str">
        <f>_xlfn.XLOOKUP(tblTransactions[[#This Row],[tenant_id]],tblTenants[tenant_id],tblTenants[category],"NOT FOUND")</f>
        <v>Electronics</v>
      </c>
    </row>
    <row r="130" spans="1:17">
      <c r="A130" t="s">
        <v>173</v>
      </c>
      <c r="B130" s="2">
        <v>45749</v>
      </c>
      <c r="C130">
        <v>20</v>
      </c>
      <c r="D130" t="s">
        <v>34</v>
      </c>
      <c r="E130" t="s">
        <v>12</v>
      </c>
      <c r="F130" s="7">
        <v>841.73</v>
      </c>
      <c r="G130" s="10">
        <v>0.15</v>
      </c>
      <c r="H130" s="7">
        <v>715.47</v>
      </c>
      <c r="I130">
        <v>4</v>
      </c>
      <c r="J130" t="s">
        <v>13</v>
      </c>
      <c r="K130" s="13">
        <f>ROUND(tblTransactions[[#This Row],[gross_sales_inr]]*(1-tblTransactions[[#This Row],[discount_pct]]),2)</f>
        <v>715.47</v>
      </c>
      <c r="L130" t="str">
        <f>IF(ABS(tblTransactions[[#This Row],[net_sales_inr]]-tblTransactions[[#This Row],[Recalc_Net_Sales]])&lt;0.02,"OK","CHECK")</f>
        <v>OK</v>
      </c>
      <c r="M130" s="14">
        <f>DATE(YEAR(tblTransactions[[#This Row],[date]]),MONTH(tblTransactions[[#This Row],[date]]),1)</f>
        <v>45748</v>
      </c>
      <c r="N130" t="str">
        <f>IF(WEEKDAY(tblTransactions[[#This Row],[date]],2)&gt;5,"Weekend","Weekday")</f>
        <v>Weekday</v>
      </c>
      <c r="O13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0" s="13" t="str">
        <f>_xlfn.XLOOKUP(tblTransactions[[#This Row],[tenant_id]],tblTenants[tenant_id],tblTenants[zone],"NOT FOUND")</f>
        <v>Home &amp; Living</v>
      </c>
      <c r="Q130" s="13" t="str">
        <f>_xlfn.XLOOKUP(tblTransactions[[#This Row],[tenant_id]],tblTenants[tenant_id],tblTenants[category],"NOT FOUND")</f>
        <v>Electronics</v>
      </c>
    </row>
    <row r="131" spans="1:17">
      <c r="A131" t="s">
        <v>174</v>
      </c>
      <c r="B131" s="2">
        <v>45836</v>
      </c>
      <c r="C131">
        <v>10</v>
      </c>
      <c r="D131" t="s">
        <v>48</v>
      </c>
      <c r="E131" t="s">
        <v>32</v>
      </c>
      <c r="F131" s="7">
        <v>1044.6099999999999</v>
      </c>
      <c r="G131" s="10">
        <v>0</v>
      </c>
      <c r="H131" s="7">
        <v>1044.6099999999999</v>
      </c>
      <c r="I131">
        <v>2</v>
      </c>
      <c r="J131" t="s">
        <v>16</v>
      </c>
      <c r="K131" s="13">
        <f>ROUND(tblTransactions[[#This Row],[gross_sales_inr]]*(1-tblTransactions[[#This Row],[discount_pct]]),2)</f>
        <v>1044.6099999999999</v>
      </c>
      <c r="L131" t="str">
        <f>IF(ABS(tblTransactions[[#This Row],[net_sales_inr]]-tblTransactions[[#This Row],[Recalc_Net_Sales]])&lt;0.02,"OK","CHECK")</f>
        <v>OK</v>
      </c>
      <c r="M131" s="14">
        <f>DATE(YEAR(tblTransactions[[#This Row],[date]]),MONTH(tblTransactions[[#This Row],[date]]),1)</f>
        <v>45809</v>
      </c>
      <c r="N131" t="str">
        <f>IF(WEEKDAY(tblTransactions[[#This Row],[date]],2)&gt;5,"Weekend","Weekday")</f>
        <v>Weekend</v>
      </c>
      <c r="O131" s="13" t="str">
        <f>IF(tblTransactions[[#This Row],[discount_pct]]=0,"0%",IF(tblTransactions[[#This Row],[discount_pct]]&lt;=10%,"1–
10%",IF(tblTransactions[[#This Row],[discount_pct]]&lt;=20%,"11–20%","&gt;20%")))</f>
        <v>0%</v>
      </c>
      <c r="P131" s="13" t="str">
        <f>_xlfn.XLOOKUP(tblTransactions[[#This Row],[tenant_id]],tblTenants[tenant_id],tblTenants[zone],"NOT FOUND")</f>
        <v>Beauty &amp; Wellness</v>
      </c>
      <c r="Q131" s="13" t="str">
        <f>_xlfn.XLOOKUP(tblTransactions[[#This Row],[tenant_id]],tblTenants[tenant_id],tblTenants[category],"NOT FOUND")</f>
        <v>Wellness</v>
      </c>
    </row>
    <row r="132" spans="1:17">
      <c r="A132" t="s">
        <v>175</v>
      </c>
      <c r="B132" s="2">
        <v>45752</v>
      </c>
      <c r="C132">
        <v>11</v>
      </c>
      <c r="D132" t="s">
        <v>48</v>
      </c>
      <c r="E132" t="s">
        <v>12</v>
      </c>
      <c r="F132" s="7">
        <v>2155.09</v>
      </c>
      <c r="G132" s="10">
        <v>0</v>
      </c>
      <c r="H132" s="7">
        <v>2155.09</v>
      </c>
      <c r="I132">
        <v>1</v>
      </c>
      <c r="J132" t="s">
        <v>13</v>
      </c>
      <c r="K132" s="13">
        <f>ROUND(tblTransactions[[#This Row],[gross_sales_inr]]*(1-tblTransactions[[#This Row],[discount_pct]]),2)</f>
        <v>2155.09</v>
      </c>
      <c r="L132" t="str">
        <f>IF(ABS(tblTransactions[[#This Row],[net_sales_inr]]-tblTransactions[[#This Row],[Recalc_Net_Sales]])&lt;0.02,"OK","CHECK")</f>
        <v>OK</v>
      </c>
      <c r="M132" s="14">
        <f>DATE(YEAR(tblTransactions[[#This Row],[date]]),MONTH(tblTransactions[[#This Row],[date]]),1)</f>
        <v>45748</v>
      </c>
      <c r="N132" t="str">
        <f>IF(WEEKDAY(tblTransactions[[#This Row],[date]],2)&gt;5,"Weekend","Weekday")</f>
        <v>Weekend</v>
      </c>
      <c r="O132" s="13" t="str">
        <f>IF(tblTransactions[[#This Row],[discount_pct]]=0,"0%",IF(tblTransactions[[#This Row],[discount_pct]]&lt;=10%,"1–
10%",IF(tblTransactions[[#This Row],[discount_pct]]&lt;=20%,"11–20%","&gt;20%")))</f>
        <v>0%</v>
      </c>
      <c r="P132" s="13" t="str">
        <f>_xlfn.XLOOKUP(tblTransactions[[#This Row],[tenant_id]],tblTenants[tenant_id],tblTenants[zone],"NOT FOUND")</f>
        <v>Beauty &amp; Wellness</v>
      </c>
      <c r="Q132" s="13" t="str">
        <f>_xlfn.XLOOKUP(tblTransactions[[#This Row],[tenant_id]],tblTenants[tenant_id],tblTenants[category],"NOT FOUND")</f>
        <v>Wellness</v>
      </c>
    </row>
    <row r="133" spans="1:17">
      <c r="A133" t="s">
        <v>176</v>
      </c>
      <c r="B133" s="2">
        <v>45772</v>
      </c>
      <c r="C133">
        <v>18</v>
      </c>
      <c r="D133" t="s">
        <v>31</v>
      </c>
      <c r="E133" t="s">
        <v>12</v>
      </c>
      <c r="F133" s="7">
        <v>741.77</v>
      </c>
      <c r="G133" s="10">
        <v>0.2</v>
      </c>
      <c r="H133" s="7">
        <v>593.41999999999996</v>
      </c>
      <c r="I133">
        <v>4</v>
      </c>
      <c r="J133" t="s">
        <v>16</v>
      </c>
      <c r="K133" s="13">
        <f>ROUND(tblTransactions[[#This Row],[gross_sales_inr]]*(1-tblTransactions[[#This Row],[discount_pct]]),2)</f>
        <v>593.41999999999996</v>
      </c>
      <c r="L133" t="str">
        <f>IF(ABS(tblTransactions[[#This Row],[net_sales_inr]]-tblTransactions[[#This Row],[Recalc_Net_Sales]])&lt;0.02,"OK","CHECK")</f>
        <v>OK</v>
      </c>
      <c r="M133" s="14">
        <f>DATE(YEAR(tblTransactions[[#This Row],[date]]),MONTH(tblTransactions[[#This Row],[date]]),1)</f>
        <v>45748</v>
      </c>
      <c r="N133" t="str">
        <f>IF(WEEKDAY(tblTransactions[[#This Row],[date]],2)&gt;5,"Weekend","Weekday")</f>
        <v>Weekday</v>
      </c>
      <c r="O13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3" s="13" t="str">
        <f>_xlfn.XLOOKUP(tblTransactions[[#This Row],[tenant_id]],tblTenants[tenant_id],tblTenants[zone],"NOT FOUND")</f>
        <v>Entertainment</v>
      </c>
      <c r="Q133" s="13" t="str">
        <f>_xlfn.XLOOKUP(tblTransactions[[#This Row],[tenant_id]],tblTenants[tenant_id],tblTenants[category],"NOT FOUND")</f>
        <v>Arcade</v>
      </c>
    </row>
    <row r="134" spans="1:17">
      <c r="A134" t="s">
        <v>177</v>
      </c>
      <c r="B134" s="2">
        <v>45740</v>
      </c>
      <c r="C134">
        <v>11</v>
      </c>
      <c r="D134" t="s">
        <v>63</v>
      </c>
      <c r="E134" t="s">
        <v>32</v>
      </c>
      <c r="F134" s="7">
        <v>404.94</v>
      </c>
      <c r="G134" s="10">
        <v>0.15</v>
      </c>
      <c r="H134" s="7">
        <v>344.2</v>
      </c>
      <c r="I134">
        <v>2</v>
      </c>
      <c r="J134" t="s">
        <v>13</v>
      </c>
      <c r="K134" s="13">
        <f>ROUND(tblTransactions[[#This Row],[gross_sales_inr]]*(1-tblTransactions[[#This Row],[discount_pct]]),2)</f>
        <v>344.2</v>
      </c>
      <c r="L134" t="str">
        <f>IF(ABS(tblTransactions[[#This Row],[net_sales_inr]]-tblTransactions[[#This Row],[Recalc_Net_Sales]])&lt;0.02,"OK","CHECK")</f>
        <v>OK</v>
      </c>
      <c r="M134" s="14">
        <f>DATE(YEAR(tblTransactions[[#This Row],[date]]),MONTH(tblTransactions[[#This Row],[date]]),1)</f>
        <v>45717</v>
      </c>
      <c r="N134" t="str">
        <f>IF(WEEKDAY(tblTransactions[[#This Row],[date]],2)&gt;5,"Weekend","Weekday")</f>
        <v>Weekday</v>
      </c>
      <c r="O13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4" s="13" t="str">
        <f>_xlfn.XLOOKUP(tblTransactions[[#This Row],[tenant_id]],tblTenants[tenant_id],tblTenants[zone],"NOT FOUND")</f>
        <v>Entertainment</v>
      </c>
      <c r="Q134" s="13" t="str">
        <f>_xlfn.XLOOKUP(tblTransactions[[#This Row],[tenant_id]],tblTenants[tenant_id],tblTenants[category],"NOT FOUND")</f>
        <v>Family Entertainment</v>
      </c>
    </row>
    <row r="135" spans="1:17">
      <c r="A135" t="s">
        <v>178</v>
      </c>
      <c r="B135" s="2">
        <v>45762</v>
      </c>
      <c r="C135">
        <v>20</v>
      </c>
      <c r="D135" t="s">
        <v>63</v>
      </c>
      <c r="E135" t="s">
        <v>12</v>
      </c>
      <c r="F135" s="7">
        <v>4665.07</v>
      </c>
      <c r="G135" s="10">
        <v>0.05</v>
      </c>
      <c r="H135" s="7">
        <v>4431.82</v>
      </c>
      <c r="I135">
        <v>3</v>
      </c>
      <c r="J135" t="s">
        <v>16</v>
      </c>
      <c r="K135" s="13">
        <f>ROUND(tblTransactions[[#This Row],[gross_sales_inr]]*(1-tblTransactions[[#This Row],[discount_pct]]),2)</f>
        <v>4431.82</v>
      </c>
      <c r="L135" t="str">
        <f>IF(ABS(tblTransactions[[#This Row],[net_sales_inr]]-tblTransactions[[#This Row],[Recalc_Net_Sales]])&lt;0.02,"OK","CHECK")</f>
        <v>OK</v>
      </c>
      <c r="M135" s="14">
        <f>DATE(YEAR(tblTransactions[[#This Row],[date]]),MONTH(tblTransactions[[#This Row],[date]]),1)</f>
        <v>45748</v>
      </c>
      <c r="N135" t="str">
        <f>IF(WEEKDAY(tblTransactions[[#This Row],[date]],2)&gt;5,"Weekend","Weekday")</f>
        <v>Weekday</v>
      </c>
      <c r="O13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5" s="13" t="str">
        <f>_xlfn.XLOOKUP(tblTransactions[[#This Row],[tenant_id]],tblTenants[tenant_id],tblTenants[zone],"NOT FOUND")</f>
        <v>Entertainment</v>
      </c>
      <c r="Q135" s="13" t="str">
        <f>_xlfn.XLOOKUP(tblTransactions[[#This Row],[tenant_id]],tblTenants[tenant_id],tblTenants[category],"NOT FOUND")</f>
        <v>Family Entertainment</v>
      </c>
    </row>
    <row r="136" spans="1:17">
      <c r="A136" t="s">
        <v>179</v>
      </c>
      <c r="B136" s="2">
        <v>45707</v>
      </c>
      <c r="C136">
        <v>20</v>
      </c>
      <c r="D136" t="s">
        <v>31</v>
      </c>
      <c r="E136" t="s">
        <v>12</v>
      </c>
      <c r="F136" s="7">
        <v>1831.12</v>
      </c>
      <c r="G136" s="10">
        <v>0.15</v>
      </c>
      <c r="H136" s="7">
        <v>1556.45</v>
      </c>
      <c r="I136">
        <v>1</v>
      </c>
      <c r="J136" t="s">
        <v>13</v>
      </c>
      <c r="K136" s="13">
        <f>ROUND(tblTransactions[[#This Row],[gross_sales_inr]]*(1-tblTransactions[[#This Row],[discount_pct]]),2)</f>
        <v>1556.45</v>
      </c>
      <c r="L136" t="str">
        <f>IF(ABS(tblTransactions[[#This Row],[net_sales_inr]]-tblTransactions[[#This Row],[Recalc_Net_Sales]])&lt;0.02,"OK","CHECK")</f>
        <v>OK</v>
      </c>
      <c r="M136" s="14">
        <f>DATE(YEAR(tblTransactions[[#This Row],[date]]),MONTH(tblTransactions[[#This Row],[date]]),1)</f>
        <v>45689</v>
      </c>
      <c r="N136" t="str">
        <f>IF(WEEKDAY(tblTransactions[[#This Row],[date]],2)&gt;5,"Weekend","Weekday")</f>
        <v>Weekday</v>
      </c>
      <c r="O13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6" s="13" t="str">
        <f>_xlfn.XLOOKUP(tblTransactions[[#This Row],[tenant_id]],tblTenants[tenant_id],tblTenants[zone],"NOT FOUND")</f>
        <v>Entertainment</v>
      </c>
      <c r="Q136" s="13" t="str">
        <f>_xlfn.XLOOKUP(tblTransactions[[#This Row],[tenant_id]],tblTenants[tenant_id],tblTenants[category],"NOT FOUND")</f>
        <v>Arcade</v>
      </c>
    </row>
    <row r="137" spans="1:17">
      <c r="A137" t="s">
        <v>180</v>
      </c>
      <c r="B137" s="2">
        <v>45691</v>
      </c>
      <c r="C137">
        <v>19</v>
      </c>
      <c r="D137" t="s">
        <v>43</v>
      </c>
      <c r="E137" t="s">
        <v>32</v>
      </c>
      <c r="F137" s="7">
        <v>1217.4000000000001</v>
      </c>
      <c r="G137" s="10">
        <v>0</v>
      </c>
      <c r="H137" s="7">
        <v>1217.4000000000001</v>
      </c>
      <c r="I137">
        <v>1</v>
      </c>
      <c r="J137" t="s">
        <v>13</v>
      </c>
      <c r="K137" s="13">
        <f>ROUND(tblTransactions[[#This Row],[gross_sales_inr]]*(1-tblTransactions[[#This Row],[discount_pct]]),2)</f>
        <v>1217.4000000000001</v>
      </c>
      <c r="L137" t="str">
        <f>IF(ABS(tblTransactions[[#This Row],[net_sales_inr]]-tblTransactions[[#This Row],[Recalc_Net_Sales]])&lt;0.02,"OK","CHECK")</f>
        <v>OK</v>
      </c>
      <c r="M137" s="14">
        <f>DATE(YEAR(tblTransactions[[#This Row],[date]]),MONTH(tblTransactions[[#This Row],[date]]),1)</f>
        <v>45689</v>
      </c>
      <c r="N137" t="str">
        <f>IF(WEEKDAY(tblTransactions[[#This Row],[date]],2)&gt;5,"Weekend","Weekday")</f>
        <v>Weekday</v>
      </c>
      <c r="O137" s="13" t="str">
        <f>IF(tblTransactions[[#This Row],[discount_pct]]=0,"0%",IF(tblTransactions[[#This Row],[discount_pct]]&lt;=10%,"1–
10%",IF(tblTransactions[[#This Row],[discount_pct]]&lt;=20%,"11–20%","&gt;20%")))</f>
        <v>0%</v>
      </c>
      <c r="P137" s="13" t="str">
        <f>_xlfn.XLOOKUP(tblTransactions[[#This Row],[tenant_id]],tblTenants[tenant_id],tblTenants[zone],"NOT FOUND")</f>
        <v>Food Court</v>
      </c>
      <c r="Q137" s="13" t="str">
        <f>_xlfn.XLOOKUP(tblTransactions[[#This Row],[tenant_id]],tblTenants[tenant_id],tblTenants[category],"NOT FOUND")</f>
        <v>Casual Dining</v>
      </c>
    </row>
    <row r="138" spans="1:17">
      <c r="A138" t="s">
        <v>181</v>
      </c>
      <c r="B138" s="2">
        <v>45703</v>
      </c>
      <c r="C138">
        <v>18</v>
      </c>
      <c r="D138" t="s">
        <v>34</v>
      </c>
      <c r="E138" t="s">
        <v>12</v>
      </c>
      <c r="F138" s="7">
        <v>1661.03</v>
      </c>
      <c r="G138" s="10">
        <v>0</v>
      </c>
      <c r="H138" s="7">
        <v>1661.03</v>
      </c>
      <c r="I138">
        <v>5</v>
      </c>
      <c r="J138" t="s">
        <v>13</v>
      </c>
      <c r="K138" s="13">
        <f>ROUND(tblTransactions[[#This Row],[gross_sales_inr]]*(1-tblTransactions[[#This Row],[discount_pct]]),2)</f>
        <v>1661.03</v>
      </c>
      <c r="L138" t="str">
        <f>IF(ABS(tblTransactions[[#This Row],[net_sales_inr]]-tblTransactions[[#This Row],[Recalc_Net_Sales]])&lt;0.02,"OK","CHECK")</f>
        <v>OK</v>
      </c>
      <c r="M138" s="14">
        <f>DATE(YEAR(tblTransactions[[#This Row],[date]]),MONTH(tblTransactions[[#This Row],[date]]),1)</f>
        <v>45689</v>
      </c>
      <c r="N138" t="str">
        <f>IF(WEEKDAY(tblTransactions[[#This Row],[date]],2)&gt;5,"Weekend","Weekday")</f>
        <v>Weekend</v>
      </c>
      <c r="O138" s="13" t="str">
        <f>IF(tblTransactions[[#This Row],[discount_pct]]=0,"0%",IF(tblTransactions[[#This Row],[discount_pct]]&lt;=10%,"1–
10%",IF(tblTransactions[[#This Row],[discount_pct]]&lt;=20%,"11–20%","&gt;20%")))</f>
        <v>0%</v>
      </c>
      <c r="P138" s="13" t="str">
        <f>_xlfn.XLOOKUP(tblTransactions[[#This Row],[tenant_id]],tblTenants[tenant_id],tblTenants[zone],"NOT FOUND")</f>
        <v>Home &amp; Living</v>
      </c>
      <c r="Q138" s="13" t="str">
        <f>_xlfn.XLOOKUP(tblTransactions[[#This Row],[tenant_id]],tblTenants[tenant_id],tblTenants[category],"NOT FOUND")</f>
        <v>Electronics</v>
      </c>
    </row>
    <row r="139" spans="1:17">
      <c r="A139" t="s">
        <v>182</v>
      </c>
      <c r="B139" s="2">
        <v>45780</v>
      </c>
      <c r="C139">
        <v>19</v>
      </c>
      <c r="D139" t="s">
        <v>72</v>
      </c>
      <c r="E139" t="s">
        <v>21</v>
      </c>
      <c r="F139" s="7">
        <v>1954.58</v>
      </c>
      <c r="G139" s="10">
        <v>0</v>
      </c>
      <c r="H139" s="7">
        <v>1954.58</v>
      </c>
      <c r="I139">
        <v>3</v>
      </c>
      <c r="J139" t="s">
        <v>16</v>
      </c>
      <c r="K139" s="13">
        <f>ROUND(tblTransactions[[#This Row],[gross_sales_inr]]*(1-tblTransactions[[#This Row],[discount_pct]]),2)</f>
        <v>1954.58</v>
      </c>
      <c r="L139" t="str">
        <f>IF(ABS(tblTransactions[[#This Row],[net_sales_inr]]-tblTransactions[[#This Row],[Recalc_Net_Sales]])&lt;0.02,"OK","CHECK")</f>
        <v>OK</v>
      </c>
      <c r="M139" s="14">
        <f>DATE(YEAR(tblTransactions[[#This Row],[date]]),MONTH(tblTransactions[[#This Row],[date]]),1)</f>
        <v>45778</v>
      </c>
      <c r="N139" t="str">
        <f>IF(WEEKDAY(tblTransactions[[#This Row],[date]],2)&gt;5,"Weekend","Weekday")</f>
        <v>Weekend</v>
      </c>
      <c r="O139" s="13" t="str">
        <f>IF(tblTransactions[[#This Row],[discount_pct]]=0,"0%",IF(tblTransactions[[#This Row],[discount_pct]]&lt;=10%,"1–
10%",IF(tblTransactions[[#This Row],[discount_pct]]&lt;=20%,"11–20%","&gt;20%")))</f>
        <v>0%</v>
      </c>
      <c r="P139" s="13" t="str">
        <f>_xlfn.XLOOKUP(tblTransactions[[#This Row],[tenant_id]],tblTenants[tenant_id],tblTenants[zone],"NOT FOUND")</f>
        <v>Entertainment</v>
      </c>
      <c r="Q139" s="13" t="str">
        <f>_xlfn.XLOOKUP(tblTransactions[[#This Row],[tenant_id]],tblTenants[tenant_id],tblTenants[category],"NOT FOUND")</f>
        <v>Arcade</v>
      </c>
    </row>
    <row r="140" spans="1:17">
      <c r="A140" t="s">
        <v>183</v>
      </c>
      <c r="B140" s="2">
        <v>45812</v>
      </c>
      <c r="C140">
        <v>19</v>
      </c>
      <c r="D140" t="s">
        <v>34</v>
      </c>
      <c r="E140" t="s">
        <v>32</v>
      </c>
      <c r="F140" s="7">
        <v>1556.87</v>
      </c>
      <c r="G140" s="10">
        <v>0.15</v>
      </c>
      <c r="H140" s="7">
        <v>1323.34</v>
      </c>
      <c r="I140">
        <v>3</v>
      </c>
      <c r="J140" t="s">
        <v>16</v>
      </c>
      <c r="K140" s="13">
        <f>ROUND(tblTransactions[[#This Row],[gross_sales_inr]]*(1-tblTransactions[[#This Row],[discount_pct]]),2)</f>
        <v>1323.34</v>
      </c>
      <c r="L140" t="str">
        <f>IF(ABS(tblTransactions[[#This Row],[net_sales_inr]]-tblTransactions[[#This Row],[Recalc_Net_Sales]])&lt;0.02,"OK","CHECK")</f>
        <v>OK</v>
      </c>
      <c r="M140" s="14">
        <f>DATE(YEAR(tblTransactions[[#This Row],[date]]),MONTH(tblTransactions[[#This Row],[date]]),1)</f>
        <v>45809</v>
      </c>
      <c r="N140" t="str">
        <f>IF(WEEKDAY(tblTransactions[[#This Row],[date]],2)&gt;5,"Weekend","Weekday")</f>
        <v>Weekday</v>
      </c>
      <c r="O14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0" s="13" t="str">
        <f>_xlfn.XLOOKUP(tblTransactions[[#This Row],[tenant_id]],tblTenants[tenant_id],tblTenants[zone],"NOT FOUND")</f>
        <v>Home &amp; Living</v>
      </c>
      <c r="Q140" s="13" t="str">
        <f>_xlfn.XLOOKUP(tblTransactions[[#This Row],[tenant_id]],tblTenants[tenant_id],tblTenants[category],"NOT FOUND")</f>
        <v>Electronics</v>
      </c>
    </row>
    <row r="141" spans="1:17">
      <c r="A141" t="s">
        <v>184</v>
      </c>
      <c r="B141" s="2">
        <v>45781</v>
      </c>
      <c r="C141">
        <v>14</v>
      </c>
      <c r="D141" t="s">
        <v>20</v>
      </c>
      <c r="E141" t="s">
        <v>12</v>
      </c>
      <c r="F141" s="7">
        <v>1573.95</v>
      </c>
      <c r="G141" s="10">
        <v>0.15</v>
      </c>
      <c r="H141" s="7">
        <v>1337.86</v>
      </c>
      <c r="I141">
        <v>2</v>
      </c>
      <c r="J141" t="s">
        <v>16</v>
      </c>
      <c r="K141" s="13">
        <f>ROUND(tblTransactions[[#This Row],[gross_sales_inr]]*(1-tblTransactions[[#This Row],[discount_pct]]),2)</f>
        <v>1337.86</v>
      </c>
      <c r="L141" t="str">
        <f>IF(ABS(tblTransactions[[#This Row],[net_sales_inr]]-tblTransactions[[#This Row],[Recalc_Net_Sales]])&lt;0.02,"OK","CHECK")</f>
        <v>OK</v>
      </c>
      <c r="M141" s="14">
        <f>DATE(YEAR(tblTransactions[[#This Row],[date]]),MONTH(tblTransactions[[#This Row],[date]]),1)</f>
        <v>45778</v>
      </c>
      <c r="N141" t="str">
        <f>IF(WEEKDAY(tblTransactions[[#This Row],[date]],2)&gt;5,"Weekend","Weekday")</f>
        <v>Weekend</v>
      </c>
      <c r="O14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1" s="13" t="str">
        <f>_xlfn.XLOOKUP(tblTransactions[[#This Row],[tenant_id]],tblTenants[tenant_id],tblTenants[zone],"NOT FOUND")</f>
        <v>Fashion Avenue</v>
      </c>
      <c r="Q141" s="13" t="str">
        <f>_xlfn.XLOOKUP(tblTransactions[[#This Row],[tenant_id]],tblTenants[tenant_id],tblTenants[category],"NOT FOUND")</f>
        <v>Accessories</v>
      </c>
    </row>
    <row r="142" spans="1:17">
      <c r="A142" t="s">
        <v>185</v>
      </c>
      <c r="B142" s="2">
        <v>45794</v>
      </c>
      <c r="C142">
        <v>17</v>
      </c>
      <c r="D142" t="s">
        <v>43</v>
      </c>
      <c r="E142" t="s">
        <v>32</v>
      </c>
      <c r="F142" s="7">
        <v>1518.85</v>
      </c>
      <c r="G142" s="10">
        <v>0</v>
      </c>
      <c r="H142" s="7">
        <v>1518.85</v>
      </c>
      <c r="I142">
        <v>2</v>
      </c>
      <c r="J142" t="s">
        <v>13</v>
      </c>
      <c r="K142" s="13">
        <f>ROUND(tblTransactions[[#This Row],[gross_sales_inr]]*(1-tblTransactions[[#This Row],[discount_pct]]),2)</f>
        <v>1518.85</v>
      </c>
      <c r="L142" t="str">
        <f>IF(ABS(tblTransactions[[#This Row],[net_sales_inr]]-tblTransactions[[#This Row],[Recalc_Net_Sales]])&lt;0.02,"OK","CHECK")</f>
        <v>OK</v>
      </c>
      <c r="M142" s="14">
        <f>DATE(YEAR(tblTransactions[[#This Row],[date]]),MONTH(tblTransactions[[#This Row],[date]]),1)</f>
        <v>45778</v>
      </c>
      <c r="N142" t="str">
        <f>IF(WEEKDAY(tblTransactions[[#This Row],[date]],2)&gt;5,"Weekend","Weekday")</f>
        <v>Weekend</v>
      </c>
      <c r="O142" s="13" t="str">
        <f>IF(tblTransactions[[#This Row],[discount_pct]]=0,"0%",IF(tblTransactions[[#This Row],[discount_pct]]&lt;=10%,"1–
10%",IF(tblTransactions[[#This Row],[discount_pct]]&lt;=20%,"11–20%","&gt;20%")))</f>
        <v>0%</v>
      </c>
      <c r="P142" s="13" t="str">
        <f>_xlfn.XLOOKUP(tblTransactions[[#This Row],[tenant_id]],tblTenants[tenant_id],tblTenants[zone],"NOT FOUND")</f>
        <v>Food Court</v>
      </c>
      <c r="Q142" s="13" t="str">
        <f>_xlfn.XLOOKUP(tblTransactions[[#This Row],[tenant_id]],tblTenants[tenant_id],tblTenants[category],"NOT FOUND")</f>
        <v>Casual Dining</v>
      </c>
    </row>
    <row r="143" spans="1:17">
      <c r="A143" t="s">
        <v>186</v>
      </c>
      <c r="B143" s="2">
        <v>45669</v>
      </c>
      <c r="C143">
        <v>15</v>
      </c>
      <c r="D143" t="s">
        <v>36</v>
      </c>
      <c r="E143" t="s">
        <v>32</v>
      </c>
      <c r="F143" s="7">
        <v>818.8</v>
      </c>
      <c r="G143" s="10">
        <v>0</v>
      </c>
      <c r="H143" s="7">
        <v>818.8</v>
      </c>
      <c r="I143">
        <v>5</v>
      </c>
      <c r="J143" t="s">
        <v>13</v>
      </c>
      <c r="K143" s="13">
        <f>ROUND(tblTransactions[[#This Row],[gross_sales_inr]]*(1-tblTransactions[[#This Row],[discount_pct]]),2)</f>
        <v>818.8</v>
      </c>
      <c r="L143" t="str">
        <f>IF(ABS(tblTransactions[[#This Row],[net_sales_inr]]-tblTransactions[[#This Row],[Recalc_Net_Sales]])&lt;0.02,"OK","CHECK")</f>
        <v>OK</v>
      </c>
      <c r="M143" s="14">
        <f>DATE(YEAR(tblTransactions[[#This Row],[date]]),MONTH(tblTransactions[[#This Row],[date]]),1)</f>
        <v>45658</v>
      </c>
      <c r="N143" t="str">
        <f>IF(WEEKDAY(tblTransactions[[#This Row],[date]],2)&gt;5,"Weekend","Weekday")</f>
        <v>Weekend</v>
      </c>
      <c r="O143" s="13" t="str">
        <f>IF(tblTransactions[[#This Row],[discount_pct]]=0,"0%",IF(tblTransactions[[#This Row],[discount_pct]]&lt;=10%,"1–
10%",IF(tblTransactions[[#This Row],[discount_pct]]&lt;=20%,"11–20%","&gt;20%")))</f>
        <v>0%</v>
      </c>
      <c r="P143" s="13" t="str">
        <f>_xlfn.XLOOKUP(tblTransactions[[#This Row],[tenant_id]],tblTenants[tenant_id],tblTenants[zone],"NOT FOUND")</f>
        <v>Home &amp; Living</v>
      </c>
      <c r="Q143" s="13" t="str">
        <f>_xlfn.XLOOKUP(tblTransactions[[#This Row],[tenant_id]],tblTenants[tenant_id],tblTenants[category],"NOT FOUND")</f>
        <v>Electronics</v>
      </c>
    </row>
    <row r="144" spans="1:17">
      <c r="A144" t="s">
        <v>187</v>
      </c>
      <c r="B144" s="2">
        <v>45830</v>
      </c>
      <c r="C144">
        <v>18</v>
      </c>
      <c r="D144" t="s">
        <v>104</v>
      </c>
      <c r="E144" t="s">
        <v>12</v>
      </c>
      <c r="F144" s="7">
        <v>1701.29</v>
      </c>
      <c r="G144" s="10">
        <v>0</v>
      </c>
      <c r="H144" s="7">
        <v>1701.29</v>
      </c>
      <c r="I144">
        <v>1</v>
      </c>
      <c r="J144" t="s">
        <v>13</v>
      </c>
      <c r="K144" s="13">
        <f>ROUND(tblTransactions[[#This Row],[gross_sales_inr]]*(1-tblTransactions[[#This Row],[discount_pct]]),2)</f>
        <v>1701.29</v>
      </c>
      <c r="L144" t="str">
        <f>IF(ABS(tblTransactions[[#This Row],[net_sales_inr]]-tblTransactions[[#This Row],[Recalc_Net_Sales]])&lt;0.02,"OK","CHECK")</f>
        <v>OK</v>
      </c>
      <c r="M144" s="14">
        <f>DATE(YEAR(tblTransactions[[#This Row],[date]]),MONTH(tblTransactions[[#This Row],[date]]),1)</f>
        <v>45809</v>
      </c>
      <c r="N144" t="str">
        <f>IF(WEEKDAY(tblTransactions[[#This Row],[date]],2)&gt;5,"Weekend","Weekday")</f>
        <v>Weekend</v>
      </c>
      <c r="O144" s="13" t="str">
        <f>IF(tblTransactions[[#This Row],[discount_pct]]=0,"0%",IF(tblTransactions[[#This Row],[discount_pct]]&lt;=10%,"1–
10%",IF(tblTransactions[[#This Row],[discount_pct]]&lt;=20%,"11–20%","&gt;20%")))</f>
        <v>0%</v>
      </c>
      <c r="P144" s="13" t="str">
        <f>_xlfn.XLOOKUP(tblTransactions[[#This Row],[tenant_id]],tblTenants[tenant_id],tblTenants[zone],"NOT FOUND")</f>
        <v>Entertainment</v>
      </c>
      <c r="Q144" s="13" t="str">
        <f>_xlfn.XLOOKUP(tblTransactions[[#This Row],[tenant_id]],tblTenants[tenant_id],tblTenants[category],"NOT FOUND")</f>
        <v>Family Entertainment</v>
      </c>
    </row>
    <row r="145" spans="1:17">
      <c r="A145" t="s">
        <v>188</v>
      </c>
      <c r="B145" s="2">
        <v>45752</v>
      </c>
      <c r="C145">
        <v>11</v>
      </c>
      <c r="D145" t="s">
        <v>87</v>
      </c>
      <c r="E145" t="s">
        <v>51</v>
      </c>
      <c r="F145" s="7">
        <v>1935.81</v>
      </c>
      <c r="G145" s="10">
        <v>0.1</v>
      </c>
      <c r="H145" s="7">
        <v>1742.23</v>
      </c>
      <c r="I145">
        <v>1</v>
      </c>
      <c r="J145" t="s">
        <v>13</v>
      </c>
      <c r="K145" s="13">
        <f>ROUND(tblTransactions[[#This Row],[gross_sales_inr]]*(1-tblTransactions[[#This Row],[discount_pct]]),2)</f>
        <v>1742.23</v>
      </c>
      <c r="L145" t="str">
        <f>IF(ABS(tblTransactions[[#This Row],[net_sales_inr]]-tblTransactions[[#This Row],[Recalc_Net_Sales]])&lt;0.02,"OK","CHECK")</f>
        <v>OK</v>
      </c>
      <c r="M145" s="14">
        <f>DATE(YEAR(tblTransactions[[#This Row],[date]]),MONTH(tblTransactions[[#This Row],[date]]),1)</f>
        <v>45748</v>
      </c>
      <c r="N145" t="str">
        <f>IF(WEEKDAY(tblTransactions[[#This Row],[date]],2)&gt;5,"Weekend","Weekday")</f>
        <v>Weekend</v>
      </c>
      <c r="O14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5" s="13" t="str">
        <f>_xlfn.XLOOKUP(tblTransactions[[#This Row],[tenant_id]],tblTenants[tenant_id],tblTenants[zone],"NOT FOUND")</f>
        <v>Fashion Avenue</v>
      </c>
      <c r="Q145" s="13" t="str">
        <f>_xlfn.XLOOKUP(tblTransactions[[#This Row],[tenant_id]],tblTenants[tenant_id],tblTenants[category],"NOT FOUND")</f>
        <v>Footwear</v>
      </c>
    </row>
    <row r="146" spans="1:17">
      <c r="A146" t="s">
        <v>189</v>
      </c>
      <c r="B146" s="2">
        <v>45818</v>
      </c>
      <c r="C146">
        <v>21</v>
      </c>
      <c r="D146" t="s">
        <v>34</v>
      </c>
      <c r="E146" t="s">
        <v>12</v>
      </c>
      <c r="F146" s="7">
        <v>1131.07</v>
      </c>
      <c r="G146" s="10">
        <v>0</v>
      </c>
      <c r="H146" s="7">
        <v>1131.07</v>
      </c>
      <c r="I146">
        <v>1</v>
      </c>
      <c r="J146" t="s">
        <v>13</v>
      </c>
      <c r="K146" s="13">
        <f>ROUND(tblTransactions[[#This Row],[gross_sales_inr]]*(1-tblTransactions[[#This Row],[discount_pct]]),2)</f>
        <v>1131.07</v>
      </c>
      <c r="L146" t="str">
        <f>IF(ABS(tblTransactions[[#This Row],[net_sales_inr]]-tblTransactions[[#This Row],[Recalc_Net_Sales]])&lt;0.02,"OK","CHECK")</f>
        <v>OK</v>
      </c>
      <c r="M146" s="14">
        <f>DATE(YEAR(tblTransactions[[#This Row],[date]]),MONTH(tblTransactions[[#This Row],[date]]),1)</f>
        <v>45809</v>
      </c>
      <c r="N146" t="str">
        <f>IF(WEEKDAY(tblTransactions[[#This Row],[date]],2)&gt;5,"Weekend","Weekday")</f>
        <v>Weekday</v>
      </c>
      <c r="O146" s="13" t="str">
        <f>IF(tblTransactions[[#This Row],[discount_pct]]=0,"0%",IF(tblTransactions[[#This Row],[discount_pct]]&lt;=10%,"1–
10%",IF(tblTransactions[[#This Row],[discount_pct]]&lt;=20%,"11–20%","&gt;20%")))</f>
        <v>0%</v>
      </c>
      <c r="P146" s="13" t="str">
        <f>_xlfn.XLOOKUP(tblTransactions[[#This Row],[tenant_id]],tblTenants[tenant_id],tblTenants[zone],"NOT FOUND")</f>
        <v>Home &amp; Living</v>
      </c>
      <c r="Q146" s="13" t="str">
        <f>_xlfn.XLOOKUP(tblTransactions[[#This Row],[tenant_id]],tblTenants[tenant_id],tblTenants[category],"NOT FOUND")</f>
        <v>Electronics</v>
      </c>
    </row>
    <row r="147" spans="1:17">
      <c r="A147" t="s">
        <v>190</v>
      </c>
      <c r="B147" s="2">
        <v>45679</v>
      </c>
      <c r="C147">
        <v>16</v>
      </c>
      <c r="D147" t="s">
        <v>27</v>
      </c>
      <c r="E147" t="s">
        <v>12</v>
      </c>
      <c r="F147" s="7">
        <v>948.31</v>
      </c>
      <c r="G147" s="10">
        <v>0</v>
      </c>
      <c r="H147" s="7">
        <v>948.31</v>
      </c>
      <c r="I147">
        <v>2</v>
      </c>
      <c r="J147" t="s">
        <v>16</v>
      </c>
      <c r="K147" s="13">
        <f>ROUND(tblTransactions[[#This Row],[gross_sales_inr]]*(1-tblTransactions[[#This Row],[discount_pct]]),2)</f>
        <v>948.31</v>
      </c>
      <c r="L147" t="str">
        <f>IF(ABS(tblTransactions[[#This Row],[net_sales_inr]]-tblTransactions[[#This Row],[Recalc_Net_Sales]])&lt;0.02,"OK","CHECK")</f>
        <v>OK</v>
      </c>
      <c r="M147" s="14">
        <f>DATE(YEAR(tblTransactions[[#This Row],[date]]),MONTH(tblTransactions[[#This Row],[date]]),1)</f>
        <v>45658</v>
      </c>
      <c r="N147" t="str">
        <f>IF(WEEKDAY(tblTransactions[[#This Row],[date]],2)&gt;5,"Weekend","Weekday")</f>
        <v>Weekday</v>
      </c>
      <c r="O147" s="13" t="str">
        <f>IF(tblTransactions[[#This Row],[discount_pct]]=0,"0%",IF(tblTransactions[[#This Row],[discount_pct]]&lt;=10%,"1–
10%",IF(tblTransactions[[#This Row],[discount_pct]]&lt;=20%,"11–20%","&gt;20%")))</f>
        <v>0%</v>
      </c>
      <c r="P147" s="13" t="str">
        <f>_xlfn.XLOOKUP(tblTransactions[[#This Row],[tenant_id]],tblTenants[tenant_id],tblTenants[zone],"NOT FOUND")</f>
        <v>Beauty &amp; Wellness</v>
      </c>
      <c r="Q147" s="13" t="str">
        <f>_xlfn.XLOOKUP(tblTransactions[[#This Row],[tenant_id]],tblTenants[tenant_id],tblTenants[category],"NOT FOUND")</f>
        <v>Wellness</v>
      </c>
    </row>
    <row r="148" spans="1:17">
      <c r="A148" t="s">
        <v>191</v>
      </c>
      <c r="B148" s="2">
        <v>45742</v>
      </c>
      <c r="C148">
        <v>16</v>
      </c>
      <c r="D148" t="s">
        <v>57</v>
      </c>
      <c r="E148" t="s">
        <v>12</v>
      </c>
      <c r="F148" s="7">
        <v>346.72</v>
      </c>
      <c r="G148" s="10">
        <v>0</v>
      </c>
      <c r="H148" s="7">
        <v>346.72</v>
      </c>
      <c r="I148">
        <v>1</v>
      </c>
      <c r="J148" t="s">
        <v>16</v>
      </c>
      <c r="K148" s="13">
        <f>ROUND(tblTransactions[[#This Row],[gross_sales_inr]]*(1-tblTransactions[[#This Row],[discount_pct]]),2)</f>
        <v>346.72</v>
      </c>
      <c r="L148" t="str">
        <f>IF(ABS(tblTransactions[[#This Row],[net_sales_inr]]-tblTransactions[[#This Row],[Recalc_Net_Sales]])&lt;0.02,"OK","CHECK")</f>
        <v>OK</v>
      </c>
      <c r="M148" s="14">
        <f>DATE(YEAR(tblTransactions[[#This Row],[date]]),MONTH(tblTransactions[[#This Row],[date]]),1)</f>
        <v>45717</v>
      </c>
      <c r="N148" t="str">
        <f>IF(WEEKDAY(tblTransactions[[#This Row],[date]],2)&gt;5,"Weekend","Weekday")</f>
        <v>Weekday</v>
      </c>
      <c r="O148" s="13" t="str">
        <f>IF(tblTransactions[[#This Row],[discount_pct]]=0,"0%",IF(tblTransactions[[#This Row],[discount_pct]]&lt;=10%,"1–
10%",IF(tblTransactions[[#This Row],[discount_pct]]&lt;=20%,"11–20%","&gt;20%")))</f>
        <v>0%</v>
      </c>
      <c r="P148" s="13" t="str">
        <f>_xlfn.XLOOKUP(tblTransactions[[#This Row],[tenant_id]],tblTenants[tenant_id],tblTenants[zone],"NOT FOUND")</f>
        <v>Food Court</v>
      </c>
      <c r="Q148" s="13" t="str">
        <f>_xlfn.XLOOKUP(tblTransactions[[#This Row],[tenant_id]],tblTenants[tenant_id],tblTenants[category],"NOT FOUND")</f>
        <v>Casual Dining</v>
      </c>
    </row>
    <row r="149" spans="1:17">
      <c r="A149" t="s">
        <v>192</v>
      </c>
      <c r="B149" s="2">
        <v>45827</v>
      </c>
      <c r="C149">
        <v>22</v>
      </c>
      <c r="D149" t="s">
        <v>70</v>
      </c>
      <c r="E149" t="s">
        <v>51</v>
      </c>
      <c r="F149" s="7">
        <v>3297.51</v>
      </c>
      <c r="G149" s="10">
        <v>0.1</v>
      </c>
      <c r="H149" s="7">
        <v>2967.76</v>
      </c>
      <c r="I149">
        <v>1</v>
      </c>
      <c r="J149" t="s">
        <v>13</v>
      </c>
      <c r="K149" s="13">
        <f>ROUND(tblTransactions[[#This Row],[gross_sales_inr]]*(1-tblTransactions[[#This Row],[discount_pct]]),2)</f>
        <v>2967.76</v>
      </c>
      <c r="L149" t="str">
        <f>IF(ABS(tblTransactions[[#This Row],[net_sales_inr]]-tblTransactions[[#This Row],[Recalc_Net_Sales]])&lt;0.02,"OK","CHECK")</f>
        <v>OK</v>
      </c>
      <c r="M149" s="14">
        <f>DATE(YEAR(tblTransactions[[#This Row],[date]]),MONTH(tblTransactions[[#This Row],[date]]),1)</f>
        <v>45809</v>
      </c>
      <c r="N149" t="str">
        <f>IF(WEEKDAY(tblTransactions[[#This Row],[date]],2)&gt;5,"Weekend","Weekday")</f>
        <v>Weekday</v>
      </c>
      <c r="O14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9" s="13" t="str">
        <f>_xlfn.XLOOKUP(tblTransactions[[#This Row],[tenant_id]],tblTenants[tenant_id],tblTenants[zone],"NOT FOUND")</f>
        <v>Food Court</v>
      </c>
      <c r="Q149" s="13" t="str">
        <f>_xlfn.XLOOKUP(tblTransactions[[#This Row],[tenant_id]],tblTenants[tenant_id],tblTenants[category],"NOT FOUND")</f>
        <v>Quick Service</v>
      </c>
    </row>
    <row r="150" spans="1:17">
      <c r="A150" t="s">
        <v>193</v>
      </c>
      <c r="B150" s="2">
        <v>45730</v>
      </c>
      <c r="C150">
        <v>11</v>
      </c>
      <c r="D150" t="s">
        <v>43</v>
      </c>
      <c r="E150" t="s">
        <v>51</v>
      </c>
      <c r="F150" s="7">
        <v>494.13</v>
      </c>
      <c r="G150" s="10">
        <v>0</v>
      </c>
      <c r="H150" s="7">
        <v>494.13</v>
      </c>
      <c r="I150">
        <v>1</v>
      </c>
      <c r="J150" t="s">
        <v>13</v>
      </c>
      <c r="K150" s="13">
        <f>ROUND(tblTransactions[[#This Row],[gross_sales_inr]]*(1-tblTransactions[[#This Row],[discount_pct]]),2)</f>
        <v>494.13</v>
      </c>
      <c r="L150" t="str">
        <f>IF(ABS(tblTransactions[[#This Row],[net_sales_inr]]-tblTransactions[[#This Row],[Recalc_Net_Sales]])&lt;0.02,"OK","CHECK")</f>
        <v>OK</v>
      </c>
      <c r="M150" s="14">
        <f>DATE(YEAR(tblTransactions[[#This Row],[date]]),MONTH(tblTransactions[[#This Row],[date]]),1)</f>
        <v>45717</v>
      </c>
      <c r="N150" t="str">
        <f>IF(WEEKDAY(tblTransactions[[#This Row],[date]],2)&gt;5,"Weekend","Weekday")</f>
        <v>Weekday</v>
      </c>
      <c r="O150" s="13" t="str">
        <f>IF(tblTransactions[[#This Row],[discount_pct]]=0,"0%",IF(tblTransactions[[#This Row],[discount_pct]]&lt;=10%,"1–
10%",IF(tblTransactions[[#This Row],[discount_pct]]&lt;=20%,"11–20%","&gt;20%")))</f>
        <v>0%</v>
      </c>
      <c r="P150" s="13" t="str">
        <f>_xlfn.XLOOKUP(tblTransactions[[#This Row],[tenant_id]],tblTenants[tenant_id],tblTenants[zone],"NOT FOUND")</f>
        <v>Food Court</v>
      </c>
      <c r="Q150" s="13" t="str">
        <f>_xlfn.XLOOKUP(tblTransactions[[#This Row],[tenant_id]],tblTenants[tenant_id],tblTenants[category],"NOT FOUND")</f>
        <v>Casual Dining</v>
      </c>
    </row>
    <row r="151" spans="1:17">
      <c r="A151" t="s">
        <v>194</v>
      </c>
      <c r="B151" s="2">
        <v>45727</v>
      </c>
      <c r="C151">
        <v>14</v>
      </c>
      <c r="D151" t="s">
        <v>122</v>
      </c>
      <c r="E151" t="s">
        <v>12</v>
      </c>
      <c r="F151" s="7">
        <v>846.31</v>
      </c>
      <c r="G151" s="10">
        <v>0.3</v>
      </c>
      <c r="H151" s="7">
        <v>592.41999999999996</v>
      </c>
      <c r="I151">
        <v>5</v>
      </c>
      <c r="J151" t="s">
        <v>13</v>
      </c>
      <c r="K151" s="13">
        <f>ROUND(tblTransactions[[#This Row],[gross_sales_inr]]*(1-tblTransactions[[#This Row],[discount_pct]]),2)</f>
        <v>592.41999999999996</v>
      </c>
      <c r="L151" t="str">
        <f>IF(ABS(tblTransactions[[#This Row],[net_sales_inr]]-tblTransactions[[#This Row],[Recalc_Net_Sales]])&lt;0.02,"OK","CHECK")</f>
        <v>OK</v>
      </c>
      <c r="M151" s="14">
        <f>DATE(YEAR(tblTransactions[[#This Row],[date]]),MONTH(tblTransactions[[#This Row],[date]]),1)</f>
        <v>45717</v>
      </c>
      <c r="N151" t="str">
        <f>IF(WEEKDAY(tblTransactions[[#This Row],[date]],2)&gt;5,"Weekend","Weekday")</f>
        <v>Weekday</v>
      </c>
      <c r="O151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51" s="13" t="str">
        <f>_xlfn.XLOOKUP(tblTransactions[[#This Row],[tenant_id]],tblTenants[tenant_id],tblTenants[zone],"NOT FOUND")</f>
        <v>Beauty &amp; Wellness</v>
      </c>
      <c r="Q151" s="13" t="str">
        <f>_xlfn.XLOOKUP(tblTransactions[[#This Row],[tenant_id]],tblTenants[tenant_id],tblTenants[category],"NOT FOUND")</f>
        <v>Wellness</v>
      </c>
    </row>
    <row r="152" spans="1:17">
      <c r="A152" t="s">
        <v>195</v>
      </c>
      <c r="B152" s="2">
        <v>45768</v>
      </c>
      <c r="C152">
        <v>11</v>
      </c>
      <c r="D152" t="s">
        <v>80</v>
      </c>
      <c r="E152" t="s">
        <v>12</v>
      </c>
      <c r="F152" s="7">
        <v>652.61</v>
      </c>
      <c r="G152" s="10">
        <v>0.05</v>
      </c>
      <c r="H152" s="7">
        <v>619.98</v>
      </c>
      <c r="I152">
        <v>1</v>
      </c>
      <c r="J152" t="s">
        <v>16</v>
      </c>
      <c r="K152" s="13">
        <f>ROUND(tblTransactions[[#This Row],[gross_sales_inr]]*(1-tblTransactions[[#This Row],[discount_pct]]),2)</f>
        <v>619.98</v>
      </c>
      <c r="L152" t="str">
        <f>IF(ABS(tblTransactions[[#This Row],[net_sales_inr]]-tblTransactions[[#This Row],[Recalc_Net_Sales]])&lt;0.02,"OK","CHECK")</f>
        <v>OK</v>
      </c>
      <c r="M152" s="14">
        <f>DATE(YEAR(tblTransactions[[#This Row],[date]]),MONTH(tblTransactions[[#This Row],[date]]),1)</f>
        <v>45748</v>
      </c>
      <c r="N152" t="str">
        <f>IF(WEEKDAY(tblTransactions[[#This Row],[date]],2)&gt;5,"Weekend","Weekday")</f>
        <v>Weekday</v>
      </c>
      <c r="O15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2" s="13" t="str">
        <f>_xlfn.XLOOKUP(tblTransactions[[#This Row],[tenant_id]],tblTenants[tenant_id],tblTenants[zone],"NOT FOUND")</f>
        <v>Food Court</v>
      </c>
      <c r="Q152" s="13" t="str">
        <f>_xlfn.XLOOKUP(tblTransactions[[#This Row],[tenant_id]],tblTenants[tenant_id],tblTenants[category],"NOT FOUND")</f>
        <v>Casual Dining</v>
      </c>
    </row>
    <row r="153" spans="1:17">
      <c r="A153" t="s">
        <v>196</v>
      </c>
      <c r="B153" s="2">
        <v>45779</v>
      </c>
      <c r="C153">
        <v>21</v>
      </c>
      <c r="D153" t="s">
        <v>31</v>
      </c>
      <c r="E153" t="s">
        <v>51</v>
      </c>
      <c r="F153" s="7">
        <v>1105.67</v>
      </c>
      <c r="G153" s="10">
        <v>0.1</v>
      </c>
      <c r="H153" s="7">
        <v>995.1</v>
      </c>
      <c r="I153">
        <v>1</v>
      </c>
      <c r="J153" t="s">
        <v>16</v>
      </c>
      <c r="K153" s="13">
        <f>ROUND(tblTransactions[[#This Row],[gross_sales_inr]]*(1-tblTransactions[[#This Row],[discount_pct]]),2)</f>
        <v>995.1</v>
      </c>
      <c r="L153" t="str">
        <f>IF(ABS(tblTransactions[[#This Row],[net_sales_inr]]-tblTransactions[[#This Row],[Recalc_Net_Sales]])&lt;0.02,"OK","CHECK")</f>
        <v>OK</v>
      </c>
      <c r="M153" s="14">
        <f>DATE(YEAR(tblTransactions[[#This Row],[date]]),MONTH(tblTransactions[[#This Row],[date]]),1)</f>
        <v>45778</v>
      </c>
      <c r="N153" t="str">
        <f>IF(WEEKDAY(tblTransactions[[#This Row],[date]],2)&gt;5,"Weekend","Weekday")</f>
        <v>Weekday</v>
      </c>
      <c r="O15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3" s="13" t="str">
        <f>_xlfn.XLOOKUP(tblTransactions[[#This Row],[tenant_id]],tblTenants[tenant_id],tblTenants[zone],"NOT FOUND")</f>
        <v>Entertainment</v>
      </c>
      <c r="Q153" s="13" t="str">
        <f>_xlfn.XLOOKUP(tblTransactions[[#This Row],[tenant_id]],tblTenants[tenant_id],tblTenants[category],"NOT FOUND")</f>
        <v>Arcade</v>
      </c>
    </row>
    <row r="154" spans="1:17">
      <c r="A154" t="s">
        <v>197</v>
      </c>
      <c r="B154" s="2">
        <v>45679</v>
      </c>
      <c r="C154">
        <v>13</v>
      </c>
      <c r="D154" t="s">
        <v>15</v>
      </c>
      <c r="E154" t="s">
        <v>32</v>
      </c>
      <c r="F154" s="7">
        <v>529.34</v>
      </c>
      <c r="G154" s="10">
        <v>0.1</v>
      </c>
      <c r="H154" s="7">
        <v>476.41</v>
      </c>
      <c r="I154">
        <v>2</v>
      </c>
      <c r="J154" t="s">
        <v>13</v>
      </c>
      <c r="K154" s="13">
        <f>ROUND(tblTransactions[[#This Row],[gross_sales_inr]]*(1-tblTransactions[[#This Row],[discount_pct]]),2)</f>
        <v>476.41</v>
      </c>
      <c r="L154" t="str">
        <f>IF(ABS(tblTransactions[[#This Row],[net_sales_inr]]-tblTransactions[[#This Row],[Recalc_Net_Sales]])&lt;0.02,"OK","CHECK")</f>
        <v>OK</v>
      </c>
      <c r="M154" s="14">
        <f>DATE(YEAR(tblTransactions[[#This Row],[date]]),MONTH(tblTransactions[[#This Row],[date]]),1)</f>
        <v>45658</v>
      </c>
      <c r="N154" t="str">
        <f>IF(WEEKDAY(tblTransactions[[#This Row],[date]],2)&gt;5,"Weekend","Weekday")</f>
        <v>Weekday</v>
      </c>
      <c r="O15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4" s="13" t="str">
        <f>_xlfn.XLOOKUP(tblTransactions[[#This Row],[tenant_id]],tblTenants[tenant_id],tblTenants[zone],"NOT FOUND")</f>
        <v>Fashion Avenue</v>
      </c>
      <c r="Q154" s="13" t="str">
        <f>_xlfn.XLOOKUP(tblTransactions[[#This Row],[tenant_id]],tblTenants[tenant_id],tblTenants[category],"NOT FOUND")</f>
        <v>Accessories</v>
      </c>
    </row>
    <row r="155" spans="1:17">
      <c r="A155" t="s">
        <v>198</v>
      </c>
      <c r="B155" s="2">
        <v>45781</v>
      </c>
      <c r="C155">
        <v>17</v>
      </c>
      <c r="D155" t="s">
        <v>20</v>
      </c>
      <c r="E155" t="s">
        <v>21</v>
      </c>
      <c r="F155" s="7">
        <v>1527.81</v>
      </c>
      <c r="G155" s="10">
        <v>0.1</v>
      </c>
      <c r="H155" s="7">
        <v>1375.03</v>
      </c>
      <c r="I155">
        <v>3</v>
      </c>
      <c r="J155" t="s">
        <v>13</v>
      </c>
      <c r="K155" s="13">
        <f>ROUND(tblTransactions[[#This Row],[gross_sales_inr]]*(1-tblTransactions[[#This Row],[discount_pct]]),2)</f>
        <v>1375.03</v>
      </c>
      <c r="L155" t="str">
        <f>IF(ABS(tblTransactions[[#This Row],[net_sales_inr]]-tblTransactions[[#This Row],[Recalc_Net_Sales]])&lt;0.02,"OK","CHECK")</f>
        <v>OK</v>
      </c>
      <c r="M155" s="14">
        <f>DATE(YEAR(tblTransactions[[#This Row],[date]]),MONTH(tblTransactions[[#This Row],[date]]),1)</f>
        <v>45778</v>
      </c>
      <c r="N155" t="str">
        <f>IF(WEEKDAY(tblTransactions[[#This Row],[date]],2)&gt;5,"Weekend","Weekday")</f>
        <v>Weekend</v>
      </c>
      <c r="O15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5" s="13" t="str">
        <f>_xlfn.XLOOKUP(tblTransactions[[#This Row],[tenant_id]],tblTenants[tenant_id],tblTenants[zone],"NOT FOUND")</f>
        <v>Fashion Avenue</v>
      </c>
      <c r="Q155" s="13" t="str">
        <f>_xlfn.XLOOKUP(tblTransactions[[#This Row],[tenant_id]],tblTenants[tenant_id],tblTenants[category],"NOT FOUND")</f>
        <v>Accessories</v>
      </c>
    </row>
    <row r="156" spans="1:17">
      <c r="A156" t="s">
        <v>199</v>
      </c>
      <c r="B156" s="2">
        <v>45790</v>
      </c>
      <c r="C156">
        <v>18</v>
      </c>
      <c r="D156" t="s">
        <v>27</v>
      </c>
      <c r="E156" t="s">
        <v>51</v>
      </c>
      <c r="F156" s="7">
        <v>469.73</v>
      </c>
      <c r="G156" s="10">
        <v>0</v>
      </c>
      <c r="H156" s="7">
        <v>469.73</v>
      </c>
      <c r="I156">
        <v>1</v>
      </c>
      <c r="J156" t="s">
        <v>13</v>
      </c>
      <c r="K156" s="13">
        <f>ROUND(tblTransactions[[#This Row],[gross_sales_inr]]*(1-tblTransactions[[#This Row],[discount_pct]]),2)</f>
        <v>469.73</v>
      </c>
      <c r="L156" t="str">
        <f>IF(ABS(tblTransactions[[#This Row],[net_sales_inr]]-tblTransactions[[#This Row],[Recalc_Net_Sales]])&lt;0.02,"OK","CHECK")</f>
        <v>OK</v>
      </c>
      <c r="M156" s="14">
        <f>DATE(YEAR(tblTransactions[[#This Row],[date]]),MONTH(tblTransactions[[#This Row],[date]]),1)</f>
        <v>45778</v>
      </c>
      <c r="N156" t="str">
        <f>IF(WEEKDAY(tblTransactions[[#This Row],[date]],2)&gt;5,"Weekend","Weekday")</f>
        <v>Weekday</v>
      </c>
      <c r="O156" s="13" t="str">
        <f>IF(tblTransactions[[#This Row],[discount_pct]]=0,"0%",IF(tblTransactions[[#This Row],[discount_pct]]&lt;=10%,"1–
10%",IF(tblTransactions[[#This Row],[discount_pct]]&lt;=20%,"11–20%","&gt;20%")))</f>
        <v>0%</v>
      </c>
      <c r="P156" s="13" t="str">
        <f>_xlfn.XLOOKUP(tblTransactions[[#This Row],[tenant_id]],tblTenants[tenant_id],tblTenants[zone],"NOT FOUND")</f>
        <v>Beauty &amp; Wellness</v>
      </c>
      <c r="Q156" s="13" t="str">
        <f>_xlfn.XLOOKUP(tblTransactions[[#This Row],[tenant_id]],tblTenants[tenant_id],tblTenants[category],"NOT FOUND")</f>
        <v>Wellness</v>
      </c>
    </row>
    <row r="157" spans="1:17">
      <c r="A157" t="s">
        <v>200</v>
      </c>
      <c r="B157" s="2">
        <v>45660</v>
      </c>
      <c r="C157">
        <v>12</v>
      </c>
      <c r="D157" t="s">
        <v>53</v>
      </c>
      <c r="E157" t="s">
        <v>12</v>
      </c>
      <c r="F157" s="7">
        <v>1221.29</v>
      </c>
      <c r="G157" s="10">
        <v>0</v>
      </c>
      <c r="H157" s="7">
        <v>1221.29</v>
      </c>
      <c r="I157">
        <v>4</v>
      </c>
      <c r="J157" t="s">
        <v>13</v>
      </c>
      <c r="K157" s="13">
        <f>ROUND(tblTransactions[[#This Row],[gross_sales_inr]]*(1-tblTransactions[[#This Row],[discount_pct]]),2)</f>
        <v>1221.29</v>
      </c>
      <c r="L157" t="str">
        <f>IF(ABS(tblTransactions[[#This Row],[net_sales_inr]]-tblTransactions[[#This Row],[Recalc_Net_Sales]])&lt;0.02,"OK","CHECK")</f>
        <v>OK</v>
      </c>
      <c r="M157" s="14">
        <f>DATE(YEAR(tblTransactions[[#This Row],[date]]),MONTH(tblTransactions[[#This Row],[date]]),1)</f>
        <v>45658</v>
      </c>
      <c r="N157" t="str">
        <f>IF(WEEKDAY(tblTransactions[[#This Row],[date]],2)&gt;5,"Weekend","Weekday")</f>
        <v>Weekday</v>
      </c>
      <c r="O157" s="13" t="str">
        <f>IF(tblTransactions[[#This Row],[discount_pct]]=0,"0%",IF(tblTransactions[[#This Row],[discount_pct]]&lt;=10%,"1–
10%",IF(tblTransactions[[#This Row],[discount_pct]]&lt;=20%,"11–20%","&gt;20%")))</f>
        <v>0%</v>
      </c>
      <c r="P157" s="13" t="str">
        <f>_xlfn.XLOOKUP(tblTransactions[[#This Row],[tenant_id]],tblTenants[tenant_id],tblTenants[zone],"NOT FOUND")</f>
        <v>Beauty &amp; Wellness</v>
      </c>
      <c r="Q157" s="13" t="str">
        <f>_xlfn.XLOOKUP(tblTransactions[[#This Row],[tenant_id]],tblTenants[tenant_id],tblTenants[category],"NOT FOUND")</f>
        <v>Beauty</v>
      </c>
    </row>
    <row r="158" spans="1:17">
      <c r="A158" t="s">
        <v>201</v>
      </c>
      <c r="B158" s="2">
        <v>45774</v>
      </c>
      <c r="C158">
        <v>12</v>
      </c>
      <c r="D158" t="s">
        <v>70</v>
      </c>
      <c r="E158" t="s">
        <v>21</v>
      </c>
      <c r="F158" s="7">
        <v>1335.76</v>
      </c>
      <c r="G158" s="10">
        <v>0.15</v>
      </c>
      <c r="H158" s="7">
        <v>1135.4000000000001</v>
      </c>
      <c r="I158">
        <v>2</v>
      </c>
      <c r="J158" t="s">
        <v>16</v>
      </c>
      <c r="K158" s="13">
        <f>ROUND(tblTransactions[[#This Row],[gross_sales_inr]]*(1-tblTransactions[[#This Row],[discount_pct]]),2)</f>
        <v>1135.4000000000001</v>
      </c>
      <c r="L158" t="str">
        <f>IF(ABS(tblTransactions[[#This Row],[net_sales_inr]]-tblTransactions[[#This Row],[Recalc_Net_Sales]])&lt;0.02,"OK","CHECK")</f>
        <v>OK</v>
      </c>
      <c r="M158" s="14">
        <f>DATE(YEAR(tblTransactions[[#This Row],[date]]),MONTH(tblTransactions[[#This Row],[date]]),1)</f>
        <v>45748</v>
      </c>
      <c r="N158" t="str">
        <f>IF(WEEKDAY(tblTransactions[[#This Row],[date]],2)&gt;5,"Weekend","Weekday")</f>
        <v>Weekend</v>
      </c>
      <c r="O15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8" s="13" t="str">
        <f>_xlfn.XLOOKUP(tblTransactions[[#This Row],[tenant_id]],tblTenants[tenant_id],tblTenants[zone],"NOT FOUND")</f>
        <v>Food Court</v>
      </c>
      <c r="Q158" s="13" t="str">
        <f>_xlfn.XLOOKUP(tblTransactions[[#This Row],[tenant_id]],tblTenants[tenant_id],tblTenants[category],"NOT FOUND")</f>
        <v>Quick Service</v>
      </c>
    </row>
    <row r="159" spans="1:17">
      <c r="A159" t="s">
        <v>202</v>
      </c>
      <c r="B159" s="2">
        <v>45684</v>
      </c>
      <c r="C159">
        <v>12</v>
      </c>
      <c r="D159" t="s">
        <v>15</v>
      </c>
      <c r="E159" t="s">
        <v>21</v>
      </c>
      <c r="F159" s="7">
        <v>887.93</v>
      </c>
      <c r="G159" s="10">
        <v>0</v>
      </c>
      <c r="H159" s="7">
        <v>887.93</v>
      </c>
      <c r="I159">
        <v>4</v>
      </c>
      <c r="J159" t="s">
        <v>13</v>
      </c>
      <c r="K159" s="13">
        <f>ROUND(tblTransactions[[#This Row],[gross_sales_inr]]*(1-tblTransactions[[#This Row],[discount_pct]]),2)</f>
        <v>887.93</v>
      </c>
      <c r="L159" t="str">
        <f>IF(ABS(tblTransactions[[#This Row],[net_sales_inr]]-tblTransactions[[#This Row],[Recalc_Net_Sales]])&lt;0.02,"OK","CHECK")</f>
        <v>OK</v>
      </c>
      <c r="M159" s="14">
        <f>DATE(YEAR(tblTransactions[[#This Row],[date]]),MONTH(tblTransactions[[#This Row],[date]]),1)</f>
        <v>45658</v>
      </c>
      <c r="N159" t="str">
        <f>IF(WEEKDAY(tblTransactions[[#This Row],[date]],2)&gt;5,"Weekend","Weekday")</f>
        <v>Weekday</v>
      </c>
      <c r="O159" s="13" t="str">
        <f>IF(tblTransactions[[#This Row],[discount_pct]]=0,"0%",IF(tblTransactions[[#This Row],[discount_pct]]&lt;=10%,"1–
10%",IF(tblTransactions[[#This Row],[discount_pct]]&lt;=20%,"11–20%","&gt;20%")))</f>
        <v>0%</v>
      </c>
      <c r="P159" s="13" t="str">
        <f>_xlfn.XLOOKUP(tblTransactions[[#This Row],[tenant_id]],tblTenants[tenant_id],tblTenants[zone],"NOT FOUND")</f>
        <v>Fashion Avenue</v>
      </c>
      <c r="Q159" s="13" t="str">
        <f>_xlfn.XLOOKUP(tblTransactions[[#This Row],[tenant_id]],tblTenants[tenant_id],tblTenants[category],"NOT FOUND")</f>
        <v>Accessories</v>
      </c>
    </row>
    <row r="160" spans="1:17">
      <c r="A160" t="s">
        <v>203</v>
      </c>
      <c r="B160" s="2">
        <v>45822</v>
      </c>
      <c r="C160">
        <v>22</v>
      </c>
      <c r="D160" t="s">
        <v>204</v>
      </c>
      <c r="E160" t="s">
        <v>12</v>
      </c>
      <c r="F160" s="7">
        <v>2071.9499999999998</v>
      </c>
      <c r="G160" s="10">
        <v>0</v>
      </c>
      <c r="H160" s="7">
        <v>2071.9499999999998</v>
      </c>
      <c r="I160">
        <v>1</v>
      </c>
      <c r="J160" t="s">
        <v>13</v>
      </c>
      <c r="K160" s="13">
        <f>ROUND(tblTransactions[[#This Row],[gross_sales_inr]]*(1-tblTransactions[[#This Row],[discount_pct]]),2)</f>
        <v>2071.9499999999998</v>
      </c>
      <c r="L160" t="str">
        <f>IF(ABS(tblTransactions[[#This Row],[net_sales_inr]]-tblTransactions[[#This Row],[Recalc_Net_Sales]])&lt;0.02,"OK","CHECK")</f>
        <v>OK</v>
      </c>
      <c r="M160" s="14">
        <f>DATE(YEAR(tblTransactions[[#This Row],[date]]),MONTH(tblTransactions[[#This Row],[date]]),1)</f>
        <v>45809</v>
      </c>
      <c r="N160" t="str">
        <f>IF(WEEKDAY(tblTransactions[[#This Row],[date]],2)&gt;5,"Weekend","Weekday")</f>
        <v>Weekend</v>
      </c>
      <c r="O160" s="13" t="str">
        <f>IF(tblTransactions[[#This Row],[discount_pct]]=0,"0%",IF(tblTransactions[[#This Row],[discount_pct]]&lt;=10%,"1–
10%",IF(tblTransactions[[#This Row],[discount_pct]]&lt;=20%,"11–20%","&gt;20%")))</f>
        <v>0%</v>
      </c>
      <c r="P160" s="13" t="str">
        <f>_xlfn.XLOOKUP(tblTransactions[[#This Row],[tenant_id]],tblTenants[tenant_id],tblTenants[zone],"NOT FOUND")</f>
        <v>Home &amp; Living</v>
      </c>
      <c r="Q160" s="13" t="str">
        <f>_xlfn.XLOOKUP(tblTransactions[[#This Row],[tenant_id]],tblTenants[tenant_id],tblTenants[category],"NOT FOUND")</f>
        <v>Home Decor</v>
      </c>
    </row>
    <row r="161" spans="1:17">
      <c r="A161" t="s">
        <v>205</v>
      </c>
      <c r="B161" s="2">
        <v>45755</v>
      </c>
      <c r="C161">
        <v>12</v>
      </c>
      <c r="D161" t="s">
        <v>53</v>
      </c>
      <c r="E161" t="s">
        <v>12</v>
      </c>
      <c r="F161" s="7">
        <v>665.73</v>
      </c>
      <c r="G161" s="10">
        <v>0.1</v>
      </c>
      <c r="H161" s="7">
        <v>599.16</v>
      </c>
      <c r="I161">
        <v>5</v>
      </c>
      <c r="J161" t="s">
        <v>13</v>
      </c>
      <c r="K161" s="13">
        <f>ROUND(tblTransactions[[#This Row],[gross_sales_inr]]*(1-tblTransactions[[#This Row],[discount_pct]]),2)</f>
        <v>599.16</v>
      </c>
      <c r="L161" t="str">
        <f>IF(ABS(tblTransactions[[#This Row],[net_sales_inr]]-tblTransactions[[#This Row],[Recalc_Net_Sales]])&lt;0.02,"OK","CHECK")</f>
        <v>OK</v>
      </c>
      <c r="M161" s="14">
        <f>DATE(YEAR(tblTransactions[[#This Row],[date]]),MONTH(tblTransactions[[#This Row],[date]]),1)</f>
        <v>45748</v>
      </c>
      <c r="N161" t="str">
        <f>IF(WEEKDAY(tblTransactions[[#This Row],[date]],2)&gt;5,"Weekend","Weekday")</f>
        <v>Weekday</v>
      </c>
      <c r="O16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1" s="13" t="str">
        <f>_xlfn.XLOOKUP(tblTransactions[[#This Row],[tenant_id]],tblTenants[tenant_id],tblTenants[zone],"NOT FOUND")</f>
        <v>Beauty &amp; Wellness</v>
      </c>
      <c r="Q161" s="13" t="str">
        <f>_xlfn.XLOOKUP(tblTransactions[[#This Row],[tenant_id]],tblTenants[tenant_id],tblTenants[category],"NOT FOUND")</f>
        <v>Beauty</v>
      </c>
    </row>
    <row r="162" spans="1:17">
      <c r="A162" t="s">
        <v>206</v>
      </c>
      <c r="B162" s="2">
        <v>45730</v>
      </c>
      <c r="C162">
        <v>12</v>
      </c>
      <c r="D162" t="s">
        <v>18</v>
      </c>
      <c r="E162" t="s">
        <v>21</v>
      </c>
      <c r="F162" s="7">
        <v>1344.15</v>
      </c>
      <c r="G162" s="10">
        <v>0.1</v>
      </c>
      <c r="H162" s="7">
        <v>1209.74</v>
      </c>
      <c r="I162">
        <v>3</v>
      </c>
      <c r="J162" t="s">
        <v>16</v>
      </c>
      <c r="K162" s="13">
        <f>ROUND(tblTransactions[[#This Row],[gross_sales_inr]]*(1-tblTransactions[[#This Row],[discount_pct]]),2)</f>
        <v>1209.74</v>
      </c>
      <c r="L162" t="str">
        <f>IF(ABS(tblTransactions[[#This Row],[net_sales_inr]]-tblTransactions[[#This Row],[Recalc_Net_Sales]])&lt;0.02,"OK","CHECK")</f>
        <v>OK</v>
      </c>
      <c r="M162" s="14">
        <f>DATE(YEAR(tblTransactions[[#This Row],[date]]),MONTH(tblTransactions[[#This Row],[date]]),1)</f>
        <v>45717</v>
      </c>
      <c r="N162" t="str">
        <f>IF(WEEKDAY(tblTransactions[[#This Row],[date]],2)&gt;5,"Weekend","Weekday")</f>
        <v>Weekday</v>
      </c>
      <c r="O16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2" s="13" t="str">
        <f>_xlfn.XLOOKUP(tblTransactions[[#This Row],[tenant_id]],tblTenants[tenant_id],tblTenants[zone],"NOT FOUND")</f>
        <v>Beauty &amp; Wellness</v>
      </c>
      <c r="Q162" s="13" t="str">
        <f>_xlfn.XLOOKUP(tblTransactions[[#This Row],[tenant_id]],tblTenants[tenant_id],tblTenants[category],"NOT FOUND")</f>
        <v>Beauty</v>
      </c>
    </row>
    <row r="163" spans="1:17">
      <c r="A163" t="s">
        <v>207</v>
      </c>
      <c r="B163" s="2">
        <v>45786</v>
      </c>
      <c r="C163">
        <v>11</v>
      </c>
      <c r="D163" t="s">
        <v>63</v>
      </c>
      <c r="E163" t="s">
        <v>12</v>
      </c>
      <c r="F163" s="7">
        <v>2628.97</v>
      </c>
      <c r="G163" s="10">
        <v>0</v>
      </c>
      <c r="H163" s="7">
        <v>2628.97</v>
      </c>
      <c r="I163">
        <v>1</v>
      </c>
      <c r="J163" t="s">
        <v>13</v>
      </c>
      <c r="K163" s="13">
        <f>ROUND(tblTransactions[[#This Row],[gross_sales_inr]]*(1-tblTransactions[[#This Row],[discount_pct]]),2)</f>
        <v>2628.97</v>
      </c>
      <c r="L163" t="str">
        <f>IF(ABS(tblTransactions[[#This Row],[net_sales_inr]]-tblTransactions[[#This Row],[Recalc_Net_Sales]])&lt;0.02,"OK","CHECK")</f>
        <v>OK</v>
      </c>
      <c r="M163" s="14">
        <f>DATE(YEAR(tblTransactions[[#This Row],[date]]),MONTH(tblTransactions[[#This Row],[date]]),1)</f>
        <v>45778</v>
      </c>
      <c r="N163" t="str">
        <f>IF(WEEKDAY(tblTransactions[[#This Row],[date]],2)&gt;5,"Weekend","Weekday")</f>
        <v>Weekday</v>
      </c>
      <c r="O163" s="13" t="str">
        <f>IF(tblTransactions[[#This Row],[discount_pct]]=0,"0%",IF(tblTransactions[[#This Row],[discount_pct]]&lt;=10%,"1–
10%",IF(tblTransactions[[#This Row],[discount_pct]]&lt;=20%,"11–20%","&gt;20%")))</f>
        <v>0%</v>
      </c>
      <c r="P163" s="13" t="str">
        <f>_xlfn.XLOOKUP(tblTransactions[[#This Row],[tenant_id]],tblTenants[tenant_id],tblTenants[zone],"NOT FOUND")</f>
        <v>Entertainment</v>
      </c>
      <c r="Q163" s="13" t="str">
        <f>_xlfn.XLOOKUP(tblTransactions[[#This Row],[tenant_id]],tblTenants[tenant_id],tblTenants[category],"NOT FOUND")</f>
        <v>Family Entertainment</v>
      </c>
    </row>
    <row r="164" spans="1:17">
      <c r="A164" t="s">
        <v>208</v>
      </c>
      <c r="B164" s="2">
        <v>45825</v>
      </c>
      <c r="C164">
        <v>22</v>
      </c>
      <c r="D164" t="s">
        <v>48</v>
      </c>
      <c r="E164" t="s">
        <v>12</v>
      </c>
      <c r="F164" s="7">
        <v>412.64</v>
      </c>
      <c r="G164" s="10">
        <v>0.15</v>
      </c>
      <c r="H164" s="7">
        <v>350.74</v>
      </c>
      <c r="I164">
        <v>2</v>
      </c>
      <c r="J164" t="s">
        <v>13</v>
      </c>
      <c r="K164" s="13">
        <f>ROUND(tblTransactions[[#This Row],[gross_sales_inr]]*(1-tblTransactions[[#This Row],[discount_pct]]),2)</f>
        <v>350.74</v>
      </c>
      <c r="L164" t="str">
        <f>IF(ABS(tblTransactions[[#This Row],[net_sales_inr]]-tblTransactions[[#This Row],[Recalc_Net_Sales]])&lt;0.02,"OK","CHECK")</f>
        <v>OK</v>
      </c>
      <c r="M164" s="14">
        <f>DATE(YEAR(tblTransactions[[#This Row],[date]]),MONTH(tblTransactions[[#This Row],[date]]),1)</f>
        <v>45809</v>
      </c>
      <c r="N164" t="str">
        <f>IF(WEEKDAY(tblTransactions[[#This Row],[date]],2)&gt;5,"Weekend","Weekday")</f>
        <v>Weekday</v>
      </c>
      <c r="O16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4" s="13" t="str">
        <f>_xlfn.XLOOKUP(tblTransactions[[#This Row],[tenant_id]],tblTenants[tenant_id],tblTenants[zone],"NOT FOUND")</f>
        <v>Beauty &amp; Wellness</v>
      </c>
      <c r="Q164" s="13" t="str">
        <f>_xlfn.XLOOKUP(tblTransactions[[#This Row],[tenant_id]],tblTenants[tenant_id],tblTenants[category],"NOT FOUND")</f>
        <v>Wellness</v>
      </c>
    </row>
    <row r="165" spans="1:17">
      <c r="A165" t="s">
        <v>209</v>
      </c>
      <c r="B165" s="2">
        <v>45805</v>
      </c>
      <c r="C165">
        <v>16</v>
      </c>
      <c r="D165" t="s">
        <v>61</v>
      </c>
      <c r="E165" t="s">
        <v>51</v>
      </c>
      <c r="F165" s="7">
        <v>770.8</v>
      </c>
      <c r="G165" s="10">
        <v>0</v>
      </c>
      <c r="H165" s="7">
        <v>770.8</v>
      </c>
      <c r="I165">
        <v>1</v>
      </c>
      <c r="J165" t="s">
        <v>13</v>
      </c>
      <c r="K165" s="13">
        <f>ROUND(tblTransactions[[#This Row],[gross_sales_inr]]*(1-tblTransactions[[#This Row],[discount_pct]]),2)</f>
        <v>770.8</v>
      </c>
      <c r="L165" t="str">
        <f>IF(ABS(tblTransactions[[#This Row],[net_sales_inr]]-tblTransactions[[#This Row],[Recalc_Net_Sales]])&lt;0.02,"OK","CHECK")</f>
        <v>OK</v>
      </c>
      <c r="M165" s="14">
        <f>DATE(YEAR(tblTransactions[[#This Row],[date]]),MONTH(tblTransactions[[#This Row],[date]]),1)</f>
        <v>45778</v>
      </c>
      <c r="N165" t="str">
        <f>IF(WEEKDAY(tblTransactions[[#This Row],[date]],2)&gt;5,"Weekend","Weekday")</f>
        <v>Weekday</v>
      </c>
      <c r="O165" s="13" t="str">
        <f>IF(tblTransactions[[#This Row],[discount_pct]]=0,"0%",IF(tblTransactions[[#This Row],[discount_pct]]&lt;=10%,"1–
10%",IF(tblTransactions[[#This Row],[discount_pct]]&lt;=20%,"11–20%","&gt;20%")))</f>
        <v>0%</v>
      </c>
      <c r="P165" s="13" t="str">
        <f>_xlfn.XLOOKUP(tblTransactions[[#This Row],[tenant_id]],tblTenants[tenant_id],tblTenants[zone],"NOT FOUND")</f>
        <v>Food Court</v>
      </c>
      <c r="Q165" s="13" t="str">
        <f>_xlfn.XLOOKUP(tblTransactions[[#This Row],[tenant_id]],tblTenants[tenant_id],tblTenants[category],"NOT FOUND")</f>
        <v>Quick Service</v>
      </c>
    </row>
    <row r="166" spans="1:17">
      <c r="A166" t="s">
        <v>210</v>
      </c>
      <c r="B166" s="2">
        <v>45773</v>
      </c>
      <c r="C166">
        <v>10</v>
      </c>
      <c r="D166" t="s">
        <v>29</v>
      </c>
      <c r="E166" t="s">
        <v>32</v>
      </c>
      <c r="F166" s="7">
        <v>184.81</v>
      </c>
      <c r="G166" s="10">
        <v>0.15</v>
      </c>
      <c r="H166" s="7">
        <v>157.09</v>
      </c>
      <c r="I166">
        <v>2</v>
      </c>
      <c r="J166" t="s">
        <v>16</v>
      </c>
      <c r="K166" s="13">
        <f>ROUND(tblTransactions[[#This Row],[gross_sales_inr]]*(1-tblTransactions[[#This Row],[discount_pct]]),2)</f>
        <v>157.09</v>
      </c>
      <c r="L166" t="str">
        <f>IF(ABS(tblTransactions[[#This Row],[net_sales_inr]]-tblTransactions[[#This Row],[Recalc_Net_Sales]])&lt;0.02,"OK","CHECK")</f>
        <v>OK</v>
      </c>
      <c r="M166" s="14">
        <f>DATE(YEAR(tblTransactions[[#This Row],[date]]),MONTH(tblTransactions[[#This Row],[date]]),1)</f>
        <v>45748</v>
      </c>
      <c r="N166" t="str">
        <f>IF(WEEKDAY(tblTransactions[[#This Row],[date]],2)&gt;5,"Weekend","Weekday")</f>
        <v>Weekend</v>
      </c>
      <c r="O16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6" s="13" t="str">
        <f>_xlfn.XLOOKUP(tblTransactions[[#This Row],[tenant_id]],tblTenants[tenant_id],tblTenants[zone],"NOT FOUND")</f>
        <v>Entertainment</v>
      </c>
      <c r="Q166" s="13" t="str">
        <f>_xlfn.XLOOKUP(tblTransactions[[#This Row],[tenant_id]],tblTenants[tenant_id],tblTenants[category],"NOT FOUND")</f>
        <v>Cinema</v>
      </c>
    </row>
    <row r="167" spans="1:17">
      <c r="A167" t="s">
        <v>211</v>
      </c>
      <c r="B167" s="2">
        <v>45673</v>
      </c>
      <c r="C167">
        <v>11</v>
      </c>
      <c r="D167" t="s">
        <v>27</v>
      </c>
      <c r="E167" t="s">
        <v>21</v>
      </c>
      <c r="F167" s="7">
        <v>959</v>
      </c>
      <c r="G167" s="10">
        <v>0</v>
      </c>
      <c r="H167" s="7">
        <v>959</v>
      </c>
      <c r="I167">
        <v>3</v>
      </c>
      <c r="J167" t="s">
        <v>13</v>
      </c>
      <c r="K167" s="13">
        <f>ROUND(tblTransactions[[#This Row],[gross_sales_inr]]*(1-tblTransactions[[#This Row],[discount_pct]]),2)</f>
        <v>959</v>
      </c>
      <c r="L167" t="str">
        <f>IF(ABS(tblTransactions[[#This Row],[net_sales_inr]]-tblTransactions[[#This Row],[Recalc_Net_Sales]])&lt;0.02,"OK","CHECK")</f>
        <v>OK</v>
      </c>
      <c r="M167" s="14">
        <f>DATE(YEAR(tblTransactions[[#This Row],[date]]),MONTH(tblTransactions[[#This Row],[date]]),1)</f>
        <v>45658</v>
      </c>
      <c r="N167" t="str">
        <f>IF(WEEKDAY(tblTransactions[[#This Row],[date]],2)&gt;5,"Weekend","Weekday")</f>
        <v>Weekday</v>
      </c>
      <c r="O167" s="13" t="str">
        <f>IF(tblTransactions[[#This Row],[discount_pct]]=0,"0%",IF(tblTransactions[[#This Row],[discount_pct]]&lt;=10%,"1–
10%",IF(tblTransactions[[#This Row],[discount_pct]]&lt;=20%,"11–20%","&gt;20%")))</f>
        <v>0%</v>
      </c>
      <c r="P167" s="13" t="str">
        <f>_xlfn.XLOOKUP(tblTransactions[[#This Row],[tenant_id]],tblTenants[tenant_id],tblTenants[zone],"NOT FOUND")</f>
        <v>Beauty &amp; Wellness</v>
      </c>
      <c r="Q167" s="13" t="str">
        <f>_xlfn.XLOOKUP(tblTransactions[[#This Row],[tenant_id]],tblTenants[tenant_id],tblTenants[category],"NOT FOUND")</f>
        <v>Wellness</v>
      </c>
    </row>
    <row r="168" spans="1:17">
      <c r="A168" t="s">
        <v>212</v>
      </c>
      <c r="B168" s="2">
        <v>45753</v>
      </c>
      <c r="C168">
        <v>13</v>
      </c>
      <c r="D168" t="s">
        <v>36</v>
      </c>
      <c r="E168" t="s">
        <v>12</v>
      </c>
      <c r="F168" s="7">
        <v>1757.98</v>
      </c>
      <c r="G168" s="10">
        <v>0.2</v>
      </c>
      <c r="H168" s="7">
        <v>1406.38</v>
      </c>
      <c r="I168">
        <v>1</v>
      </c>
      <c r="J168" t="s">
        <v>13</v>
      </c>
      <c r="K168" s="13">
        <f>ROUND(tblTransactions[[#This Row],[gross_sales_inr]]*(1-tblTransactions[[#This Row],[discount_pct]]),2)</f>
        <v>1406.38</v>
      </c>
      <c r="L168" t="str">
        <f>IF(ABS(tblTransactions[[#This Row],[net_sales_inr]]-tblTransactions[[#This Row],[Recalc_Net_Sales]])&lt;0.02,"OK","CHECK")</f>
        <v>OK</v>
      </c>
      <c r="M168" s="14">
        <f>DATE(YEAR(tblTransactions[[#This Row],[date]]),MONTH(tblTransactions[[#This Row],[date]]),1)</f>
        <v>45748</v>
      </c>
      <c r="N168" t="str">
        <f>IF(WEEKDAY(tblTransactions[[#This Row],[date]],2)&gt;5,"Weekend","Weekday")</f>
        <v>Weekend</v>
      </c>
      <c r="O16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8" s="13" t="str">
        <f>_xlfn.XLOOKUP(tblTransactions[[#This Row],[tenant_id]],tblTenants[tenant_id],tblTenants[zone],"NOT FOUND")</f>
        <v>Home &amp; Living</v>
      </c>
      <c r="Q168" s="13" t="str">
        <f>_xlfn.XLOOKUP(tblTransactions[[#This Row],[tenant_id]],tblTenants[tenant_id],tblTenants[category],"NOT FOUND")</f>
        <v>Electronics</v>
      </c>
    </row>
    <row r="169" spans="1:17">
      <c r="A169" t="s">
        <v>213</v>
      </c>
      <c r="B169" s="2">
        <v>45674</v>
      </c>
      <c r="C169">
        <v>19</v>
      </c>
      <c r="D169" t="s">
        <v>59</v>
      </c>
      <c r="E169" t="s">
        <v>12</v>
      </c>
      <c r="F169" s="7">
        <v>236.68</v>
      </c>
      <c r="G169" s="10">
        <v>0.1</v>
      </c>
      <c r="H169" s="7">
        <v>213.01</v>
      </c>
      <c r="I169">
        <v>1</v>
      </c>
      <c r="J169" t="s">
        <v>16</v>
      </c>
      <c r="K169" s="13">
        <f>ROUND(tblTransactions[[#This Row],[gross_sales_inr]]*(1-tblTransactions[[#This Row],[discount_pct]]),2)</f>
        <v>213.01</v>
      </c>
      <c r="L169" t="str">
        <f>IF(ABS(tblTransactions[[#This Row],[net_sales_inr]]-tblTransactions[[#This Row],[Recalc_Net_Sales]])&lt;0.02,"OK","CHECK")</f>
        <v>OK</v>
      </c>
      <c r="M169" s="14">
        <f>DATE(YEAR(tblTransactions[[#This Row],[date]]),MONTH(tblTransactions[[#This Row],[date]]),1)</f>
        <v>45658</v>
      </c>
      <c r="N169" t="str">
        <f>IF(WEEKDAY(tblTransactions[[#This Row],[date]],2)&gt;5,"Weekend","Weekday")</f>
        <v>Weekday</v>
      </c>
      <c r="O16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9" s="13" t="str">
        <f>_xlfn.XLOOKUP(tblTransactions[[#This Row],[tenant_id]],tblTenants[tenant_id],tblTenants[zone],"NOT FOUND")</f>
        <v>Fashion Avenue</v>
      </c>
      <c r="Q169" s="13" t="str">
        <f>_xlfn.XLOOKUP(tblTransactions[[#This Row],[tenant_id]],tblTenants[tenant_id],tblTenants[category],"NOT FOUND")</f>
        <v>Footwear</v>
      </c>
    </row>
    <row r="170" spans="1:17">
      <c r="A170" t="s">
        <v>214</v>
      </c>
      <c r="B170" s="2">
        <v>45810</v>
      </c>
      <c r="C170">
        <v>16</v>
      </c>
      <c r="D170" t="s">
        <v>87</v>
      </c>
      <c r="E170" t="s">
        <v>12</v>
      </c>
      <c r="F170" s="7">
        <v>413.68</v>
      </c>
      <c r="G170" s="10">
        <v>0</v>
      </c>
      <c r="H170" s="7">
        <v>413.68</v>
      </c>
      <c r="I170">
        <v>1</v>
      </c>
      <c r="J170" t="s">
        <v>16</v>
      </c>
      <c r="K170" s="13">
        <f>ROUND(tblTransactions[[#This Row],[gross_sales_inr]]*(1-tblTransactions[[#This Row],[discount_pct]]),2)</f>
        <v>413.68</v>
      </c>
      <c r="L170" t="str">
        <f>IF(ABS(tblTransactions[[#This Row],[net_sales_inr]]-tblTransactions[[#This Row],[Recalc_Net_Sales]])&lt;0.02,"OK","CHECK")</f>
        <v>OK</v>
      </c>
      <c r="M170" s="14">
        <f>DATE(YEAR(tblTransactions[[#This Row],[date]]),MONTH(tblTransactions[[#This Row],[date]]),1)</f>
        <v>45809</v>
      </c>
      <c r="N170" t="str">
        <f>IF(WEEKDAY(tblTransactions[[#This Row],[date]],2)&gt;5,"Weekend","Weekday")</f>
        <v>Weekday</v>
      </c>
      <c r="O170" s="13" t="str">
        <f>IF(tblTransactions[[#This Row],[discount_pct]]=0,"0%",IF(tblTransactions[[#This Row],[discount_pct]]&lt;=10%,"1–
10%",IF(tblTransactions[[#This Row],[discount_pct]]&lt;=20%,"11–20%","&gt;20%")))</f>
        <v>0%</v>
      </c>
      <c r="P170" s="13" t="str">
        <f>_xlfn.XLOOKUP(tblTransactions[[#This Row],[tenant_id]],tblTenants[tenant_id],tblTenants[zone],"NOT FOUND")</f>
        <v>Fashion Avenue</v>
      </c>
      <c r="Q170" s="13" t="str">
        <f>_xlfn.XLOOKUP(tblTransactions[[#This Row],[tenant_id]],tblTenants[tenant_id],tblTenants[category],"NOT FOUND")</f>
        <v>Footwear</v>
      </c>
    </row>
    <row r="171" spans="1:17">
      <c r="A171" t="s">
        <v>215</v>
      </c>
      <c r="B171" s="2">
        <v>45800</v>
      </c>
      <c r="C171">
        <v>22</v>
      </c>
      <c r="D171" t="s">
        <v>48</v>
      </c>
      <c r="E171" t="s">
        <v>12</v>
      </c>
      <c r="F171" s="7">
        <v>606.04</v>
      </c>
      <c r="G171" s="10">
        <v>0.1</v>
      </c>
      <c r="H171" s="7">
        <v>545.44000000000005</v>
      </c>
      <c r="I171">
        <v>1</v>
      </c>
      <c r="J171" t="s">
        <v>13</v>
      </c>
      <c r="K171" s="13">
        <f>ROUND(tblTransactions[[#This Row],[gross_sales_inr]]*(1-tblTransactions[[#This Row],[discount_pct]]),2)</f>
        <v>545.44000000000005</v>
      </c>
      <c r="L171" t="str">
        <f>IF(ABS(tblTransactions[[#This Row],[net_sales_inr]]-tblTransactions[[#This Row],[Recalc_Net_Sales]])&lt;0.02,"OK","CHECK")</f>
        <v>OK</v>
      </c>
      <c r="M171" s="14">
        <f>DATE(YEAR(tblTransactions[[#This Row],[date]]),MONTH(tblTransactions[[#This Row],[date]]),1)</f>
        <v>45778</v>
      </c>
      <c r="N171" t="str">
        <f>IF(WEEKDAY(tblTransactions[[#This Row],[date]],2)&gt;5,"Weekend","Weekday")</f>
        <v>Weekday</v>
      </c>
      <c r="O17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1" s="13" t="str">
        <f>_xlfn.XLOOKUP(tblTransactions[[#This Row],[tenant_id]],tblTenants[tenant_id],tblTenants[zone],"NOT FOUND")</f>
        <v>Beauty &amp; Wellness</v>
      </c>
      <c r="Q171" s="13" t="str">
        <f>_xlfn.XLOOKUP(tblTransactions[[#This Row],[tenant_id]],tblTenants[tenant_id],tblTenants[category],"NOT FOUND")</f>
        <v>Wellness</v>
      </c>
    </row>
    <row r="172" spans="1:17">
      <c r="A172" t="s">
        <v>216</v>
      </c>
      <c r="B172" s="2">
        <v>45819</v>
      </c>
      <c r="C172">
        <v>15</v>
      </c>
      <c r="D172" t="s">
        <v>55</v>
      </c>
      <c r="E172" t="s">
        <v>32</v>
      </c>
      <c r="F172" s="7">
        <v>645.73</v>
      </c>
      <c r="G172" s="10">
        <v>0.15</v>
      </c>
      <c r="H172" s="7">
        <v>548.87</v>
      </c>
      <c r="I172">
        <v>6</v>
      </c>
      <c r="J172" t="s">
        <v>13</v>
      </c>
      <c r="K172" s="13">
        <f>ROUND(tblTransactions[[#This Row],[gross_sales_inr]]*(1-tblTransactions[[#This Row],[discount_pct]]),2)</f>
        <v>548.87</v>
      </c>
      <c r="L172" t="str">
        <f>IF(ABS(tblTransactions[[#This Row],[net_sales_inr]]-tblTransactions[[#This Row],[Recalc_Net_Sales]])&lt;0.02,"OK","CHECK")</f>
        <v>OK</v>
      </c>
      <c r="M172" s="14">
        <f>DATE(YEAR(tblTransactions[[#This Row],[date]]),MONTH(tblTransactions[[#This Row],[date]]),1)</f>
        <v>45809</v>
      </c>
      <c r="N172" t="str">
        <f>IF(WEEKDAY(tblTransactions[[#This Row],[date]],2)&gt;5,"Weekend","Weekday")</f>
        <v>Weekday</v>
      </c>
      <c r="O17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2" s="13" t="str">
        <f>_xlfn.XLOOKUP(tblTransactions[[#This Row],[tenant_id]],tblTenants[tenant_id],tblTenants[zone],"NOT FOUND")</f>
        <v>Food Court</v>
      </c>
      <c r="Q172" s="13" t="str">
        <f>_xlfn.XLOOKUP(tblTransactions[[#This Row],[tenant_id]],tblTenants[tenant_id],tblTenants[category],"NOT FOUND")</f>
        <v>Quick Service</v>
      </c>
    </row>
    <row r="173" spans="1:17">
      <c r="A173" t="s">
        <v>217</v>
      </c>
      <c r="B173" s="2">
        <v>45738</v>
      </c>
      <c r="C173">
        <v>18</v>
      </c>
      <c r="D173" t="s">
        <v>27</v>
      </c>
      <c r="E173" t="s">
        <v>21</v>
      </c>
      <c r="F173" s="7">
        <v>737.63</v>
      </c>
      <c r="G173" s="10">
        <v>0</v>
      </c>
      <c r="H173" s="7">
        <v>737.63</v>
      </c>
      <c r="I173">
        <v>1</v>
      </c>
      <c r="J173" t="s">
        <v>13</v>
      </c>
      <c r="K173" s="13">
        <f>ROUND(tblTransactions[[#This Row],[gross_sales_inr]]*(1-tblTransactions[[#This Row],[discount_pct]]),2)</f>
        <v>737.63</v>
      </c>
      <c r="L173" t="str">
        <f>IF(ABS(tblTransactions[[#This Row],[net_sales_inr]]-tblTransactions[[#This Row],[Recalc_Net_Sales]])&lt;0.02,"OK","CHECK")</f>
        <v>OK</v>
      </c>
      <c r="M173" s="14">
        <f>DATE(YEAR(tblTransactions[[#This Row],[date]]),MONTH(tblTransactions[[#This Row],[date]]),1)</f>
        <v>45717</v>
      </c>
      <c r="N173" t="str">
        <f>IF(WEEKDAY(tblTransactions[[#This Row],[date]],2)&gt;5,"Weekend","Weekday")</f>
        <v>Weekend</v>
      </c>
      <c r="O173" s="13" t="str">
        <f>IF(tblTransactions[[#This Row],[discount_pct]]=0,"0%",IF(tblTransactions[[#This Row],[discount_pct]]&lt;=10%,"1–
10%",IF(tblTransactions[[#This Row],[discount_pct]]&lt;=20%,"11–20%","&gt;20%")))</f>
        <v>0%</v>
      </c>
      <c r="P173" s="13" t="str">
        <f>_xlfn.XLOOKUP(tblTransactions[[#This Row],[tenant_id]],tblTenants[tenant_id],tblTenants[zone],"NOT FOUND")</f>
        <v>Beauty &amp; Wellness</v>
      </c>
      <c r="Q173" s="13" t="str">
        <f>_xlfn.XLOOKUP(tblTransactions[[#This Row],[tenant_id]],tblTenants[tenant_id],tblTenants[category],"NOT FOUND")</f>
        <v>Wellness</v>
      </c>
    </row>
    <row r="174" spans="1:17">
      <c r="A174" t="s">
        <v>218</v>
      </c>
      <c r="B174" s="2">
        <v>45662</v>
      </c>
      <c r="C174">
        <v>15</v>
      </c>
      <c r="D174" t="s">
        <v>45</v>
      </c>
      <c r="E174" t="s">
        <v>12</v>
      </c>
      <c r="F174" s="7">
        <v>464.57</v>
      </c>
      <c r="G174" s="10">
        <v>0.05</v>
      </c>
      <c r="H174" s="7">
        <v>441.34</v>
      </c>
      <c r="I174">
        <v>1</v>
      </c>
      <c r="J174" t="s">
        <v>16</v>
      </c>
      <c r="K174" s="13">
        <f>ROUND(tblTransactions[[#This Row],[gross_sales_inr]]*(1-tblTransactions[[#This Row],[discount_pct]]),2)</f>
        <v>441.34</v>
      </c>
      <c r="L174" t="str">
        <f>IF(ABS(tblTransactions[[#This Row],[net_sales_inr]]-tblTransactions[[#This Row],[Recalc_Net_Sales]])&lt;0.02,"OK","CHECK")</f>
        <v>OK</v>
      </c>
      <c r="M174" s="14">
        <f>DATE(YEAR(tblTransactions[[#This Row],[date]]),MONTH(tblTransactions[[#This Row],[date]]),1)</f>
        <v>45658</v>
      </c>
      <c r="N174" t="str">
        <f>IF(WEEKDAY(tblTransactions[[#This Row],[date]],2)&gt;5,"Weekend","Weekday")</f>
        <v>Weekend</v>
      </c>
      <c r="O17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4" s="13" t="str">
        <f>_xlfn.XLOOKUP(tblTransactions[[#This Row],[tenant_id]],tblTenants[tenant_id],tblTenants[zone],"NOT FOUND")</f>
        <v>Home &amp; Living</v>
      </c>
      <c r="Q174" s="13" t="str">
        <f>_xlfn.XLOOKUP(tblTransactions[[#This Row],[tenant_id]],tblTenants[tenant_id],tblTenants[category],"NOT FOUND")</f>
        <v>Home Decor</v>
      </c>
    </row>
    <row r="175" spans="1:17">
      <c r="A175" t="s">
        <v>219</v>
      </c>
      <c r="B175" s="2">
        <v>45769</v>
      </c>
      <c r="C175">
        <v>17</v>
      </c>
      <c r="D175" t="s">
        <v>43</v>
      </c>
      <c r="E175" t="s">
        <v>21</v>
      </c>
      <c r="F175" s="7">
        <v>1431.49</v>
      </c>
      <c r="G175" s="10">
        <v>0</v>
      </c>
      <c r="H175" s="7">
        <v>1431.49</v>
      </c>
      <c r="I175">
        <v>2</v>
      </c>
      <c r="J175" t="s">
        <v>13</v>
      </c>
      <c r="K175" s="13">
        <f>ROUND(tblTransactions[[#This Row],[gross_sales_inr]]*(1-tblTransactions[[#This Row],[discount_pct]]),2)</f>
        <v>1431.49</v>
      </c>
      <c r="L175" t="str">
        <f>IF(ABS(tblTransactions[[#This Row],[net_sales_inr]]-tblTransactions[[#This Row],[Recalc_Net_Sales]])&lt;0.02,"OK","CHECK")</f>
        <v>OK</v>
      </c>
      <c r="M175" s="14">
        <f>DATE(YEAR(tblTransactions[[#This Row],[date]]),MONTH(tblTransactions[[#This Row],[date]]),1)</f>
        <v>45748</v>
      </c>
      <c r="N175" t="str">
        <f>IF(WEEKDAY(tblTransactions[[#This Row],[date]],2)&gt;5,"Weekend","Weekday")</f>
        <v>Weekday</v>
      </c>
      <c r="O175" s="13" t="str">
        <f>IF(tblTransactions[[#This Row],[discount_pct]]=0,"0%",IF(tblTransactions[[#This Row],[discount_pct]]&lt;=10%,"1–
10%",IF(tblTransactions[[#This Row],[discount_pct]]&lt;=20%,"11–20%","&gt;20%")))</f>
        <v>0%</v>
      </c>
      <c r="P175" s="13" t="str">
        <f>_xlfn.XLOOKUP(tblTransactions[[#This Row],[tenant_id]],tblTenants[tenant_id],tblTenants[zone],"NOT FOUND")</f>
        <v>Food Court</v>
      </c>
      <c r="Q175" s="13" t="str">
        <f>_xlfn.XLOOKUP(tblTransactions[[#This Row],[tenant_id]],tblTenants[tenant_id],tblTenants[category],"NOT FOUND")</f>
        <v>Casual Dining</v>
      </c>
    </row>
    <row r="176" spans="1:17">
      <c r="A176" t="s">
        <v>220</v>
      </c>
      <c r="B176" s="2">
        <v>45822</v>
      </c>
      <c r="C176">
        <v>10</v>
      </c>
      <c r="D176" t="s">
        <v>104</v>
      </c>
      <c r="E176" t="s">
        <v>12</v>
      </c>
      <c r="F176" s="7">
        <v>499.43</v>
      </c>
      <c r="G176" s="10">
        <v>0.15</v>
      </c>
      <c r="H176" s="7">
        <v>424.52</v>
      </c>
      <c r="I176">
        <v>6</v>
      </c>
      <c r="J176" t="s">
        <v>13</v>
      </c>
      <c r="K176" s="13">
        <f>ROUND(tblTransactions[[#This Row],[gross_sales_inr]]*(1-tblTransactions[[#This Row],[discount_pct]]),2)</f>
        <v>424.52</v>
      </c>
      <c r="L176" t="str">
        <f>IF(ABS(tblTransactions[[#This Row],[net_sales_inr]]-tblTransactions[[#This Row],[Recalc_Net_Sales]])&lt;0.02,"OK","CHECK")</f>
        <v>OK</v>
      </c>
      <c r="M176" s="14">
        <f>DATE(YEAR(tblTransactions[[#This Row],[date]]),MONTH(tblTransactions[[#This Row],[date]]),1)</f>
        <v>45809</v>
      </c>
      <c r="N176" t="str">
        <f>IF(WEEKDAY(tblTransactions[[#This Row],[date]],2)&gt;5,"Weekend","Weekday")</f>
        <v>Weekend</v>
      </c>
      <c r="O17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6" s="13" t="str">
        <f>_xlfn.XLOOKUP(tblTransactions[[#This Row],[tenant_id]],tblTenants[tenant_id],tblTenants[zone],"NOT FOUND")</f>
        <v>Entertainment</v>
      </c>
      <c r="Q176" s="13" t="str">
        <f>_xlfn.XLOOKUP(tblTransactions[[#This Row],[tenant_id]],tblTenants[tenant_id],tblTenants[category],"NOT FOUND")</f>
        <v>Family Entertainment</v>
      </c>
    </row>
    <row r="177" spans="1:17">
      <c r="A177" t="s">
        <v>221</v>
      </c>
      <c r="B177" s="2">
        <v>45738</v>
      </c>
      <c r="C177">
        <v>19</v>
      </c>
      <c r="D177" t="s">
        <v>57</v>
      </c>
      <c r="E177" t="s">
        <v>12</v>
      </c>
      <c r="F177" s="7">
        <v>400.98</v>
      </c>
      <c r="G177" s="10">
        <v>0.2</v>
      </c>
      <c r="H177" s="7">
        <v>320.77999999999997</v>
      </c>
      <c r="I177">
        <v>3</v>
      </c>
      <c r="J177" t="s">
        <v>13</v>
      </c>
      <c r="K177" s="13">
        <f>ROUND(tblTransactions[[#This Row],[gross_sales_inr]]*(1-tblTransactions[[#This Row],[discount_pct]]),2)</f>
        <v>320.77999999999997</v>
      </c>
      <c r="L177" t="str">
        <f>IF(ABS(tblTransactions[[#This Row],[net_sales_inr]]-tblTransactions[[#This Row],[Recalc_Net_Sales]])&lt;0.02,"OK","CHECK")</f>
        <v>OK</v>
      </c>
      <c r="M177" s="14">
        <f>DATE(YEAR(tblTransactions[[#This Row],[date]]),MONTH(tblTransactions[[#This Row],[date]]),1)</f>
        <v>45717</v>
      </c>
      <c r="N177" t="str">
        <f>IF(WEEKDAY(tblTransactions[[#This Row],[date]],2)&gt;5,"Weekend","Weekday")</f>
        <v>Weekend</v>
      </c>
      <c r="O17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7" s="13" t="str">
        <f>_xlfn.XLOOKUP(tblTransactions[[#This Row],[tenant_id]],tblTenants[tenant_id],tblTenants[zone],"NOT FOUND")</f>
        <v>Food Court</v>
      </c>
      <c r="Q177" s="13" t="str">
        <f>_xlfn.XLOOKUP(tblTransactions[[#This Row],[tenant_id]],tblTenants[tenant_id],tblTenants[category],"NOT FOUND")</f>
        <v>Casual Dining</v>
      </c>
    </row>
    <row r="178" spans="1:17">
      <c r="A178" t="s">
        <v>222</v>
      </c>
      <c r="B178" s="2">
        <v>45797</v>
      </c>
      <c r="C178">
        <v>13</v>
      </c>
      <c r="D178" t="s">
        <v>36</v>
      </c>
      <c r="E178" t="s">
        <v>32</v>
      </c>
      <c r="F178" s="7">
        <v>1526.54</v>
      </c>
      <c r="G178" s="10">
        <v>0</v>
      </c>
      <c r="H178" s="7">
        <v>1526.54</v>
      </c>
      <c r="I178">
        <v>3</v>
      </c>
      <c r="J178" t="s">
        <v>16</v>
      </c>
      <c r="K178" s="13">
        <f>ROUND(tblTransactions[[#This Row],[gross_sales_inr]]*(1-tblTransactions[[#This Row],[discount_pct]]),2)</f>
        <v>1526.54</v>
      </c>
      <c r="L178" t="str">
        <f>IF(ABS(tblTransactions[[#This Row],[net_sales_inr]]-tblTransactions[[#This Row],[Recalc_Net_Sales]])&lt;0.02,"OK","CHECK")</f>
        <v>OK</v>
      </c>
      <c r="M178" s="14">
        <f>DATE(YEAR(tblTransactions[[#This Row],[date]]),MONTH(tblTransactions[[#This Row],[date]]),1)</f>
        <v>45778</v>
      </c>
      <c r="N178" t="str">
        <f>IF(WEEKDAY(tblTransactions[[#This Row],[date]],2)&gt;5,"Weekend","Weekday")</f>
        <v>Weekday</v>
      </c>
      <c r="O178" s="13" t="str">
        <f>IF(tblTransactions[[#This Row],[discount_pct]]=0,"0%",IF(tblTransactions[[#This Row],[discount_pct]]&lt;=10%,"1–
10%",IF(tblTransactions[[#This Row],[discount_pct]]&lt;=20%,"11–20%","&gt;20%")))</f>
        <v>0%</v>
      </c>
      <c r="P178" s="13" t="str">
        <f>_xlfn.XLOOKUP(tblTransactions[[#This Row],[tenant_id]],tblTenants[tenant_id],tblTenants[zone],"NOT FOUND")</f>
        <v>Home &amp; Living</v>
      </c>
      <c r="Q178" s="13" t="str">
        <f>_xlfn.XLOOKUP(tblTransactions[[#This Row],[tenant_id]],tblTenants[tenant_id],tblTenants[category],"NOT FOUND")</f>
        <v>Electronics</v>
      </c>
    </row>
    <row r="179" spans="1:17">
      <c r="A179" t="s">
        <v>223</v>
      </c>
      <c r="B179" s="2">
        <v>45776</v>
      </c>
      <c r="C179">
        <v>12</v>
      </c>
      <c r="D179" t="s">
        <v>72</v>
      </c>
      <c r="E179" t="s">
        <v>21</v>
      </c>
      <c r="F179" s="7">
        <v>626.33000000000004</v>
      </c>
      <c r="G179" s="10">
        <v>0.05</v>
      </c>
      <c r="H179" s="7">
        <v>595.01</v>
      </c>
      <c r="I179">
        <v>4</v>
      </c>
      <c r="J179" t="s">
        <v>13</v>
      </c>
      <c r="K179" s="13">
        <f>ROUND(tblTransactions[[#This Row],[gross_sales_inr]]*(1-tblTransactions[[#This Row],[discount_pct]]),2)</f>
        <v>595.01</v>
      </c>
      <c r="L179" t="str">
        <f>IF(ABS(tblTransactions[[#This Row],[net_sales_inr]]-tblTransactions[[#This Row],[Recalc_Net_Sales]])&lt;0.02,"OK","CHECK")</f>
        <v>OK</v>
      </c>
      <c r="M179" s="14">
        <f>DATE(YEAR(tblTransactions[[#This Row],[date]]),MONTH(tblTransactions[[#This Row],[date]]),1)</f>
        <v>45748</v>
      </c>
      <c r="N179" t="str">
        <f>IF(WEEKDAY(tblTransactions[[#This Row],[date]],2)&gt;5,"Weekend","Weekday")</f>
        <v>Weekday</v>
      </c>
      <c r="O17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9" s="13" t="str">
        <f>_xlfn.XLOOKUP(tblTransactions[[#This Row],[tenant_id]],tblTenants[tenant_id],tblTenants[zone],"NOT FOUND")</f>
        <v>Entertainment</v>
      </c>
      <c r="Q179" s="13" t="str">
        <f>_xlfn.XLOOKUP(tblTransactions[[#This Row],[tenant_id]],tblTenants[tenant_id],tblTenants[category],"NOT FOUND")</f>
        <v>Arcade</v>
      </c>
    </row>
    <row r="180" spans="1:17">
      <c r="A180" t="s">
        <v>224</v>
      </c>
      <c r="B180" s="2">
        <v>45690</v>
      </c>
      <c r="C180">
        <v>21</v>
      </c>
      <c r="D180" t="s">
        <v>87</v>
      </c>
      <c r="E180" t="s">
        <v>12</v>
      </c>
      <c r="F180" s="7">
        <v>494.47</v>
      </c>
      <c r="G180" s="10">
        <v>0.05</v>
      </c>
      <c r="H180" s="7">
        <v>469.75</v>
      </c>
      <c r="I180">
        <v>2</v>
      </c>
      <c r="J180" t="s">
        <v>16</v>
      </c>
      <c r="K180" s="13">
        <f>ROUND(tblTransactions[[#This Row],[gross_sales_inr]]*(1-tblTransactions[[#This Row],[discount_pct]]),2)</f>
        <v>469.75</v>
      </c>
      <c r="L180" t="str">
        <f>IF(ABS(tblTransactions[[#This Row],[net_sales_inr]]-tblTransactions[[#This Row],[Recalc_Net_Sales]])&lt;0.02,"OK","CHECK")</f>
        <v>OK</v>
      </c>
      <c r="M180" s="14">
        <f>DATE(YEAR(tblTransactions[[#This Row],[date]]),MONTH(tblTransactions[[#This Row],[date]]),1)</f>
        <v>45689</v>
      </c>
      <c r="N180" t="str">
        <f>IF(WEEKDAY(tblTransactions[[#This Row],[date]],2)&gt;5,"Weekend","Weekday")</f>
        <v>Weekend</v>
      </c>
      <c r="O18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0" s="13" t="str">
        <f>_xlfn.XLOOKUP(tblTransactions[[#This Row],[tenant_id]],tblTenants[tenant_id],tblTenants[zone],"NOT FOUND")</f>
        <v>Fashion Avenue</v>
      </c>
      <c r="Q180" s="13" t="str">
        <f>_xlfn.XLOOKUP(tblTransactions[[#This Row],[tenant_id]],tblTenants[tenant_id],tblTenants[category],"NOT FOUND")</f>
        <v>Footwear</v>
      </c>
    </row>
    <row r="181" spans="1:17">
      <c r="A181" t="s">
        <v>225</v>
      </c>
      <c r="B181" s="2">
        <v>45666</v>
      </c>
      <c r="C181">
        <v>12</v>
      </c>
      <c r="D181" t="s">
        <v>48</v>
      </c>
      <c r="E181" t="s">
        <v>51</v>
      </c>
      <c r="F181" s="7">
        <v>1522.68</v>
      </c>
      <c r="G181" s="10">
        <v>0</v>
      </c>
      <c r="H181" s="7">
        <v>1522.68</v>
      </c>
      <c r="I181">
        <v>3</v>
      </c>
      <c r="J181" t="s">
        <v>13</v>
      </c>
      <c r="K181" s="13">
        <f>ROUND(tblTransactions[[#This Row],[gross_sales_inr]]*(1-tblTransactions[[#This Row],[discount_pct]]),2)</f>
        <v>1522.68</v>
      </c>
      <c r="L181" t="str">
        <f>IF(ABS(tblTransactions[[#This Row],[net_sales_inr]]-tblTransactions[[#This Row],[Recalc_Net_Sales]])&lt;0.02,"OK","CHECK")</f>
        <v>OK</v>
      </c>
      <c r="M181" s="14">
        <f>DATE(YEAR(tblTransactions[[#This Row],[date]]),MONTH(tblTransactions[[#This Row],[date]]),1)</f>
        <v>45658</v>
      </c>
      <c r="N181" t="str">
        <f>IF(WEEKDAY(tblTransactions[[#This Row],[date]],2)&gt;5,"Weekend","Weekday")</f>
        <v>Weekday</v>
      </c>
      <c r="O181" s="13" t="str">
        <f>IF(tblTransactions[[#This Row],[discount_pct]]=0,"0%",IF(tblTransactions[[#This Row],[discount_pct]]&lt;=10%,"1–
10%",IF(tblTransactions[[#This Row],[discount_pct]]&lt;=20%,"11–20%","&gt;20%")))</f>
        <v>0%</v>
      </c>
      <c r="P181" s="13" t="str">
        <f>_xlfn.XLOOKUP(tblTransactions[[#This Row],[tenant_id]],tblTenants[tenant_id],tblTenants[zone],"NOT FOUND")</f>
        <v>Beauty &amp; Wellness</v>
      </c>
      <c r="Q181" s="13" t="str">
        <f>_xlfn.XLOOKUP(tblTransactions[[#This Row],[tenant_id]],tblTenants[tenant_id],tblTenants[category],"NOT FOUND")</f>
        <v>Wellness</v>
      </c>
    </row>
    <row r="182" spans="1:17">
      <c r="A182" t="s">
        <v>226</v>
      </c>
      <c r="B182" s="2">
        <v>45668</v>
      </c>
      <c r="C182">
        <v>15</v>
      </c>
      <c r="D182" t="s">
        <v>15</v>
      </c>
      <c r="E182" t="s">
        <v>51</v>
      </c>
      <c r="F182" s="7">
        <v>493.15</v>
      </c>
      <c r="G182" s="10">
        <v>0.1</v>
      </c>
      <c r="H182" s="7">
        <v>443.83</v>
      </c>
      <c r="I182">
        <v>1</v>
      </c>
      <c r="J182" t="s">
        <v>16</v>
      </c>
      <c r="K182" s="13">
        <f>ROUND(tblTransactions[[#This Row],[gross_sales_inr]]*(1-tblTransactions[[#This Row],[discount_pct]]),2)</f>
        <v>443.84</v>
      </c>
      <c r="L182" t="str">
        <f>IF(ABS(tblTransactions[[#This Row],[net_sales_inr]]-tblTransactions[[#This Row],[Recalc_Net_Sales]])&lt;0.02,"OK","CHECK")</f>
        <v>OK</v>
      </c>
      <c r="M182" s="14">
        <f>DATE(YEAR(tblTransactions[[#This Row],[date]]),MONTH(tblTransactions[[#This Row],[date]]),1)</f>
        <v>45658</v>
      </c>
      <c r="N182" t="str">
        <f>IF(WEEKDAY(tblTransactions[[#This Row],[date]],2)&gt;5,"Weekend","Weekday")</f>
        <v>Weekend</v>
      </c>
      <c r="O18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2" s="13" t="str">
        <f>_xlfn.XLOOKUP(tblTransactions[[#This Row],[tenant_id]],tblTenants[tenant_id],tblTenants[zone],"NOT FOUND")</f>
        <v>Fashion Avenue</v>
      </c>
      <c r="Q182" s="13" t="str">
        <f>_xlfn.XLOOKUP(tblTransactions[[#This Row],[tenant_id]],tblTenants[tenant_id],tblTenants[category],"NOT FOUND")</f>
        <v>Accessories</v>
      </c>
    </row>
    <row r="183" spans="1:17">
      <c r="A183" t="s">
        <v>227</v>
      </c>
      <c r="B183" s="2">
        <v>45691</v>
      </c>
      <c r="C183">
        <v>19</v>
      </c>
      <c r="D183" t="s">
        <v>55</v>
      </c>
      <c r="E183" t="s">
        <v>32</v>
      </c>
      <c r="F183" s="7">
        <v>900.73</v>
      </c>
      <c r="G183" s="10">
        <v>0.05</v>
      </c>
      <c r="H183" s="7">
        <v>855.69</v>
      </c>
      <c r="I183">
        <v>1</v>
      </c>
      <c r="J183" t="s">
        <v>13</v>
      </c>
      <c r="K183" s="13">
        <f>ROUND(tblTransactions[[#This Row],[gross_sales_inr]]*(1-tblTransactions[[#This Row],[discount_pct]]),2)</f>
        <v>855.69</v>
      </c>
      <c r="L183" t="str">
        <f>IF(ABS(tblTransactions[[#This Row],[net_sales_inr]]-tblTransactions[[#This Row],[Recalc_Net_Sales]])&lt;0.02,"OK","CHECK")</f>
        <v>OK</v>
      </c>
      <c r="M183" s="14">
        <f>DATE(YEAR(tblTransactions[[#This Row],[date]]),MONTH(tblTransactions[[#This Row],[date]]),1)</f>
        <v>45689</v>
      </c>
      <c r="N183" t="str">
        <f>IF(WEEKDAY(tblTransactions[[#This Row],[date]],2)&gt;5,"Weekend","Weekday")</f>
        <v>Weekday</v>
      </c>
      <c r="O18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3" s="13" t="str">
        <f>_xlfn.XLOOKUP(tblTransactions[[#This Row],[tenant_id]],tblTenants[tenant_id],tblTenants[zone],"NOT FOUND")</f>
        <v>Food Court</v>
      </c>
      <c r="Q183" s="13" t="str">
        <f>_xlfn.XLOOKUP(tblTransactions[[#This Row],[tenant_id]],tblTenants[tenant_id],tblTenants[category],"NOT FOUND")</f>
        <v>Quick Service</v>
      </c>
    </row>
    <row r="184" spans="1:17">
      <c r="A184" t="s">
        <v>228</v>
      </c>
      <c r="B184" s="2">
        <v>45804</v>
      </c>
      <c r="C184">
        <v>21</v>
      </c>
      <c r="D184" t="s">
        <v>36</v>
      </c>
      <c r="E184" t="s">
        <v>12</v>
      </c>
      <c r="F184" s="7">
        <v>740.42</v>
      </c>
      <c r="G184" s="10">
        <v>0</v>
      </c>
      <c r="H184" s="7">
        <v>740.42</v>
      </c>
      <c r="I184">
        <v>2</v>
      </c>
      <c r="J184" t="s">
        <v>16</v>
      </c>
      <c r="K184" s="13">
        <f>ROUND(tblTransactions[[#This Row],[gross_sales_inr]]*(1-tblTransactions[[#This Row],[discount_pct]]),2)</f>
        <v>740.42</v>
      </c>
      <c r="L184" t="str">
        <f>IF(ABS(tblTransactions[[#This Row],[net_sales_inr]]-tblTransactions[[#This Row],[Recalc_Net_Sales]])&lt;0.02,"OK","CHECK")</f>
        <v>OK</v>
      </c>
      <c r="M184" s="14">
        <f>DATE(YEAR(tblTransactions[[#This Row],[date]]),MONTH(tblTransactions[[#This Row],[date]]),1)</f>
        <v>45778</v>
      </c>
      <c r="N184" t="str">
        <f>IF(WEEKDAY(tblTransactions[[#This Row],[date]],2)&gt;5,"Weekend","Weekday")</f>
        <v>Weekday</v>
      </c>
      <c r="O184" s="13" t="str">
        <f>IF(tblTransactions[[#This Row],[discount_pct]]=0,"0%",IF(tblTransactions[[#This Row],[discount_pct]]&lt;=10%,"1–
10%",IF(tblTransactions[[#This Row],[discount_pct]]&lt;=20%,"11–20%","&gt;20%")))</f>
        <v>0%</v>
      </c>
      <c r="P184" s="13" t="str">
        <f>_xlfn.XLOOKUP(tblTransactions[[#This Row],[tenant_id]],tblTenants[tenant_id],tblTenants[zone],"NOT FOUND")</f>
        <v>Home &amp; Living</v>
      </c>
      <c r="Q184" s="13" t="str">
        <f>_xlfn.XLOOKUP(tblTransactions[[#This Row],[tenant_id]],tblTenants[tenant_id],tblTenants[category],"NOT FOUND")</f>
        <v>Electronics</v>
      </c>
    </row>
    <row r="185" spans="1:17">
      <c r="A185" t="s">
        <v>229</v>
      </c>
      <c r="B185" s="2">
        <v>45717</v>
      </c>
      <c r="C185">
        <v>12</v>
      </c>
      <c r="D185" t="s">
        <v>15</v>
      </c>
      <c r="E185" t="s">
        <v>32</v>
      </c>
      <c r="F185" s="7">
        <v>609.54</v>
      </c>
      <c r="G185" s="10">
        <v>0</v>
      </c>
      <c r="H185" s="7">
        <v>609.54</v>
      </c>
      <c r="I185">
        <v>5</v>
      </c>
      <c r="J185" t="s">
        <v>13</v>
      </c>
      <c r="K185" s="13">
        <f>ROUND(tblTransactions[[#This Row],[gross_sales_inr]]*(1-tblTransactions[[#This Row],[discount_pct]]),2)</f>
        <v>609.54</v>
      </c>
      <c r="L185" t="str">
        <f>IF(ABS(tblTransactions[[#This Row],[net_sales_inr]]-tblTransactions[[#This Row],[Recalc_Net_Sales]])&lt;0.02,"OK","CHECK")</f>
        <v>OK</v>
      </c>
      <c r="M185" s="14">
        <f>DATE(YEAR(tblTransactions[[#This Row],[date]]),MONTH(tblTransactions[[#This Row],[date]]),1)</f>
        <v>45717</v>
      </c>
      <c r="N185" t="str">
        <f>IF(WEEKDAY(tblTransactions[[#This Row],[date]],2)&gt;5,"Weekend","Weekday")</f>
        <v>Weekend</v>
      </c>
      <c r="O185" s="13" t="str">
        <f>IF(tblTransactions[[#This Row],[discount_pct]]=0,"0%",IF(tblTransactions[[#This Row],[discount_pct]]&lt;=10%,"1–
10%",IF(tblTransactions[[#This Row],[discount_pct]]&lt;=20%,"11–20%","&gt;20%")))</f>
        <v>0%</v>
      </c>
      <c r="P185" s="13" t="str">
        <f>_xlfn.XLOOKUP(tblTransactions[[#This Row],[tenant_id]],tblTenants[tenant_id],tblTenants[zone],"NOT FOUND")</f>
        <v>Fashion Avenue</v>
      </c>
      <c r="Q185" s="13" t="str">
        <f>_xlfn.XLOOKUP(tblTransactions[[#This Row],[tenant_id]],tblTenants[tenant_id],tblTenants[category],"NOT FOUND")</f>
        <v>Accessories</v>
      </c>
    </row>
    <row r="186" spans="1:17">
      <c r="A186" t="s">
        <v>230</v>
      </c>
      <c r="B186" s="2">
        <v>45700</v>
      </c>
      <c r="C186">
        <v>13</v>
      </c>
      <c r="D186" t="s">
        <v>72</v>
      </c>
      <c r="E186" t="s">
        <v>32</v>
      </c>
      <c r="F186" s="7">
        <v>609.9</v>
      </c>
      <c r="G186" s="10">
        <v>0</v>
      </c>
      <c r="H186" s="7">
        <v>609.9</v>
      </c>
      <c r="I186">
        <v>4</v>
      </c>
      <c r="J186" t="s">
        <v>16</v>
      </c>
      <c r="K186" s="13">
        <f>ROUND(tblTransactions[[#This Row],[gross_sales_inr]]*(1-tblTransactions[[#This Row],[discount_pct]]),2)</f>
        <v>609.9</v>
      </c>
      <c r="L186" t="str">
        <f>IF(ABS(tblTransactions[[#This Row],[net_sales_inr]]-tblTransactions[[#This Row],[Recalc_Net_Sales]])&lt;0.02,"OK","CHECK")</f>
        <v>OK</v>
      </c>
      <c r="M186" s="14">
        <f>DATE(YEAR(tblTransactions[[#This Row],[date]]),MONTH(tblTransactions[[#This Row],[date]]),1)</f>
        <v>45689</v>
      </c>
      <c r="N186" t="str">
        <f>IF(WEEKDAY(tblTransactions[[#This Row],[date]],2)&gt;5,"Weekend","Weekday")</f>
        <v>Weekday</v>
      </c>
      <c r="O186" s="13" t="str">
        <f>IF(tblTransactions[[#This Row],[discount_pct]]=0,"0%",IF(tblTransactions[[#This Row],[discount_pct]]&lt;=10%,"1–
10%",IF(tblTransactions[[#This Row],[discount_pct]]&lt;=20%,"11–20%","&gt;20%")))</f>
        <v>0%</v>
      </c>
      <c r="P186" s="13" t="str">
        <f>_xlfn.XLOOKUP(tblTransactions[[#This Row],[tenant_id]],tblTenants[tenant_id],tblTenants[zone],"NOT FOUND")</f>
        <v>Entertainment</v>
      </c>
      <c r="Q186" s="13" t="str">
        <f>_xlfn.XLOOKUP(tblTransactions[[#This Row],[tenant_id]],tblTenants[tenant_id],tblTenants[category],"NOT FOUND")</f>
        <v>Arcade</v>
      </c>
    </row>
    <row r="187" spans="1:17">
      <c r="A187" t="s">
        <v>231</v>
      </c>
      <c r="B187" s="2">
        <v>45787</v>
      </c>
      <c r="C187">
        <v>20</v>
      </c>
      <c r="D187" t="s">
        <v>23</v>
      </c>
      <c r="E187" t="s">
        <v>12</v>
      </c>
      <c r="F187" s="7">
        <v>1099.58</v>
      </c>
      <c r="G187" s="10">
        <v>0</v>
      </c>
      <c r="H187" s="7">
        <v>1099.58</v>
      </c>
      <c r="I187">
        <v>6</v>
      </c>
      <c r="J187" t="s">
        <v>16</v>
      </c>
      <c r="K187" s="13">
        <f>ROUND(tblTransactions[[#This Row],[gross_sales_inr]]*(1-tblTransactions[[#This Row],[discount_pct]]),2)</f>
        <v>1099.58</v>
      </c>
      <c r="L187" t="str">
        <f>IF(ABS(tblTransactions[[#This Row],[net_sales_inr]]-tblTransactions[[#This Row],[Recalc_Net_Sales]])&lt;0.02,"OK","CHECK")</f>
        <v>OK</v>
      </c>
      <c r="M187" s="14">
        <f>DATE(YEAR(tblTransactions[[#This Row],[date]]),MONTH(tblTransactions[[#This Row],[date]]),1)</f>
        <v>45778</v>
      </c>
      <c r="N187" t="str">
        <f>IF(WEEKDAY(tblTransactions[[#This Row],[date]],2)&gt;5,"Weekend","Weekday")</f>
        <v>Weekend</v>
      </c>
      <c r="O187" s="13" t="str">
        <f>IF(tblTransactions[[#This Row],[discount_pct]]=0,"0%",IF(tblTransactions[[#This Row],[discount_pct]]&lt;=10%,"1–
10%",IF(tblTransactions[[#This Row],[discount_pct]]&lt;=20%,"11–20%","&gt;20%")))</f>
        <v>0%</v>
      </c>
      <c r="P187" s="13" t="str">
        <f>_xlfn.XLOOKUP(tblTransactions[[#This Row],[tenant_id]],tblTenants[tenant_id],tblTenants[zone],"NOT FOUND")</f>
        <v>Entertainment</v>
      </c>
      <c r="Q187" s="13" t="str">
        <f>_xlfn.XLOOKUP(tblTransactions[[#This Row],[tenant_id]],tblTenants[tenant_id],tblTenants[category],"NOT FOUND")</f>
        <v>Cinema</v>
      </c>
    </row>
    <row r="188" spans="1:17">
      <c r="A188" t="s">
        <v>232</v>
      </c>
      <c r="B188" s="2">
        <v>45706</v>
      </c>
      <c r="C188">
        <v>10</v>
      </c>
      <c r="D188" t="s">
        <v>18</v>
      </c>
      <c r="E188" t="s">
        <v>21</v>
      </c>
      <c r="F188" s="7">
        <v>1080.3499999999999</v>
      </c>
      <c r="G188" s="10">
        <v>0.15</v>
      </c>
      <c r="H188" s="7">
        <v>918.3</v>
      </c>
      <c r="I188">
        <v>1</v>
      </c>
      <c r="J188" t="s">
        <v>16</v>
      </c>
      <c r="K188" s="13">
        <f>ROUND(tblTransactions[[#This Row],[gross_sales_inr]]*(1-tblTransactions[[#This Row],[discount_pct]]),2)</f>
        <v>918.3</v>
      </c>
      <c r="L188" t="str">
        <f>IF(ABS(tblTransactions[[#This Row],[net_sales_inr]]-tblTransactions[[#This Row],[Recalc_Net_Sales]])&lt;0.02,"OK","CHECK")</f>
        <v>OK</v>
      </c>
      <c r="M188" s="14">
        <f>DATE(YEAR(tblTransactions[[#This Row],[date]]),MONTH(tblTransactions[[#This Row],[date]]),1)</f>
        <v>45689</v>
      </c>
      <c r="N188" t="str">
        <f>IF(WEEKDAY(tblTransactions[[#This Row],[date]],2)&gt;5,"Weekend","Weekday")</f>
        <v>Weekday</v>
      </c>
      <c r="O18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8" s="13" t="str">
        <f>_xlfn.XLOOKUP(tblTransactions[[#This Row],[tenant_id]],tblTenants[tenant_id],tblTenants[zone],"NOT FOUND")</f>
        <v>Beauty &amp; Wellness</v>
      </c>
      <c r="Q188" s="13" t="str">
        <f>_xlfn.XLOOKUP(tblTransactions[[#This Row],[tenant_id]],tblTenants[tenant_id],tblTenants[category],"NOT FOUND")</f>
        <v>Beauty</v>
      </c>
    </row>
    <row r="189" spans="1:17">
      <c r="A189" t="s">
        <v>233</v>
      </c>
      <c r="B189" s="2">
        <v>45786</v>
      </c>
      <c r="C189">
        <v>17</v>
      </c>
      <c r="D189" t="s">
        <v>48</v>
      </c>
      <c r="E189" t="s">
        <v>12</v>
      </c>
      <c r="F189" s="7">
        <v>416.45</v>
      </c>
      <c r="G189" s="10">
        <v>0</v>
      </c>
      <c r="H189" s="7">
        <v>416.45</v>
      </c>
      <c r="I189">
        <v>2</v>
      </c>
      <c r="J189" t="s">
        <v>16</v>
      </c>
      <c r="K189" s="13">
        <f>ROUND(tblTransactions[[#This Row],[gross_sales_inr]]*(1-tblTransactions[[#This Row],[discount_pct]]),2)</f>
        <v>416.45</v>
      </c>
      <c r="L189" t="str">
        <f>IF(ABS(tblTransactions[[#This Row],[net_sales_inr]]-tblTransactions[[#This Row],[Recalc_Net_Sales]])&lt;0.02,"OK","CHECK")</f>
        <v>OK</v>
      </c>
      <c r="M189" s="14">
        <f>DATE(YEAR(tblTransactions[[#This Row],[date]]),MONTH(tblTransactions[[#This Row],[date]]),1)</f>
        <v>45778</v>
      </c>
      <c r="N189" t="str">
        <f>IF(WEEKDAY(tblTransactions[[#This Row],[date]],2)&gt;5,"Weekend","Weekday")</f>
        <v>Weekday</v>
      </c>
      <c r="O189" s="13" t="str">
        <f>IF(tblTransactions[[#This Row],[discount_pct]]=0,"0%",IF(tblTransactions[[#This Row],[discount_pct]]&lt;=10%,"1–
10%",IF(tblTransactions[[#This Row],[discount_pct]]&lt;=20%,"11–20%","&gt;20%")))</f>
        <v>0%</v>
      </c>
      <c r="P189" s="13" t="str">
        <f>_xlfn.XLOOKUP(tblTransactions[[#This Row],[tenant_id]],tblTenants[tenant_id],tblTenants[zone],"NOT FOUND")</f>
        <v>Beauty &amp; Wellness</v>
      </c>
      <c r="Q189" s="13" t="str">
        <f>_xlfn.XLOOKUP(tblTransactions[[#This Row],[tenant_id]],tblTenants[tenant_id],tblTenants[category],"NOT FOUND")</f>
        <v>Wellness</v>
      </c>
    </row>
    <row r="190" spans="1:17">
      <c r="A190" t="s">
        <v>234</v>
      </c>
      <c r="B190" s="2">
        <v>45811</v>
      </c>
      <c r="C190">
        <v>20</v>
      </c>
      <c r="D190" t="s">
        <v>61</v>
      </c>
      <c r="E190" t="s">
        <v>51</v>
      </c>
      <c r="F190" s="7">
        <v>695.04</v>
      </c>
      <c r="G190" s="10">
        <v>0</v>
      </c>
      <c r="H190" s="7">
        <v>695.04</v>
      </c>
      <c r="I190">
        <v>1</v>
      </c>
      <c r="J190" t="s">
        <v>13</v>
      </c>
      <c r="K190" s="13">
        <f>ROUND(tblTransactions[[#This Row],[gross_sales_inr]]*(1-tblTransactions[[#This Row],[discount_pct]]),2)</f>
        <v>695.04</v>
      </c>
      <c r="L190" t="str">
        <f>IF(ABS(tblTransactions[[#This Row],[net_sales_inr]]-tblTransactions[[#This Row],[Recalc_Net_Sales]])&lt;0.02,"OK","CHECK")</f>
        <v>OK</v>
      </c>
      <c r="M190" s="14">
        <f>DATE(YEAR(tblTransactions[[#This Row],[date]]),MONTH(tblTransactions[[#This Row],[date]]),1)</f>
        <v>45809</v>
      </c>
      <c r="N190" t="str">
        <f>IF(WEEKDAY(tblTransactions[[#This Row],[date]],2)&gt;5,"Weekend","Weekday")</f>
        <v>Weekday</v>
      </c>
      <c r="O190" s="13" t="str">
        <f>IF(tblTransactions[[#This Row],[discount_pct]]=0,"0%",IF(tblTransactions[[#This Row],[discount_pct]]&lt;=10%,"1–
10%",IF(tblTransactions[[#This Row],[discount_pct]]&lt;=20%,"11–20%","&gt;20%")))</f>
        <v>0%</v>
      </c>
      <c r="P190" s="13" t="str">
        <f>_xlfn.XLOOKUP(tblTransactions[[#This Row],[tenant_id]],tblTenants[tenant_id],tblTenants[zone],"NOT FOUND")</f>
        <v>Food Court</v>
      </c>
      <c r="Q190" s="13" t="str">
        <f>_xlfn.XLOOKUP(tblTransactions[[#This Row],[tenant_id]],tblTenants[tenant_id],tblTenants[category],"NOT FOUND")</f>
        <v>Quick Service</v>
      </c>
    </row>
    <row r="191" spans="1:17">
      <c r="A191" t="s">
        <v>235</v>
      </c>
      <c r="B191" s="2">
        <v>45834</v>
      </c>
      <c r="C191">
        <v>17</v>
      </c>
      <c r="D191" t="s">
        <v>23</v>
      </c>
      <c r="E191" t="s">
        <v>12</v>
      </c>
      <c r="F191" s="7">
        <v>612.6</v>
      </c>
      <c r="G191" s="10">
        <v>0</v>
      </c>
      <c r="H191" s="7">
        <v>612.6</v>
      </c>
      <c r="I191">
        <v>1</v>
      </c>
      <c r="J191" t="s">
        <v>13</v>
      </c>
      <c r="K191" s="13">
        <f>ROUND(tblTransactions[[#This Row],[gross_sales_inr]]*(1-tblTransactions[[#This Row],[discount_pct]]),2)</f>
        <v>612.6</v>
      </c>
      <c r="L191" t="str">
        <f>IF(ABS(tblTransactions[[#This Row],[net_sales_inr]]-tblTransactions[[#This Row],[Recalc_Net_Sales]])&lt;0.02,"OK","CHECK")</f>
        <v>OK</v>
      </c>
      <c r="M191" s="14">
        <f>DATE(YEAR(tblTransactions[[#This Row],[date]]),MONTH(tblTransactions[[#This Row],[date]]),1)</f>
        <v>45809</v>
      </c>
      <c r="N191" t="str">
        <f>IF(WEEKDAY(tblTransactions[[#This Row],[date]],2)&gt;5,"Weekend","Weekday")</f>
        <v>Weekday</v>
      </c>
      <c r="O191" s="13" t="str">
        <f>IF(tblTransactions[[#This Row],[discount_pct]]=0,"0%",IF(tblTransactions[[#This Row],[discount_pct]]&lt;=10%,"1–
10%",IF(tblTransactions[[#This Row],[discount_pct]]&lt;=20%,"11–20%","&gt;20%")))</f>
        <v>0%</v>
      </c>
      <c r="P191" s="13" t="str">
        <f>_xlfn.XLOOKUP(tblTransactions[[#This Row],[tenant_id]],tblTenants[tenant_id],tblTenants[zone],"NOT FOUND")</f>
        <v>Entertainment</v>
      </c>
      <c r="Q191" s="13" t="str">
        <f>_xlfn.XLOOKUP(tblTransactions[[#This Row],[tenant_id]],tblTenants[tenant_id],tblTenants[category],"NOT FOUND")</f>
        <v>Cinema</v>
      </c>
    </row>
    <row r="192" spans="1:17">
      <c r="A192" t="s">
        <v>236</v>
      </c>
      <c r="B192" s="2">
        <v>45711</v>
      </c>
      <c r="C192">
        <v>17</v>
      </c>
      <c r="D192" t="s">
        <v>53</v>
      </c>
      <c r="E192" t="s">
        <v>32</v>
      </c>
      <c r="F192" s="7">
        <v>715.72</v>
      </c>
      <c r="G192" s="10">
        <v>0.1</v>
      </c>
      <c r="H192" s="7">
        <v>644.15</v>
      </c>
      <c r="I192">
        <v>1</v>
      </c>
      <c r="J192" t="s">
        <v>13</v>
      </c>
      <c r="K192" s="13">
        <f>ROUND(tblTransactions[[#This Row],[gross_sales_inr]]*(1-tblTransactions[[#This Row],[discount_pct]]),2)</f>
        <v>644.15</v>
      </c>
      <c r="L192" t="str">
        <f>IF(ABS(tblTransactions[[#This Row],[net_sales_inr]]-tblTransactions[[#This Row],[Recalc_Net_Sales]])&lt;0.02,"OK","CHECK")</f>
        <v>OK</v>
      </c>
      <c r="M192" s="14">
        <f>DATE(YEAR(tblTransactions[[#This Row],[date]]),MONTH(tblTransactions[[#This Row],[date]]),1)</f>
        <v>45689</v>
      </c>
      <c r="N192" t="str">
        <f>IF(WEEKDAY(tblTransactions[[#This Row],[date]],2)&gt;5,"Weekend","Weekday")</f>
        <v>Weekend</v>
      </c>
      <c r="O19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2" s="13" t="str">
        <f>_xlfn.XLOOKUP(tblTransactions[[#This Row],[tenant_id]],tblTenants[tenant_id],tblTenants[zone],"NOT FOUND")</f>
        <v>Beauty &amp; Wellness</v>
      </c>
      <c r="Q192" s="13" t="str">
        <f>_xlfn.XLOOKUP(tblTransactions[[#This Row],[tenant_id]],tblTenants[tenant_id],tblTenants[category],"NOT FOUND")</f>
        <v>Beauty</v>
      </c>
    </row>
    <row r="193" spans="1:17">
      <c r="A193" t="s">
        <v>237</v>
      </c>
      <c r="B193" s="2">
        <v>45835</v>
      </c>
      <c r="C193">
        <v>14</v>
      </c>
      <c r="D193" t="s">
        <v>63</v>
      </c>
      <c r="E193" t="s">
        <v>51</v>
      </c>
      <c r="F193" s="7">
        <v>901.48</v>
      </c>
      <c r="G193" s="10">
        <v>0.05</v>
      </c>
      <c r="H193" s="7">
        <v>856.41</v>
      </c>
      <c r="I193">
        <v>1</v>
      </c>
      <c r="J193" t="s">
        <v>13</v>
      </c>
      <c r="K193" s="13">
        <f>ROUND(tblTransactions[[#This Row],[gross_sales_inr]]*(1-tblTransactions[[#This Row],[discount_pct]]),2)</f>
        <v>856.41</v>
      </c>
      <c r="L193" t="str">
        <f>IF(ABS(tblTransactions[[#This Row],[net_sales_inr]]-tblTransactions[[#This Row],[Recalc_Net_Sales]])&lt;0.02,"OK","CHECK")</f>
        <v>OK</v>
      </c>
      <c r="M193" s="14">
        <f>DATE(YEAR(tblTransactions[[#This Row],[date]]),MONTH(tblTransactions[[#This Row],[date]]),1)</f>
        <v>45809</v>
      </c>
      <c r="N193" t="str">
        <f>IF(WEEKDAY(tblTransactions[[#This Row],[date]],2)&gt;5,"Weekend","Weekday")</f>
        <v>Weekday</v>
      </c>
      <c r="O19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3" s="13" t="str">
        <f>_xlfn.XLOOKUP(tblTransactions[[#This Row],[tenant_id]],tblTenants[tenant_id],tblTenants[zone],"NOT FOUND")</f>
        <v>Entertainment</v>
      </c>
      <c r="Q193" s="13" t="str">
        <f>_xlfn.XLOOKUP(tblTransactions[[#This Row],[tenant_id]],tblTenants[tenant_id],tblTenants[category],"NOT FOUND")</f>
        <v>Family Entertainment</v>
      </c>
    </row>
    <row r="194" spans="1:17">
      <c r="A194" t="s">
        <v>238</v>
      </c>
      <c r="B194" s="2">
        <v>45806</v>
      </c>
      <c r="C194">
        <v>22</v>
      </c>
      <c r="D194" t="s">
        <v>98</v>
      </c>
      <c r="E194" t="s">
        <v>21</v>
      </c>
      <c r="F194" s="7">
        <v>1099.74</v>
      </c>
      <c r="G194" s="10">
        <v>0</v>
      </c>
      <c r="H194" s="7">
        <v>1099.74</v>
      </c>
      <c r="I194">
        <v>1</v>
      </c>
      <c r="J194" t="s">
        <v>16</v>
      </c>
      <c r="K194" s="13">
        <f>ROUND(tblTransactions[[#This Row],[gross_sales_inr]]*(1-tblTransactions[[#This Row],[discount_pct]]),2)</f>
        <v>1099.74</v>
      </c>
      <c r="L194" t="str">
        <f>IF(ABS(tblTransactions[[#This Row],[net_sales_inr]]-tblTransactions[[#This Row],[Recalc_Net_Sales]])&lt;0.02,"OK","CHECK")</f>
        <v>OK</v>
      </c>
      <c r="M194" s="14">
        <f>DATE(YEAR(tblTransactions[[#This Row],[date]]),MONTH(tblTransactions[[#This Row],[date]]),1)</f>
        <v>45778</v>
      </c>
      <c r="N194" t="str">
        <f>IF(WEEKDAY(tblTransactions[[#This Row],[date]],2)&gt;5,"Weekend","Weekday")</f>
        <v>Weekday</v>
      </c>
      <c r="O194" s="13" t="str">
        <f>IF(tblTransactions[[#This Row],[discount_pct]]=0,"0%",IF(tblTransactions[[#This Row],[discount_pct]]&lt;=10%,"1–
10%",IF(tblTransactions[[#This Row],[discount_pct]]&lt;=20%,"11–20%","&gt;20%")))</f>
        <v>0%</v>
      </c>
      <c r="P194" s="13" t="str">
        <f>_xlfn.XLOOKUP(tblTransactions[[#This Row],[tenant_id]],tblTenants[tenant_id],tblTenants[zone],"NOT FOUND")</f>
        <v>Fashion Avenue</v>
      </c>
      <c r="Q194" s="13" t="str">
        <f>_xlfn.XLOOKUP(tblTransactions[[#This Row],[tenant_id]],tblTenants[tenant_id],tblTenants[category],"NOT FOUND")</f>
        <v>Accessories</v>
      </c>
    </row>
    <row r="195" spans="1:17">
      <c r="A195" t="s">
        <v>239</v>
      </c>
      <c r="B195" s="2">
        <v>45788</v>
      </c>
      <c r="C195">
        <v>12</v>
      </c>
      <c r="D195" t="s">
        <v>36</v>
      </c>
      <c r="E195" t="s">
        <v>32</v>
      </c>
      <c r="F195" s="7">
        <v>992.67</v>
      </c>
      <c r="G195" s="10">
        <v>0.1</v>
      </c>
      <c r="H195" s="7">
        <v>893.4</v>
      </c>
      <c r="I195">
        <v>3</v>
      </c>
      <c r="J195" t="s">
        <v>13</v>
      </c>
      <c r="K195" s="13">
        <f>ROUND(tblTransactions[[#This Row],[gross_sales_inr]]*(1-tblTransactions[[#This Row],[discount_pct]]),2)</f>
        <v>893.4</v>
      </c>
      <c r="L195" t="str">
        <f>IF(ABS(tblTransactions[[#This Row],[net_sales_inr]]-tblTransactions[[#This Row],[Recalc_Net_Sales]])&lt;0.02,"OK","CHECK")</f>
        <v>OK</v>
      </c>
      <c r="M195" s="14">
        <f>DATE(YEAR(tblTransactions[[#This Row],[date]]),MONTH(tblTransactions[[#This Row],[date]]),1)</f>
        <v>45778</v>
      </c>
      <c r="N195" t="str">
        <f>IF(WEEKDAY(tblTransactions[[#This Row],[date]],2)&gt;5,"Weekend","Weekday")</f>
        <v>Weekend</v>
      </c>
      <c r="O19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5" s="13" t="str">
        <f>_xlfn.XLOOKUP(tblTransactions[[#This Row],[tenant_id]],tblTenants[tenant_id],tblTenants[zone],"NOT FOUND")</f>
        <v>Home &amp; Living</v>
      </c>
      <c r="Q195" s="13" t="str">
        <f>_xlfn.XLOOKUP(tblTransactions[[#This Row],[tenant_id]],tblTenants[tenant_id],tblTenants[category],"NOT FOUND")</f>
        <v>Electronics</v>
      </c>
    </row>
    <row r="196" spans="1:17">
      <c r="A196" t="s">
        <v>240</v>
      </c>
      <c r="B196" s="2">
        <v>45704</v>
      </c>
      <c r="C196">
        <v>17</v>
      </c>
      <c r="D196" t="s">
        <v>57</v>
      </c>
      <c r="E196" t="s">
        <v>32</v>
      </c>
      <c r="F196" s="7">
        <v>1563.95</v>
      </c>
      <c r="G196" s="10">
        <v>0</v>
      </c>
      <c r="H196" s="7">
        <v>1563.95</v>
      </c>
      <c r="I196">
        <v>5</v>
      </c>
      <c r="J196" t="s">
        <v>13</v>
      </c>
      <c r="K196" s="13">
        <f>ROUND(tblTransactions[[#This Row],[gross_sales_inr]]*(1-tblTransactions[[#This Row],[discount_pct]]),2)</f>
        <v>1563.95</v>
      </c>
      <c r="L196" t="str">
        <f>IF(ABS(tblTransactions[[#This Row],[net_sales_inr]]-tblTransactions[[#This Row],[Recalc_Net_Sales]])&lt;0.02,"OK","CHECK")</f>
        <v>OK</v>
      </c>
      <c r="M196" s="14">
        <f>DATE(YEAR(tblTransactions[[#This Row],[date]]),MONTH(tblTransactions[[#This Row],[date]]),1)</f>
        <v>45689</v>
      </c>
      <c r="N196" t="str">
        <f>IF(WEEKDAY(tblTransactions[[#This Row],[date]],2)&gt;5,"Weekend","Weekday")</f>
        <v>Weekend</v>
      </c>
      <c r="O196" s="13" t="str">
        <f>IF(tblTransactions[[#This Row],[discount_pct]]=0,"0%",IF(tblTransactions[[#This Row],[discount_pct]]&lt;=10%,"1–
10%",IF(tblTransactions[[#This Row],[discount_pct]]&lt;=20%,"11–20%","&gt;20%")))</f>
        <v>0%</v>
      </c>
      <c r="P196" s="13" t="str">
        <f>_xlfn.XLOOKUP(tblTransactions[[#This Row],[tenant_id]],tblTenants[tenant_id],tblTenants[zone],"NOT FOUND")</f>
        <v>Food Court</v>
      </c>
      <c r="Q196" s="13" t="str">
        <f>_xlfn.XLOOKUP(tblTransactions[[#This Row],[tenant_id]],tblTenants[tenant_id],tblTenants[category],"NOT FOUND")</f>
        <v>Casual Dining</v>
      </c>
    </row>
    <row r="197" spans="1:17">
      <c r="A197" t="s">
        <v>241</v>
      </c>
      <c r="B197" s="2">
        <v>45825</v>
      </c>
      <c r="C197">
        <v>18</v>
      </c>
      <c r="D197" t="s">
        <v>63</v>
      </c>
      <c r="E197" t="s">
        <v>12</v>
      </c>
      <c r="F197" s="7">
        <v>1457.49</v>
      </c>
      <c r="G197" s="10">
        <v>0</v>
      </c>
      <c r="H197" s="7">
        <v>1457.49</v>
      </c>
      <c r="I197">
        <v>1</v>
      </c>
      <c r="J197" t="s">
        <v>16</v>
      </c>
      <c r="K197" s="13">
        <f>ROUND(tblTransactions[[#This Row],[gross_sales_inr]]*(1-tblTransactions[[#This Row],[discount_pct]]),2)</f>
        <v>1457.49</v>
      </c>
      <c r="L197" t="str">
        <f>IF(ABS(tblTransactions[[#This Row],[net_sales_inr]]-tblTransactions[[#This Row],[Recalc_Net_Sales]])&lt;0.02,"OK","CHECK")</f>
        <v>OK</v>
      </c>
      <c r="M197" s="14">
        <f>DATE(YEAR(tblTransactions[[#This Row],[date]]),MONTH(tblTransactions[[#This Row],[date]]),1)</f>
        <v>45809</v>
      </c>
      <c r="N197" t="str">
        <f>IF(WEEKDAY(tblTransactions[[#This Row],[date]],2)&gt;5,"Weekend","Weekday")</f>
        <v>Weekday</v>
      </c>
      <c r="O197" s="13" t="str">
        <f>IF(tblTransactions[[#This Row],[discount_pct]]=0,"0%",IF(tblTransactions[[#This Row],[discount_pct]]&lt;=10%,"1–
10%",IF(tblTransactions[[#This Row],[discount_pct]]&lt;=20%,"11–20%","&gt;20%")))</f>
        <v>0%</v>
      </c>
      <c r="P197" s="13" t="str">
        <f>_xlfn.XLOOKUP(tblTransactions[[#This Row],[tenant_id]],tblTenants[tenant_id],tblTenants[zone],"NOT FOUND")</f>
        <v>Entertainment</v>
      </c>
      <c r="Q197" s="13" t="str">
        <f>_xlfn.XLOOKUP(tblTransactions[[#This Row],[tenant_id]],tblTenants[tenant_id],tblTenants[category],"NOT FOUND")</f>
        <v>Family Entertainment</v>
      </c>
    </row>
    <row r="198" spans="1:17">
      <c r="A198" t="s">
        <v>242</v>
      </c>
      <c r="B198" s="2">
        <v>45834</v>
      </c>
      <c r="C198">
        <v>22</v>
      </c>
      <c r="D198" t="s">
        <v>23</v>
      </c>
      <c r="E198" t="s">
        <v>32</v>
      </c>
      <c r="F198" s="7">
        <v>2148.9899999999998</v>
      </c>
      <c r="G198" s="10">
        <v>0.1</v>
      </c>
      <c r="H198" s="7">
        <v>1934.09</v>
      </c>
      <c r="I198">
        <v>1</v>
      </c>
      <c r="J198" t="s">
        <v>13</v>
      </c>
      <c r="K198" s="13">
        <f>ROUND(tblTransactions[[#This Row],[gross_sales_inr]]*(1-tblTransactions[[#This Row],[discount_pct]]),2)</f>
        <v>1934.09</v>
      </c>
      <c r="L198" t="str">
        <f>IF(ABS(tblTransactions[[#This Row],[net_sales_inr]]-tblTransactions[[#This Row],[Recalc_Net_Sales]])&lt;0.02,"OK","CHECK")</f>
        <v>OK</v>
      </c>
      <c r="M198" s="14">
        <f>DATE(YEAR(tblTransactions[[#This Row],[date]]),MONTH(tblTransactions[[#This Row],[date]]),1)</f>
        <v>45809</v>
      </c>
      <c r="N198" t="str">
        <f>IF(WEEKDAY(tblTransactions[[#This Row],[date]],2)&gt;5,"Weekend","Weekday")</f>
        <v>Weekday</v>
      </c>
      <c r="O19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8" s="13" t="str">
        <f>_xlfn.XLOOKUP(tblTransactions[[#This Row],[tenant_id]],tblTenants[tenant_id],tblTenants[zone],"NOT FOUND")</f>
        <v>Entertainment</v>
      </c>
      <c r="Q198" s="13" t="str">
        <f>_xlfn.XLOOKUP(tblTransactions[[#This Row],[tenant_id]],tblTenants[tenant_id],tblTenants[category],"NOT FOUND")</f>
        <v>Cinema</v>
      </c>
    </row>
    <row r="199" spans="1:17">
      <c r="A199" t="s">
        <v>243</v>
      </c>
      <c r="B199" s="2">
        <v>45800</v>
      </c>
      <c r="C199">
        <v>14</v>
      </c>
      <c r="D199" t="s">
        <v>31</v>
      </c>
      <c r="E199" t="s">
        <v>12</v>
      </c>
      <c r="F199" s="7">
        <v>814.12</v>
      </c>
      <c r="G199" s="10">
        <v>0</v>
      </c>
      <c r="H199" s="7">
        <v>814.12</v>
      </c>
      <c r="I199">
        <v>1</v>
      </c>
      <c r="J199" t="s">
        <v>13</v>
      </c>
      <c r="K199" s="13">
        <f>ROUND(tblTransactions[[#This Row],[gross_sales_inr]]*(1-tblTransactions[[#This Row],[discount_pct]]),2)</f>
        <v>814.12</v>
      </c>
      <c r="L199" t="str">
        <f>IF(ABS(tblTransactions[[#This Row],[net_sales_inr]]-tblTransactions[[#This Row],[Recalc_Net_Sales]])&lt;0.02,"OK","CHECK")</f>
        <v>OK</v>
      </c>
      <c r="M199" s="14">
        <f>DATE(YEAR(tblTransactions[[#This Row],[date]]),MONTH(tblTransactions[[#This Row],[date]]),1)</f>
        <v>45778</v>
      </c>
      <c r="N199" t="str">
        <f>IF(WEEKDAY(tblTransactions[[#This Row],[date]],2)&gt;5,"Weekend","Weekday")</f>
        <v>Weekday</v>
      </c>
      <c r="O199" s="13" t="str">
        <f>IF(tblTransactions[[#This Row],[discount_pct]]=0,"0%",IF(tblTransactions[[#This Row],[discount_pct]]&lt;=10%,"1–
10%",IF(tblTransactions[[#This Row],[discount_pct]]&lt;=20%,"11–20%","&gt;20%")))</f>
        <v>0%</v>
      </c>
      <c r="P199" s="13" t="str">
        <f>_xlfn.XLOOKUP(tblTransactions[[#This Row],[tenant_id]],tblTenants[tenant_id],tblTenants[zone],"NOT FOUND")</f>
        <v>Entertainment</v>
      </c>
      <c r="Q199" s="13" t="str">
        <f>_xlfn.XLOOKUP(tblTransactions[[#This Row],[tenant_id]],tblTenants[tenant_id],tblTenants[category],"NOT FOUND")</f>
        <v>Arcade</v>
      </c>
    </row>
    <row r="200" spans="1:17">
      <c r="A200" t="s">
        <v>244</v>
      </c>
      <c r="B200" s="2">
        <v>45664</v>
      </c>
      <c r="C200">
        <v>20</v>
      </c>
      <c r="D200" t="s">
        <v>63</v>
      </c>
      <c r="E200" t="s">
        <v>32</v>
      </c>
      <c r="F200" s="7">
        <v>2995.5</v>
      </c>
      <c r="G200" s="10">
        <v>0</v>
      </c>
      <c r="H200" s="7">
        <v>2995.5</v>
      </c>
      <c r="I200">
        <v>1</v>
      </c>
      <c r="J200" t="s">
        <v>13</v>
      </c>
      <c r="K200" s="13">
        <f>ROUND(tblTransactions[[#This Row],[gross_sales_inr]]*(1-tblTransactions[[#This Row],[discount_pct]]),2)</f>
        <v>2995.5</v>
      </c>
      <c r="L200" t="str">
        <f>IF(ABS(tblTransactions[[#This Row],[net_sales_inr]]-tblTransactions[[#This Row],[Recalc_Net_Sales]])&lt;0.02,"OK","CHECK")</f>
        <v>OK</v>
      </c>
      <c r="M200" s="14">
        <f>DATE(YEAR(tblTransactions[[#This Row],[date]]),MONTH(tblTransactions[[#This Row],[date]]),1)</f>
        <v>45658</v>
      </c>
      <c r="N200" t="str">
        <f>IF(WEEKDAY(tblTransactions[[#This Row],[date]],2)&gt;5,"Weekend","Weekday")</f>
        <v>Weekday</v>
      </c>
      <c r="O200" s="13" t="str">
        <f>IF(tblTransactions[[#This Row],[discount_pct]]=0,"0%",IF(tblTransactions[[#This Row],[discount_pct]]&lt;=10%,"1–
10%",IF(tblTransactions[[#This Row],[discount_pct]]&lt;=20%,"11–20%","&gt;20%")))</f>
        <v>0%</v>
      </c>
      <c r="P200" s="13" t="str">
        <f>_xlfn.XLOOKUP(tblTransactions[[#This Row],[tenant_id]],tblTenants[tenant_id],tblTenants[zone],"NOT FOUND")</f>
        <v>Entertainment</v>
      </c>
      <c r="Q200" s="13" t="str">
        <f>_xlfn.XLOOKUP(tblTransactions[[#This Row],[tenant_id]],tblTenants[tenant_id],tblTenants[category],"NOT FOUND")</f>
        <v>Family Entertainment</v>
      </c>
    </row>
    <row r="201" spans="1:17">
      <c r="A201" t="s">
        <v>245</v>
      </c>
      <c r="B201" s="2">
        <v>45803</v>
      </c>
      <c r="C201">
        <v>16</v>
      </c>
      <c r="D201" t="s">
        <v>59</v>
      </c>
      <c r="E201" t="s">
        <v>32</v>
      </c>
      <c r="F201" s="7">
        <v>569.79999999999995</v>
      </c>
      <c r="G201" s="10">
        <v>0</v>
      </c>
      <c r="H201" s="7">
        <v>569.79999999999995</v>
      </c>
      <c r="I201">
        <v>1</v>
      </c>
      <c r="J201" t="s">
        <v>16</v>
      </c>
      <c r="K201" s="13">
        <f>ROUND(tblTransactions[[#This Row],[gross_sales_inr]]*(1-tblTransactions[[#This Row],[discount_pct]]),2)</f>
        <v>569.79999999999995</v>
      </c>
      <c r="L201" t="str">
        <f>IF(ABS(tblTransactions[[#This Row],[net_sales_inr]]-tblTransactions[[#This Row],[Recalc_Net_Sales]])&lt;0.02,"OK","CHECK")</f>
        <v>OK</v>
      </c>
      <c r="M201" s="14">
        <f>DATE(YEAR(tblTransactions[[#This Row],[date]]),MONTH(tblTransactions[[#This Row],[date]]),1)</f>
        <v>45778</v>
      </c>
      <c r="N201" t="str">
        <f>IF(WEEKDAY(tblTransactions[[#This Row],[date]],2)&gt;5,"Weekend","Weekday")</f>
        <v>Weekday</v>
      </c>
      <c r="O201" s="13" t="str">
        <f>IF(tblTransactions[[#This Row],[discount_pct]]=0,"0%",IF(tblTransactions[[#This Row],[discount_pct]]&lt;=10%,"1–
10%",IF(tblTransactions[[#This Row],[discount_pct]]&lt;=20%,"11–20%","&gt;20%")))</f>
        <v>0%</v>
      </c>
      <c r="P201" s="13" t="str">
        <f>_xlfn.XLOOKUP(tblTransactions[[#This Row],[tenant_id]],tblTenants[tenant_id],tblTenants[zone],"NOT FOUND")</f>
        <v>Fashion Avenue</v>
      </c>
      <c r="Q201" s="13" t="str">
        <f>_xlfn.XLOOKUP(tblTransactions[[#This Row],[tenant_id]],tblTenants[tenant_id],tblTenants[category],"NOT FOUND")</f>
        <v>Footwear</v>
      </c>
    </row>
    <row r="202" spans="1:17">
      <c r="A202" t="s">
        <v>246</v>
      </c>
      <c r="B202" s="2">
        <v>45660</v>
      </c>
      <c r="C202">
        <v>13</v>
      </c>
      <c r="D202" t="s">
        <v>204</v>
      </c>
      <c r="E202" t="s">
        <v>12</v>
      </c>
      <c r="F202" s="7">
        <v>1346.59</v>
      </c>
      <c r="G202" s="10">
        <v>0</v>
      </c>
      <c r="H202" s="7">
        <v>1346.59</v>
      </c>
      <c r="I202">
        <v>5</v>
      </c>
      <c r="J202" t="s">
        <v>13</v>
      </c>
      <c r="K202" s="13">
        <f>ROUND(tblTransactions[[#This Row],[gross_sales_inr]]*(1-tblTransactions[[#This Row],[discount_pct]]),2)</f>
        <v>1346.59</v>
      </c>
      <c r="L202" t="str">
        <f>IF(ABS(tblTransactions[[#This Row],[net_sales_inr]]-tblTransactions[[#This Row],[Recalc_Net_Sales]])&lt;0.02,"OK","CHECK")</f>
        <v>OK</v>
      </c>
      <c r="M202" s="14">
        <f>DATE(YEAR(tblTransactions[[#This Row],[date]]),MONTH(tblTransactions[[#This Row],[date]]),1)</f>
        <v>45658</v>
      </c>
      <c r="N202" t="str">
        <f>IF(WEEKDAY(tblTransactions[[#This Row],[date]],2)&gt;5,"Weekend","Weekday")</f>
        <v>Weekday</v>
      </c>
      <c r="O202" s="13" t="str">
        <f>IF(tblTransactions[[#This Row],[discount_pct]]=0,"0%",IF(tblTransactions[[#This Row],[discount_pct]]&lt;=10%,"1–
10%",IF(tblTransactions[[#This Row],[discount_pct]]&lt;=20%,"11–20%","&gt;20%")))</f>
        <v>0%</v>
      </c>
      <c r="P202" s="13" t="str">
        <f>_xlfn.XLOOKUP(tblTransactions[[#This Row],[tenant_id]],tblTenants[tenant_id],tblTenants[zone],"NOT FOUND")</f>
        <v>Home &amp; Living</v>
      </c>
      <c r="Q202" s="13" t="str">
        <f>_xlfn.XLOOKUP(tblTransactions[[#This Row],[tenant_id]],tblTenants[tenant_id],tblTenants[category],"NOT FOUND")</f>
        <v>Home Decor</v>
      </c>
    </row>
    <row r="203" spans="1:17">
      <c r="A203" t="s">
        <v>247</v>
      </c>
      <c r="B203" s="2">
        <v>45721</v>
      </c>
      <c r="C203">
        <v>21</v>
      </c>
      <c r="D203" t="s">
        <v>80</v>
      </c>
      <c r="E203" t="s">
        <v>32</v>
      </c>
      <c r="F203" s="7">
        <v>519.82000000000005</v>
      </c>
      <c r="G203" s="10">
        <v>0</v>
      </c>
      <c r="H203" s="7">
        <v>519.82000000000005</v>
      </c>
      <c r="I203">
        <v>2</v>
      </c>
      <c r="J203" t="s">
        <v>13</v>
      </c>
      <c r="K203" s="13">
        <f>ROUND(tblTransactions[[#This Row],[gross_sales_inr]]*(1-tblTransactions[[#This Row],[discount_pct]]),2)</f>
        <v>519.82000000000005</v>
      </c>
      <c r="L203" t="str">
        <f>IF(ABS(tblTransactions[[#This Row],[net_sales_inr]]-tblTransactions[[#This Row],[Recalc_Net_Sales]])&lt;0.02,"OK","CHECK")</f>
        <v>OK</v>
      </c>
      <c r="M203" s="14">
        <f>DATE(YEAR(tblTransactions[[#This Row],[date]]),MONTH(tblTransactions[[#This Row],[date]]),1)</f>
        <v>45717</v>
      </c>
      <c r="N203" t="str">
        <f>IF(WEEKDAY(tblTransactions[[#This Row],[date]],2)&gt;5,"Weekend","Weekday")</f>
        <v>Weekday</v>
      </c>
      <c r="O203" s="13" t="str">
        <f>IF(tblTransactions[[#This Row],[discount_pct]]=0,"0%",IF(tblTransactions[[#This Row],[discount_pct]]&lt;=10%,"1–
10%",IF(tblTransactions[[#This Row],[discount_pct]]&lt;=20%,"11–20%","&gt;20%")))</f>
        <v>0%</v>
      </c>
      <c r="P203" s="13" t="str">
        <f>_xlfn.XLOOKUP(tblTransactions[[#This Row],[tenant_id]],tblTenants[tenant_id],tblTenants[zone],"NOT FOUND")</f>
        <v>Food Court</v>
      </c>
      <c r="Q203" s="13" t="str">
        <f>_xlfn.XLOOKUP(tblTransactions[[#This Row],[tenant_id]],tblTenants[tenant_id],tblTenants[category],"NOT FOUND")</f>
        <v>Casual Dining</v>
      </c>
    </row>
    <row r="204" spans="1:17">
      <c r="A204" t="s">
        <v>248</v>
      </c>
      <c r="B204" s="2">
        <v>45768</v>
      </c>
      <c r="C204">
        <v>16</v>
      </c>
      <c r="D204" t="s">
        <v>70</v>
      </c>
      <c r="E204" t="s">
        <v>12</v>
      </c>
      <c r="F204" s="7">
        <v>1563.88</v>
      </c>
      <c r="G204" s="10">
        <v>0.3</v>
      </c>
      <c r="H204" s="7">
        <v>1094.72</v>
      </c>
      <c r="I204">
        <v>2</v>
      </c>
      <c r="J204" t="s">
        <v>16</v>
      </c>
      <c r="K204" s="13">
        <f>ROUND(tblTransactions[[#This Row],[gross_sales_inr]]*(1-tblTransactions[[#This Row],[discount_pct]]),2)</f>
        <v>1094.72</v>
      </c>
      <c r="L204" t="str">
        <f>IF(ABS(tblTransactions[[#This Row],[net_sales_inr]]-tblTransactions[[#This Row],[Recalc_Net_Sales]])&lt;0.02,"OK","CHECK")</f>
        <v>OK</v>
      </c>
      <c r="M204" s="14">
        <f>DATE(YEAR(tblTransactions[[#This Row],[date]]),MONTH(tblTransactions[[#This Row],[date]]),1)</f>
        <v>45748</v>
      </c>
      <c r="N204" t="str">
        <f>IF(WEEKDAY(tblTransactions[[#This Row],[date]],2)&gt;5,"Weekend","Weekday")</f>
        <v>Weekday</v>
      </c>
      <c r="O20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04" s="13" t="str">
        <f>_xlfn.XLOOKUP(tblTransactions[[#This Row],[tenant_id]],tblTenants[tenant_id],tblTenants[zone],"NOT FOUND")</f>
        <v>Food Court</v>
      </c>
      <c r="Q204" s="13" t="str">
        <f>_xlfn.XLOOKUP(tblTransactions[[#This Row],[tenant_id]],tblTenants[tenant_id],tblTenants[category],"NOT FOUND")</f>
        <v>Quick Service</v>
      </c>
    </row>
    <row r="205" spans="1:17">
      <c r="A205" t="s">
        <v>249</v>
      </c>
      <c r="B205" s="2">
        <v>45757</v>
      </c>
      <c r="C205">
        <v>20</v>
      </c>
      <c r="D205" t="s">
        <v>36</v>
      </c>
      <c r="E205" t="s">
        <v>32</v>
      </c>
      <c r="F205" s="7">
        <v>356.48</v>
      </c>
      <c r="G205" s="10">
        <v>0</v>
      </c>
      <c r="H205" s="7">
        <v>356.48</v>
      </c>
      <c r="I205">
        <v>1</v>
      </c>
      <c r="J205" t="s">
        <v>16</v>
      </c>
      <c r="K205" s="13">
        <f>ROUND(tblTransactions[[#This Row],[gross_sales_inr]]*(1-tblTransactions[[#This Row],[discount_pct]]),2)</f>
        <v>356.48</v>
      </c>
      <c r="L205" t="str">
        <f>IF(ABS(tblTransactions[[#This Row],[net_sales_inr]]-tblTransactions[[#This Row],[Recalc_Net_Sales]])&lt;0.02,"OK","CHECK")</f>
        <v>OK</v>
      </c>
      <c r="M205" s="14">
        <f>DATE(YEAR(tblTransactions[[#This Row],[date]]),MONTH(tblTransactions[[#This Row],[date]]),1)</f>
        <v>45748</v>
      </c>
      <c r="N205" t="str">
        <f>IF(WEEKDAY(tblTransactions[[#This Row],[date]],2)&gt;5,"Weekend","Weekday")</f>
        <v>Weekday</v>
      </c>
      <c r="O205" s="13" t="str">
        <f>IF(tblTransactions[[#This Row],[discount_pct]]=0,"0%",IF(tblTransactions[[#This Row],[discount_pct]]&lt;=10%,"1–
10%",IF(tblTransactions[[#This Row],[discount_pct]]&lt;=20%,"11–20%","&gt;20%")))</f>
        <v>0%</v>
      </c>
      <c r="P205" s="13" t="str">
        <f>_xlfn.XLOOKUP(tblTransactions[[#This Row],[tenant_id]],tblTenants[tenant_id],tblTenants[zone],"NOT FOUND")</f>
        <v>Home &amp; Living</v>
      </c>
      <c r="Q205" s="13" t="str">
        <f>_xlfn.XLOOKUP(tblTransactions[[#This Row],[tenant_id]],tblTenants[tenant_id],tblTenants[category],"NOT FOUND")</f>
        <v>Electronics</v>
      </c>
    </row>
    <row r="206" spans="1:17">
      <c r="A206" t="s">
        <v>250</v>
      </c>
      <c r="B206" s="2">
        <v>45686</v>
      </c>
      <c r="C206">
        <v>20</v>
      </c>
      <c r="D206" t="s">
        <v>15</v>
      </c>
      <c r="E206" t="s">
        <v>12</v>
      </c>
      <c r="F206" s="7">
        <v>589.87</v>
      </c>
      <c r="G206" s="10">
        <v>0.05</v>
      </c>
      <c r="H206" s="7">
        <v>560.38</v>
      </c>
      <c r="I206">
        <v>1</v>
      </c>
      <c r="J206" t="s">
        <v>13</v>
      </c>
      <c r="K206" s="13">
        <f>ROUND(tblTransactions[[#This Row],[gross_sales_inr]]*(1-tblTransactions[[#This Row],[discount_pct]]),2)</f>
        <v>560.38</v>
      </c>
      <c r="L206" t="str">
        <f>IF(ABS(tblTransactions[[#This Row],[net_sales_inr]]-tblTransactions[[#This Row],[Recalc_Net_Sales]])&lt;0.02,"OK","CHECK")</f>
        <v>OK</v>
      </c>
      <c r="M206" s="14">
        <f>DATE(YEAR(tblTransactions[[#This Row],[date]]),MONTH(tblTransactions[[#This Row],[date]]),1)</f>
        <v>45658</v>
      </c>
      <c r="N206" t="str">
        <f>IF(WEEKDAY(tblTransactions[[#This Row],[date]],2)&gt;5,"Weekend","Weekday")</f>
        <v>Weekday</v>
      </c>
      <c r="O20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6" s="13" t="str">
        <f>_xlfn.XLOOKUP(tblTransactions[[#This Row],[tenant_id]],tblTenants[tenant_id],tblTenants[zone],"NOT FOUND")</f>
        <v>Fashion Avenue</v>
      </c>
      <c r="Q206" s="13" t="str">
        <f>_xlfn.XLOOKUP(tblTransactions[[#This Row],[tenant_id]],tblTenants[tenant_id],tblTenants[category],"NOT FOUND")</f>
        <v>Accessories</v>
      </c>
    </row>
    <row r="207" spans="1:17">
      <c r="A207" t="s">
        <v>251</v>
      </c>
      <c r="B207" s="2">
        <v>45718</v>
      </c>
      <c r="C207">
        <v>22</v>
      </c>
      <c r="D207" t="s">
        <v>59</v>
      </c>
      <c r="E207" t="s">
        <v>32</v>
      </c>
      <c r="F207" s="7">
        <v>1017.12</v>
      </c>
      <c r="G207" s="10">
        <v>0.3</v>
      </c>
      <c r="H207" s="7">
        <v>711.98</v>
      </c>
      <c r="I207">
        <v>3</v>
      </c>
      <c r="J207" t="s">
        <v>13</v>
      </c>
      <c r="K207" s="13">
        <f>ROUND(tblTransactions[[#This Row],[gross_sales_inr]]*(1-tblTransactions[[#This Row],[discount_pct]]),2)</f>
        <v>711.98</v>
      </c>
      <c r="L207" t="str">
        <f>IF(ABS(tblTransactions[[#This Row],[net_sales_inr]]-tblTransactions[[#This Row],[Recalc_Net_Sales]])&lt;0.02,"OK","CHECK")</f>
        <v>OK</v>
      </c>
      <c r="M207" s="14">
        <f>DATE(YEAR(tblTransactions[[#This Row],[date]]),MONTH(tblTransactions[[#This Row],[date]]),1)</f>
        <v>45717</v>
      </c>
      <c r="N207" t="str">
        <f>IF(WEEKDAY(tblTransactions[[#This Row],[date]],2)&gt;5,"Weekend","Weekday")</f>
        <v>Weekend</v>
      </c>
      <c r="O20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07" s="13" t="str">
        <f>_xlfn.XLOOKUP(tblTransactions[[#This Row],[tenant_id]],tblTenants[tenant_id],tblTenants[zone],"NOT FOUND")</f>
        <v>Fashion Avenue</v>
      </c>
      <c r="Q207" s="13" t="str">
        <f>_xlfn.XLOOKUP(tblTransactions[[#This Row],[tenant_id]],tblTenants[tenant_id],tblTenants[category],"NOT FOUND")</f>
        <v>Footwear</v>
      </c>
    </row>
    <row r="208" spans="1:17">
      <c r="A208" t="s">
        <v>252</v>
      </c>
      <c r="B208" s="2">
        <v>45760</v>
      </c>
      <c r="C208">
        <v>15</v>
      </c>
      <c r="D208" t="s">
        <v>80</v>
      </c>
      <c r="E208" t="s">
        <v>12</v>
      </c>
      <c r="F208" s="7">
        <v>755.3</v>
      </c>
      <c r="G208" s="10">
        <v>0.05</v>
      </c>
      <c r="H208" s="7">
        <v>717.53</v>
      </c>
      <c r="I208">
        <v>1</v>
      </c>
      <c r="J208" t="s">
        <v>13</v>
      </c>
      <c r="K208" s="13">
        <f>ROUND(tblTransactions[[#This Row],[gross_sales_inr]]*(1-tblTransactions[[#This Row],[discount_pct]]),2)</f>
        <v>717.54</v>
      </c>
      <c r="L208" t="str">
        <f>IF(ABS(tblTransactions[[#This Row],[net_sales_inr]]-tblTransactions[[#This Row],[Recalc_Net_Sales]])&lt;0.02,"OK","CHECK")</f>
        <v>OK</v>
      </c>
      <c r="M208" s="14">
        <f>DATE(YEAR(tblTransactions[[#This Row],[date]]),MONTH(tblTransactions[[#This Row],[date]]),1)</f>
        <v>45748</v>
      </c>
      <c r="N208" t="str">
        <f>IF(WEEKDAY(tblTransactions[[#This Row],[date]],2)&gt;5,"Weekend","Weekday")</f>
        <v>Weekend</v>
      </c>
      <c r="O20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8" s="13" t="str">
        <f>_xlfn.XLOOKUP(tblTransactions[[#This Row],[tenant_id]],tblTenants[tenant_id],tblTenants[zone],"NOT FOUND")</f>
        <v>Food Court</v>
      </c>
      <c r="Q208" s="13" t="str">
        <f>_xlfn.XLOOKUP(tblTransactions[[#This Row],[tenant_id]],tblTenants[tenant_id],tblTenants[category],"NOT FOUND")</f>
        <v>Casual Dining</v>
      </c>
    </row>
    <row r="209" spans="1:17">
      <c r="A209" t="s">
        <v>253</v>
      </c>
      <c r="B209" s="2">
        <v>45754</v>
      </c>
      <c r="C209">
        <v>10</v>
      </c>
      <c r="D209" t="s">
        <v>122</v>
      </c>
      <c r="E209" t="s">
        <v>12</v>
      </c>
      <c r="F209" s="7">
        <v>1162.46</v>
      </c>
      <c r="G209" s="10">
        <v>0</v>
      </c>
      <c r="H209" s="7">
        <v>1162.46</v>
      </c>
      <c r="I209">
        <v>3</v>
      </c>
      <c r="J209" t="s">
        <v>13</v>
      </c>
      <c r="K209" s="13">
        <f>ROUND(tblTransactions[[#This Row],[gross_sales_inr]]*(1-tblTransactions[[#This Row],[discount_pct]]),2)</f>
        <v>1162.46</v>
      </c>
      <c r="L209" t="str">
        <f>IF(ABS(tblTransactions[[#This Row],[net_sales_inr]]-tblTransactions[[#This Row],[Recalc_Net_Sales]])&lt;0.02,"OK","CHECK")</f>
        <v>OK</v>
      </c>
      <c r="M209" s="14">
        <f>DATE(YEAR(tblTransactions[[#This Row],[date]]),MONTH(tblTransactions[[#This Row],[date]]),1)</f>
        <v>45748</v>
      </c>
      <c r="N209" t="str">
        <f>IF(WEEKDAY(tblTransactions[[#This Row],[date]],2)&gt;5,"Weekend","Weekday")</f>
        <v>Weekday</v>
      </c>
      <c r="O209" s="13" t="str">
        <f>IF(tblTransactions[[#This Row],[discount_pct]]=0,"0%",IF(tblTransactions[[#This Row],[discount_pct]]&lt;=10%,"1–
10%",IF(tblTransactions[[#This Row],[discount_pct]]&lt;=20%,"11–20%","&gt;20%")))</f>
        <v>0%</v>
      </c>
      <c r="P209" s="13" t="str">
        <f>_xlfn.XLOOKUP(tblTransactions[[#This Row],[tenant_id]],tblTenants[tenant_id],tblTenants[zone],"NOT FOUND")</f>
        <v>Beauty &amp; Wellness</v>
      </c>
      <c r="Q209" s="13" t="str">
        <f>_xlfn.XLOOKUP(tblTransactions[[#This Row],[tenant_id]],tblTenants[tenant_id],tblTenants[category],"NOT FOUND")</f>
        <v>Wellness</v>
      </c>
    </row>
    <row r="210" spans="1:17">
      <c r="A210" t="s">
        <v>254</v>
      </c>
      <c r="B210" s="2">
        <v>45682</v>
      </c>
      <c r="C210">
        <v>16</v>
      </c>
      <c r="D210" t="s">
        <v>104</v>
      </c>
      <c r="E210" t="s">
        <v>32</v>
      </c>
      <c r="F210" s="7">
        <v>563.20000000000005</v>
      </c>
      <c r="G210" s="10">
        <v>0</v>
      </c>
      <c r="H210" s="7">
        <v>563.20000000000005</v>
      </c>
      <c r="I210">
        <v>2</v>
      </c>
      <c r="J210" t="s">
        <v>13</v>
      </c>
      <c r="K210" s="13">
        <f>ROUND(tblTransactions[[#This Row],[gross_sales_inr]]*(1-tblTransactions[[#This Row],[discount_pct]]),2)</f>
        <v>563.20000000000005</v>
      </c>
      <c r="L210" t="str">
        <f>IF(ABS(tblTransactions[[#This Row],[net_sales_inr]]-tblTransactions[[#This Row],[Recalc_Net_Sales]])&lt;0.02,"OK","CHECK")</f>
        <v>OK</v>
      </c>
      <c r="M210" s="14">
        <f>DATE(YEAR(tblTransactions[[#This Row],[date]]),MONTH(tblTransactions[[#This Row],[date]]),1)</f>
        <v>45658</v>
      </c>
      <c r="N210" t="str">
        <f>IF(WEEKDAY(tblTransactions[[#This Row],[date]],2)&gt;5,"Weekend","Weekday")</f>
        <v>Weekend</v>
      </c>
      <c r="O210" s="13" t="str">
        <f>IF(tblTransactions[[#This Row],[discount_pct]]=0,"0%",IF(tblTransactions[[#This Row],[discount_pct]]&lt;=10%,"1–
10%",IF(tblTransactions[[#This Row],[discount_pct]]&lt;=20%,"11–20%","&gt;20%")))</f>
        <v>0%</v>
      </c>
      <c r="P210" s="13" t="str">
        <f>_xlfn.XLOOKUP(tblTransactions[[#This Row],[tenant_id]],tblTenants[tenant_id],tblTenants[zone],"NOT FOUND")</f>
        <v>Entertainment</v>
      </c>
      <c r="Q210" s="13" t="str">
        <f>_xlfn.XLOOKUP(tblTransactions[[#This Row],[tenant_id]],tblTenants[tenant_id],tblTenants[category],"NOT FOUND")</f>
        <v>Family Entertainment</v>
      </c>
    </row>
    <row r="211" spans="1:17">
      <c r="A211" t="s">
        <v>255</v>
      </c>
      <c r="B211" s="2">
        <v>45721</v>
      </c>
      <c r="C211">
        <v>16</v>
      </c>
      <c r="D211" t="s">
        <v>31</v>
      </c>
      <c r="E211" t="s">
        <v>32</v>
      </c>
      <c r="F211" s="7">
        <v>2386.4</v>
      </c>
      <c r="G211" s="10">
        <v>0.15</v>
      </c>
      <c r="H211" s="7">
        <v>2028.44</v>
      </c>
      <c r="I211">
        <v>2</v>
      </c>
      <c r="J211" t="s">
        <v>16</v>
      </c>
      <c r="K211" s="13">
        <f>ROUND(tblTransactions[[#This Row],[gross_sales_inr]]*(1-tblTransactions[[#This Row],[discount_pct]]),2)</f>
        <v>2028.44</v>
      </c>
      <c r="L211" t="str">
        <f>IF(ABS(tblTransactions[[#This Row],[net_sales_inr]]-tblTransactions[[#This Row],[Recalc_Net_Sales]])&lt;0.02,"OK","CHECK")</f>
        <v>OK</v>
      </c>
      <c r="M211" s="14">
        <f>DATE(YEAR(tblTransactions[[#This Row],[date]]),MONTH(tblTransactions[[#This Row],[date]]),1)</f>
        <v>45717</v>
      </c>
      <c r="N211" t="str">
        <f>IF(WEEKDAY(tblTransactions[[#This Row],[date]],2)&gt;5,"Weekend","Weekday")</f>
        <v>Weekday</v>
      </c>
      <c r="O21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1" s="13" t="str">
        <f>_xlfn.XLOOKUP(tblTransactions[[#This Row],[tenant_id]],tblTenants[tenant_id],tblTenants[zone],"NOT FOUND")</f>
        <v>Entertainment</v>
      </c>
      <c r="Q211" s="13" t="str">
        <f>_xlfn.XLOOKUP(tblTransactions[[#This Row],[tenant_id]],tblTenants[tenant_id],tblTenants[category],"NOT FOUND")</f>
        <v>Arcade</v>
      </c>
    </row>
    <row r="212" spans="1:17">
      <c r="A212" t="s">
        <v>256</v>
      </c>
      <c r="B212" s="2">
        <v>45682</v>
      </c>
      <c r="C212">
        <v>21</v>
      </c>
      <c r="D212" t="s">
        <v>85</v>
      </c>
      <c r="E212" t="s">
        <v>32</v>
      </c>
      <c r="F212" s="7">
        <v>605.17999999999995</v>
      </c>
      <c r="G212" s="10">
        <v>0</v>
      </c>
      <c r="H212" s="7">
        <v>605.17999999999995</v>
      </c>
      <c r="I212">
        <v>1</v>
      </c>
      <c r="J212" t="s">
        <v>16</v>
      </c>
      <c r="K212" s="13">
        <f>ROUND(tblTransactions[[#This Row],[gross_sales_inr]]*(1-tblTransactions[[#This Row],[discount_pct]]),2)</f>
        <v>605.17999999999995</v>
      </c>
      <c r="L212" t="str">
        <f>IF(ABS(tblTransactions[[#This Row],[net_sales_inr]]-tblTransactions[[#This Row],[Recalc_Net_Sales]])&lt;0.02,"OK","CHECK")</f>
        <v>OK</v>
      </c>
      <c r="M212" s="14">
        <f>DATE(YEAR(tblTransactions[[#This Row],[date]]),MONTH(tblTransactions[[#This Row],[date]]),1)</f>
        <v>45658</v>
      </c>
      <c r="N212" t="str">
        <f>IF(WEEKDAY(tblTransactions[[#This Row],[date]],2)&gt;5,"Weekend","Weekday")</f>
        <v>Weekend</v>
      </c>
      <c r="O212" s="13" t="str">
        <f>IF(tblTransactions[[#This Row],[discount_pct]]=0,"0%",IF(tblTransactions[[#This Row],[discount_pct]]&lt;=10%,"1–
10%",IF(tblTransactions[[#This Row],[discount_pct]]&lt;=20%,"11–20%","&gt;20%")))</f>
        <v>0%</v>
      </c>
      <c r="P212" s="13" t="str">
        <f>_xlfn.XLOOKUP(tblTransactions[[#This Row],[tenant_id]],tblTenants[tenant_id],tblTenants[zone],"NOT FOUND")</f>
        <v>Home &amp; Living</v>
      </c>
      <c r="Q212" s="13" t="str">
        <f>_xlfn.XLOOKUP(tblTransactions[[#This Row],[tenant_id]],tblTenants[tenant_id],tblTenants[category],"NOT FOUND")</f>
        <v>Electronics</v>
      </c>
    </row>
    <row r="213" spans="1:17">
      <c r="A213" t="s">
        <v>257</v>
      </c>
      <c r="B213" s="2">
        <v>45837</v>
      </c>
      <c r="C213">
        <v>10</v>
      </c>
      <c r="D213" t="s">
        <v>43</v>
      </c>
      <c r="E213" t="s">
        <v>51</v>
      </c>
      <c r="F213" s="7">
        <v>2926.07</v>
      </c>
      <c r="G213" s="10">
        <v>0</v>
      </c>
      <c r="H213" s="7">
        <v>2926.07</v>
      </c>
      <c r="I213">
        <v>5</v>
      </c>
      <c r="J213" t="s">
        <v>13</v>
      </c>
      <c r="K213" s="13">
        <f>ROUND(tblTransactions[[#This Row],[gross_sales_inr]]*(1-tblTransactions[[#This Row],[discount_pct]]),2)</f>
        <v>2926.07</v>
      </c>
      <c r="L213" t="str">
        <f>IF(ABS(tblTransactions[[#This Row],[net_sales_inr]]-tblTransactions[[#This Row],[Recalc_Net_Sales]])&lt;0.02,"OK","CHECK")</f>
        <v>OK</v>
      </c>
      <c r="M213" s="14">
        <f>DATE(YEAR(tblTransactions[[#This Row],[date]]),MONTH(tblTransactions[[#This Row],[date]]),1)</f>
        <v>45809</v>
      </c>
      <c r="N213" t="str">
        <f>IF(WEEKDAY(tblTransactions[[#This Row],[date]],2)&gt;5,"Weekend","Weekday")</f>
        <v>Weekend</v>
      </c>
      <c r="O213" s="13" t="str">
        <f>IF(tblTransactions[[#This Row],[discount_pct]]=0,"0%",IF(tblTransactions[[#This Row],[discount_pct]]&lt;=10%,"1–
10%",IF(tblTransactions[[#This Row],[discount_pct]]&lt;=20%,"11–20%","&gt;20%")))</f>
        <v>0%</v>
      </c>
      <c r="P213" s="13" t="str">
        <f>_xlfn.XLOOKUP(tblTransactions[[#This Row],[tenant_id]],tblTenants[tenant_id],tblTenants[zone],"NOT FOUND")</f>
        <v>Food Court</v>
      </c>
      <c r="Q213" s="13" t="str">
        <f>_xlfn.XLOOKUP(tblTransactions[[#This Row],[tenant_id]],tblTenants[tenant_id],tblTenants[category],"NOT FOUND")</f>
        <v>Casual Dining</v>
      </c>
    </row>
    <row r="214" spans="1:17">
      <c r="A214" t="s">
        <v>258</v>
      </c>
      <c r="B214" s="2">
        <v>45799</v>
      </c>
      <c r="C214">
        <v>12</v>
      </c>
      <c r="D214" t="s">
        <v>11</v>
      </c>
      <c r="E214" t="s">
        <v>12</v>
      </c>
      <c r="F214" s="7">
        <v>1528.18</v>
      </c>
      <c r="G214" s="10">
        <v>0</v>
      </c>
      <c r="H214" s="7">
        <v>1528.18</v>
      </c>
      <c r="I214">
        <v>1</v>
      </c>
      <c r="J214" t="s">
        <v>16</v>
      </c>
      <c r="K214" s="13">
        <f>ROUND(tblTransactions[[#This Row],[gross_sales_inr]]*(1-tblTransactions[[#This Row],[discount_pct]]),2)</f>
        <v>1528.18</v>
      </c>
      <c r="L214" t="str">
        <f>IF(ABS(tblTransactions[[#This Row],[net_sales_inr]]-tblTransactions[[#This Row],[Recalc_Net_Sales]])&lt;0.02,"OK","CHECK")</f>
        <v>OK</v>
      </c>
      <c r="M214" s="14">
        <f>DATE(YEAR(tblTransactions[[#This Row],[date]]),MONTH(tblTransactions[[#This Row],[date]]),1)</f>
        <v>45778</v>
      </c>
      <c r="N214" t="str">
        <f>IF(WEEKDAY(tblTransactions[[#This Row],[date]],2)&gt;5,"Weekend","Weekday")</f>
        <v>Weekday</v>
      </c>
      <c r="O214" s="13" t="str">
        <f>IF(tblTransactions[[#This Row],[discount_pct]]=0,"0%",IF(tblTransactions[[#This Row],[discount_pct]]&lt;=10%,"1–
10%",IF(tblTransactions[[#This Row],[discount_pct]]&lt;=20%,"11–20%","&gt;20%")))</f>
        <v>0%</v>
      </c>
      <c r="P214" s="13" t="str">
        <f>_xlfn.XLOOKUP(tblTransactions[[#This Row],[tenant_id]],tblTenants[tenant_id],tblTenants[zone],"NOT FOUND")</f>
        <v>Home &amp; Living</v>
      </c>
      <c r="Q214" s="13" t="str">
        <f>_xlfn.XLOOKUP(tblTransactions[[#This Row],[tenant_id]],tblTenants[tenant_id],tblTenants[category],"NOT FOUND")</f>
        <v>Home Decor</v>
      </c>
    </row>
    <row r="215" spans="1:17">
      <c r="A215" t="s">
        <v>259</v>
      </c>
      <c r="B215" s="2">
        <v>45790</v>
      </c>
      <c r="C215">
        <v>10</v>
      </c>
      <c r="D215" t="s">
        <v>27</v>
      </c>
      <c r="E215" t="s">
        <v>21</v>
      </c>
      <c r="F215" s="7">
        <v>1293.79</v>
      </c>
      <c r="G215" s="10">
        <v>0.1</v>
      </c>
      <c r="H215" s="7">
        <v>1164.4100000000001</v>
      </c>
      <c r="I215">
        <v>3</v>
      </c>
      <c r="J215" t="s">
        <v>13</v>
      </c>
      <c r="K215" s="13">
        <f>ROUND(tblTransactions[[#This Row],[gross_sales_inr]]*(1-tblTransactions[[#This Row],[discount_pct]]),2)</f>
        <v>1164.4100000000001</v>
      </c>
      <c r="L215" t="str">
        <f>IF(ABS(tblTransactions[[#This Row],[net_sales_inr]]-tblTransactions[[#This Row],[Recalc_Net_Sales]])&lt;0.02,"OK","CHECK")</f>
        <v>OK</v>
      </c>
      <c r="M215" s="14">
        <f>DATE(YEAR(tblTransactions[[#This Row],[date]]),MONTH(tblTransactions[[#This Row],[date]]),1)</f>
        <v>45778</v>
      </c>
      <c r="N215" t="str">
        <f>IF(WEEKDAY(tblTransactions[[#This Row],[date]],2)&gt;5,"Weekend","Weekday")</f>
        <v>Weekday</v>
      </c>
      <c r="O21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5" s="13" t="str">
        <f>_xlfn.XLOOKUP(tblTransactions[[#This Row],[tenant_id]],tblTenants[tenant_id],tblTenants[zone],"NOT FOUND")</f>
        <v>Beauty &amp; Wellness</v>
      </c>
      <c r="Q215" s="13" t="str">
        <f>_xlfn.XLOOKUP(tblTransactions[[#This Row],[tenant_id]],tblTenants[tenant_id],tblTenants[category],"NOT FOUND")</f>
        <v>Wellness</v>
      </c>
    </row>
    <row r="216" spans="1:17">
      <c r="A216" t="s">
        <v>260</v>
      </c>
      <c r="B216" s="2">
        <v>45825</v>
      </c>
      <c r="C216">
        <v>17</v>
      </c>
      <c r="D216" t="s">
        <v>104</v>
      </c>
      <c r="E216" t="s">
        <v>51</v>
      </c>
      <c r="F216" s="7">
        <v>1992.4</v>
      </c>
      <c r="G216" s="10">
        <v>0.05</v>
      </c>
      <c r="H216" s="7">
        <v>1892.78</v>
      </c>
      <c r="I216">
        <v>1</v>
      </c>
      <c r="J216" t="s">
        <v>16</v>
      </c>
      <c r="K216" s="13">
        <f>ROUND(tblTransactions[[#This Row],[gross_sales_inr]]*(1-tblTransactions[[#This Row],[discount_pct]]),2)</f>
        <v>1892.78</v>
      </c>
      <c r="L216" t="str">
        <f>IF(ABS(tblTransactions[[#This Row],[net_sales_inr]]-tblTransactions[[#This Row],[Recalc_Net_Sales]])&lt;0.02,"OK","CHECK")</f>
        <v>OK</v>
      </c>
      <c r="M216" s="14">
        <f>DATE(YEAR(tblTransactions[[#This Row],[date]]),MONTH(tblTransactions[[#This Row],[date]]),1)</f>
        <v>45809</v>
      </c>
      <c r="N216" t="str">
        <f>IF(WEEKDAY(tblTransactions[[#This Row],[date]],2)&gt;5,"Weekend","Weekday")</f>
        <v>Weekday</v>
      </c>
      <c r="O21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6" s="13" t="str">
        <f>_xlfn.XLOOKUP(tblTransactions[[#This Row],[tenant_id]],tblTenants[tenant_id],tblTenants[zone],"NOT FOUND")</f>
        <v>Entertainment</v>
      </c>
      <c r="Q216" s="13" t="str">
        <f>_xlfn.XLOOKUP(tblTransactions[[#This Row],[tenant_id]],tblTenants[tenant_id],tblTenants[category],"NOT FOUND")</f>
        <v>Family Entertainment</v>
      </c>
    </row>
    <row r="217" spans="1:17">
      <c r="A217" t="s">
        <v>261</v>
      </c>
      <c r="B217" s="2">
        <v>45698</v>
      </c>
      <c r="C217">
        <v>13</v>
      </c>
      <c r="D217" t="s">
        <v>23</v>
      </c>
      <c r="E217" t="s">
        <v>32</v>
      </c>
      <c r="F217" s="7">
        <v>2748.46</v>
      </c>
      <c r="G217" s="10">
        <v>0</v>
      </c>
      <c r="H217" s="7">
        <v>2748.46</v>
      </c>
      <c r="I217">
        <v>4</v>
      </c>
      <c r="J217" t="s">
        <v>16</v>
      </c>
      <c r="K217" s="13">
        <f>ROUND(tblTransactions[[#This Row],[gross_sales_inr]]*(1-tblTransactions[[#This Row],[discount_pct]]),2)</f>
        <v>2748.46</v>
      </c>
      <c r="L217" t="str">
        <f>IF(ABS(tblTransactions[[#This Row],[net_sales_inr]]-tblTransactions[[#This Row],[Recalc_Net_Sales]])&lt;0.02,"OK","CHECK")</f>
        <v>OK</v>
      </c>
      <c r="M217" s="14">
        <f>DATE(YEAR(tblTransactions[[#This Row],[date]]),MONTH(tblTransactions[[#This Row],[date]]),1)</f>
        <v>45689</v>
      </c>
      <c r="N217" t="str">
        <f>IF(WEEKDAY(tblTransactions[[#This Row],[date]],2)&gt;5,"Weekend","Weekday")</f>
        <v>Weekday</v>
      </c>
      <c r="O217" s="13" t="str">
        <f>IF(tblTransactions[[#This Row],[discount_pct]]=0,"0%",IF(tblTransactions[[#This Row],[discount_pct]]&lt;=10%,"1–
10%",IF(tblTransactions[[#This Row],[discount_pct]]&lt;=20%,"11–20%","&gt;20%")))</f>
        <v>0%</v>
      </c>
      <c r="P217" s="13" t="str">
        <f>_xlfn.XLOOKUP(tblTransactions[[#This Row],[tenant_id]],tblTenants[tenant_id],tblTenants[zone],"NOT FOUND")</f>
        <v>Entertainment</v>
      </c>
      <c r="Q217" s="13" t="str">
        <f>_xlfn.XLOOKUP(tblTransactions[[#This Row],[tenant_id]],tblTenants[tenant_id],tblTenants[category],"NOT FOUND")</f>
        <v>Cinema</v>
      </c>
    </row>
    <row r="218" spans="1:17">
      <c r="A218" t="s">
        <v>262</v>
      </c>
      <c r="B218" s="2">
        <v>45820</v>
      </c>
      <c r="C218">
        <v>14</v>
      </c>
      <c r="D218" t="s">
        <v>20</v>
      </c>
      <c r="E218" t="s">
        <v>12</v>
      </c>
      <c r="F218" s="7">
        <v>2691.2</v>
      </c>
      <c r="G218" s="10">
        <v>0.15</v>
      </c>
      <c r="H218" s="7">
        <v>2287.52</v>
      </c>
      <c r="I218">
        <v>2</v>
      </c>
      <c r="J218" t="s">
        <v>13</v>
      </c>
      <c r="K218" s="13">
        <f>ROUND(tblTransactions[[#This Row],[gross_sales_inr]]*(1-tblTransactions[[#This Row],[discount_pct]]),2)</f>
        <v>2287.52</v>
      </c>
      <c r="L218" t="str">
        <f>IF(ABS(tblTransactions[[#This Row],[net_sales_inr]]-tblTransactions[[#This Row],[Recalc_Net_Sales]])&lt;0.02,"OK","CHECK")</f>
        <v>OK</v>
      </c>
      <c r="M218" s="14">
        <f>DATE(YEAR(tblTransactions[[#This Row],[date]]),MONTH(tblTransactions[[#This Row],[date]]),1)</f>
        <v>45809</v>
      </c>
      <c r="N218" t="str">
        <f>IF(WEEKDAY(tblTransactions[[#This Row],[date]],2)&gt;5,"Weekend","Weekday")</f>
        <v>Weekday</v>
      </c>
      <c r="O21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8" s="13" t="str">
        <f>_xlfn.XLOOKUP(tblTransactions[[#This Row],[tenant_id]],tblTenants[tenant_id],tblTenants[zone],"NOT FOUND")</f>
        <v>Fashion Avenue</v>
      </c>
      <c r="Q218" s="13" t="str">
        <f>_xlfn.XLOOKUP(tblTransactions[[#This Row],[tenant_id]],tblTenants[tenant_id],tblTenants[category],"NOT FOUND")</f>
        <v>Accessories</v>
      </c>
    </row>
    <row r="219" spans="1:17">
      <c r="A219" t="s">
        <v>263</v>
      </c>
      <c r="B219" s="2">
        <v>45686</v>
      </c>
      <c r="C219">
        <v>20</v>
      </c>
      <c r="D219" t="s">
        <v>18</v>
      </c>
      <c r="E219" t="s">
        <v>12</v>
      </c>
      <c r="F219" s="7">
        <v>1906.34</v>
      </c>
      <c r="G219" s="10">
        <v>0.15</v>
      </c>
      <c r="H219" s="7">
        <v>1620.39</v>
      </c>
      <c r="I219">
        <v>1</v>
      </c>
      <c r="J219" t="s">
        <v>16</v>
      </c>
      <c r="K219" s="13">
        <f>ROUND(tblTransactions[[#This Row],[gross_sales_inr]]*(1-tblTransactions[[#This Row],[discount_pct]]),2)</f>
        <v>1620.39</v>
      </c>
      <c r="L219" t="str">
        <f>IF(ABS(tblTransactions[[#This Row],[net_sales_inr]]-tblTransactions[[#This Row],[Recalc_Net_Sales]])&lt;0.02,"OK","CHECK")</f>
        <v>OK</v>
      </c>
      <c r="M219" s="14">
        <f>DATE(YEAR(tblTransactions[[#This Row],[date]]),MONTH(tblTransactions[[#This Row],[date]]),1)</f>
        <v>45658</v>
      </c>
      <c r="N219" t="str">
        <f>IF(WEEKDAY(tblTransactions[[#This Row],[date]],2)&gt;5,"Weekend","Weekday")</f>
        <v>Weekday</v>
      </c>
      <c r="O21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9" s="13" t="str">
        <f>_xlfn.XLOOKUP(tblTransactions[[#This Row],[tenant_id]],tblTenants[tenant_id],tblTenants[zone],"NOT FOUND")</f>
        <v>Beauty &amp; Wellness</v>
      </c>
      <c r="Q219" s="13" t="str">
        <f>_xlfn.XLOOKUP(tblTransactions[[#This Row],[tenant_id]],tblTenants[tenant_id],tblTenants[category],"NOT FOUND")</f>
        <v>Beauty</v>
      </c>
    </row>
    <row r="220" spans="1:17">
      <c r="A220" t="s">
        <v>264</v>
      </c>
      <c r="B220" s="2">
        <v>45819</v>
      </c>
      <c r="C220">
        <v>13</v>
      </c>
      <c r="D220" t="s">
        <v>61</v>
      </c>
      <c r="E220" t="s">
        <v>32</v>
      </c>
      <c r="F220" s="7">
        <v>1762.89</v>
      </c>
      <c r="G220" s="10">
        <v>0.05</v>
      </c>
      <c r="H220" s="7">
        <v>1674.75</v>
      </c>
      <c r="I220">
        <v>2</v>
      </c>
      <c r="J220" t="s">
        <v>13</v>
      </c>
      <c r="K220" s="13">
        <f>ROUND(tblTransactions[[#This Row],[gross_sales_inr]]*(1-tblTransactions[[#This Row],[discount_pct]]),2)</f>
        <v>1674.75</v>
      </c>
      <c r="L220" t="str">
        <f>IF(ABS(tblTransactions[[#This Row],[net_sales_inr]]-tblTransactions[[#This Row],[Recalc_Net_Sales]])&lt;0.02,"OK","CHECK")</f>
        <v>OK</v>
      </c>
      <c r="M220" s="14">
        <f>DATE(YEAR(tblTransactions[[#This Row],[date]]),MONTH(tblTransactions[[#This Row],[date]]),1)</f>
        <v>45809</v>
      </c>
      <c r="N220" t="str">
        <f>IF(WEEKDAY(tblTransactions[[#This Row],[date]],2)&gt;5,"Weekend","Weekday")</f>
        <v>Weekday</v>
      </c>
      <c r="O22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0" s="13" t="str">
        <f>_xlfn.XLOOKUP(tblTransactions[[#This Row],[tenant_id]],tblTenants[tenant_id],tblTenants[zone],"NOT FOUND")</f>
        <v>Food Court</v>
      </c>
      <c r="Q220" s="13" t="str">
        <f>_xlfn.XLOOKUP(tblTransactions[[#This Row],[tenant_id]],tblTenants[tenant_id],tblTenants[category],"NOT FOUND")</f>
        <v>Quick Service</v>
      </c>
    </row>
    <row r="221" spans="1:17">
      <c r="A221" t="s">
        <v>265</v>
      </c>
      <c r="B221" s="2">
        <v>45722</v>
      </c>
      <c r="C221">
        <v>18</v>
      </c>
      <c r="D221" t="s">
        <v>98</v>
      </c>
      <c r="E221" t="s">
        <v>32</v>
      </c>
      <c r="F221" s="7">
        <v>2203.79</v>
      </c>
      <c r="G221" s="10">
        <v>0</v>
      </c>
      <c r="H221" s="7">
        <v>2203.79</v>
      </c>
      <c r="I221">
        <v>3</v>
      </c>
      <c r="J221" t="s">
        <v>16</v>
      </c>
      <c r="K221" s="13">
        <f>ROUND(tblTransactions[[#This Row],[gross_sales_inr]]*(1-tblTransactions[[#This Row],[discount_pct]]),2)</f>
        <v>2203.79</v>
      </c>
      <c r="L221" t="str">
        <f>IF(ABS(tblTransactions[[#This Row],[net_sales_inr]]-tblTransactions[[#This Row],[Recalc_Net_Sales]])&lt;0.02,"OK","CHECK")</f>
        <v>OK</v>
      </c>
      <c r="M221" s="14">
        <f>DATE(YEAR(tblTransactions[[#This Row],[date]]),MONTH(tblTransactions[[#This Row],[date]]),1)</f>
        <v>45717</v>
      </c>
      <c r="N221" t="str">
        <f>IF(WEEKDAY(tblTransactions[[#This Row],[date]],2)&gt;5,"Weekend","Weekday")</f>
        <v>Weekday</v>
      </c>
      <c r="O221" s="13" t="str">
        <f>IF(tblTransactions[[#This Row],[discount_pct]]=0,"0%",IF(tblTransactions[[#This Row],[discount_pct]]&lt;=10%,"1–
10%",IF(tblTransactions[[#This Row],[discount_pct]]&lt;=20%,"11–20%","&gt;20%")))</f>
        <v>0%</v>
      </c>
      <c r="P221" s="13" t="str">
        <f>_xlfn.XLOOKUP(tblTransactions[[#This Row],[tenant_id]],tblTenants[tenant_id],tblTenants[zone],"NOT FOUND")</f>
        <v>Fashion Avenue</v>
      </c>
      <c r="Q221" s="13" t="str">
        <f>_xlfn.XLOOKUP(tblTransactions[[#This Row],[tenant_id]],tblTenants[tenant_id],tblTenants[category],"NOT FOUND")</f>
        <v>Accessories</v>
      </c>
    </row>
    <row r="222" spans="1:17">
      <c r="A222" t="s">
        <v>266</v>
      </c>
      <c r="B222" s="2">
        <v>45782</v>
      </c>
      <c r="C222">
        <v>15</v>
      </c>
      <c r="D222" t="s">
        <v>27</v>
      </c>
      <c r="E222" t="s">
        <v>12</v>
      </c>
      <c r="F222" s="7">
        <v>483.7</v>
      </c>
      <c r="G222" s="10">
        <v>0.1</v>
      </c>
      <c r="H222" s="7">
        <v>435.33</v>
      </c>
      <c r="I222">
        <v>5</v>
      </c>
      <c r="J222" t="s">
        <v>16</v>
      </c>
      <c r="K222" s="13">
        <f>ROUND(tblTransactions[[#This Row],[gross_sales_inr]]*(1-tblTransactions[[#This Row],[discount_pct]]),2)</f>
        <v>435.33</v>
      </c>
      <c r="L222" t="str">
        <f>IF(ABS(tblTransactions[[#This Row],[net_sales_inr]]-tblTransactions[[#This Row],[Recalc_Net_Sales]])&lt;0.02,"OK","CHECK")</f>
        <v>OK</v>
      </c>
      <c r="M222" s="14">
        <f>DATE(YEAR(tblTransactions[[#This Row],[date]]),MONTH(tblTransactions[[#This Row],[date]]),1)</f>
        <v>45778</v>
      </c>
      <c r="N222" t="str">
        <f>IF(WEEKDAY(tblTransactions[[#This Row],[date]],2)&gt;5,"Weekend","Weekday")</f>
        <v>Weekday</v>
      </c>
      <c r="O22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2" s="13" t="str">
        <f>_xlfn.XLOOKUP(tblTransactions[[#This Row],[tenant_id]],tblTenants[tenant_id],tblTenants[zone],"NOT FOUND")</f>
        <v>Beauty &amp; Wellness</v>
      </c>
      <c r="Q222" s="13" t="str">
        <f>_xlfn.XLOOKUP(tblTransactions[[#This Row],[tenant_id]],tblTenants[tenant_id],tblTenants[category],"NOT FOUND")</f>
        <v>Wellness</v>
      </c>
    </row>
    <row r="223" spans="1:17">
      <c r="A223" t="s">
        <v>267</v>
      </c>
      <c r="B223" s="2">
        <v>45682</v>
      </c>
      <c r="C223">
        <v>21</v>
      </c>
      <c r="D223" t="s">
        <v>70</v>
      </c>
      <c r="E223" t="s">
        <v>12</v>
      </c>
      <c r="F223" s="7">
        <v>1461.83</v>
      </c>
      <c r="G223" s="10">
        <v>0.05</v>
      </c>
      <c r="H223" s="7">
        <v>1388.74</v>
      </c>
      <c r="I223">
        <v>1</v>
      </c>
      <c r="J223" t="s">
        <v>13</v>
      </c>
      <c r="K223" s="13">
        <f>ROUND(tblTransactions[[#This Row],[gross_sales_inr]]*(1-tblTransactions[[#This Row],[discount_pct]]),2)</f>
        <v>1388.74</v>
      </c>
      <c r="L223" t="str">
        <f>IF(ABS(tblTransactions[[#This Row],[net_sales_inr]]-tblTransactions[[#This Row],[Recalc_Net_Sales]])&lt;0.02,"OK","CHECK")</f>
        <v>OK</v>
      </c>
      <c r="M223" s="14">
        <f>DATE(YEAR(tblTransactions[[#This Row],[date]]),MONTH(tblTransactions[[#This Row],[date]]),1)</f>
        <v>45658</v>
      </c>
      <c r="N223" t="str">
        <f>IF(WEEKDAY(tblTransactions[[#This Row],[date]],2)&gt;5,"Weekend","Weekday")</f>
        <v>Weekend</v>
      </c>
      <c r="O22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3" s="13" t="str">
        <f>_xlfn.XLOOKUP(tblTransactions[[#This Row],[tenant_id]],tblTenants[tenant_id],tblTenants[zone],"NOT FOUND")</f>
        <v>Food Court</v>
      </c>
      <c r="Q223" s="13" t="str">
        <f>_xlfn.XLOOKUP(tblTransactions[[#This Row],[tenant_id]],tblTenants[tenant_id],tblTenants[category],"NOT FOUND")</f>
        <v>Quick Service</v>
      </c>
    </row>
    <row r="224" spans="1:17">
      <c r="A224" t="s">
        <v>268</v>
      </c>
      <c r="B224" s="2">
        <v>45752</v>
      </c>
      <c r="C224">
        <v>11</v>
      </c>
      <c r="D224" t="s">
        <v>34</v>
      </c>
      <c r="E224" t="s">
        <v>51</v>
      </c>
      <c r="F224" s="7">
        <v>2019.54</v>
      </c>
      <c r="G224" s="10">
        <v>0</v>
      </c>
      <c r="H224" s="7">
        <v>2019.54</v>
      </c>
      <c r="I224">
        <v>2</v>
      </c>
      <c r="J224" t="s">
        <v>16</v>
      </c>
      <c r="K224" s="13">
        <f>ROUND(tblTransactions[[#This Row],[gross_sales_inr]]*(1-tblTransactions[[#This Row],[discount_pct]]),2)</f>
        <v>2019.54</v>
      </c>
      <c r="L224" t="str">
        <f>IF(ABS(tblTransactions[[#This Row],[net_sales_inr]]-tblTransactions[[#This Row],[Recalc_Net_Sales]])&lt;0.02,"OK","CHECK")</f>
        <v>OK</v>
      </c>
      <c r="M224" s="14">
        <f>DATE(YEAR(tblTransactions[[#This Row],[date]]),MONTH(tblTransactions[[#This Row],[date]]),1)</f>
        <v>45748</v>
      </c>
      <c r="N224" t="str">
        <f>IF(WEEKDAY(tblTransactions[[#This Row],[date]],2)&gt;5,"Weekend","Weekday")</f>
        <v>Weekend</v>
      </c>
      <c r="O224" s="13" t="str">
        <f>IF(tblTransactions[[#This Row],[discount_pct]]=0,"0%",IF(tblTransactions[[#This Row],[discount_pct]]&lt;=10%,"1–
10%",IF(tblTransactions[[#This Row],[discount_pct]]&lt;=20%,"11–20%","&gt;20%")))</f>
        <v>0%</v>
      </c>
      <c r="P224" s="13" t="str">
        <f>_xlfn.XLOOKUP(tblTransactions[[#This Row],[tenant_id]],tblTenants[tenant_id],tblTenants[zone],"NOT FOUND")</f>
        <v>Home &amp; Living</v>
      </c>
      <c r="Q224" s="13" t="str">
        <f>_xlfn.XLOOKUP(tblTransactions[[#This Row],[tenant_id]],tblTenants[tenant_id],tblTenants[category],"NOT FOUND")</f>
        <v>Electronics</v>
      </c>
    </row>
    <row r="225" spans="1:17">
      <c r="A225" t="s">
        <v>269</v>
      </c>
      <c r="B225" s="2">
        <v>45813</v>
      </c>
      <c r="C225">
        <v>18</v>
      </c>
      <c r="D225" t="s">
        <v>57</v>
      </c>
      <c r="E225" t="s">
        <v>12</v>
      </c>
      <c r="F225" s="7">
        <v>707.31</v>
      </c>
      <c r="G225" s="10">
        <v>0.2</v>
      </c>
      <c r="H225" s="7">
        <v>565.85</v>
      </c>
      <c r="I225">
        <v>1</v>
      </c>
      <c r="J225" t="s">
        <v>16</v>
      </c>
      <c r="K225" s="13">
        <f>ROUND(tblTransactions[[#This Row],[gross_sales_inr]]*(1-tblTransactions[[#This Row],[discount_pct]]),2)</f>
        <v>565.85</v>
      </c>
      <c r="L225" t="str">
        <f>IF(ABS(tblTransactions[[#This Row],[net_sales_inr]]-tblTransactions[[#This Row],[Recalc_Net_Sales]])&lt;0.02,"OK","CHECK")</f>
        <v>OK</v>
      </c>
      <c r="M225" s="14">
        <f>DATE(YEAR(tblTransactions[[#This Row],[date]]),MONTH(tblTransactions[[#This Row],[date]]),1)</f>
        <v>45809</v>
      </c>
      <c r="N225" t="str">
        <f>IF(WEEKDAY(tblTransactions[[#This Row],[date]],2)&gt;5,"Weekend","Weekday")</f>
        <v>Weekday</v>
      </c>
      <c r="O22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5" s="13" t="str">
        <f>_xlfn.XLOOKUP(tblTransactions[[#This Row],[tenant_id]],tblTenants[tenant_id],tblTenants[zone],"NOT FOUND")</f>
        <v>Food Court</v>
      </c>
      <c r="Q225" s="13" t="str">
        <f>_xlfn.XLOOKUP(tblTransactions[[#This Row],[tenant_id]],tblTenants[tenant_id],tblTenants[category],"NOT FOUND")</f>
        <v>Casual Dining</v>
      </c>
    </row>
    <row r="226" spans="1:17">
      <c r="A226" t="s">
        <v>270</v>
      </c>
      <c r="B226" s="2">
        <v>45729</v>
      </c>
      <c r="C226">
        <v>13</v>
      </c>
      <c r="D226" t="s">
        <v>15</v>
      </c>
      <c r="E226" t="s">
        <v>51</v>
      </c>
      <c r="F226" s="7">
        <v>1654.16</v>
      </c>
      <c r="G226" s="10">
        <v>0</v>
      </c>
      <c r="H226" s="7">
        <v>1654.16</v>
      </c>
      <c r="I226">
        <v>1</v>
      </c>
      <c r="J226" t="s">
        <v>16</v>
      </c>
      <c r="K226" s="13">
        <f>ROUND(tblTransactions[[#This Row],[gross_sales_inr]]*(1-tblTransactions[[#This Row],[discount_pct]]),2)</f>
        <v>1654.16</v>
      </c>
      <c r="L226" t="str">
        <f>IF(ABS(tblTransactions[[#This Row],[net_sales_inr]]-tblTransactions[[#This Row],[Recalc_Net_Sales]])&lt;0.02,"OK","CHECK")</f>
        <v>OK</v>
      </c>
      <c r="M226" s="14">
        <f>DATE(YEAR(tblTransactions[[#This Row],[date]]),MONTH(tblTransactions[[#This Row],[date]]),1)</f>
        <v>45717</v>
      </c>
      <c r="N226" t="str">
        <f>IF(WEEKDAY(tblTransactions[[#This Row],[date]],2)&gt;5,"Weekend","Weekday")</f>
        <v>Weekday</v>
      </c>
      <c r="O226" s="13" t="str">
        <f>IF(tblTransactions[[#This Row],[discount_pct]]=0,"0%",IF(tblTransactions[[#This Row],[discount_pct]]&lt;=10%,"1–
10%",IF(tblTransactions[[#This Row],[discount_pct]]&lt;=20%,"11–20%","&gt;20%")))</f>
        <v>0%</v>
      </c>
      <c r="P226" s="13" t="str">
        <f>_xlfn.XLOOKUP(tblTransactions[[#This Row],[tenant_id]],tblTenants[tenant_id],tblTenants[zone],"NOT FOUND")</f>
        <v>Fashion Avenue</v>
      </c>
      <c r="Q226" s="13" t="str">
        <f>_xlfn.XLOOKUP(tblTransactions[[#This Row],[tenant_id]],tblTenants[tenant_id],tblTenants[category],"NOT FOUND")</f>
        <v>Accessories</v>
      </c>
    </row>
    <row r="227" spans="1:17">
      <c r="A227" t="s">
        <v>271</v>
      </c>
      <c r="B227" s="2">
        <v>45791</v>
      </c>
      <c r="C227">
        <v>18</v>
      </c>
      <c r="D227" t="s">
        <v>23</v>
      </c>
      <c r="E227" t="s">
        <v>21</v>
      </c>
      <c r="F227" s="7">
        <v>1051.0899999999999</v>
      </c>
      <c r="G227" s="10">
        <v>0</v>
      </c>
      <c r="H227" s="7">
        <v>1051.0899999999999</v>
      </c>
      <c r="I227">
        <v>2</v>
      </c>
      <c r="J227" t="s">
        <v>13</v>
      </c>
      <c r="K227" s="13">
        <f>ROUND(tblTransactions[[#This Row],[gross_sales_inr]]*(1-tblTransactions[[#This Row],[discount_pct]]),2)</f>
        <v>1051.0899999999999</v>
      </c>
      <c r="L227" t="str">
        <f>IF(ABS(tblTransactions[[#This Row],[net_sales_inr]]-tblTransactions[[#This Row],[Recalc_Net_Sales]])&lt;0.02,"OK","CHECK")</f>
        <v>OK</v>
      </c>
      <c r="M227" s="14">
        <f>DATE(YEAR(tblTransactions[[#This Row],[date]]),MONTH(tblTransactions[[#This Row],[date]]),1)</f>
        <v>45778</v>
      </c>
      <c r="N227" t="str">
        <f>IF(WEEKDAY(tblTransactions[[#This Row],[date]],2)&gt;5,"Weekend","Weekday")</f>
        <v>Weekday</v>
      </c>
      <c r="O227" s="13" t="str">
        <f>IF(tblTransactions[[#This Row],[discount_pct]]=0,"0%",IF(tblTransactions[[#This Row],[discount_pct]]&lt;=10%,"1–
10%",IF(tblTransactions[[#This Row],[discount_pct]]&lt;=20%,"11–20%","&gt;20%")))</f>
        <v>0%</v>
      </c>
      <c r="P227" s="13" t="str">
        <f>_xlfn.XLOOKUP(tblTransactions[[#This Row],[tenant_id]],tblTenants[tenant_id],tblTenants[zone],"NOT FOUND")</f>
        <v>Entertainment</v>
      </c>
      <c r="Q227" s="13" t="str">
        <f>_xlfn.XLOOKUP(tblTransactions[[#This Row],[tenant_id]],tblTenants[tenant_id],tblTenants[category],"NOT FOUND")</f>
        <v>Cinema</v>
      </c>
    </row>
    <row r="228" spans="1:17">
      <c r="A228" t="s">
        <v>272</v>
      </c>
      <c r="B228" s="2">
        <v>45666</v>
      </c>
      <c r="C228">
        <v>14</v>
      </c>
      <c r="D228" t="s">
        <v>70</v>
      </c>
      <c r="E228" t="s">
        <v>32</v>
      </c>
      <c r="F228" s="7">
        <v>609.11</v>
      </c>
      <c r="G228" s="10">
        <v>0.05</v>
      </c>
      <c r="H228" s="7">
        <v>578.65</v>
      </c>
      <c r="I228">
        <v>1</v>
      </c>
      <c r="J228" t="s">
        <v>13</v>
      </c>
      <c r="K228" s="13">
        <f>ROUND(tblTransactions[[#This Row],[gross_sales_inr]]*(1-tblTransactions[[#This Row],[discount_pct]]),2)</f>
        <v>578.65</v>
      </c>
      <c r="L228" t="str">
        <f>IF(ABS(tblTransactions[[#This Row],[net_sales_inr]]-tblTransactions[[#This Row],[Recalc_Net_Sales]])&lt;0.02,"OK","CHECK")</f>
        <v>OK</v>
      </c>
      <c r="M228" s="14">
        <f>DATE(YEAR(tblTransactions[[#This Row],[date]]),MONTH(tblTransactions[[#This Row],[date]]),1)</f>
        <v>45658</v>
      </c>
      <c r="N228" t="str">
        <f>IF(WEEKDAY(tblTransactions[[#This Row],[date]],2)&gt;5,"Weekend","Weekday")</f>
        <v>Weekday</v>
      </c>
      <c r="O22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8" s="13" t="str">
        <f>_xlfn.XLOOKUP(tblTransactions[[#This Row],[tenant_id]],tblTenants[tenant_id],tblTenants[zone],"NOT FOUND")</f>
        <v>Food Court</v>
      </c>
      <c r="Q228" s="13" t="str">
        <f>_xlfn.XLOOKUP(tblTransactions[[#This Row],[tenant_id]],tblTenants[tenant_id],tblTenants[category],"NOT FOUND")</f>
        <v>Quick Service</v>
      </c>
    </row>
    <row r="229" spans="1:17">
      <c r="A229" t="s">
        <v>273</v>
      </c>
      <c r="B229" s="2">
        <v>45703</v>
      </c>
      <c r="C229">
        <v>11</v>
      </c>
      <c r="D229" t="s">
        <v>53</v>
      </c>
      <c r="E229" t="s">
        <v>12</v>
      </c>
      <c r="F229" s="7">
        <v>913.34</v>
      </c>
      <c r="G229" s="10">
        <v>0</v>
      </c>
      <c r="H229" s="7">
        <v>913.34</v>
      </c>
      <c r="I229">
        <v>1</v>
      </c>
      <c r="J229" t="s">
        <v>13</v>
      </c>
      <c r="K229" s="13">
        <f>ROUND(tblTransactions[[#This Row],[gross_sales_inr]]*(1-tblTransactions[[#This Row],[discount_pct]]),2)</f>
        <v>913.34</v>
      </c>
      <c r="L229" t="str">
        <f>IF(ABS(tblTransactions[[#This Row],[net_sales_inr]]-tblTransactions[[#This Row],[Recalc_Net_Sales]])&lt;0.02,"OK","CHECK")</f>
        <v>OK</v>
      </c>
      <c r="M229" s="14">
        <f>DATE(YEAR(tblTransactions[[#This Row],[date]]),MONTH(tblTransactions[[#This Row],[date]]),1)</f>
        <v>45689</v>
      </c>
      <c r="N229" t="str">
        <f>IF(WEEKDAY(tblTransactions[[#This Row],[date]],2)&gt;5,"Weekend","Weekday")</f>
        <v>Weekend</v>
      </c>
      <c r="O229" s="13" t="str">
        <f>IF(tblTransactions[[#This Row],[discount_pct]]=0,"0%",IF(tblTransactions[[#This Row],[discount_pct]]&lt;=10%,"1–
10%",IF(tblTransactions[[#This Row],[discount_pct]]&lt;=20%,"11–20%","&gt;20%")))</f>
        <v>0%</v>
      </c>
      <c r="P229" s="13" t="str">
        <f>_xlfn.XLOOKUP(tblTransactions[[#This Row],[tenant_id]],tblTenants[tenant_id],tblTenants[zone],"NOT FOUND")</f>
        <v>Beauty &amp; Wellness</v>
      </c>
      <c r="Q229" s="13" t="str">
        <f>_xlfn.XLOOKUP(tblTransactions[[#This Row],[tenant_id]],tblTenants[tenant_id],tblTenants[category],"NOT FOUND")</f>
        <v>Beauty</v>
      </c>
    </row>
    <row r="230" spans="1:17">
      <c r="A230" t="s">
        <v>274</v>
      </c>
      <c r="B230" s="2">
        <v>45669</v>
      </c>
      <c r="C230">
        <v>13</v>
      </c>
      <c r="D230" t="s">
        <v>45</v>
      </c>
      <c r="E230" t="s">
        <v>12</v>
      </c>
      <c r="F230" s="7">
        <v>1802.04</v>
      </c>
      <c r="G230" s="10">
        <v>0.2</v>
      </c>
      <c r="H230" s="7">
        <v>1441.63</v>
      </c>
      <c r="I230">
        <v>3</v>
      </c>
      <c r="J230" t="s">
        <v>13</v>
      </c>
      <c r="K230" s="13">
        <f>ROUND(tblTransactions[[#This Row],[gross_sales_inr]]*(1-tblTransactions[[#This Row],[discount_pct]]),2)</f>
        <v>1441.63</v>
      </c>
      <c r="L230" t="str">
        <f>IF(ABS(tblTransactions[[#This Row],[net_sales_inr]]-tblTransactions[[#This Row],[Recalc_Net_Sales]])&lt;0.02,"OK","CHECK")</f>
        <v>OK</v>
      </c>
      <c r="M230" s="14">
        <f>DATE(YEAR(tblTransactions[[#This Row],[date]]),MONTH(tblTransactions[[#This Row],[date]]),1)</f>
        <v>45658</v>
      </c>
      <c r="N230" t="str">
        <f>IF(WEEKDAY(tblTransactions[[#This Row],[date]],2)&gt;5,"Weekend","Weekday")</f>
        <v>Weekend</v>
      </c>
      <c r="O23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0" s="13" t="str">
        <f>_xlfn.XLOOKUP(tblTransactions[[#This Row],[tenant_id]],tblTenants[tenant_id],tblTenants[zone],"NOT FOUND")</f>
        <v>Home &amp; Living</v>
      </c>
      <c r="Q230" s="13" t="str">
        <f>_xlfn.XLOOKUP(tblTransactions[[#This Row],[tenant_id]],tblTenants[tenant_id],tblTenants[category],"NOT FOUND")</f>
        <v>Home Decor</v>
      </c>
    </row>
    <row r="231" spans="1:17">
      <c r="A231" t="s">
        <v>275</v>
      </c>
      <c r="B231" s="2">
        <v>45812</v>
      </c>
      <c r="C231">
        <v>12</v>
      </c>
      <c r="D231" t="s">
        <v>59</v>
      </c>
      <c r="E231" t="s">
        <v>21</v>
      </c>
      <c r="F231" s="7">
        <v>1340.16</v>
      </c>
      <c r="G231" s="10">
        <v>0</v>
      </c>
      <c r="H231" s="7">
        <v>1340.16</v>
      </c>
      <c r="I231">
        <v>5</v>
      </c>
      <c r="J231" t="s">
        <v>13</v>
      </c>
      <c r="K231" s="13">
        <f>ROUND(tblTransactions[[#This Row],[gross_sales_inr]]*(1-tblTransactions[[#This Row],[discount_pct]]),2)</f>
        <v>1340.16</v>
      </c>
      <c r="L231" t="str">
        <f>IF(ABS(tblTransactions[[#This Row],[net_sales_inr]]-tblTransactions[[#This Row],[Recalc_Net_Sales]])&lt;0.02,"OK","CHECK")</f>
        <v>OK</v>
      </c>
      <c r="M231" s="14">
        <f>DATE(YEAR(tblTransactions[[#This Row],[date]]),MONTH(tblTransactions[[#This Row],[date]]),1)</f>
        <v>45809</v>
      </c>
      <c r="N231" t="str">
        <f>IF(WEEKDAY(tblTransactions[[#This Row],[date]],2)&gt;5,"Weekend","Weekday")</f>
        <v>Weekday</v>
      </c>
      <c r="O231" s="13" t="str">
        <f>IF(tblTransactions[[#This Row],[discount_pct]]=0,"0%",IF(tblTransactions[[#This Row],[discount_pct]]&lt;=10%,"1–
10%",IF(tblTransactions[[#This Row],[discount_pct]]&lt;=20%,"11–20%","&gt;20%")))</f>
        <v>0%</v>
      </c>
      <c r="P231" s="13" t="str">
        <f>_xlfn.XLOOKUP(tblTransactions[[#This Row],[tenant_id]],tblTenants[tenant_id],tblTenants[zone],"NOT FOUND")</f>
        <v>Fashion Avenue</v>
      </c>
      <c r="Q231" s="13" t="str">
        <f>_xlfn.XLOOKUP(tblTransactions[[#This Row],[tenant_id]],tblTenants[tenant_id],tblTenants[category],"NOT FOUND")</f>
        <v>Footwear</v>
      </c>
    </row>
    <row r="232" spans="1:17">
      <c r="A232" t="s">
        <v>276</v>
      </c>
      <c r="B232" s="2">
        <v>45788</v>
      </c>
      <c r="C232">
        <v>15</v>
      </c>
      <c r="D232" t="s">
        <v>57</v>
      </c>
      <c r="E232" t="s">
        <v>12</v>
      </c>
      <c r="F232" s="7">
        <v>876.25</v>
      </c>
      <c r="G232" s="10">
        <v>0.3</v>
      </c>
      <c r="H232" s="7">
        <v>613.38</v>
      </c>
      <c r="I232">
        <v>2</v>
      </c>
      <c r="J232" t="s">
        <v>16</v>
      </c>
      <c r="K232" s="13">
        <f>ROUND(tblTransactions[[#This Row],[gross_sales_inr]]*(1-tblTransactions[[#This Row],[discount_pct]]),2)</f>
        <v>613.38</v>
      </c>
      <c r="L232" t="str">
        <f>IF(ABS(tblTransactions[[#This Row],[net_sales_inr]]-tblTransactions[[#This Row],[Recalc_Net_Sales]])&lt;0.02,"OK","CHECK")</f>
        <v>OK</v>
      </c>
      <c r="M232" s="14">
        <f>DATE(YEAR(tblTransactions[[#This Row],[date]]),MONTH(tblTransactions[[#This Row],[date]]),1)</f>
        <v>45778</v>
      </c>
      <c r="N232" t="str">
        <f>IF(WEEKDAY(tblTransactions[[#This Row],[date]],2)&gt;5,"Weekend","Weekday")</f>
        <v>Weekend</v>
      </c>
      <c r="O232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32" s="13" t="str">
        <f>_xlfn.XLOOKUP(tblTransactions[[#This Row],[tenant_id]],tblTenants[tenant_id],tblTenants[zone],"NOT FOUND")</f>
        <v>Food Court</v>
      </c>
      <c r="Q232" s="13" t="str">
        <f>_xlfn.XLOOKUP(tblTransactions[[#This Row],[tenant_id]],tblTenants[tenant_id],tblTenants[category],"NOT FOUND")</f>
        <v>Casual Dining</v>
      </c>
    </row>
    <row r="233" spans="1:17">
      <c r="A233" t="s">
        <v>277</v>
      </c>
      <c r="B233" s="2">
        <v>45702</v>
      </c>
      <c r="C233">
        <v>14</v>
      </c>
      <c r="D233" t="s">
        <v>34</v>
      </c>
      <c r="E233" t="s">
        <v>12</v>
      </c>
      <c r="F233" s="7">
        <v>910.17</v>
      </c>
      <c r="G233" s="10">
        <v>0.1</v>
      </c>
      <c r="H233" s="7">
        <v>819.15</v>
      </c>
      <c r="I233">
        <v>1</v>
      </c>
      <c r="J233" t="s">
        <v>16</v>
      </c>
      <c r="K233" s="13">
        <f>ROUND(tblTransactions[[#This Row],[gross_sales_inr]]*(1-tblTransactions[[#This Row],[discount_pct]]),2)</f>
        <v>819.15</v>
      </c>
      <c r="L233" t="str">
        <f>IF(ABS(tblTransactions[[#This Row],[net_sales_inr]]-tblTransactions[[#This Row],[Recalc_Net_Sales]])&lt;0.02,"OK","CHECK")</f>
        <v>OK</v>
      </c>
      <c r="M233" s="14">
        <f>DATE(YEAR(tblTransactions[[#This Row],[date]]),MONTH(tblTransactions[[#This Row],[date]]),1)</f>
        <v>45689</v>
      </c>
      <c r="N233" t="str">
        <f>IF(WEEKDAY(tblTransactions[[#This Row],[date]],2)&gt;5,"Weekend","Weekday")</f>
        <v>Weekday</v>
      </c>
      <c r="O23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3" s="13" t="str">
        <f>_xlfn.XLOOKUP(tblTransactions[[#This Row],[tenant_id]],tblTenants[tenant_id],tblTenants[zone],"NOT FOUND")</f>
        <v>Home &amp; Living</v>
      </c>
      <c r="Q233" s="13" t="str">
        <f>_xlfn.XLOOKUP(tblTransactions[[#This Row],[tenant_id]],tblTenants[tenant_id],tblTenants[category],"NOT FOUND")</f>
        <v>Electronics</v>
      </c>
    </row>
    <row r="234" spans="1:17">
      <c r="A234" t="s">
        <v>278</v>
      </c>
      <c r="B234" s="2">
        <v>45816</v>
      </c>
      <c r="C234">
        <v>10</v>
      </c>
      <c r="D234" t="s">
        <v>59</v>
      </c>
      <c r="E234" t="s">
        <v>32</v>
      </c>
      <c r="F234" s="7">
        <v>1118.23</v>
      </c>
      <c r="G234" s="10">
        <v>0</v>
      </c>
      <c r="H234" s="7">
        <v>1118.23</v>
      </c>
      <c r="I234">
        <v>2</v>
      </c>
      <c r="J234" t="s">
        <v>13</v>
      </c>
      <c r="K234" s="13">
        <f>ROUND(tblTransactions[[#This Row],[gross_sales_inr]]*(1-tblTransactions[[#This Row],[discount_pct]]),2)</f>
        <v>1118.23</v>
      </c>
      <c r="L234" t="str">
        <f>IF(ABS(tblTransactions[[#This Row],[net_sales_inr]]-tblTransactions[[#This Row],[Recalc_Net_Sales]])&lt;0.02,"OK","CHECK")</f>
        <v>OK</v>
      </c>
      <c r="M234" s="14">
        <f>DATE(YEAR(tblTransactions[[#This Row],[date]]),MONTH(tblTransactions[[#This Row],[date]]),1)</f>
        <v>45809</v>
      </c>
      <c r="N234" t="str">
        <f>IF(WEEKDAY(tblTransactions[[#This Row],[date]],2)&gt;5,"Weekend","Weekday")</f>
        <v>Weekend</v>
      </c>
      <c r="O234" s="13" t="str">
        <f>IF(tblTransactions[[#This Row],[discount_pct]]=0,"0%",IF(tblTransactions[[#This Row],[discount_pct]]&lt;=10%,"1–
10%",IF(tblTransactions[[#This Row],[discount_pct]]&lt;=20%,"11–20%","&gt;20%")))</f>
        <v>0%</v>
      </c>
      <c r="P234" s="13" t="str">
        <f>_xlfn.XLOOKUP(tblTransactions[[#This Row],[tenant_id]],tblTenants[tenant_id],tblTenants[zone],"NOT FOUND")</f>
        <v>Fashion Avenue</v>
      </c>
      <c r="Q234" s="13" t="str">
        <f>_xlfn.XLOOKUP(tblTransactions[[#This Row],[tenant_id]],tblTenants[tenant_id],tblTenants[category],"NOT FOUND")</f>
        <v>Footwear</v>
      </c>
    </row>
    <row r="235" spans="1:17">
      <c r="A235" t="s">
        <v>279</v>
      </c>
      <c r="B235" s="2">
        <v>45780</v>
      </c>
      <c r="C235">
        <v>18</v>
      </c>
      <c r="D235" t="s">
        <v>61</v>
      </c>
      <c r="E235" t="s">
        <v>12</v>
      </c>
      <c r="F235" s="7">
        <v>750.3</v>
      </c>
      <c r="G235" s="10">
        <v>0</v>
      </c>
      <c r="H235" s="7">
        <v>750.3</v>
      </c>
      <c r="I235">
        <v>6</v>
      </c>
      <c r="J235" t="s">
        <v>13</v>
      </c>
      <c r="K235" s="13">
        <f>ROUND(tblTransactions[[#This Row],[gross_sales_inr]]*(1-tblTransactions[[#This Row],[discount_pct]]),2)</f>
        <v>750.3</v>
      </c>
      <c r="L235" t="str">
        <f>IF(ABS(tblTransactions[[#This Row],[net_sales_inr]]-tblTransactions[[#This Row],[Recalc_Net_Sales]])&lt;0.02,"OK","CHECK")</f>
        <v>OK</v>
      </c>
      <c r="M235" s="14">
        <f>DATE(YEAR(tblTransactions[[#This Row],[date]]),MONTH(tblTransactions[[#This Row],[date]]),1)</f>
        <v>45778</v>
      </c>
      <c r="N235" t="str">
        <f>IF(WEEKDAY(tblTransactions[[#This Row],[date]],2)&gt;5,"Weekend","Weekday")</f>
        <v>Weekend</v>
      </c>
      <c r="O235" s="13" t="str">
        <f>IF(tblTransactions[[#This Row],[discount_pct]]=0,"0%",IF(tblTransactions[[#This Row],[discount_pct]]&lt;=10%,"1–
10%",IF(tblTransactions[[#This Row],[discount_pct]]&lt;=20%,"11–20%","&gt;20%")))</f>
        <v>0%</v>
      </c>
      <c r="P235" s="13" t="str">
        <f>_xlfn.XLOOKUP(tblTransactions[[#This Row],[tenant_id]],tblTenants[tenant_id],tblTenants[zone],"NOT FOUND")</f>
        <v>Food Court</v>
      </c>
      <c r="Q235" s="13" t="str">
        <f>_xlfn.XLOOKUP(tblTransactions[[#This Row],[tenant_id]],tblTenants[tenant_id],tblTenants[category],"NOT FOUND")</f>
        <v>Quick Service</v>
      </c>
    </row>
    <row r="236" spans="1:17">
      <c r="A236" t="s">
        <v>280</v>
      </c>
      <c r="B236" s="2">
        <v>45711</v>
      </c>
      <c r="C236">
        <v>11</v>
      </c>
      <c r="D236" t="s">
        <v>85</v>
      </c>
      <c r="E236" t="s">
        <v>12</v>
      </c>
      <c r="F236" s="7">
        <v>915.29</v>
      </c>
      <c r="G236" s="10">
        <v>0</v>
      </c>
      <c r="H236" s="7">
        <v>915.29</v>
      </c>
      <c r="I236">
        <v>4</v>
      </c>
      <c r="J236" t="s">
        <v>16</v>
      </c>
      <c r="K236" s="13">
        <f>ROUND(tblTransactions[[#This Row],[gross_sales_inr]]*(1-tblTransactions[[#This Row],[discount_pct]]),2)</f>
        <v>915.29</v>
      </c>
      <c r="L236" t="str">
        <f>IF(ABS(tblTransactions[[#This Row],[net_sales_inr]]-tblTransactions[[#This Row],[Recalc_Net_Sales]])&lt;0.02,"OK","CHECK")</f>
        <v>OK</v>
      </c>
      <c r="M236" s="14">
        <f>DATE(YEAR(tblTransactions[[#This Row],[date]]),MONTH(tblTransactions[[#This Row],[date]]),1)</f>
        <v>45689</v>
      </c>
      <c r="N236" t="str">
        <f>IF(WEEKDAY(tblTransactions[[#This Row],[date]],2)&gt;5,"Weekend","Weekday")</f>
        <v>Weekend</v>
      </c>
      <c r="O236" s="13" t="str">
        <f>IF(tblTransactions[[#This Row],[discount_pct]]=0,"0%",IF(tblTransactions[[#This Row],[discount_pct]]&lt;=10%,"1–
10%",IF(tblTransactions[[#This Row],[discount_pct]]&lt;=20%,"11–20%","&gt;20%")))</f>
        <v>0%</v>
      </c>
      <c r="P236" s="13" t="str">
        <f>_xlfn.XLOOKUP(tblTransactions[[#This Row],[tenant_id]],tblTenants[tenant_id],tblTenants[zone],"NOT FOUND")</f>
        <v>Home &amp; Living</v>
      </c>
      <c r="Q236" s="13" t="str">
        <f>_xlfn.XLOOKUP(tblTransactions[[#This Row],[tenant_id]],tblTenants[tenant_id],tblTenants[category],"NOT FOUND")</f>
        <v>Electronics</v>
      </c>
    </row>
    <row r="237" spans="1:17">
      <c r="A237" t="s">
        <v>281</v>
      </c>
      <c r="B237" s="2">
        <v>45800</v>
      </c>
      <c r="C237">
        <v>13</v>
      </c>
      <c r="D237" t="s">
        <v>55</v>
      </c>
      <c r="E237" t="s">
        <v>32</v>
      </c>
      <c r="F237" s="7">
        <v>929.62</v>
      </c>
      <c r="G237" s="10">
        <v>0.15</v>
      </c>
      <c r="H237" s="7">
        <v>790.18</v>
      </c>
      <c r="I237">
        <v>1</v>
      </c>
      <c r="J237" t="s">
        <v>16</v>
      </c>
      <c r="K237" s="13">
        <f>ROUND(tblTransactions[[#This Row],[gross_sales_inr]]*(1-tblTransactions[[#This Row],[discount_pct]]),2)</f>
        <v>790.18</v>
      </c>
      <c r="L237" t="str">
        <f>IF(ABS(tblTransactions[[#This Row],[net_sales_inr]]-tblTransactions[[#This Row],[Recalc_Net_Sales]])&lt;0.02,"OK","CHECK")</f>
        <v>OK</v>
      </c>
      <c r="M237" s="14">
        <f>DATE(YEAR(tblTransactions[[#This Row],[date]]),MONTH(tblTransactions[[#This Row],[date]]),1)</f>
        <v>45778</v>
      </c>
      <c r="N237" t="str">
        <f>IF(WEEKDAY(tblTransactions[[#This Row],[date]],2)&gt;5,"Weekend","Weekday")</f>
        <v>Weekday</v>
      </c>
      <c r="O23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7" s="13" t="str">
        <f>_xlfn.XLOOKUP(tblTransactions[[#This Row],[tenant_id]],tblTenants[tenant_id],tblTenants[zone],"NOT FOUND")</f>
        <v>Food Court</v>
      </c>
      <c r="Q237" s="13" t="str">
        <f>_xlfn.XLOOKUP(tblTransactions[[#This Row],[tenant_id]],tblTenants[tenant_id],tblTenants[category],"NOT FOUND")</f>
        <v>Quick Service</v>
      </c>
    </row>
    <row r="238" spans="1:17">
      <c r="A238" t="s">
        <v>282</v>
      </c>
      <c r="B238" s="2">
        <v>45800</v>
      </c>
      <c r="C238">
        <v>20</v>
      </c>
      <c r="D238" t="s">
        <v>53</v>
      </c>
      <c r="E238" t="s">
        <v>12</v>
      </c>
      <c r="F238" s="7">
        <v>562.73</v>
      </c>
      <c r="G238" s="10">
        <v>0</v>
      </c>
      <c r="H238" s="7">
        <v>562.73</v>
      </c>
      <c r="I238">
        <v>2</v>
      </c>
      <c r="J238" t="s">
        <v>13</v>
      </c>
      <c r="K238" s="13">
        <f>ROUND(tblTransactions[[#This Row],[gross_sales_inr]]*(1-tblTransactions[[#This Row],[discount_pct]]),2)</f>
        <v>562.73</v>
      </c>
      <c r="L238" t="str">
        <f>IF(ABS(tblTransactions[[#This Row],[net_sales_inr]]-tblTransactions[[#This Row],[Recalc_Net_Sales]])&lt;0.02,"OK","CHECK")</f>
        <v>OK</v>
      </c>
      <c r="M238" s="14">
        <f>DATE(YEAR(tblTransactions[[#This Row],[date]]),MONTH(tblTransactions[[#This Row],[date]]),1)</f>
        <v>45778</v>
      </c>
      <c r="N238" t="str">
        <f>IF(WEEKDAY(tblTransactions[[#This Row],[date]],2)&gt;5,"Weekend","Weekday")</f>
        <v>Weekday</v>
      </c>
      <c r="O238" s="13" t="str">
        <f>IF(tblTransactions[[#This Row],[discount_pct]]=0,"0%",IF(tblTransactions[[#This Row],[discount_pct]]&lt;=10%,"1–
10%",IF(tblTransactions[[#This Row],[discount_pct]]&lt;=20%,"11–20%","&gt;20%")))</f>
        <v>0%</v>
      </c>
      <c r="P238" s="13" t="str">
        <f>_xlfn.XLOOKUP(tblTransactions[[#This Row],[tenant_id]],tblTenants[tenant_id],tblTenants[zone],"NOT FOUND")</f>
        <v>Beauty &amp; Wellness</v>
      </c>
      <c r="Q238" s="13" t="str">
        <f>_xlfn.XLOOKUP(tblTransactions[[#This Row],[tenant_id]],tblTenants[tenant_id],tblTenants[category],"NOT FOUND")</f>
        <v>Beauty</v>
      </c>
    </row>
    <row r="239" spans="1:17">
      <c r="A239" t="s">
        <v>283</v>
      </c>
      <c r="B239" s="2">
        <v>45757</v>
      </c>
      <c r="C239">
        <v>20</v>
      </c>
      <c r="D239" t="s">
        <v>18</v>
      </c>
      <c r="E239" t="s">
        <v>32</v>
      </c>
      <c r="F239" s="7">
        <v>684.49</v>
      </c>
      <c r="G239" s="10">
        <v>0.2</v>
      </c>
      <c r="H239" s="7">
        <v>547.59</v>
      </c>
      <c r="I239">
        <v>2</v>
      </c>
      <c r="J239" t="s">
        <v>13</v>
      </c>
      <c r="K239" s="13">
        <f>ROUND(tblTransactions[[#This Row],[gross_sales_inr]]*(1-tblTransactions[[#This Row],[discount_pct]]),2)</f>
        <v>547.59</v>
      </c>
      <c r="L239" t="str">
        <f>IF(ABS(tblTransactions[[#This Row],[net_sales_inr]]-tblTransactions[[#This Row],[Recalc_Net_Sales]])&lt;0.02,"OK","CHECK")</f>
        <v>OK</v>
      </c>
      <c r="M239" s="14">
        <f>DATE(YEAR(tblTransactions[[#This Row],[date]]),MONTH(tblTransactions[[#This Row],[date]]),1)</f>
        <v>45748</v>
      </c>
      <c r="N239" t="str">
        <f>IF(WEEKDAY(tblTransactions[[#This Row],[date]],2)&gt;5,"Weekend","Weekday")</f>
        <v>Weekday</v>
      </c>
      <c r="O23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9" s="13" t="str">
        <f>_xlfn.XLOOKUP(tblTransactions[[#This Row],[tenant_id]],tblTenants[tenant_id],tblTenants[zone],"NOT FOUND")</f>
        <v>Beauty &amp; Wellness</v>
      </c>
      <c r="Q239" s="13" t="str">
        <f>_xlfn.XLOOKUP(tblTransactions[[#This Row],[tenant_id]],tblTenants[tenant_id],tblTenants[category],"NOT FOUND")</f>
        <v>Beauty</v>
      </c>
    </row>
    <row r="240" spans="1:17">
      <c r="A240" t="s">
        <v>284</v>
      </c>
      <c r="B240" s="2">
        <v>45672</v>
      </c>
      <c r="C240">
        <v>12</v>
      </c>
      <c r="D240" t="s">
        <v>87</v>
      </c>
      <c r="E240" t="s">
        <v>32</v>
      </c>
      <c r="F240" s="7">
        <v>419.49</v>
      </c>
      <c r="G240" s="10">
        <v>0.1</v>
      </c>
      <c r="H240" s="7">
        <v>377.54</v>
      </c>
      <c r="I240">
        <v>3</v>
      </c>
      <c r="J240" t="s">
        <v>16</v>
      </c>
      <c r="K240" s="13">
        <f>ROUND(tblTransactions[[#This Row],[gross_sales_inr]]*(1-tblTransactions[[#This Row],[discount_pct]]),2)</f>
        <v>377.54</v>
      </c>
      <c r="L240" t="str">
        <f>IF(ABS(tblTransactions[[#This Row],[net_sales_inr]]-tblTransactions[[#This Row],[Recalc_Net_Sales]])&lt;0.02,"OK","CHECK")</f>
        <v>OK</v>
      </c>
      <c r="M240" s="14">
        <f>DATE(YEAR(tblTransactions[[#This Row],[date]]),MONTH(tblTransactions[[#This Row],[date]]),1)</f>
        <v>45658</v>
      </c>
      <c r="N240" t="str">
        <f>IF(WEEKDAY(tblTransactions[[#This Row],[date]],2)&gt;5,"Weekend","Weekday")</f>
        <v>Weekday</v>
      </c>
      <c r="O24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0" s="13" t="str">
        <f>_xlfn.XLOOKUP(tblTransactions[[#This Row],[tenant_id]],tblTenants[tenant_id],tblTenants[zone],"NOT FOUND")</f>
        <v>Fashion Avenue</v>
      </c>
      <c r="Q240" s="13" t="str">
        <f>_xlfn.XLOOKUP(tblTransactions[[#This Row],[tenant_id]],tblTenants[tenant_id],tblTenants[category],"NOT FOUND")</f>
        <v>Footwear</v>
      </c>
    </row>
    <row r="241" spans="1:17">
      <c r="A241" t="s">
        <v>285</v>
      </c>
      <c r="B241" s="2">
        <v>45792</v>
      </c>
      <c r="C241">
        <v>16</v>
      </c>
      <c r="D241" t="s">
        <v>11</v>
      </c>
      <c r="E241" t="s">
        <v>21</v>
      </c>
      <c r="F241" s="7">
        <v>345.61</v>
      </c>
      <c r="G241" s="10">
        <v>0</v>
      </c>
      <c r="H241" s="7">
        <v>345.61</v>
      </c>
      <c r="I241">
        <v>3</v>
      </c>
      <c r="J241" t="s">
        <v>16</v>
      </c>
      <c r="K241" s="13">
        <f>ROUND(tblTransactions[[#This Row],[gross_sales_inr]]*(1-tblTransactions[[#This Row],[discount_pct]]),2)</f>
        <v>345.61</v>
      </c>
      <c r="L241" t="str">
        <f>IF(ABS(tblTransactions[[#This Row],[net_sales_inr]]-tblTransactions[[#This Row],[Recalc_Net_Sales]])&lt;0.02,"OK","CHECK")</f>
        <v>OK</v>
      </c>
      <c r="M241" s="14">
        <f>DATE(YEAR(tblTransactions[[#This Row],[date]]),MONTH(tblTransactions[[#This Row],[date]]),1)</f>
        <v>45778</v>
      </c>
      <c r="N241" t="str">
        <f>IF(WEEKDAY(tblTransactions[[#This Row],[date]],2)&gt;5,"Weekend","Weekday")</f>
        <v>Weekday</v>
      </c>
      <c r="O241" s="13" t="str">
        <f>IF(tblTransactions[[#This Row],[discount_pct]]=0,"0%",IF(tblTransactions[[#This Row],[discount_pct]]&lt;=10%,"1–
10%",IF(tblTransactions[[#This Row],[discount_pct]]&lt;=20%,"11–20%","&gt;20%")))</f>
        <v>0%</v>
      </c>
      <c r="P241" s="13" t="str">
        <f>_xlfn.XLOOKUP(tblTransactions[[#This Row],[tenant_id]],tblTenants[tenant_id],tblTenants[zone],"NOT FOUND")</f>
        <v>Home &amp; Living</v>
      </c>
      <c r="Q241" s="13" t="str">
        <f>_xlfn.XLOOKUP(tblTransactions[[#This Row],[tenant_id]],tblTenants[tenant_id],tblTenants[category],"NOT FOUND")</f>
        <v>Home Decor</v>
      </c>
    </row>
    <row r="242" spans="1:17">
      <c r="A242" t="s">
        <v>286</v>
      </c>
      <c r="B242" s="2">
        <v>45760</v>
      </c>
      <c r="C242">
        <v>14</v>
      </c>
      <c r="D242" t="s">
        <v>18</v>
      </c>
      <c r="E242" t="s">
        <v>21</v>
      </c>
      <c r="F242" s="7">
        <v>534.42999999999995</v>
      </c>
      <c r="G242" s="10">
        <v>0.15</v>
      </c>
      <c r="H242" s="7">
        <v>454.27</v>
      </c>
      <c r="I242">
        <v>2</v>
      </c>
      <c r="J242" t="s">
        <v>13</v>
      </c>
      <c r="K242" s="13">
        <f>ROUND(tblTransactions[[#This Row],[gross_sales_inr]]*(1-tblTransactions[[#This Row],[discount_pct]]),2)</f>
        <v>454.27</v>
      </c>
      <c r="L242" t="str">
        <f>IF(ABS(tblTransactions[[#This Row],[net_sales_inr]]-tblTransactions[[#This Row],[Recalc_Net_Sales]])&lt;0.02,"OK","CHECK")</f>
        <v>OK</v>
      </c>
      <c r="M242" s="14">
        <f>DATE(YEAR(tblTransactions[[#This Row],[date]]),MONTH(tblTransactions[[#This Row],[date]]),1)</f>
        <v>45748</v>
      </c>
      <c r="N242" t="str">
        <f>IF(WEEKDAY(tblTransactions[[#This Row],[date]],2)&gt;5,"Weekend","Weekday")</f>
        <v>Weekend</v>
      </c>
      <c r="O24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2" s="13" t="str">
        <f>_xlfn.XLOOKUP(tblTransactions[[#This Row],[tenant_id]],tblTenants[tenant_id],tblTenants[zone],"NOT FOUND")</f>
        <v>Beauty &amp; Wellness</v>
      </c>
      <c r="Q242" s="13" t="str">
        <f>_xlfn.XLOOKUP(tblTransactions[[#This Row],[tenant_id]],tblTenants[tenant_id],tblTenants[category],"NOT FOUND")</f>
        <v>Beauty</v>
      </c>
    </row>
    <row r="243" spans="1:17">
      <c r="A243" t="s">
        <v>287</v>
      </c>
      <c r="B243" s="2">
        <v>45728</v>
      </c>
      <c r="C243">
        <v>10</v>
      </c>
      <c r="D243" t="s">
        <v>55</v>
      </c>
      <c r="E243" t="s">
        <v>32</v>
      </c>
      <c r="F243" s="7">
        <v>875.71</v>
      </c>
      <c r="G243" s="10">
        <v>0.1</v>
      </c>
      <c r="H243" s="7">
        <v>788.14</v>
      </c>
      <c r="I243">
        <v>2</v>
      </c>
      <c r="J243" t="s">
        <v>13</v>
      </c>
      <c r="K243" s="13">
        <f>ROUND(tblTransactions[[#This Row],[gross_sales_inr]]*(1-tblTransactions[[#This Row],[discount_pct]]),2)</f>
        <v>788.14</v>
      </c>
      <c r="L243" t="str">
        <f>IF(ABS(tblTransactions[[#This Row],[net_sales_inr]]-tblTransactions[[#This Row],[Recalc_Net_Sales]])&lt;0.02,"OK","CHECK")</f>
        <v>OK</v>
      </c>
      <c r="M243" s="14">
        <f>DATE(YEAR(tblTransactions[[#This Row],[date]]),MONTH(tblTransactions[[#This Row],[date]]),1)</f>
        <v>45717</v>
      </c>
      <c r="N243" t="str">
        <f>IF(WEEKDAY(tblTransactions[[#This Row],[date]],2)&gt;5,"Weekend","Weekday")</f>
        <v>Weekday</v>
      </c>
      <c r="O24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3" s="13" t="str">
        <f>_xlfn.XLOOKUP(tblTransactions[[#This Row],[tenant_id]],tblTenants[tenant_id],tblTenants[zone],"NOT FOUND")</f>
        <v>Food Court</v>
      </c>
      <c r="Q243" s="13" t="str">
        <f>_xlfn.XLOOKUP(tblTransactions[[#This Row],[tenant_id]],tblTenants[tenant_id],tblTenants[category],"NOT FOUND")</f>
        <v>Quick Service</v>
      </c>
    </row>
    <row r="244" spans="1:17">
      <c r="A244" t="s">
        <v>288</v>
      </c>
      <c r="B244" s="2">
        <v>45768</v>
      </c>
      <c r="C244">
        <v>17</v>
      </c>
      <c r="D244" t="s">
        <v>15</v>
      </c>
      <c r="E244" t="s">
        <v>51</v>
      </c>
      <c r="F244" s="7">
        <v>1327.84</v>
      </c>
      <c r="G244" s="10">
        <v>0.3</v>
      </c>
      <c r="H244" s="7">
        <v>929.49</v>
      </c>
      <c r="I244">
        <v>6</v>
      </c>
      <c r="J244" t="s">
        <v>13</v>
      </c>
      <c r="K244" s="13">
        <f>ROUND(tblTransactions[[#This Row],[gross_sales_inr]]*(1-tblTransactions[[#This Row],[discount_pct]]),2)</f>
        <v>929.49</v>
      </c>
      <c r="L244" t="str">
        <f>IF(ABS(tblTransactions[[#This Row],[net_sales_inr]]-tblTransactions[[#This Row],[Recalc_Net_Sales]])&lt;0.02,"OK","CHECK")</f>
        <v>OK</v>
      </c>
      <c r="M244" s="14">
        <f>DATE(YEAR(tblTransactions[[#This Row],[date]]),MONTH(tblTransactions[[#This Row],[date]]),1)</f>
        <v>45748</v>
      </c>
      <c r="N244" t="str">
        <f>IF(WEEKDAY(tblTransactions[[#This Row],[date]],2)&gt;5,"Weekend","Weekday")</f>
        <v>Weekday</v>
      </c>
      <c r="O24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44" s="13" t="str">
        <f>_xlfn.XLOOKUP(tblTransactions[[#This Row],[tenant_id]],tblTenants[tenant_id],tblTenants[zone],"NOT FOUND")</f>
        <v>Fashion Avenue</v>
      </c>
      <c r="Q244" s="13" t="str">
        <f>_xlfn.XLOOKUP(tblTransactions[[#This Row],[tenant_id]],tblTenants[tenant_id],tblTenants[category],"NOT FOUND")</f>
        <v>Accessories</v>
      </c>
    </row>
    <row r="245" spans="1:17">
      <c r="A245" t="s">
        <v>289</v>
      </c>
      <c r="B245" s="2">
        <v>45785</v>
      </c>
      <c r="C245">
        <v>19</v>
      </c>
      <c r="D245" t="s">
        <v>70</v>
      </c>
      <c r="E245" t="s">
        <v>32</v>
      </c>
      <c r="F245" s="7">
        <v>410.96</v>
      </c>
      <c r="G245" s="10">
        <v>0</v>
      </c>
      <c r="H245" s="7">
        <v>410.96</v>
      </c>
      <c r="I245">
        <v>3</v>
      </c>
      <c r="J245" t="s">
        <v>13</v>
      </c>
      <c r="K245" s="13">
        <f>ROUND(tblTransactions[[#This Row],[gross_sales_inr]]*(1-tblTransactions[[#This Row],[discount_pct]]),2)</f>
        <v>410.96</v>
      </c>
      <c r="L245" t="str">
        <f>IF(ABS(tblTransactions[[#This Row],[net_sales_inr]]-tblTransactions[[#This Row],[Recalc_Net_Sales]])&lt;0.02,"OK","CHECK")</f>
        <v>OK</v>
      </c>
      <c r="M245" s="14">
        <f>DATE(YEAR(tblTransactions[[#This Row],[date]]),MONTH(tblTransactions[[#This Row],[date]]),1)</f>
        <v>45778</v>
      </c>
      <c r="N245" t="str">
        <f>IF(WEEKDAY(tblTransactions[[#This Row],[date]],2)&gt;5,"Weekend","Weekday")</f>
        <v>Weekday</v>
      </c>
      <c r="O245" s="13" t="str">
        <f>IF(tblTransactions[[#This Row],[discount_pct]]=0,"0%",IF(tblTransactions[[#This Row],[discount_pct]]&lt;=10%,"1–
10%",IF(tblTransactions[[#This Row],[discount_pct]]&lt;=20%,"11–20%","&gt;20%")))</f>
        <v>0%</v>
      </c>
      <c r="P245" s="13" t="str">
        <f>_xlfn.XLOOKUP(tblTransactions[[#This Row],[tenant_id]],tblTenants[tenant_id],tblTenants[zone],"NOT FOUND")</f>
        <v>Food Court</v>
      </c>
      <c r="Q245" s="13" t="str">
        <f>_xlfn.XLOOKUP(tblTransactions[[#This Row],[tenant_id]],tblTenants[tenant_id],tblTenants[category],"NOT FOUND")</f>
        <v>Quick Service</v>
      </c>
    </row>
    <row r="246" spans="1:17">
      <c r="A246" t="s">
        <v>290</v>
      </c>
      <c r="B246" s="2">
        <v>45767</v>
      </c>
      <c r="C246">
        <v>20</v>
      </c>
      <c r="D246" t="s">
        <v>70</v>
      </c>
      <c r="E246" t="s">
        <v>12</v>
      </c>
      <c r="F246" s="7">
        <v>3977.74</v>
      </c>
      <c r="G246" s="10">
        <v>0</v>
      </c>
      <c r="H246" s="7">
        <v>3977.74</v>
      </c>
      <c r="I246">
        <v>1</v>
      </c>
      <c r="J246" t="s">
        <v>16</v>
      </c>
      <c r="K246" s="13">
        <f>ROUND(tblTransactions[[#This Row],[gross_sales_inr]]*(1-tblTransactions[[#This Row],[discount_pct]]),2)</f>
        <v>3977.74</v>
      </c>
      <c r="L246" t="str">
        <f>IF(ABS(tblTransactions[[#This Row],[net_sales_inr]]-tblTransactions[[#This Row],[Recalc_Net_Sales]])&lt;0.02,"OK","CHECK")</f>
        <v>OK</v>
      </c>
      <c r="M246" s="14">
        <f>DATE(YEAR(tblTransactions[[#This Row],[date]]),MONTH(tblTransactions[[#This Row],[date]]),1)</f>
        <v>45748</v>
      </c>
      <c r="N246" t="str">
        <f>IF(WEEKDAY(tblTransactions[[#This Row],[date]],2)&gt;5,"Weekend","Weekday")</f>
        <v>Weekend</v>
      </c>
      <c r="O246" s="13" t="str">
        <f>IF(tblTransactions[[#This Row],[discount_pct]]=0,"0%",IF(tblTransactions[[#This Row],[discount_pct]]&lt;=10%,"1–
10%",IF(tblTransactions[[#This Row],[discount_pct]]&lt;=20%,"11–20%","&gt;20%")))</f>
        <v>0%</v>
      </c>
      <c r="P246" s="13" t="str">
        <f>_xlfn.XLOOKUP(tblTransactions[[#This Row],[tenant_id]],tblTenants[tenant_id],tblTenants[zone],"NOT FOUND")</f>
        <v>Food Court</v>
      </c>
      <c r="Q246" s="13" t="str">
        <f>_xlfn.XLOOKUP(tblTransactions[[#This Row],[tenant_id]],tblTenants[tenant_id],tblTenants[category],"NOT FOUND")</f>
        <v>Quick Service</v>
      </c>
    </row>
    <row r="247" spans="1:17">
      <c r="A247" t="s">
        <v>291</v>
      </c>
      <c r="B247" s="2">
        <v>45749</v>
      </c>
      <c r="C247">
        <v>20</v>
      </c>
      <c r="D247" t="s">
        <v>55</v>
      </c>
      <c r="E247" t="s">
        <v>12</v>
      </c>
      <c r="F247" s="7">
        <v>1783.06</v>
      </c>
      <c r="G247" s="10">
        <v>0</v>
      </c>
      <c r="H247" s="7">
        <v>1783.06</v>
      </c>
      <c r="I247">
        <v>2</v>
      </c>
      <c r="J247" t="s">
        <v>16</v>
      </c>
      <c r="K247" s="13">
        <f>ROUND(tblTransactions[[#This Row],[gross_sales_inr]]*(1-tblTransactions[[#This Row],[discount_pct]]),2)</f>
        <v>1783.06</v>
      </c>
      <c r="L247" t="str">
        <f>IF(ABS(tblTransactions[[#This Row],[net_sales_inr]]-tblTransactions[[#This Row],[Recalc_Net_Sales]])&lt;0.02,"OK","CHECK")</f>
        <v>OK</v>
      </c>
      <c r="M247" s="14">
        <f>DATE(YEAR(tblTransactions[[#This Row],[date]]),MONTH(tblTransactions[[#This Row],[date]]),1)</f>
        <v>45748</v>
      </c>
      <c r="N247" t="str">
        <f>IF(WEEKDAY(tblTransactions[[#This Row],[date]],2)&gt;5,"Weekend","Weekday")</f>
        <v>Weekday</v>
      </c>
      <c r="O247" s="13" t="str">
        <f>IF(tblTransactions[[#This Row],[discount_pct]]=0,"0%",IF(tblTransactions[[#This Row],[discount_pct]]&lt;=10%,"1–
10%",IF(tblTransactions[[#This Row],[discount_pct]]&lt;=20%,"11–20%","&gt;20%")))</f>
        <v>0%</v>
      </c>
      <c r="P247" s="13" t="str">
        <f>_xlfn.XLOOKUP(tblTransactions[[#This Row],[tenant_id]],tblTenants[tenant_id],tblTenants[zone],"NOT FOUND")</f>
        <v>Food Court</v>
      </c>
      <c r="Q247" s="13" t="str">
        <f>_xlfn.XLOOKUP(tblTransactions[[#This Row],[tenant_id]],tblTenants[tenant_id],tblTenants[category],"NOT FOUND")</f>
        <v>Quick Service</v>
      </c>
    </row>
    <row r="248" spans="1:17">
      <c r="A248" t="s">
        <v>292</v>
      </c>
      <c r="B248" s="2">
        <v>45770</v>
      </c>
      <c r="C248">
        <v>19</v>
      </c>
      <c r="D248" t="s">
        <v>80</v>
      </c>
      <c r="E248" t="s">
        <v>12</v>
      </c>
      <c r="F248" s="7">
        <v>1508.39</v>
      </c>
      <c r="G248" s="10">
        <v>0</v>
      </c>
      <c r="H248" s="7">
        <v>1508.39</v>
      </c>
      <c r="I248">
        <v>1</v>
      </c>
      <c r="J248" t="s">
        <v>13</v>
      </c>
      <c r="K248" s="13">
        <f>ROUND(tblTransactions[[#This Row],[gross_sales_inr]]*(1-tblTransactions[[#This Row],[discount_pct]]),2)</f>
        <v>1508.39</v>
      </c>
      <c r="L248" t="str">
        <f>IF(ABS(tblTransactions[[#This Row],[net_sales_inr]]-tblTransactions[[#This Row],[Recalc_Net_Sales]])&lt;0.02,"OK","CHECK")</f>
        <v>OK</v>
      </c>
      <c r="M248" s="14">
        <f>DATE(YEAR(tblTransactions[[#This Row],[date]]),MONTH(tblTransactions[[#This Row],[date]]),1)</f>
        <v>45748</v>
      </c>
      <c r="N248" t="str">
        <f>IF(WEEKDAY(tblTransactions[[#This Row],[date]],2)&gt;5,"Weekend","Weekday")</f>
        <v>Weekday</v>
      </c>
      <c r="O248" s="13" t="str">
        <f>IF(tblTransactions[[#This Row],[discount_pct]]=0,"0%",IF(tblTransactions[[#This Row],[discount_pct]]&lt;=10%,"1–
10%",IF(tblTransactions[[#This Row],[discount_pct]]&lt;=20%,"11–20%","&gt;20%")))</f>
        <v>0%</v>
      </c>
      <c r="P248" s="13" t="str">
        <f>_xlfn.XLOOKUP(tblTransactions[[#This Row],[tenant_id]],tblTenants[tenant_id],tblTenants[zone],"NOT FOUND")</f>
        <v>Food Court</v>
      </c>
      <c r="Q248" s="13" t="str">
        <f>_xlfn.XLOOKUP(tblTransactions[[#This Row],[tenant_id]],tblTenants[tenant_id],tblTenants[category],"NOT FOUND")</f>
        <v>Casual Dining</v>
      </c>
    </row>
    <row r="249" spans="1:17">
      <c r="A249" t="s">
        <v>293</v>
      </c>
      <c r="B249" s="2">
        <v>45764</v>
      </c>
      <c r="C249">
        <v>17</v>
      </c>
      <c r="D249" t="s">
        <v>80</v>
      </c>
      <c r="E249" t="s">
        <v>12</v>
      </c>
      <c r="F249" s="7">
        <v>1008.46</v>
      </c>
      <c r="G249" s="10">
        <v>0</v>
      </c>
      <c r="H249" s="7">
        <v>1008.46</v>
      </c>
      <c r="I249">
        <v>2</v>
      </c>
      <c r="J249" t="s">
        <v>13</v>
      </c>
      <c r="K249" s="13">
        <f>ROUND(tblTransactions[[#This Row],[gross_sales_inr]]*(1-tblTransactions[[#This Row],[discount_pct]]),2)</f>
        <v>1008.46</v>
      </c>
      <c r="L249" t="str">
        <f>IF(ABS(tblTransactions[[#This Row],[net_sales_inr]]-tblTransactions[[#This Row],[Recalc_Net_Sales]])&lt;0.02,"OK","CHECK")</f>
        <v>OK</v>
      </c>
      <c r="M249" s="14">
        <f>DATE(YEAR(tblTransactions[[#This Row],[date]]),MONTH(tblTransactions[[#This Row],[date]]),1)</f>
        <v>45748</v>
      </c>
      <c r="N249" t="str">
        <f>IF(WEEKDAY(tblTransactions[[#This Row],[date]],2)&gt;5,"Weekend","Weekday")</f>
        <v>Weekday</v>
      </c>
      <c r="O249" s="13" t="str">
        <f>IF(tblTransactions[[#This Row],[discount_pct]]=0,"0%",IF(tblTransactions[[#This Row],[discount_pct]]&lt;=10%,"1–
10%",IF(tblTransactions[[#This Row],[discount_pct]]&lt;=20%,"11–20%","&gt;20%")))</f>
        <v>0%</v>
      </c>
      <c r="P249" s="13" t="str">
        <f>_xlfn.XLOOKUP(tblTransactions[[#This Row],[tenant_id]],tblTenants[tenant_id],tblTenants[zone],"NOT FOUND")</f>
        <v>Food Court</v>
      </c>
      <c r="Q249" s="13" t="str">
        <f>_xlfn.XLOOKUP(tblTransactions[[#This Row],[tenant_id]],tblTenants[tenant_id],tblTenants[category],"NOT FOUND")</f>
        <v>Casual Dining</v>
      </c>
    </row>
    <row r="250" spans="1:17">
      <c r="A250" t="s">
        <v>294</v>
      </c>
      <c r="B250" s="2">
        <v>45833</v>
      </c>
      <c r="C250">
        <v>15</v>
      </c>
      <c r="D250" t="s">
        <v>53</v>
      </c>
      <c r="E250" t="s">
        <v>32</v>
      </c>
      <c r="F250" s="7">
        <v>2288.38</v>
      </c>
      <c r="G250" s="10">
        <v>0.2</v>
      </c>
      <c r="H250" s="7">
        <v>1830.7</v>
      </c>
      <c r="I250">
        <v>2</v>
      </c>
      <c r="J250" t="s">
        <v>13</v>
      </c>
      <c r="K250" s="13">
        <f>ROUND(tblTransactions[[#This Row],[gross_sales_inr]]*(1-tblTransactions[[#This Row],[discount_pct]]),2)</f>
        <v>1830.7</v>
      </c>
      <c r="L250" t="str">
        <f>IF(ABS(tblTransactions[[#This Row],[net_sales_inr]]-tblTransactions[[#This Row],[Recalc_Net_Sales]])&lt;0.02,"OK","CHECK")</f>
        <v>OK</v>
      </c>
      <c r="M250" s="14">
        <f>DATE(YEAR(tblTransactions[[#This Row],[date]]),MONTH(tblTransactions[[#This Row],[date]]),1)</f>
        <v>45809</v>
      </c>
      <c r="N250" t="str">
        <f>IF(WEEKDAY(tblTransactions[[#This Row],[date]],2)&gt;5,"Weekend","Weekday")</f>
        <v>Weekday</v>
      </c>
      <c r="O25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0" s="13" t="str">
        <f>_xlfn.XLOOKUP(tblTransactions[[#This Row],[tenant_id]],tblTenants[tenant_id],tblTenants[zone],"NOT FOUND")</f>
        <v>Beauty &amp; Wellness</v>
      </c>
      <c r="Q250" s="13" t="str">
        <f>_xlfn.XLOOKUP(tblTransactions[[#This Row],[tenant_id]],tblTenants[tenant_id],tblTenants[category],"NOT FOUND")</f>
        <v>Beauty</v>
      </c>
    </row>
    <row r="251" spans="1:17">
      <c r="A251" t="s">
        <v>295</v>
      </c>
      <c r="B251" s="2">
        <v>45813</v>
      </c>
      <c r="C251">
        <v>13</v>
      </c>
      <c r="D251" t="s">
        <v>36</v>
      </c>
      <c r="E251" t="s">
        <v>51</v>
      </c>
      <c r="F251" s="7">
        <v>1349.89</v>
      </c>
      <c r="G251" s="10">
        <v>0.05</v>
      </c>
      <c r="H251" s="7">
        <v>1282.4000000000001</v>
      </c>
      <c r="I251">
        <v>3</v>
      </c>
      <c r="J251" t="s">
        <v>13</v>
      </c>
      <c r="K251" s="13">
        <f>ROUND(tblTransactions[[#This Row],[gross_sales_inr]]*(1-tblTransactions[[#This Row],[discount_pct]]),2)</f>
        <v>1282.4000000000001</v>
      </c>
      <c r="L251" t="str">
        <f>IF(ABS(tblTransactions[[#This Row],[net_sales_inr]]-tblTransactions[[#This Row],[Recalc_Net_Sales]])&lt;0.02,"OK","CHECK")</f>
        <v>OK</v>
      </c>
      <c r="M251" s="14">
        <f>DATE(YEAR(tblTransactions[[#This Row],[date]]),MONTH(tblTransactions[[#This Row],[date]]),1)</f>
        <v>45809</v>
      </c>
      <c r="N251" t="str">
        <f>IF(WEEKDAY(tblTransactions[[#This Row],[date]],2)&gt;5,"Weekend","Weekday")</f>
        <v>Weekday</v>
      </c>
      <c r="O25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1" s="13" t="str">
        <f>_xlfn.XLOOKUP(tblTransactions[[#This Row],[tenant_id]],tblTenants[tenant_id],tblTenants[zone],"NOT FOUND")</f>
        <v>Home &amp; Living</v>
      </c>
      <c r="Q251" s="13" t="str">
        <f>_xlfn.XLOOKUP(tblTransactions[[#This Row],[tenant_id]],tblTenants[tenant_id],tblTenants[category],"NOT FOUND")</f>
        <v>Electronics</v>
      </c>
    </row>
    <row r="252" spans="1:17">
      <c r="A252" t="s">
        <v>296</v>
      </c>
      <c r="B252" s="2">
        <v>45751</v>
      </c>
      <c r="C252">
        <v>21</v>
      </c>
      <c r="D252" t="s">
        <v>80</v>
      </c>
      <c r="E252" t="s">
        <v>51</v>
      </c>
      <c r="F252" s="7">
        <v>955.23</v>
      </c>
      <c r="G252" s="10">
        <v>0.2</v>
      </c>
      <c r="H252" s="7">
        <v>764.18</v>
      </c>
      <c r="I252">
        <v>4</v>
      </c>
      <c r="J252" t="s">
        <v>13</v>
      </c>
      <c r="K252" s="13">
        <f>ROUND(tblTransactions[[#This Row],[gross_sales_inr]]*(1-tblTransactions[[#This Row],[discount_pct]]),2)</f>
        <v>764.18</v>
      </c>
      <c r="L252" t="str">
        <f>IF(ABS(tblTransactions[[#This Row],[net_sales_inr]]-tblTransactions[[#This Row],[Recalc_Net_Sales]])&lt;0.02,"OK","CHECK")</f>
        <v>OK</v>
      </c>
      <c r="M252" s="14">
        <f>DATE(YEAR(tblTransactions[[#This Row],[date]]),MONTH(tblTransactions[[#This Row],[date]]),1)</f>
        <v>45748</v>
      </c>
      <c r="N252" t="str">
        <f>IF(WEEKDAY(tblTransactions[[#This Row],[date]],2)&gt;5,"Weekend","Weekday")</f>
        <v>Weekday</v>
      </c>
      <c r="O25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2" s="13" t="str">
        <f>_xlfn.XLOOKUP(tblTransactions[[#This Row],[tenant_id]],tblTenants[tenant_id],tblTenants[zone],"NOT FOUND")</f>
        <v>Food Court</v>
      </c>
      <c r="Q252" s="13" t="str">
        <f>_xlfn.XLOOKUP(tblTransactions[[#This Row],[tenant_id]],tblTenants[tenant_id],tblTenants[category],"NOT FOUND")</f>
        <v>Casual Dining</v>
      </c>
    </row>
    <row r="253" spans="1:17">
      <c r="A253" t="s">
        <v>297</v>
      </c>
      <c r="B253" s="2">
        <v>45691</v>
      </c>
      <c r="C253">
        <v>16</v>
      </c>
      <c r="D253" t="s">
        <v>41</v>
      </c>
      <c r="E253" t="s">
        <v>32</v>
      </c>
      <c r="F253" s="7">
        <v>1519.89</v>
      </c>
      <c r="G253" s="10">
        <v>0</v>
      </c>
      <c r="H253" s="7">
        <v>1519.89</v>
      </c>
      <c r="I253">
        <v>1</v>
      </c>
      <c r="J253" t="s">
        <v>16</v>
      </c>
      <c r="K253" s="13">
        <f>ROUND(tblTransactions[[#This Row],[gross_sales_inr]]*(1-tblTransactions[[#This Row],[discount_pct]]),2)</f>
        <v>1519.89</v>
      </c>
      <c r="L253" t="str">
        <f>IF(ABS(tblTransactions[[#This Row],[net_sales_inr]]-tblTransactions[[#This Row],[Recalc_Net_Sales]])&lt;0.02,"OK","CHECK")</f>
        <v>OK</v>
      </c>
      <c r="M253" s="14">
        <f>DATE(YEAR(tblTransactions[[#This Row],[date]]),MONTH(tblTransactions[[#This Row],[date]]),1)</f>
        <v>45689</v>
      </c>
      <c r="N253" t="str">
        <f>IF(WEEKDAY(tblTransactions[[#This Row],[date]],2)&gt;5,"Weekend","Weekday")</f>
        <v>Weekday</v>
      </c>
      <c r="O253" s="13" t="str">
        <f>IF(tblTransactions[[#This Row],[discount_pct]]=0,"0%",IF(tblTransactions[[#This Row],[discount_pct]]&lt;=10%,"1–
10%",IF(tblTransactions[[#This Row],[discount_pct]]&lt;=20%,"11–20%","&gt;20%")))</f>
        <v>0%</v>
      </c>
      <c r="P253" s="13" t="str">
        <f>_xlfn.XLOOKUP(tblTransactions[[#This Row],[tenant_id]],tblTenants[tenant_id],tblTenants[zone],"NOT FOUND")</f>
        <v>Fashion Avenue</v>
      </c>
      <c r="Q253" s="13" t="str">
        <f>_xlfn.XLOOKUP(tblTransactions[[#This Row],[tenant_id]],tblTenants[tenant_id],tblTenants[category],"NOT FOUND")</f>
        <v>Clothing</v>
      </c>
    </row>
    <row r="254" spans="1:17">
      <c r="A254" t="s">
        <v>298</v>
      </c>
      <c r="B254" s="2">
        <v>45818</v>
      </c>
      <c r="C254">
        <v>11</v>
      </c>
      <c r="D254" t="s">
        <v>34</v>
      </c>
      <c r="E254" t="s">
        <v>12</v>
      </c>
      <c r="F254" s="7">
        <v>785.79</v>
      </c>
      <c r="G254" s="10">
        <v>0</v>
      </c>
      <c r="H254" s="7">
        <v>785.79</v>
      </c>
      <c r="I254">
        <v>3</v>
      </c>
      <c r="J254" t="s">
        <v>16</v>
      </c>
      <c r="K254" s="13">
        <f>ROUND(tblTransactions[[#This Row],[gross_sales_inr]]*(1-tblTransactions[[#This Row],[discount_pct]]),2)</f>
        <v>785.79</v>
      </c>
      <c r="L254" t="str">
        <f>IF(ABS(tblTransactions[[#This Row],[net_sales_inr]]-tblTransactions[[#This Row],[Recalc_Net_Sales]])&lt;0.02,"OK","CHECK")</f>
        <v>OK</v>
      </c>
      <c r="M254" s="14">
        <f>DATE(YEAR(tblTransactions[[#This Row],[date]]),MONTH(tblTransactions[[#This Row],[date]]),1)</f>
        <v>45809</v>
      </c>
      <c r="N254" t="str">
        <f>IF(WEEKDAY(tblTransactions[[#This Row],[date]],2)&gt;5,"Weekend","Weekday")</f>
        <v>Weekday</v>
      </c>
      <c r="O254" s="13" t="str">
        <f>IF(tblTransactions[[#This Row],[discount_pct]]=0,"0%",IF(tblTransactions[[#This Row],[discount_pct]]&lt;=10%,"1–
10%",IF(tblTransactions[[#This Row],[discount_pct]]&lt;=20%,"11–20%","&gt;20%")))</f>
        <v>0%</v>
      </c>
      <c r="P254" s="13" t="str">
        <f>_xlfn.XLOOKUP(tblTransactions[[#This Row],[tenant_id]],tblTenants[tenant_id],tblTenants[zone],"NOT FOUND")</f>
        <v>Home &amp; Living</v>
      </c>
      <c r="Q254" s="13" t="str">
        <f>_xlfn.XLOOKUP(tblTransactions[[#This Row],[tenant_id]],tblTenants[tenant_id],tblTenants[category],"NOT FOUND")</f>
        <v>Electronics</v>
      </c>
    </row>
    <row r="255" spans="1:17">
      <c r="A255" t="s">
        <v>299</v>
      </c>
      <c r="B255" s="2">
        <v>45805</v>
      </c>
      <c r="C255">
        <v>19</v>
      </c>
      <c r="D255" t="s">
        <v>61</v>
      </c>
      <c r="E255" t="s">
        <v>32</v>
      </c>
      <c r="F255" s="7">
        <v>1389.29</v>
      </c>
      <c r="G255" s="10">
        <v>0</v>
      </c>
      <c r="H255" s="7">
        <v>1389.29</v>
      </c>
      <c r="I255">
        <v>5</v>
      </c>
      <c r="J255" t="s">
        <v>13</v>
      </c>
      <c r="K255" s="13">
        <f>ROUND(tblTransactions[[#This Row],[gross_sales_inr]]*(1-tblTransactions[[#This Row],[discount_pct]]),2)</f>
        <v>1389.29</v>
      </c>
      <c r="L255" t="str">
        <f>IF(ABS(tblTransactions[[#This Row],[net_sales_inr]]-tblTransactions[[#This Row],[Recalc_Net_Sales]])&lt;0.02,"OK","CHECK")</f>
        <v>OK</v>
      </c>
      <c r="M255" s="14">
        <f>DATE(YEAR(tblTransactions[[#This Row],[date]]),MONTH(tblTransactions[[#This Row],[date]]),1)</f>
        <v>45778</v>
      </c>
      <c r="N255" t="str">
        <f>IF(WEEKDAY(tblTransactions[[#This Row],[date]],2)&gt;5,"Weekend","Weekday")</f>
        <v>Weekday</v>
      </c>
      <c r="O255" s="13" t="str">
        <f>IF(tblTransactions[[#This Row],[discount_pct]]=0,"0%",IF(tblTransactions[[#This Row],[discount_pct]]&lt;=10%,"1–
10%",IF(tblTransactions[[#This Row],[discount_pct]]&lt;=20%,"11–20%","&gt;20%")))</f>
        <v>0%</v>
      </c>
      <c r="P255" s="13" t="str">
        <f>_xlfn.XLOOKUP(tblTransactions[[#This Row],[tenant_id]],tblTenants[tenant_id],tblTenants[zone],"NOT FOUND")</f>
        <v>Food Court</v>
      </c>
      <c r="Q255" s="13" t="str">
        <f>_xlfn.XLOOKUP(tblTransactions[[#This Row],[tenant_id]],tblTenants[tenant_id],tblTenants[category],"NOT FOUND")</f>
        <v>Quick Service</v>
      </c>
    </row>
    <row r="256" spans="1:17">
      <c r="A256" t="s">
        <v>300</v>
      </c>
      <c r="B256" s="2">
        <v>45836</v>
      </c>
      <c r="C256">
        <v>15</v>
      </c>
      <c r="D256" t="s">
        <v>55</v>
      </c>
      <c r="E256" t="s">
        <v>21</v>
      </c>
      <c r="F256" s="7">
        <v>3201.17</v>
      </c>
      <c r="G256" s="10">
        <v>0.15</v>
      </c>
      <c r="H256" s="7">
        <v>2720.99</v>
      </c>
      <c r="I256">
        <v>2</v>
      </c>
      <c r="J256" t="s">
        <v>13</v>
      </c>
      <c r="K256" s="13">
        <f>ROUND(tblTransactions[[#This Row],[gross_sales_inr]]*(1-tblTransactions[[#This Row],[discount_pct]]),2)</f>
        <v>2720.99</v>
      </c>
      <c r="L256" t="str">
        <f>IF(ABS(tblTransactions[[#This Row],[net_sales_inr]]-tblTransactions[[#This Row],[Recalc_Net_Sales]])&lt;0.02,"OK","CHECK")</f>
        <v>OK</v>
      </c>
      <c r="M256" s="14">
        <f>DATE(YEAR(tblTransactions[[#This Row],[date]]),MONTH(tblTransactions[[#This Row],[date]]),1)</f>
        <v>45809</v>
      </c>
      <c r="N256" t="str">
        <f>IF(WEEKDAY(tblTransactions[[#This Row],[date]],2)&gt;5,"Weekend","Weekday")</f>
        <v>Weekend</v>
      </c>
      <c r="O25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6" s="13" t="str">
        <f>_xlfn.XLOOKUP(tblTransactions[[#This Row],[tenant_id]],tblTenants[tenant_id],tblTenants[zone],"NOT FOUND")</f>
        <v>Food Court</v>
      </c>
      <c r="Q256" s="13" t="str">
        <f>_xlfn.XLOOKUP(tblTransactions[[#This Row],[tenant_id]],tblTenants[tenant_id],tblTenants[category],"NOT FOUND")</f>
        <v>Quick Service</v>
      </c>
    </row>
    <row r="257" spans="1:17">
      <c r="A257" t="s">
        <v>301</v>
      </c>
      <c r="B257" s="2">
        <v>45710</v>
      </c>
      <c r="C257">
        <v>11</v>
      </c>
      <c r="D257" t="s">
        <v>122</v>
      </c>
      <c r="E257" t="s">
        <v>21</v>
      </c>
      <c r="F257" s="7">
        <v>730.22</v>
      </c>
      <c r="G257" s="10">
        <v>0.3</v>
      </c>
      <c r="H257" s="7">
        <v>511.15</v>
      </c>
      <c r="I257">
        <v>4</v>
      </c>
      <c r="J257" t="s">
        <v>13</v>
      </c>
      <c r="K257" s="13">
        <f>ROUND(tblTransactions[[#This Row],[gross_sales_inr]]*(1-tblTransactions[[#This Row],[discount_pct]]),2)</f>
        <v>511.15</v>
      </c>
      <c r="L257" t="str">
        <f>IF(ABS(tblTransactions[[#This Row],[net_sales_inr]]-tblTransactions[[#This Row],[Recalc_Net_Sales]])&lt;0.02,"OK","CHECK")</f>
        <v>OK</v>
      </c>
      <c r="M257" s="14">
        <f>DATE(YEAR(tblTransactions[[#This Row],[date]]),MONTH(tblTransactions[[#This Row],[date]]),1)</f>
        <v>45689</v>
      </c>
      <c r="N257" t="str">
        <f>IF(WEEKDAY(tblTransactions[[#This Row],[date]],2)&gt;5,"Weekend","Weekday")</f>
        <v>Weekend</v>
      </c>
      <c r="O25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57" s="13" t="str">
        <f>_xlfn.XLOOKUP(tblTransactions[[#This Row],[tenant_id]],tblTenants[tenant_id],tblTenants[zone],"NOT FOUND")</f>
        <v>Beauty &amp; Wellness</v>
      </c>
      <c r="Q257" s="13" t="str">
        <f>_xlfn.XLOOKUP(tblTransactions[[#This Row],[tenant_id]],tblTenants[tenant_id],tblTenants[category],"NOT FOUND")</f>
        <v>Wellness</v>
      </c>
    </row>
    <row r="258" spans="1:17">
      <c r="A258" t="s">
        <v>302</v>
      </c>
      <c r="B258" s="2">
        <v>45700</v>
      </c>
      <c r="C258">
        <v>10</v>
      </c>
      <c r="D258" t="s">
        <v>34</v>
      </c>
      <c r="E258" t="s">
        <v>12</v>
      </c>
      <c r="F258" s="7">
        <v>1261.68</v>
      </c>
      <c r="G258" s="10">
        <v>0</v>
      </c>
      <c r="H258" s="7">
        <v>1261.68</v>
      </c>
      <c r="I258">
        <v>5</v>
      </c>
      <c r="J258" t="s">
        <v>16</v>
      </c>
      <c r="K258" s="13">
        <f>ROUND(tblTransactions[[#This Row],[gross_sales_inr]]*(1-tblTransactions[[#This Row],[discount_pct]]),2)</f>
        <v>1261.68</v>
      </c>
      <c r="L258" t="str">
        <f>IF(ABS(tblTransactions[[#This Row],[net_sales_inr]]-tblTransactions[[#This Row],[Recalc_Net_Sales]])&lt;0.02,"OK","CHECK")</f>
        <v>OK</v>
      </c>
      <c r="M258" s="14">
        <f>DATE(YEAR(tblTransactions[[#This Row],[date]]),MONTH(tblTransactions[[#This Row],[date]]),1)</f>
        <v>45689</v>
      </c>
      <c r="N258" t="str">
        <f>IF(WEEKDAY(tblTransactions[[#This Row],[date]],2)&gt;5,"Weekend","Weekday")</f>
        <v>Weekday</v>
      </c>
      <c r="O258" s="13" t="str">
        <f>IF(tblTransactions[[#This Row],[discount_pct]]=0,"0%",IF(tblTransactions[[#This Row],[discount_pct]]&lt;=10%,"1–
10%",IF(tblTransactions[[#This Row],[discount_pct]]&lt;=20%,"11–20%","&gt;20%")))</f>
        <v>0%</v>
      </c>
      <c r="P258" s="13" t="str">
        <f>_xlfn.XLOOKUP(tblTransactions[[#This Row],[tenant_id]],tblTenants[tenant_id],tblTenants[zone],"NOT FOUND")</f>
        <v>Home &amp; Living</v>
      </c>
      <c r="Q258" s="13" t="str">
        <f>_xlfn.XLOOKUP(tblTransactions[[#This Row],[tenant_id]],tblTenants[tenant_id],tblTenants[category],"NOT FOUND")</f>
        <v>Electronics</v>
      </c>
    </row>
    <row r="259" spans="1:17">
      <c r="A259" t="s">
        <v>303</v>
      </c>
      <c r="B259" s="2">
        <v>45748</v>
      </c>
      <c r="C259">
        <v>11</v>
      </c>
      <c r="D259" t="s">
        <v>20</v>
      </c>
      <c r="E259" t="s">
        <v>12</v>
      </c>
      <c r="F259" s="7">
        <v>336.76</v>
      </c>
      <c r="G259" s="10">
        <v>0</v>
      </c>
      <c r="H259" s="7">
        <v>336.76</v>
      </c>
      <c r="I259">
        <v>3</v>
      </c>
      <c r="J259" t="s">
        <v>16</v>
      </c>
      <c r="K259" s="13">
        <f>ROUND(tblTransactions[[#This Row],[gross_sales_inr]]*(1-tblTransactions[[#This Row],[discount_pct]]),2)</f>
        <v>336.76</v>
      </c>
      <c r="L259" t="str">
        <f>IF(ABS(tblTransactions[[#This Row],[net_sales_inr]]-tblTransactions[[#This Row],[Recalc_Net_Sales]])&lt;0.02,"OK","CHECK")</f>
        <v>OK</v>
      </c>
      <c r="M259" s="14">
        <f>DATE(YEAR(tblTransactions[[#This Row],[date]]),MONTH(tblTransactions[[#This Row],[date]]),1)</f>
        <v>45748</v>
      </c>
      <c r="N259" t="str">
        <f>IF(WEEKDAY(tblTransactions[[#This Row],[date]],2)&gt;5,"Weekend","Weekday")</f>
        <v>Weekday</v>
      </c>
      <c r="O259" s="13" t="str">
        <f>IF(tblTransactions[[#This Row],[discount_pct]]=0,"0%",IF(tblTransactions[[#This Row],[discount_pct]]&lt;=10%,"1–
10%",IF(tblTransactions[[#This Row],[discount_pct]]&lt;=20%,"11–20%","&gt;20%")))</f>
        <v>0%</v>
      </c>
      <c r="P259" s="13" t="str">
        <f>_xlfn.XLOOKUP(tblTransactions[[#This Row],[tenant_id]],tblTenants[tenant_id],tblTenants[zone],"NOT FOUND")</f>
        <v>Fashion Avenue</v>
      </c>
      <c r="Q259" s="13" t="str">
        <f>_xlfn.XLOOKUP(tblTransactions[[#This Row],[tenant_id]],tblTenants[tenant_id],tblTenants[category],"NOT FOUND")</f>
        <v>Accessories</v>
      </c>
    </row>
    <row r="260" spans="1:17">
      <c r="A260" t="s">
        <v>304</v>
      </c>
      <c r="B260" s="2">
        <v>45751</v>
      </c>
      <c r="C260">
        <v>17</v>
      </c>
      <c r="D260" t="s">
        <v>11</v>
      </c>
      <c r="E260" t="s">
        <v>12</v>
      </c>
      <c r="F260" s="7">
        <v>877.51</v>
      </c>
      <c r="G260" s="10">
        <v>0.1</v>
      </c>
      <c r="H260" s="7">
        <v>789.76</v>
      </c>
      <c r="I260">
        <v>1</v>
      </c>
      <c r="J260" t="s">
        <v>16</v>
      </c>
      <c r="K260" s="13">
        <f>ROUND(tblTransactions[[#This Row],[gross_sales_inr]]*(1-tblTransactions[[#This Row],[discount_pct]]),2)</f>
        <v>789.76</v>
      </c>
      <c r="L260" t="str">
        <f>IF(ABS(tblTransactions[[#This Row],[net_sales_inr]]-tblTransactions[[#This Row],[Recalc_Net_Sales]])&lt;0.02,"OK","CHECK")</f>
        <v>OK</v>
      </c>
      <c r="M260" s="14">
        <f>DATE(YEAR(tblTransactions[[#This Row],[date]]),MONTH(tblTransactions[[#This Row],[date]]),1)</f>
        <v>45748</v>
      </c>
      <c r="N260" t="str">
        <f>IF(WEEKDAY(tblTransactions[[#This Row],[date]],2)&gt;5,"Weekend","Weekday")</f>
        <v>Weekday</v>
      </c>
      <c r="O26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0" s="13" t="str">
        <f>_xlfn.XLOOKUP(tblTransactions[[#This Row],[tenant_id]],tblTenants[tenant_id],tblTenants[zone],"NOT FOUND")</f>
        <v>Home &amp; Living</v>
      </c>
      <c r="Q260" s="13" t="str">
        <f>_xlfn.XLOOKUP(tblTransactions[[#This Row],[tenant_id]],tblTenants[tenant_id],tblTenants[category],"NOT FOUND")</f>
        <v>Home Decor</v>
      </c>
    </row>
    <row r="261" spans="1:17">
      <c r="A261" t="s">
        <v>305</v>
      </c>
      <c r="B261" s="2">
        <v>45783</v>
      </c>
      <c r="C261">
        <v>22</v>
      </c>
      <c r="D261" t="s">
        <v>36</v>
      </c>
      <c r="E261" t="s">
        <v>12</v>
      </c>
      <c r="F261" s="7">
        <v>1736.09</v>
      </c>
      <c r="G261" s="10">
        <v>0</v>
      </c>
      <c r="H261" s="7">
        <v>1736.09</v>
      </c>
      <c r="I261">
        <v>4</v>
      </c>
      <c r="J261" t="s">
        <v>13</v>
      </c>
      <c r="K261" s="13">
        <f>ROUND(tblTransactions[[#This Row],[gross_sales_inr]]*(1-tblTransactions[[#This Row],[discount_pct]]),2)</f>
        <v>1736.09</v>
      </c>
      <c r="L261" t="str">
        <f>IF(ABS(tblTransactions[[#This Row],[net_sales_inr]]-tblTransactions[[#This Row],[Recalc_Net_Sales]])&lt;0.02,"OK","CHECK")</f>
        <v>OK</v>
      </c>
      <c r="M261" s="14">
        <f>DATE(YEAR(tblTransactions[[#This Row],[date]]),MONTH(tblTransactions[[#This Row],[date]]),1)</f>
        <v>45778</v>
      </c>
      <c r="N261" t="str">
        <f>IF(WEEKDAY(tblTransactions[[#This Row],[date]],2)&gt;5,"Weekend","Weekday")</f>
        <v>Weekday</v>
      </c>
      <c r="O261" s="13" t="str">
        <f>IF(tblTransactions[[#This Row],[discount_pct]]=0,"0%",IF(tblTransactions[[#This Row],[discount_pct]]&lt;=10%,"1–
10%",IF(tblTransactions[[#This Row],[discount_pct]]&lt;=20%,"11–20%","&gt;20%")))</f>
        <v>0%</v>
      </c>
      <c r="P261" s="13" t="str">
        <f>_xlfn.XLOOKUP(tblTransactions[[#This Row],[tenant_id]],tblTenants[tenant_id],tblTenants[zone],"NOT FOUND")</f>
        <v>Home &amp; Living</v>
      </c>
      <c r="Q261" s="13" t="str">
        <f>_xlfn.XLOOKUP(tblTransactions[[#This Row],[tenant_id]],tblTenants[tenant_id],tblTenants[category],"NOT FOUND")</f>
        <v>Electronics</v>
      </c>
    </row>
    <row r="262" spans="1:17">
      <c r="A262" t="s">
        <v>306</v>
      </c>
      <c r="B262" s="2">
        <v>45719</v>
      </c>
      <c r="C262">
        <v>21</v>
      </c>
      <c r="D262" t="s">
        <v>57</v>
      </c>
      <c r="E262" t="s">
        <v>12</v>
      </c>
      <c r="F262" s="7">
        <v>853.95</v>
      </c>
      <c r="G262" s="10">
        <v>0.1</v>
      </c>
      <c r="H262" s="7">
        <v>768.56</v>
      </c>
      <c r="I262">
        <v>1</v>
      </c>
      <c r="J262" t="s">
        <v>13</v>
      </c>
      <c r="K262" s="13">
        <f>ROUND(tblTransactions[[#This Row],[gross_sales_inr]]*(1-tblTransactions[[#This Row],[discount_pct]]),2)</f>
        <v>768.56</v>
      </c>
      <c r="L262" t="str">
        <f>IF(ABS(tblTransactions[[#This Row],[net_sales_inr]]-tblTransactions[[#This Row],[Recalc_Net_Sales]])&lt;0.02,"OK","CHECK")</f>
        <v>OK</v>
      </c>
      <c r="M262" s="14">
        <f>DATE(YEAR(tblTransactions[[#This Row],[date]]),MONTH(tblTransactions[[#This Row],[date]]),1)</f>
        <v>45717</v>
      </c>
      <c r="N262" t="str">
        <f>IF(WEEKDAY(tblTransactions[[#This Row],[date]],2)&gt;5,"Weekend","Weekday")</f>
        <v>Weekday</v>
      </c>
      <c r="O26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2" s="13" t="str">
        <f>_xlfn.XLOOKUP(tblTransactions[[#This Row],[tenant_id]],tblTenants[tenant_id],tblTenants[zone],"NOT FOUND")</f>
        <v>Food Court</v>
      </c>
      <c r="Q262" s="13" t="str">
        <f>_xlfn.XLOOKUP(tblTransactions[[#This Row],[tenant_id]],tblTenants[tenant_id],tblTenants[category],"NOT FOUND")</f>
        <v>Casual Dining</v>
      </c>
    </row>
    <row r="263" spans="1:17">
      <c r="A263" t="s">
        <v>307</v>
      </c>
      <c r="B263" s="2">
        <v>45773</v>
      </c>
      <c r="C263">
        <v>17</v>
      </c>
      <c r="D263" t="s">
        <v>20</v>
      </c>
      <c r="E263" t="s">
        <v>12</v>
      </c>
      <c r="F263" s="7">
        <v>1586.82</v>
      </c>
      <c r="G263" s="10">
        <v>0.1</v>
      </c>
      <c r="H263" s="7">
        <v>1428.14</v>
      </c>
      <c r="I263">
        <v>4</v>
      </c>
      <c r="J263" t="s">
        <v>16</v>
      </c>
      <c r="K263" s="13">
        <f>ROUND(tblTransactions[[#This Row],[gross_sales_inr]]*(1-tblTransactions[[#This Row],[discount_pct]]),2)</f>
        <v>1428.14</v>
      </c>
      <c r="L263" t="str">
        <f>IF(ABS(tblTransactions[[#This Row],[net_sales_inr]]-tblTransactions[[#This Row],[Recalc_Net_Sales]])&lt;0.02,"OK","CHECK")</f>
        <v>OK</v>
      </c>
      <c r="M263" s="14">
        <f>DATE(YEAR(tblTransactions[[#This Row],[date]]),MONTH(tblTransactions[[#This Row],[date]]),1)</f>
        <v>45748</v>
      </c>
      <c r="N263" t="str">
        <f>IF(WEEKDAY(tblTransactions[[#This Row],[date]],2)&gt;5,"Weekend","Weekday")</f>
        <v>Weekend</v>
      </c>
      <c r="O26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3" s="13" t="str">
        <f>_xlfn.XLOOKUP(tblTransactions[[#This Row],[tenant_id]],tblTenants[tenant_id],tblTenants[zone],"NOT FOUND")</f>
        <v>Fashion Avenue</v>
      </c>
      <c r="Q263" s="13" t="str">
        <f>_xlfn.XLOOKUP(tblTransactions[[#This Row],[tenant_id]],tblTenants[tenant_id],tblTenants[category],"NOT FOUND")</f>
        <v>Accessories</v>
      </c>
    </row>
    <row r="264" spans="1:17">
      <c r="A264" t="s">
        <v>308</v>
      </c>
      <c r="B264" s="2">
        <v>45705</v>
      </c>
      <c r="C264">
        <v>19</v>
      </c>
      <c r="D264" t="s">
        <v>18</v>
      </c>
      <c r="E264" t="s">
        <v>21</v>
      </c>
      <c r="F264" s="7">
        <v>800.9</v>
      </c>
      <c r="G264" s="10">
        <v>0</v>
      </c>
      <c r="H264" s="7">
        <v>800.9</v>
      </c>
      <c r="I264">
        <v>1</v>
      </c>
      <c r="J264" t="s">
        <v>16</v>
      </c>
      <c r="K264" s="13">
        <f>ROUND(tblTransactions[[#This Row],[gross_sales_inr]]*(1-tblTransactions[[#This Row],[discount_pct]]),2)</f>
        <v>800.9</v>
      </c>
      <c r="L264" t="str">
        <f>IF(ABS(tblTransactions[[#This Row],[net_sales_inr]]-tblTransactions[[#This Row],[Recalc_Net_Sales]])&lt;0.02,"OK","CHECK")</f>
        <v>OK</v>
      </c>
      <c r="M264" s="14">
        <f>DATE(YEAR(tblTransactions[[#This Row],[date]]),MONTH(tblTransactions[[#This Row],[date]]),1)</f>
        <v>45689</v>
      </c>
      <c r="N264" t="str">
        <f>IF(WEEKDAY(tblTransactions[[#This Row],[date]],2)&gt;5,"Weekend","Weekday")</f>
        <v>Weekday</v>
      </c>
      <c r="O264" s="13" t="str">
        <f>IF(tblTransactions[[#This Row],[discount_pct]]=0,"0%",IF(tblTransactions[[#This Row],[discount_pct]]&lt;=10%,"1–
10%",IF(tblTransactions[[#This Row],[discount_pct]]&lt;=20%,"11–20%","&gt;20%")))</f>
        <v>0%</v>
      </c>
      <c r="P264" s="13" t="str">
        <f>_xlfn.XLOOKUP(tblTransactions[[#This Row],[tenant_id]],tblTenants[tenant_id],tblTenants[zone],"NOT FOUND")</f>
        <v>Beauty &amp; Wellness</v>
      </c>
      <c r="Q264" s="13" t="str">
        <f>_xlfn.XLOOKUP(tblTransactions[[#This Row],[tenant_id]],tblTenants[tenant_id],tblTenants[category],"NOT FOUND")</f>
        <v>Beauty</v>
      </c>
    </row>
    <row r="265" spans="1:17">
      <c r="A265" t="s">
        <v>309</v>
      </c>
      <c r="B265" s="2">
        <v>45663</v>
      </c>
      <c r="C265">
        <v>19</v>
      </c>
      <c r="D265" t="s">
        <v>15</v>
      </c>
      <c r="E265" t="s">
        <v>12</v>
      </c>
      <c r="F265" s="7">
        <v>417.2</v>
      </c>
      <c r="G265" s="10">
        <v>0</v>
      </c>
      <c r="H265" s="7">
        <v>417.2</v>
      </c>
      <c r="I265">
        <v>4</v>
      </c>
      <c r="J265" t="s">
        <v>16</v>
      </c>
      <c r="K265" s="13">
        <f>ROUND(tblTransactions[[#This Row],[gross_sales_inr]]*(1-tblTransactions[[#This Row],[discount_pct]]),2)</f>
        <v>417.2</v>
      </c>
      <c r="L265" t="str">
        <f>IF(ABS(tblTransactions[[#This Row],[net_sales_inr]]-tblTransactions[[#This Row],[Recalc_Net_Sales]])&lt;0.02,"OK","CHECK")</f>
        <v>OK</v>
      </c>
      <c r="M265" s="14">
        <f>DATE(YEAR(tblTransactions[[#This Row],[date]]),MONTH(tblTransactions[[#This Row],[date]]),1)</f>
        <v>45658</v>
      </c>
      <c r="N265" t="str">
        <f>IF(WEEKDAY(tblTransactions[[#This Row],[date]],2)&gt;5,"Weekend","Weekday")</f>
        <v>Weekday</v>
      </c>
      <c r="O265" s="13" t="str">
        <f>IF(tblTransactions[[#This Row],[discount_pct]]=0,"0%",IF(tblTransactions[[#This Row],[discount_pct]]&lt;=10%,"1–
10%",IF(tblTransactions[[#This Row],[discount_pct]]&lt;=20%,"11–20%","&gt;20%")))</f>
        <v>0%</v>
      </c>
      <c r="P265" s="13" t="str">
        <f>_xlfn.XLOOKUP(tblTransactions[[#This Row],[tenant_id]],tblTenants[tenant_id],tblTenants[zone],"NOT FOUND")</f>
        <v>Fashion Avenue</v>
      </c>
      <c r="Q265" s="13" t="str">
        <f>_xlfn.XLOOKUP(tblTransactions[[#This Row],[tenant_id]],tblTenants[tenant_id],tblTenants[category],"NOT FOUND")</f>
        <v>Accessories</v>
      </c>
    </row>
    <row r="266" spans="1:17">
      <c r="A266" t="s">
        <v>310</v>
      </c>
      <c r="B266" s="2">
        <v>45827</v>
      </c>
      <c r="C266">
        <v>19</v>
      </c>
      <c r="D266" t="s">
        <v>43</v>
      </c>
      <c r="E266" t="s">
        <v>12</v>
      </c>
      <c r="F266" s="7">
        <v>1298.4100000000001</v>
      </c>
      <c r="G266" s="10">
        <v>0</v>
      </c>
      <c r="H266" s="7">
        <v>1298.4100000000001</v>
      </c>
      <c r="I266">
        <v>1</v>
      </c>
      <c r="J266" t="s">
        <v>13</v>
      </c>
      <c r="K266" s="13">
        <f>ROUND(tblTransactions[[#This Row],[gross_sales_inr]]*(1-tblTransactions[[#This Row],[discount_pct]]),2)</f>
        <v>1298.4100000000001</v>
      </c>
      <c r="L266" t="str">
        <f>IF(ABS(tblTransactions[[#This Row],[net_sales_inr]]-tblTransactions[[#This Row],[Recalc_Net_Sales]])&lt;0.02,"OK","CHECK")</f>
        <v>OK</v>
      </c>
      <c r="M266" s="14">
        <f>DATE(YEAR(tblTransactions[[#This Row],[date]]),MONTH(tblTransactions[[#This Row],[date]]),1)</f>
        <v>45809</v>
      </c>
      <c r="N266" t="str">
        <f>IF(WEEKDAY(tblTransactions[[#This Row],[date]],2)&gt;5,"Weekend","Weekday")</f>
        <v>Weekday</v>
      </c>
      <c r="O266" s="13" t="str">
        <f>IF(tblTransactions[[#This Row],[discount_pct]]=0,"0%",IF(tblTransactions[[#This Row],[discount_pct]]&lt;=10%,"1–
10%",IF(tblTransactions[[#This Row],[discount_pct]]&lt;=20%,"11–20%","&gt;20%")))</f>
        <v>0%</v>
      </c>
      <c r="P266" s="13" t="str">
        <f>_xlfn.XLOOKUP(tblTransactions[[#This Row],[tenant_id]],tblTenants[tenant_id],tblTenants[zone],"NOT FOUND")</f>
        <v>Food Court</v>
      </c>
      <c r="Q266" s="13" t="str">
        <f>_xlfn.XLOOKUP(tblTransactions[[#This Row],[tenant_id]],tblTenants[tenant_id],tblTenants[category],"NOT FOUND")</f>
        <v>Casual Dining</v>
      </c>
    </row>
    <row r="267" spans="1:17">
      <c r="A267" t="s">
        <v>311</v>
      </c>
      <c r="B267" s="2">
        <v>45715</v>
      </c>
      <c r="C267">
        <v>21</v>
      </c>
      <c r="D267" t="s">
        <v>15</v>
      </c>
      <c r="E267" t="s">
        <v>21</v>
      </c>
      <c r="F267" s="7">
        <v>635.59</v>
      </c>
      <c r="G267" s="10">
        <v>0</v>
      </c>
      <c r="H267" s="7">
        <v>635.59</v>
      </c>
      <c r="I267">
        <v>5</v>
      </c>
      <c r="J267" t="s">
        <v>13</v>
      </c>
      <c r="K267" s="13">
        <f>ROUND(tblTransactions[[#This Row],[gross_sales_inr]]*(1-tblTransactions[[#This Row],[discount_pct]]),2)</f>
        <v>635.59</v>
      </c>
      <c r="L267" t="str">
        <f>IF(ABS(tblTransactions[[#This Row],[net_sales_inr]]-tblTransactions[[#This Row],[Recalc_Net_Sales]])&lt;0.02,"OK","CHECK")</f>
        <v>OK</v>
      </c>
      <c r="M267" s="14">
        <f>DATE(YEAR(tblTransactions[[#This Row],[date]]),MONTH(tblTransactions[[#This Row],[date]]),1)</f>
        <v>45689</v>
      </c>
      <c r="N267" t="str">
        <f>IF(WEEKDAY(tblTransactions[[#This Row],[date]],2)&gt;5,"Weekend","Weekday")</f>
        <v>Weekday</v>
      </c>
      <c r="O267" s="13" t="str">
        <f>IF(tblTransactions[[#This Row],[discount_pct]]=0,"0%",IF(tblTransactions[[#This Row],[discount_pct]]&lt;=10%,"1–
10%",IF(tblTransactions[[#This Row],[discount_pct]]&lt;=20%,"11–20%","&gt;20%")))</f>
        <v>0%</v>
      </c>
      <c r="P267" s="13" t="str">
        <f>_xlfn.XLOOKUP(tblTransactions[[#This Row],[tenant_id]],tblTenants[tenant_id],tblTenants[zone],"NOT FOUND")</f>
        <v>Fashion Avenue</v>
      </c>
      <c r="Q267" s="13" t="str">
        <f>_xlfn.XLOOKUP(tblTransactions[[#This Row],[tenant_id]],tblTenants[tenant_id],tblTenants[category],"NOT FOUND")</f>
        <v>Accessories</v>
      </c>
    </row>
    <row r="268" spans="1:17">
      <c r="A268" t="s">
        <v>312</v>
      </c>
      <c r="B268" s="2">
        <v>45728</v>
      </c>
      <c r="C268">
        <v>14</v>
      </c>
      <c r="D268" t="s">
        <v>31</v>
      </c>
      <c r="E268" t="s">
        <v>12</v>
      </c>
      <c r="F268" s="7">
        <v>1435.49</v>
      </c>
      <c r="G268" s="10">
        <v>0</v>
      </c>
      <c r="H268" s="7">
        <v>1435.49</v>
      </c>
      <c r="I268">
        <v>2</v>
      </c>
      <c r="J268" t="s">
        <v>16</v>
      </c>
      <c r="K268" s="13">
        <f>ROUND(tblTransactions[[#This Row],[gross_sales_inr]]*(1-tblTransactions[[#This Row],[discount_pct]]),2)</f>
        <v>1435.49</v>
      </c>
      <c r="L268" t="str">
        <f>IF(ABS(tblTransactions[[#This Row],[net_sales_inr]]-tblTransactions[[#This Row],[Recalc_Net_Sales]])&lt;0.02,"OK","CHECK")</f>
        <v>OK</v>
      </c>
      <c r="M268" s="14">
        <f>DATE(YEAR(tblTransactions[[#This Row],[date]]),MONTH(tblTransactions[[#This Row],[date]]),1)</f>
        <v>45717</v>
      </c>
      <c r="N268" t="str">
        <f>IF(WEEKDAY(tblTransactions[[#This Row],[date]],2)&gt;5,"Weekend","Weekday")</f>
        <v>Weekday</v>
      </c>
      <c r="O268" s="13" t="str">
        <f>IF(tblTransactions[[#This Row],[discount_pct]]=0,"0%",IF(tblTransactions[[#This Row],[discount_pct]]&lt;=10%,"1–
10%",IF(tblTransactions[[#This Row],[discount_pct]]&lt;=20%,"11–20%","&gt;20%")))</f>
        <v>0%</v>
      </c>
      <c r="P268" s="13" t="str">
        <f>_xlfn.XLOOKUP(tblTransactions[[#This Row],[tenant_id]],tblTenants[tenant_id],tblTenants[zone],"NOT FOUND")</f>
        <v>Entertainment</v>
      </c>
      <c r="Q268" s="13" t="str">
        <f>_xlfn.XLOOKUP(tblTransactions[[#This Row],[tenant_id]],tblTenants[tenant_id],tblTenants[category],"NOT FOUND")</f>
        <v>Arcade</v>
      </c>
    </row>
    <row r="269" spans="1:17">
      <c r="A269" t="s">
        <v>313</v>
      </c>
      <c r="B269" s="2">
        <v>45681</v>
      </c>
      <c r="C269">
        <v>17</v>
      </c>
      <c r="D269" t="s">
        <v>87</v>
      </c>
      <c r="E269" t="s">
        <v>32</v>
      </c>
      <c r="F269" s="7">
        <v>1077.1600000000001</v>
      </c>
      <c r="G269" s="10">
        <v>0</v>
      </c>
      <c r="H269" s="7">
        <v>1077.1600000000001</v>
      </c>
      <c r="I269">
        <v>4</v>
      </c>
      <c r="J269" t="s">
        <v>16</v>
      </c>
      <c r="K269" s="13">
        <f>ROUND(tblTransactions[[#This Row],[gross_sales_inr]]*(1-tblTransactions[[#This Row],[discount_pct]]),2)</f>
        <v>1077.1600000000001</v>
      </c>
      <c r="L269" t="str">
        <f>IF(ABS(tblTransactions[[#This Row],[net_sales_inr]]-tblTransactions[[#This Row],[Recalc_Net_Sales]])&lt;0.02,"OK","CHECK")</f>
        <v>OK</v>
      </c>
      <c r="M269" s="14">
        <f>DATE(YEAR(tblTransactions[[#This Row],[date]]),MONTH(tblTransactions[[#This Row],[date]]),1)</f>
        <v>45658</v>
      </c>
      <c r="N269" t="str">
        <f>IF(WEEKDAY(tblTransactions[[#This Row],[date]],2)&gt;5,"Weekend","Weekday")</f>
        <v>Weekday</v>
      </c>
      <c r="O269" s="13" t="str">
        <f>IF(tblTransactions[[#This Row],[discount_pct]]=0,"0%",IF(tblTransactions[[#This Row],[discount_pct]]&lt;=10%,"1–
10%",IF(tblTransactions[[#This Row],[discount_pct]]&lt;=20%,"11–20%","&gt;20%")))</f>
        <v>0%</v>
      </c>
      <c r="P269" s="13" t="str">
        <f>_xlfn.XLOOKUP(tblTransactions[[#This Row],[tenant_id]],tblTenants[tenant_id],tblTenants[zone],"NOT FOUND")</f>
        <v>Fashion Avenue</v>
      </c>
      <c r="Q269" s="13" t="str">
        <f>_xlfn.XLOOKUP(tblTransactions[[#This Row],[tenant_id]],tblTenants[tenant_id],tblTenants[category],"NOT FOUND")</f>
        <v>Footwear</v>
      </c>
    </row>
    <row r="270" spans="1:17">
      <c r="A270" t="s">
        <v>314</v>
      </c>
      <c r="B270" s="2">
        <v>45824</v>
      </c>
      <c r="C270">
        <v>10</v>
      </c>
      <c r="D270" t="s">
        <v>29</v>
      </c>
      <c r="E270" t="s">
        <v>12</v>
      </c>
      <c r="F270" s="7">
        <v>1263.06</v>
      </c>
      <c r="G270" s="10">
        <v>0</v>
      </c>
      <c r="H270" s="7">
        <v>1263.06</v>
      </c>
      <c r="I270">
        <v>2</v>
      </c>
      <c r="J270" t="s">
        <v>13</v>
      </c>
      <c r="K270" s="13">
        <f>ROUND(tblTransactions[[#This Row],[gross_sales_inr]]*(1-tblTransactions[[#This Row],[discount_pct]]),2)</f>
        <v>1263.06</v>
      </c>
      <c r="L270" t="str">
        <f>IF(ABS(tblTransactions[[#This Row],[net_sales_inr]]-tblTransactions[[#This Row],[Recalc_Net_Sales]])&lt;0.02,"OK","CHECK")</f>
        <v>OK</v>
      </c>
      <c r="M270" s="14">
        <f>DATE(YEAR(tblTransactions[[#This Row],[date]]),MONTH(tblTransactions[[#This Row],[date]]),1)</f>
        <v>45809</v>
      </c>
      <c r="N270" t="str">
        <f>IF(WEEKDAY(tblTransactions[[#This Row],[date]],2)&gt;5,"Weekend","Weekday")</f>
        <v>Weekday</v>
      </c>
      <c r="O270" s="13" t="str">
        <f>IF(tblTransactions[[#This Row],[discount_pct]]=0,"0%",IF(tblTransactions[[#This Row],[discount_pct]]&lt;=10%,"1–
10%",IF(tblTransactions[[#This Row],[discount_pct]]&lt;=20%,"11–20%","&gt;20%")))</f>
        <v>0%</v>
      </c>
      <c r="P270" s="13" t="str">
        <f>_xlfn.XLOOKUP(tblTransactions[[#This Row],[tenant_id]],tblTenants[tenant_id],tblTenants[zone],"NOT FOUND")</f>
        <v>Entertainment</v>
      </c>
      <c r="Q270" s="13" t="str">
        <f>_xlfn.XLOOKUP(tblTransactions[[#This Row],[tenant_id]],tblTenants[tenant_id],tblTenants[category],"NOT FOUND")</f>
        <v>Cinema</v>
      </c>
    </row>
    <row r="271" spans="1:17">
      <c r="A271" t="s">
        <v>315</v>
      </c>
      <c r="B271" s="2">
        <v>45790</v>
      </c>
      <c r="C271">
        <v>12</v>
      </c>
      <c r="D271" t="s">
        <v>23</v>
      </c>
      <c r="E271" t="s">
        <v>51</v>
      </c>
      <c r="F271" s="7">
        <v>1771.11</v>
      </c>
      <c r="G271" s="10">
        <v>0</v>
      </c>
      <c r="H271" s="7">
        <v>1771.11</v>
      </c>
      <c r="I271">
        <v>3</v>
      </c>
      <c r="J271" t="s">
        <v>13</v>
      </c>
      <c r="K271" s="13">
        <f>ROUND(tblTransactions[[#This Row],[gross_sales_inr]]*(1-tblTransactions[[#This Row],[discount_pct]]),2)</f>
        <v>1771.11</v>
      </c>
      <c r="L271" t="str">
        <f>IF(ABS(tblTransactions[[#This Row],[net_sales_inr]]-tblTransactions[[#This Row],[Recalc_Net_Sales]])&lt;0.02,"OK","CHECK")</f>
        <v>OK</v>
      </c>
      <c r="M271" s="14">
        <f>DATE(YEAR(tblTransactions[[#This Row],[date]]),MONTH(tblTransactions[[#This Row],[date]]),1)</f>
        <v>45778</v>
      </c>
      <c r="N271" t="str">
        <f>IF(WEEKDAY(tblTransactions[[#This Row],[date]],2)&gt;5,"Weekend","Weekday")</f>
        <v>Weekday</v>
      </c>
      <c r="O271" s="13" t="str">
        <f>IF(tblTransactions[[#This Row],[discount_pct]]=0,"0%",IF(tblTransactions[[#This Row],[discount_pct]]&lt;=10%,"1–
10%",IF(tblTransactions[[#This Row],[discount_pct]]&lt;=20%,"11–20%","&gt;20%")))</f>
        <v>0%</v>
      </c>
      <c r="P271" s="13" t="str">
        <f>_xlfn.XLOOKUP(tblTransactions[[#This Row],[tenant_id]],tblTenants[tenant_id],tblTenants[zone],"NOT FOUND")</f>
        <v>Entertainment</v>
      </c>
      <c r="Q271" s="13" t="str">
        <f>_xlfn.XLOOKUP(tblTransactions[[#This Row],[tenant_id]],tblTenants[tenant_id],tblTenants[category],"NOT FOUND")</f>
        <v>Cinema</v>
      </c>
    </row>
    <row r="272" spans="1:17">
      <c r="A272" t="s">
        <v>316</v>
      </c>
      <c r="B272" s="2">
        <v>45781</v>
      </c>
      <c r="C272">
        <v>20</v>
      </c>
      <c r="D272" t="s">
        <v>61</v>
      </c>
      <c r="E272" t="s">
        <v>32</v>
      </c>
      <c r="F272" s="7">
        <v>375.76</v>
      </c>
      <c r="G272" s="10">
        <v>0</v>
      </c>
      <c r="H272" s="7">
        <v>375.76</v>
      </c>
      <c r="I272">
        <v>2</v>
      </c>
      <c r="J272" t="s">
        <v>16</v>
      </c>
      <c r="K272" s="13">
        <f>ROUND(tblTransactions[[#This Row],[gross_sales_inr]]*(1-tblTransactions[[#This Row],[discount_pct]]),2)</f>
        <v>375.76</v>
      </c>
      <c r="L272" t="str">
        <f>IF(ABS(tblTransactions[[#This Row],[net_sales_inr]]-tblTransactions[[#This Row],[Recalc_Net_Sales]])&lt;0.02,"OK","CHECK")</f>
        <v>OK</v>
      </c>
      <c r="M272" s="14">
        <f>DATE(YEAR(tblTransactions[[#This Row],[date]]),MONTH(tblTransactions[[#This Row],[date]]),1)</f>
        <v>45778</v>
      </c>
      <c r="N272" t="str">
        <f>IF(WEEKDAY(tblTransactions[[#This Row],[date]],2)&gt;5,"Weekend","Weekday")</f>
        <v>Weekend</v>
      </c>
      <c r="O272" s="13" t="str">
        <f>IF(tblTransactions[[#This Row],[discount_pct]]=0,"0%",IF(tblTransactions[[#This Row],[discount_pct]]&lt;=10%,"1–
10%",IF(tblTransactions[[#This Row],[discount_pct]]&lt;=20%,"11–20%","&gt;20%")))</f>
        <v>0%</v>
      </c>
      <c r="P272" s="13" t="str">
        <f>_xlfn.XLOOKUP(tblTransactions[[#This Row],[tenant_id]],tblTenants[tenant_id],tblTenants[zone],"NOT FOUND")</f>
        <v>Food Court</v>
      </c>
      <c r="Q272" s="13" t="str">
        <f>_xlfn.XLOOKUP(tblTransactions[[#This Row],[tenant_id]],tblTenants[tenant_id],tblTenants[category],"NOT FOUND")</f>
        <v>Quick Service</v>
      </c>
    </row>
    <row r="273" spans="1:17">
      <c r="A273" t="s">
        <v>317</v>
      </c>
      <c r="B273" s="2">
        <v>45755</v>
      </c>
      <c r="C273">
        <v>10</v>
      </c>
      <c r="D273" t="s">
        <v>29</v>
      </c>
      <c r="E273" t="s">
        <v>21</v>
      </c>
      <c r="F273" s="7">
        <v>698.38</v>
      </c>
      <c r="G273" s="10">
        <v>0</v>
      </c>
      <c r="H273" s="7">
        <v>698.38</v>
      </c>
      <c r="I273">
        <v>1</v>
      </c>
      <c r="J273" t="s">
        <v>13</v>
      </c>
      <c r="K273" s="13">
        <f>ROUND(tblTransactions[[#This Row],[gross_sales_inr]]*(1-tblTransactions[[#This Row],[discount_pct]]),2)</f>
        <v>698.38</v>
      </c>
      <c r="L273" t="str">
        <f>IF(ABS(tblTransactions[[#This Row],[net_sales_inr]]-tblTransactions[[#This Row],[Recalc_Net_Sales]])&lt;0.02,"OK","CHECK")</f>
        <v>OK</v>
      </c>
      <c r="M273" s="14">
        <f>DATE(YEAR(tblTransactions[[#This Row],[date]]),MONTH(tblTransactions[[#This Row],[date]]),1)</f>
        <v>45748</v>
      </c>
      <c r="N273" t="str">
        <f>IF(WEEKDAY(tblTransactions[[#This Row],[date]],2)&gt;5,"Weekend","Weekday")</f>
        <v>Weekday</v>
      </c>
      <c r="O273" s="13" t="str">
        <f>IF(tblTransactions[[#This Row],[discount_pct]]=0,"0%",IF(tblTransactions[[#This Row],[discount_pct]]&lt;=10%,"1–
10%",IF(tblTransactions[[#This Row],[discount_pct]]&lt;=20%,"11–20%","&gt;20%")))</f>
        <v>0%</v>
      </c>
      <c r="P273" s="13" t="str">
        <f>_xlfn.XLOOKUP(tblTransactions[[#This Row],[tenant_id]],tblTenants[tenant_id],tblTenants[zone],"NOT FOUND")</f>
        <v>Entertainment</v>
      </c>
      <c r="Q273" s="13" t="str">
        <f>_xlfn.XLOOKUP(tblTransactions[[#This Row],[tenant_id]],tblTenants[tenant_id],tblTenants[category],"NOT FOUND")</f>
        <v>Cinema</v>
      </c>
    </row>
    <row r="274" spans="1:17">
      <c r="A274" t="s">
        <v>318</v>
      </c>
      <c r="B274" s="2">
        <v>45835</v>
      </c>
      <c r="C274">
        <v>18</v>
      </c>
      <c r="D274" t="s">
        <v>15</v>
      </c>
      <c r="E274" t="s">
        <v>32</v>
      </c>
      <c r="F274" s="7">
        <v>598.32000000000005</v>
      </c>
      <c r="G274" s="10">
        <v>0</v>
      </c>
      <c r="H274" s="7">
        <v>598.32000000000005</v>
      </c>
      <c r="I274">
        <v>2</v>
      </c>
      <c r="J274" t="s">
        <v>13</v>
      </c>
      <c r="K274" s="13">
        <f>ROUND(tblTransactions[[#This Row],[gross_sales_inr]]*(1-tblTransactions[[#This Row],[discount_pct]]),2)</f>
        <v>598.32000000000005</v>
      </c>
      <c r="L274" t="str">
        <f>IF(ABS(tblTransactions[[#This Row],[net_sales_inr]]-tblTransactions[[#This Row],[Recalc_Net_Sales]])&lt;0.02,"OK","CHECK")</f>
        <v>OK</v>
      </c>
      <c r="M274" s="14">
        <f>DATE(YEAR(tblTransactions[[#This Row],[date]]),MONTH(tblTransactions[[#This Row],[date]]),1)</f>
        <v>45809</v>
      </c>
      <c r="N274" t="str">
        <f>IF(WEEKDAY(tblTransactions[[#This Row],[date]],2)&gt;5,"Weekend","Weekday")</f>
        <v>Weekday</v>
      </c>
      <c r="O274" s="13" t="str">
        <f>IF(tblTransactions[[#This Row],[discount_pct]]=0,"0%",IF(tblTransactions[[#This Row],[discount_pct]]&lt;=10%,"1–
10%",IF(tblTransactions[[#This Row],[discount_pct]]&lt;=20%,"11–20%","&gt;20%")))</f>
        <v>0%</v>
      </c>
      <c r="P274" s="13" t="str">
        <f>_xlfn.XLOOKUP(tblTransactions[[#This Row],[tenant_id]],tblTenants[tenant_id],tblTenants[zone],"NOT FOUND")</f>
        <v>Fashion Avenue</v>
      </c>
      <c r="Q274" s="13" t="str">
        <f>_xlfn.XLOOKUP(tblTransactions[[#This Row],[tenant_id]],tblTenants[tenant_id],tblTenants[category],"NOT FOUND")</f>
        <v>Accessories</v>
      </c>
    </row>
    <row r="275" spans="1:17">
      <c r="A275" t="s">
        <v>319</v>
      </c>
      <c r="B275" s="2">
        <v>45717</v>
      </c>
      <c r="C275">
        <v>21</v>
      </c>
      <c r="D275" t="s">
        <v>80</v>
      </c>
      <c r="E275" t="s">
        <v>32</v>
      </c>
      <c r="F275" s="7">
        <v>1052.04</v>
      </c>
      <c r="G275" s="10">
        <v>0.3</v>
      </c>
      <c r="H275" s="7">
        <v>736.43</v>
      </c>
      <c r="I275">
        <v>4</v>
      </c>
      <c r="J275" t="s">
        <v>13</v>
      </c>
      <c r="K275" s="13">
        <f>ROUND(tblTransactions[[#This Row],[gross_sales_inr]]*(1-tblTransactions[[#This Row],[discount_pct]]),2)</f>
        <v>736.43</v>
      </c>
      <c r="L275" t="str">
        <f>IF(ABS(tblTransactions[[#This Row],[net_sales_inr]]-tblTransactions[[#This Row],[Recalc_Net_Sales]])&lt;0.02,"OK","CHECK")</f>
        <v>OK</v>
      </c>
      <c r="M275" s="14">
        <f>DATE(YEAR(tblTransactions[[#This Row],[date]]),MONTH(tblTransactions[[#This Row],[date]]),1)</f>
        <v>45717</v>
      </c>
      <c r="N275" t="str">
        <f>IF(WEEKDAY(tblTransactions[[#This Row],[date]],2)&gt;5,"Weekend","Weekday")</f>
        <v>Weekend</v>
      </c>
      <c r="O275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75" s="13" t="str">
        <f>_xlfn.XLOOKUP(tblTransactions[[#This Row],[tenant_id]],tblTenants[tenant_id],tblTenants[zone],"NOT FOUND")</f>
        <v>Food Court</v>
      </c>
      <c r="Q275" s="13" t="str">
        <f>_xlfn.XLOOKUP(tblTransactions[[#This Row],[tenant_id]],tblTenants[tenant_id],tblTenants[category],"NOT FOUND")</f>
        <v>Casual Dining</v>
      </c>
    </row>
    <row r="276" spans="1:17">
      <c r="A276" t="s">
        <v>320</v>
      </c>
      <c r="B276" s="2">
        <v>45726</v>
      </c>
      <c r="C276">
        <v>17</v>
      </c>
      <c r="D276" t="s">
        <v>80</v>
      </c>
      <c r="E276" t="s">
        <v>32</v>
      </c>
      <c r="F276" s="7">
        <v>1513.93</v>
      </c>
      <c r="G276" s="10">
        <v>0.2</v>
      </c>
      <c r="H276" s="7">
        <v>1211.1400000000001</v>
      </c>
      <c r="I276">
        <v>2</v>
      </c>
      <c r="J276" t="s">
        <v>13</v>
      </c>
      <c r="K276" s="13">
        <f>ROUND(tblTransactions[[#This Row],[gross_sales_inr]]*(1-tblTransactions[[#This Row],[discount_pct]]),2)</f>
        <v>1211.1400000000001</v>
      </c>
      <c r="L276" t="str">
        <f>IF(ABS(tblTransactions[[#This Row],[net_sales_inr]]-tblTransactions[[#This Row],[Recalc_Net_Sales]])&lt;0.02,"OK","CHECK")</f>
        <v>OK</v>
      </c>
      <c r="M276" s="14">
        <f>DATE(YEAR(tblTransactions[[#This Row],[date]]),MONTH(tblTransactions[[#This Row],[date]]),1)</f>
        <v>45717</v>
      </c>
      <c r="N276" t="str">
        <f>IF(WEEKDAY(tblTransactions[[#This Row],[date]],2)&gt;5,"Weekend","Weekday")</f>
        <v>Weekday</v>
      </c>
      <c r="O27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6" s="13" t="str">
        <f>_xlfn.XLOOKUP(tblTransactions[[#This Row],[tenant_id]],tblTenants[tenant_id],tblTenants[zone],"NOT FOUND")</f>
        <v>Food Court</v>
      </c>
      <c r="Q276" s="13" t="str">
        <f>_xlfn.XLOOKUP(tblTransactions[[#This Row],[tenant_id]],tblTenants[tenant_id],tblTenants[category],"NOT FOUND")</f>
        <v>Casual Dining</v>
      </c>
    </row>
    <row r="277" spans="1:17">
      <c r="A277" t="s">
        <v>321</v>
      </c>
      <c r="B277" s="2">
        <v>45743</v>
      </c>
      <c r="C277">
        <v>15</v>
      </c>
      <c r="D277" t="s">
        <v>48</v>
      </c>
      <c r="E277" t="s">
        <v>51</v>
      </c>
      <c r="F277" s="7">
        <v>2249.91</v>
      </c>
      <c r="G277" s="10">
        <v>0.15</v>
      </c>
      <c r="H277" s="7">
        <v>1912.42</v>
      </c>
      <c r="I277">
        <v>1</v>
      </c>
      <c r="J277" t="s">
        <v>13</v>
      </c>
      <c r="K277" s="13">
        <f>ROUND(tblTransactions[[#This Row],[gross_sales_inr]]*(1-tblTransactions[[#This Row],[discount_pct]]),2)</f>
        <v>1912.42</v>
      </c>
      <c r="L277" t="str">
        <f>IF(ABS(tblTransactions[[#This Row],[net_sales_inr]]-tblTransactions[[#This Row],[Recalc_Net_Sales]])&lt;0.02,"OK","CHECK")</f>
        <v>OK</v>
      </c>
      <c r="M277" s="14">
        <f>DATE(YEAR(tblTransactions[[#This Row],[date]]),MONTH(tblTransactions[[#This Row],[date]]),1)</f>
        <v>45717</v>
      </c>
      <c r="N277" t="str">
        <f>IF(WEEKDAY(tblTransactions[[#This Row],[date]],2)&gt;5,"Weekend","Weekday")</f>
        <v>Weekday</v>
      </c>
      <c r="O27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7" s="13" t="str">
        <f>_xlfn.XLOOKUP(tblTransactions[[#This Row],[tenant_id]],tblTenants[tenant_id],tblTenants[zone],"NOT FOUND")</f>
        <v>Beauty &amp; Wellness</v>
      </c>
      <c r="Q277" s="13" t="str">
        <f>_xlfn.XLOOKUP(tblTransactions[[#This Row],[tenant_id]],tblTenants[tenant_id],tblTenants[category],"NOT FOUND")</f>
        <v>Wellness</v>
      </c>
    </row>
    <row r="278" spans="1:17">
      <c r="A278" t="s">
        <v>322</v>
      </c>
      <c r="B278" s="2">
        <v>45676</v>
      </c>
      <c r="C278">
        <v>15</v>
      </c>
      <c r="D278" t="s">
        <v>63</v>
      </c>
      <c r="E278" t="s">
        <v>32</v>
      </c>
      <c r="F278" s="7">
        <v>719.95</v>
      </c>
      <c r="G278" s="10">
        <v>0.2</v>
      </c>
      <c r="H278" s="7">
        <v>575.96</v>
      </c>
      <c r="I278">
        <v>1</v>
      </c>
      <c r="J278" t="s">
        <v>13</v>
      </c>
      <c r="K278" s="13">
        <f>ROUND(tblTransactions[[#This Row],[gross_sales_inr]]*(1-tblTransactions[[#This Row],[discount_pct]]),2)</f>
        <v>575.96</v>
      </c>
      <c r="L278" t="str">
        <f>IF(ABS(tblTransactions[[#This Row],[net_sales_inr]]-tblTransactions[[#This Row],[Recalc_Net_Sales]])&lt;0.02,"OK","CHECK")</f>
        <v>OK</v>
      </c>
      <c r="M278" s="14">
        <f>DATE(YEAR(tblTransactions[[#This Row],[date]]),MONTH(tblTransactions[[#This Row],[date]]),1)</f>
        <v>45658</v>
      </c>
      <c r="N278" t="str">
        <f>IF(WEEKDAY(tblTransactions[[#This Row],[date]],2)&gt;5,"Weekend","Weekday")</f>
        <v>Weekend</v>
      </c>
      <c r="O27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8" s="13" t="str">
        <f>_xlfn.XLOOKUP(tblTransactions[[#This Row],[tenant_id]],tblTenants[tenant_id],tblTenants[zone],"NOT FOUND")</f>
        <v>Entertainment</v>
      </c>
      <c r="Q278" s="13" t="str">
        <f>_xlfn.XLOOKUP(tblTransactions[[#This Row],[tenant_id]],tblTenants[tenant_id],tblTenants[category],"NOT FOUND")</f>
        <v>Family Entertainment</v>
      </c>
    </row>
    <row r="279" spans="1:17">
      <c r="A279" t="s">
        <v>323</v>
      </c>
      <c r="B279" s="2">
        <v>45761</v>
      </c>
      <c r="C279">
        <v>13</v>
      </c>
      <c r="D279" t="s">
        <v>43</v>
      </c>
      <c r="E279" t="s">
        <v>12</v>
      </c>
      <c r="F279" s="7">
        <v>2390.35</v>
      </c>
      <c r="G279" s="10">
        <v>0.15</v>
      </c>
      <c r="H279" s="7">
        <v>2031.8</v>
      </c>
      <c r="I279">
        <v>1</v>
      </c>
      <c r="J279" t="s">
        <v>16</v>
      </c>
      <c r="K279" s="13">
        <f>ROUND(tblTransactions[[#This Row],[gross_sales_inr]]*(1-tblTransactions[[#This Row],[discount_pct]]),2)</f>
        <v>2031.8</v>
      </c>
      <c r="L279" t="str">
        <f>IF(ABS(tblTransactions[[#This Row],[net_sales_inr]]-tblTransactions[[#This Row],[Recalc_Net_Sales]])&lt;0.02,"OK","CHECK")</f>
        <v>OK</v>
      </c>
      <c r="M279" s="14">
        <f>DATE(YEAR(tblTransactions[[#This Row],[date]]),MONTH(tblTransactions[[#This Row],[date]]),1)</f>
        <v>45748</v>
      </c>
      <c r="N279" t="str">
        <f>IF(WEEKDAY(tblTransactions[[#This Row],[date]],2)&gt;5,"Weekend","Weekday")</f>
        <v>Weekday</v>
      </c>
      <c r="O27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9" s="13" t="str">
        <f>_xlfn.XLOOKUP(tblTransactions[[#This Row],[tenant_id]],tblTenants[tenant_id],tblTenants[zone],"NOT FOUND")</f>
        <v>Food Court</v>
      </c>
      <c r="Q279" s="13" t="str">
        <f>_xlfn.XLOOKUP(tblTransactions[[#This Row],[tenant_id]],tblTenants[tenant_id],tblTenants[category],"NOT FOUND")</f>
        <v>Casual Dining</v>
      </c>
    </row>
    <row r="280" spans="1:17">
      <c r="A280" t="s">
        <v>324</v>
      </c>
      <c r="B280" s="2">
        <v>45662</v>
      </c>
      <c r="C280">
        <v>11</v>
      </c>
      <c r="D280" t="s">
        <v>87</v>
      </c>
      <c r="E280" t="s">
        <v>12</v>
      </c>
      <c r="F280" s="7">
        <v>942.6</v>
      </c>
      <c r="G280" s="10">
        <v>0</v>
      </c>
      <c r="H280" s="7">
        <v>942.6</v>
      </c>
      <c r="I280">
        <v>4</v>
      </c>
      <c r="J280" t="s">
        <v>16</v>
      </c>
      <c r="K280" s="13">
        <f>ROUND(tblTransactions[[#This Row],[gross_sales_inr]]*(1-tblTransactions[[#This Row],[discount_pct]]),2)</f>
        <v>942.6</v>
      </c>
      <c r="L280" t="str">
        <f>IF(ABS(tblTransactions[[#This Row],[net_sales_inr]]-tblTransactions[[#This Row],[Recalc_Net_Sales]])&lt;0.02,"OK","CHECK")</f>
        <v>OK</v>
      </c>
      <c r="M280" s="14">
        <f>DATE(YEAR(tblTransactions[[#This Row],[date]]),MONTH(tblTransactions[[#This Row],[date]]),1)</f>
        <v>45658</v>
      </c>
      <c r="N280" t="str">
        <f>IF(WEEKDAY(tblTransactions[[#This Row],[date]],2)&gt;5,"Weekend","Weekday")</f>
        <v>Weekend</v>
      </c>
      <c r="O280" s="13" t="str">
        <f>IF(tblTransactions[[#This Row],[discount_pct]]=0,"0%",IF(tblTransactions[[#This Row],[discount_pct]]&lt;=10%,"1–
10%",IF(tblTransactions[[#This Row],[discount_pct]]&lt;=20%,"11–20%","&gt;20%")))</f>
        <v>0%</v>
      </c>
      <c r="P280" s="13" t="str">
        <f>_xlfn.XLOOKUP(tblTransactions[[#This Row],[tenant_id]],tblTenants[tenant_id],tblTenants[zone],"NOT FOUND")</f>
        <v>Fashion Avenue</v>
      </c>
      <c r="Q280" s="13" t="str">
        <f>_xlfn.XLOOKUP(tblTransactions[[#This Row],[tenant_id]],tblTenants[tenant_id],tblTenants[category],"NOT FOUND")</f>
        <v>Footwear</v>
      </c>
    </row>
    <row r="281" spans="1:17">
      <c r="A281" t="s">
        <v>325</v>
      </c>
      <c r="B281" s="2">
        <v>45787</v>
      </c>
      <c r="C281">
        <v>12</v>
      </c>
      <c r="D281" t="s">
        <v>29</v>
      </c>
      <c r="E281" t="s">
        <v>12</v>
      </c>
      <c r="F281" s="7">
        <v>1345.59</v>
      </c>
      <c r="G281" s="10">
        <v>0.05</v>
      </c>
      <c r="H281" s="7">
        <v>1278.31</v>
      </c>
      <c r="I281">
        <v>3</v>
      </c>
      <c r="J281" t="s">
        <v>13</v>
      </c>
      <c r="K281" s="13">
        <f>ROUND(tblTransactions[[#This Row],[gross_sales_inr]]*(1-tblTransactions[[#This Row],[discount_pct]]),2)</f>
        <v>1278.31</v>
      </c>
      <c r="L281" t="str">
        <f>IF(ABS(tblTransactions[[#This Row],[net_sales_inr]]-tblTransactions[[#This Row],[Recalc_Net_Sales]])&lt;0.02,"OK","CHECK")</f>
        <v>OK</v>
      </c>
      <c r="M281" s="14">
        <f>DATE(YEAR(tblTransactions[[#This Row],[date]]),MONTH(tblTransactions[[#This Row],[date]]),1)</f>
        <v>45778</v>
      </c>
      <c r="N281" t="str">
        <f>IF(WEEKDAY(tblTransactions[[#This Row],[date]],2)&gt;5,"Weekend","Weekday")</f>
        <v>Weekend</v>
      </c>
      <c r="O28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1" s="13" t="str">
        <f>_xlfn.XLOOKUP(tblTransactions[[#This Row],[tenant_id]],tblTenants[tenant_id],tblTenants[zone],"NOT FOUND")</f>
        <v>Entertainment</v>
      </c>
      <c r="Q281" s="13" t="str">
        <f>_xlfn.XLOOKUP(tblTransactions[[#This Row],[tenant_id]],tblTenants[tenant_id],tblTenants[category],"NOT FOUND")</f>
        <v>Cinema</v>
      </c>
    </row>
    <row r="282" spans="1:17">
      <c r="A282" t="s">
        <v>326</v>
      </c>
      <c r="B282" s="2">
        <v>45725</v>
      </c>
      <c r="C282">
        <v>10</v>
      </c>
      <c r="D282" t="s">
        <v>59</v>
      </c>
      <c r="E282" t="s">
        <v>12</v>
      </c>
      <c r="F282" s="7">
        <v>1198.67</v>
      </c>
      <c r="G282" s="10">
        <v>0</v>
      </c>
      <c r="H282" s="7">
        <v>1198.67</v>
      </c>
      <c r="I282">
        <v>6</v>
      </c>
      <c r="J282" t="s">
        <v>16</v>
      </c>
      <c r="K282" s="13">
        <f>ROUND(tblTransactions[[#This Row],[gross_sales_inr]]*(1-tblTransactions[[#This Row],[discount_pct]]),2)</f>
        <v>1198.67</v>
      </c>
      <c r="L282" t="str">
        <f>IF(ABS(tblTransactions[[#This Row],[net_sales_inr]]-tblTransactions[[#This Row],[Recalc_Net_Sales]])&lt;0.02,"OK","CHECK")</f>
        <v>OK</v>
      </c>
      <c r="M282" s="14">
        <f>DATE(YEAR(tblTransactions[[#This Row],[date]]),MONTH(tblTransactions[[#This Row],[date]]),1)</f>
        <v>45717</v>
      </c>
      <c r="N282" t="str">
        <f>IF(WEEKDAY(tblTransactions[[#This Row],[date]],2)&gt;5,"Weekend","Weekday")</f>
        <v>Weekend</v>
      </c>
      <c r="O282" s="13" t="str">
        <f>IF(tblTransactions[[#This Row],[discount_pct]]=0,"0%",IF(tblTransactions[[#This Row],[discount_pct]]&lt;=10%,"1–
10%",IF(tblTransactions[[#This Row],[discount_pct]]&lt;=20%,"11–20%","&gt;20%")))</f>
        <v>0%</v>
      </c>
      <c r="P282" s="13" t="str">
        <f>_xlfn.XLOOKUP(tblTransactions[[#This Row],[tenant_id]],tblTenants[tenant_id],tblTenants[zone],"NOT FOUND")</f>
        <v>Fashion Avenue</v>
      </c>
      <c r="Q282" s="13" t="str">
        <f>_xlfn.XLOOKUP(tblTransactions[[#This Row],[tenant_id]],tblTenants[tenant_id],tblTenants[category],"NOT FOUND")</f>
        <v>Footwear</v>
      </c>
    </row>
    <row r="283" spans="1:17">
      <c r="A283" t="s">
        <v>327</v>
      </c>
      <c r="B283" s="2">
        <v>45825</v>
      </c>
      <c r="C283">
        <v>11</v>
      </c>
      <c r="D283" t="s">
        <v>104</v>
      </c>
      <c r="E283" t="s">
        <v>32</v>
      </c>
      <c r="F283" s="7">
        <v>477.86</v>
      </c>
      <c r="G283" s="10">
        <v>0</v>
      </c>
      <c r="H283" s="7">
        <v>477.86</v>
      </c>
      <c r="I283">
        <v>2</v>
      </c>
      <c r="J283" t="s">
        <v>16</v>
      </c>
      <c r="K283" s="13">
        <f>ROUND(tblTransactions[[#This Row],[gross_sales_inr]]*(1-tblTransactions[[#This Row],[discount_pct]]),2)</f>
        <v>477.86</v>
      </c>
      <c r="L283" t="str">
        <f>IF(ABS(tblTransactions[[#This Row],[net_sales_inr]]-tblTransactions[[#This Row],[Recalc_Net_Sales]])&lt;0.02,"OK","CHECK")</f>
        <v>OK</v>
      </c>
      <c r="M283" s="14">
        <f>DATE(YEAR(tblTransactions[[#This Row],[date]]),MONTH(tblTransactions[[#This Row],[date]]),1)</f>
        <v>45809</v>
      </c>
      <c r="N283" t="str">
        <f>IF(WEEKDAY(tblTransactions[[#This Row],[date]],2)&gt;5,"Weekend","Weekday")</f>
        <v>Weekday</v>
      </c>
      <c r="O283" s="13" t="str">
        <f>IF(tblTransactions[[#This Row],[discount_pct]]=0,"0%",IF(tblTransactions[[#This Row],[discount_pct]]&lt;=10%,"1–
10%",IF(tblTransactions[[#This Row],[discount_pct]]&lt;=20%,"11–20%","&gt;20%")))</f>
        <v>0%</v>
      </c>
      <c r="P283" s="13" t="str">
        <f>_xlfn.XLOOKUP(tblTransactions[[#This Row],[tenant_id]],tblTenants[tenant_id],tblTenants[zone],"NOT FOUND")</f>
        <v>Entertainment</v>
      </c>
      <c r="Q283" s="13" t="str">
        <f>_xlfn.XLOOKUP(tblTransactions[[#This Row],[tenant_id]],tblTenants[tenant_id],tblTenants[category],"NOT FOUND")</f>
        <v>Family Entertainment</v>
      </c>
    </row>
    <row r="284" spans="1:17">
      <c r="A284" t="s">
        <v>328</v>
      </c>
      <c r="B284" s="2">
        <v>45698</v>
      </c>
      <c r="C284">
        <v>14</v>
      </c>
      <c r="D284" t="s">
        <v>25</v>
      </c>
      <c r="E284" t="s">
        <v>32</v>
      </c>
      <c r="F284" s="7">
        <v>1031.6400000000001</v>
      </c>
      <c r="G284" s="10">
        <v>0.2</v>
      </c>
      <c r="H284" s="7">
        <v>825.31</v>
      </c>
      <c r="I284">
        <v>4</v>
      </c>
      <c r="J284" t="s">
        <v>13</v>
      </c>
      <c r="K284" s="13">
        <f>ROUND(tblTransactions[[#This Row],[gross_sales_inr]]*(1-tblTransactions[[#This Row],[discount_pct]]),2)</f>
        <v>825.31</v>
      </c>
      <c r="L284" t="str">
        <f>IF(ABS(tblTransactions[[#This Row],[net_sales_inr]]-tblTransactions[[#This Row],[Recalc_Net_Sales]])&lt;0.02,"OK","CHECK")</f>
        <v>OK</v>
      </c>
      <c r="M284" s="14">
        <f>DATE(YEAR(tblTransactions[[#This Row],[date]]),MONTH(tblTransactions[[#This Row],[date]]),1)</f>
        <v>45689</v>
      </c>
      <c r="N284" t="str">
        <f>IF(WEEKDAY(tblTransactions[[#This Row],[date]],2)&gt;5,"Weekend","Weekday")</f>
        <v>Weekday</v>
      </c>
      <c r="O28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4" s="13" t="str">
        <f>_xlfn.XLOOKUP(tblTransactions[[#This Row],[tenant_id]],tblTenants[tenant_id],tblTenants[zone],"NOT FOUND")</f>
        <v>Beauty &amp; Wellness</v>
      </c>
      <c r="Q284" s="13" t="str">
        <f>_xlfn.XLOOKUP(tblTransactions[[#This Row],[tenant_id]],tblTenants[tenant_id],tblTenants[category],"NOT FOUND")</f>
        <v>Beauty</v>
      </c>
    </row>
    <row r="285" spans="1:17">
      <c r="A285" t="s">
        <v>329</v>
      </c>
      <c r="B285" s="2">
        <v>45831</v>
      </c>
      <c r="C285">
        <v>16</v>
      </c>
      <c r="D285" t="s">
        <v>59</v>
      </c>
      <c r="E285" t="s">
        <v>32</v>
      </c>
      <c r="F285" s="7">
        <v>2270.17</v>
      </c>
      <c r="G285" s="10">
        <v>0</v>
      </c>
      <c r="H285" s="7">
        <v>2270.17</v>
      </c>
      <c r="I285">
        <v>6</v>
      </c>
      <c r="J285" t="s">
        <v>16</v>
      </c>
      <c r="K285" s="13">
        <f>ROUND(tblTransactions[[#This Row],[gross_sales_inr]]*(1-tblTransactions[[#This Row],[discount_pct]]),2)</f>
        <v>2270.17</v>
      </c>
      <c r="L285" t="str">
        <f>IF(ABS(tblTransactions[[#This Row],[net_sales_inr]]-tblTransactions[[#This Row],[Recalc_Net_Sales]])&lt;0.02,"OK","CHECK")</f>
        <v>OK</v>
      </c>
      <c r="M285" s="14">
        <f>DATE(YEAR(tblTransactions[[#This Row],[date]]),MONTH(tblTransactions[[#This Row],[date]]),1)</f>
        <v>45809</v>
      </c>
      <c r="N285" t="str">
        <f>IF(WEEKDAY(tblTransactions[[#This Row],[date]],2)&gt;5,"Weekend","Weekday")</f>
        <v>Weekday</v>
      </c>
      <c r="O285" s="13" t="str">
        <f>IF(tblTransactions[[#This Row],[discount_pct]]=0,"0%",IF(tblTransactions[[#This Row],[discount_pct]]&lt;=10%,"1–
10%",IF(tblTransactions[[#This Row],[discount_pct]]&lt;=20%,"11–20%","&gt;20%")))</f>
        <v>0%</v>
      </c>
      <c r="P285" s="13" t="str">
        <f>_xlfn.XLOOKUP(tblTransactions[[#This Row],[tenant_id]],tblTenants[tenant_id],tblTenants[zone],"NOT FOUND")</f>
        <v>Fashion Avenue</v>
      </c>
      <c r="Q285" s="13" t="str">
        <f>_xlfn.XLOOKUP(tblTransactions[[#This Row],[tenant_id]],tblTenants[tenant_id],tblTenants[category],"NOT FOUND")</f>
        <v>Footwear</v>
      </c>
    </row>
    <row r="286" spans="1:17">
      <c r="A286" t="s">
        <v>330</v>
      </c>
      <c r="B286" s="2">
        <v>45746</v>
      </c>
      <c r="C286">
        <v>14</v>
      </c>
      <c r="D286" t="s">
        <v>87</v>
      </c>
      <c r="E286" t="s">
        <v>51</v>
      </c>
      <c r="F286" s="7">
        <v>656.33</v>
      </c>
      <c r="G286" s="10">
        <v>0</v>
      </c>
      <c r="H286" s="7">
        <v>656.33</v>
      </c>
      <c r="I286">
        <v>6</v>
      </c>
      <c r="J286" t="s">
        <v>16</v>
      </c>
      <c r="K286" s="13">
        <f>ROUND(tblTransactions[[#This Row],[gross_sales_inr]]*(1-tblTransactions[[#This Row],[discount_pct]]),2)</f>
        <v>656.33</v>
      </c>
      <c r="L286" t="str">
        <f>IF(ABS(tblTransactions[[#This Row],[net_sales_inr]]-tblTransactions[[#This Row],[Recalc_Net_Sales]])&lt;0.02,"OK","CHECK")</f>
        <v>OK</v>
      </c>
      <c r="M286" s="14">
        <f>DATE(YEAR(tblTransactions[[#This Row],[date]]),MONTH(tblTransactions[[#This Row],[date]]),1)</f>
        <v>45717</v>
      </c>
      <c r="N286" t="str">
        <f>IF(WEEKDAY(tblTransactions[[#This Row],[date]],2)&gt;5,"Weekend","Weekday")</f>
        <v>Weekend</v>
      </c>
      <c r="O286" s="13" t="str">
        <f>IF(tblTransactions[[#This Row],[discount_pct]]=0,"0%",IF(tblTransactions[[#This Row],[discount_pct]]&lt;=10%,"1–
10%",IF(tblTransactions[[#This Row],[discount_pct]]&lt;=20%,"11–20%","&gt;20%")))</f>
        <v>0%</v>
      </c>
      <c r="P286" s="13" t="str">
        <f>_xlfn.XLOOKUP(tblTransactions[[#This Row],[tenant_id]],tblTenants[tenant_id],tblTenants[zone],"NOT FOUND")</f>
        <v>Fashion Avenue</v>
      </c>
      <c r="Q286" s="13" t="str">
        <f>_xlfn.XLOOKUP(tblTransactions[[#This Row],[tenant_id]],tblTenants[tenant_id],tblTenants[category],"NOT FOUND")</f>
        <v>Footwear</v>
      </c>
    </row>
    <row r="287" spans="1:17">
      <c r="A287" t="s">
        <v>331</v>
      </c>
      <c r="B287" s="2">
        <v>45752</v>
      </c>
      <c r="C287">
        <v>14</v>
      </c>
      <c r="D287" t="s">
        <v>72</v>
      </c>
      <c r="E287" t="s">
        <v>12</v>
      </c>
      <c r="F287" s="7">
        <v>677.45</v>
      </c>
      <c r="G287" s="10">
        <v>0</v>
      </c>
      <c r="H287" s="7">
        <v>677.45</v>
      </c>
      <c r="I287">
        <v>1</v>
      </c>
      <c r="J287" t="s">
        <v>16</v>
      </c>
      <c r="K287" s="13">
        <f>ROUND(tblTransactions[[#This Row],[gross_sales_inr]]*(1-tblTransactions[[#This Row],[discount_pct]]),2)</f>
        <v>677.45</v>
      </c>
      <c r="L287" t="str">
        <f>IF(ABS(tblTransactions[[#This Row],[net_sales_inr]]-tblTransactions[[#This Row],[Recalc_Net_Sales]])&lt;0.02,"OK","CHECK")</f>
        <v>OK</v>
      </c>
      <c r="M287" s="14">
        <f>DATE(YEAR(tblTransactions[[#This Row],[date]]),MONTH(tblTransactions[[#This Row],[date]]),1)</f>
        <v>45748</v>
      </c>
      <c r="N287" t="str">
        <f>IF(WEEKDAY(tblTransactions[[#This Row],[date]],2)&gt;5,"Weekend","Weekday")</f>
        <v>Weekend</v>
      </c>
      <c r="O287" s="13" t="str">
        <f>IF(tblTransactions[[#This Row],[discount_pct]]=0,"0%",IF(tblTransactions[[#This Row],[discount_pct]]&lt;=10%,"1–
10%",IF(tblTransactions[[#This Row],[discount_pct]]&lt;=20%,"11–20%","&gt;20%")))</f>
        <v>0%</v>
      </c>
      <c r="P287" s="13" t="str">
        <f>_xlfn.XLOOKUP(tblTransactions[[#This Row],[tenant_id]],tblTenants[tenant_id],tblTenants[zone],"NOT FOUND")</f>
        <v>Entertainment</v>
      </c>
      <c r="Q287" s="13" t="str">
        <f>_xlfn.XLOOKUP(tblTransactions[[#This Row],[tenant_id]],tblTenants[tenant_id],tblTenants[category],"NOT FOUND")</f>
        <v>Arcade</v>
      </c>
    </row>
    <row r="288" spans="1:17">
      <c r="A288" t="s">
        <v>332</v>
      </c>
      <c r="B288" s="2">
        <v>45676</v>
      </c>
      <c r="C288">
        <v>16</v>
      </c>
      <c r="D288" t="s">
        <v>57</v>
      </c>
      <c r="E288" t="s">
        <v>12</v>
      </c>
      <c r="F288" s="7">
        <v>999.92</v>
      </c>
      <c r="G288" s="10">
        <v>0.1</v>
      </c>
      <c r="H288" s="7">
        <v>899.93</v>
      </c>
      <c r="I288">
        <v>1</v>
      </c>
      <c r="J288" t="s">
        <v>16</v>
      </c>
      <c r="K288" s="13">
        <f>ROUND(tblTransactions[[#This Row],[gross_sales_inr]]*(1-tblTransactions[[#This Row],[discount_pct]]),2)</f>
        <v>899.93</v>
      </c>
      <c r="L288" t="str">
        <f>IF(ABS(tblTransactions[[#This Row],[net_sales_inr]]-tblTransactions[[#This Row],[Recalc_Net_Sales]])&lt;0.02,"OK","CHECK")</f>
        <v>OK</v>
      </c>
      <c r="M288" s="14">
        <f>DATE(YEAR(tblTransactions[[#This Row],[date]]),MONTH(tblTransactions[[#This Row],[date]]),1)</f>
        <v>45658</v>
      </c>
      <c r="N288" t="str">
        <f>IF(WEEKDAY(tblTransactions[[#This Row],[date]],2)&gt;5,"Weekend","Weekday")</f>
        <v>Weekend</v>
      </c>
      <c r="O28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8" s="13" t="str">
        <f>_xlfn.XLOOKUP(tblTransactions[[#This Row],[tenant_id]],tblTenants[tenant_id],tblTenants[zone],"NOT FOUND")</f>
        <v>Food Court</v>
      </c>
      <c r="Q288" s="13" t="str">
        <f>_xlfn.XLOOKUP(tblTransactions[[#This Row],[tenant_id]],tblTenants[tenant_id],tblTenants[category],"NOT FOUND")</f>
        <v>Casual Dining</v>
      </c>
    </row>
    <row r="289" spans="1:17">
      <c r="A289" t="s">
        <v>333</v>
      </c>
      <c r="B289" s="2">
        <v>45798</v>
      </c>
      <c r="C289">
        <v>12</v>
      </c>
      <c r="D289" t="s">
        <v>36</v>
      </c>
      <c r="E289" t="s">
        <v>12</v>
      </c>
      <c r="F289" s="7">
        <v>539.45000000000005</v>
      </c>
      <c r="G289" s="10">
        <v>0</v>
      </c>
      <c r="H289" s="7">
        <v>539.45000000000005</v>
      </c>
      <c r="I289">
        <v>1</v>
      </c>
      <c r="J289" t="s">
        <v>13</v>
      </c>
      <c r="K289" s="13">
        <f>ROUND(tblTransactions[[#This Row],[gross_sales_inr]]*(1-tblTransactions[[#This Row],[discount_pct]]),2)</f>
        <v>539.45000000000005</v>
      </c>
      <c r="L289" t="str">
        <f>IF(ABS(tblTransactions[[#This Row],[net_sales_inr]]-tblTransactions[[#This Row],[Recalc_Net_Sales]])&lt;0.02,"OK","CHECK")</f>
        <v>OK</v>
      </c>
      <c r="M289" s="14">
        <f>DATE(YEAR(tblTransactions[[#This Row],[date]]),MONTH(tblTransactions[[#This Row],[date]]),1)</f>
        <v>45778</v>
      </c>
      <c r="N289" t="str">
        <f>IF(WEEKDAY(tblTransactions[[#This Row],[date]],2)&gt;5,"Weekend","Weekday")</f>
        <v>Weekday</v>
      </c>
      <c r="O289" s="13" t="str">
        <f>IF(tblTransactions[[#This Row],[discount_pct]]=0,"0%",IF(tblTransactions[[#This Row],[discount_pct]]&lt;=10%,"1–
10%",IF(tblTransactions[[#This Row],[discount_pct]]&lt;=20%,"11–20%","&gt;20%")))</f>
        <v>0%</v>
      </c>
      <c r="P289" s="13" t="str">
        <f>_xlfn.XLOOKUP(tblTransactions[[#This Row],[tenant_id]],tblTenants[tenant_id],tblTenants[zone],"NOT FOUND")</f>
        <v>Home &amp; Living</v>
      </c>
      <c r="Q289" s="13" t="str">
        <f>_xlfn.XLOOKUP(tblTransactions[[#This Row],[tenant_id]],tblTenants[tenant_id],tblTenants[category],"NOT FOUND")</f>
        <v>Electronics</v>
      </c>
    </row>
    <row r="290" spans="1:17">
      <c r="A290" t="s">
        <v>334</v>
      </c>
      <c r="B290" s="2">
        <v>45799</v>
      </c>
      <c r="C290">
        <v>22</v>
      </c>
      <c r="D290" t="s">
        <v>11</v>
      </c>
      <c r="E290" t="s">
        <v>12</v>
      </c>
      <c r="F290" s="7">
        <v>1484.25</v>
      </c>
      <c r="G290" s="10">
        <v>0.15</v>
      </c>
      <c r="H290" s="7">
        <v>1261.6099999999999</v>
      </c>
      <c r="I290">
        <v>2</v>
      </c>
      <c r="J290" t="s">
        <v>16</v>
      </c>
      <c r="K290" s="13">
        <f>ROUND(tblTransactions[[#This Row],[gross_sales_inr]]*(1-tblTransactions[[#This Row],[discount_pct]]),2)</f>
        <v>1261.6099999999999</v>
      </c>
      <c r="L290" t="str">
        <f>IF(ABS(tblTransactions[[#This Row],[net_sales_inr]]-tblTransactions[[#This Row],[Recalc_Net_Sales]])&lt;0.02,"OK","CHECK")</f>
        <v>OK</v>
      </c>
      <c r="M290" s="14">
        <f>DATE(YEAR(tblTransactions[[#This Row],[date]]),MONTH(tblTransactions[[#This Row],[date]]),1)</f>
        <v>45778</v>
      </c>
      <c r="N290" t="str">
        <f>IF(WEEKDAY(tblTransactions[[#This Row],[date]],2)&gt;5,"Weekend","Weekday")</f>
        <v>Weekday</v>
      </c>
      <c r="O29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0" s="13" t="str">
        <f>_xlfn.XLOOKUP(tblTransactions[[#This Row],[tenant_id]],tblTenants[tenant_id],tblTenants[zone],"NOT FOUND")</f>
        <v>Home &amp; Living</v>
      </c>
      <c r="Q290" s="13" t="str">
        <f>_xlfn.XLOOKUP(tblTransactions[[#This Row],[tenant_id]],tblTenants[tenant_id],tblTenants[category],"NOT FOUND")</f>
        <v>Home Decor</v>
      </c>
    </row>
    <row r="291" spans="1:17">
      <c r="A291" t="s">
        <v>335</v>
      </c>
      <c r="B291" s="2">
        <v>45760</v>
      </c>
      <c r="C291">
        <v>15</v>
      </c>
      <c r="D291" t="s">
        <v>80</v>
      </c>
      <c r="E291" t="s">
        <v>12</v>
      </c>
      <c r="F291" s="7">
        <v>1317.32</v>
      </c>
      <c r="G291" s="10">
        <v>0</v>
      </c>
      <c r="H291" s="7">
        <v>1317.32</v>
      </c>
      <c r="I291">
        <v>3</v>
      </c>
      <c r="J291" t="s">
        <v>13</v>
      </c>
      <c r="K291" s="13">
        <f>ROUND(tblTransactions[[#This Row],[gross_sales_inr]]*(1-tblTransactions[[#This Row],[discount_pct]]),2)</f>
        <v>1317.32</v>
      </c>
      <c r="L291" t="str">
        <f>IF(ABS(tblTransactions[[#This Row],[net_sales_inr]]-tblTransactions[[#This Row],[Recalc_Net_Sales]])&lt;0.02,"OK","CHECK")</f>
        <v>OK</v>
      </c>
      <c r="M291" s="14">
        <f>DATE(YEAR(tblTransactions[[#This Row],[date]]),MONTH(tblTransactions[[#This Row],[date]]),1)</f>
        <v>45748</v>
      </c>
      <c r="N291" t="str">
        <f>IF(WEEKDAY(tblTransactions[[#This Row],[date]],2)&gt;5,"Weekend","Weekday")</f>
        <v>Weekend</v>
      </c>
      <c r="O291" s="13" t="str">
        <f>IF(tblTransactions[[#This Row],[discount_pct]]=0,"0%",IF(tblTransactions[[#This Row],[discount_pct]]&lt;=10%,"1–
10%",IF(tblTransactions[[#This Row],[discount_pct]]&lt;=20%,"11–20%","&gt;20%")))</f>
        <v>0%</v>
      </c>
      <c r="P291" s="13" t="str">
        <f>_xlfn.XLOOKUP(tblTransactions[[#This Row],[tenant_id]],tblTenants[tenant_id],tblTenants[zone],"NOT FOUND")</f>
        <v>Food Court</v>
      </c>
      <c r="Q291" s="13" t="str">
        <f>_xlfn.XLOOKUP(tblTransactions[[#This Row],[tenant_id]],tblTenants[tenant_id],tblTenants[category],"NOT FOUND")</f>
        <v>Casual Dining</v>
      </c>
    </row>
    <row r="292" spans="1:17">
      <c r="A292" t="s">
        <v>336</v>
      </c>
      <c r="B292" s="2">
        <v>45771</v>
      </c>
      <c r="C292">
        <v>17</v>
      </c>
      <c r="D292" t="s">
        <v>45</v>
      </c>
      <c r="E292" t="s">
        <v>32</v>
      </c>
      <c r="F292" s="7">
        <v>988.46</v>
      </c>
      <c r="G292" s="10">
        <v>0.05</v>
      </c>
      <c r="H292" s="7">
        <v>939.04</v>
      </c>
      <c r="I292">
        <v>2</v>
      </c>
      <c r="J292" t="s">
        <v>16</v>
      </c>
      <c r="K292" s="13">
        <f>ROUND(tblTransactions[[#This Row],[gross_sales_inr]]*(1-tblTransactions[[#This Row],[discount_pct]]),2)</f>
        <v>939.04</v>
      </c>
      <c r="L292" t="str">
        <f>IF(ABS(tblTransactions[[#This Row],[net_sales_inr]]-tblTransactions[[#This Row],[Recalc_Net_Sales]])&lt;0.02,"OK","CHECK")</f>
        <v>OK</v>
      </c>
      <c r="M292" s="14">
        <f>DATE(YEAR(tblTransactions[[#This Row],[date]]),MONTH(tblTransactions[[#This Row],[date]]),1)</f>
        <v>45748</v>
      </c>
      <c r="N292" t="str">
        <f>IF(WEEKDAY(tblTransactions[[#This Row],[date]],2)&gt;5,"Weekend","Weekday")</f>
        <v>Weekday</v>
      </c>
      <c r="O29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2" s="13" t="str">
        <f>_xlfn.XLOOKUP(tblTransactions[[#This Row],[tenant_id]],tblTenants[tenant_id],tblTenants[zone],"NOT FOUND")</f>
        <v>Home &amp; Living</v>
      </c>
      <c r="Q292" s="13" t="str">
        <f>_xlfn.XLOOKUP(tblTransactions[[#This Row],[tenant_id]],tblTenants[tenant_id],tblTenants[category],"NOT FOUND")</f>
        <v>Home Decor</v>
      </c>
    </row>
    <row r="293" spans="1:17">
      <c r="A293" t="s">
        <v>337</v>
      </c>
      <c r="B293" s="2">
        <v>45663</v>
      </c>
      <c r="C293">
        <v>14</v>
      </c>
      <c r="D293" t="s">
        <v>204</v>
      </c>
      <c r="E293" t="s">
        <v>12</v>
      </c>
      <c r="F293" s="7">
        <v>576.83000000000004</v>
      </c>
      <c r="G293" s="10">
        <v>0.1</v>
      </c>
      <c r="H293" s="7">
        <v>519.15</v>
      </c>
      <c r="I293">
        <v>3</v>
      </c>
      <c r="J293" t="s">
        <v>13</v>
      </c>
      <c r="K293" s="13">
        <f>ROUND(tblTransactions[[#This Row],[gross_sales_inr]]*(1-tblTransactions[[#This Row],[discount_pct]]),2)</f>
        <v>519.15</v>
      </c>
      <c r="L293" t="str">
        <f>IF(ABS(tblTransactions[[#This Row],[net_sales_inr]]-tblTransactions[[#This Row],[Recalc_Net_Sales]])&lt;0.02,"OK","CHECK")</f>
        <v>OK</v>
      </c>
      <c r="M293" s="14">
        <f>DATE(YEAR(tblTransactions[[#This Row],[date]]),MONTH(tblTransactions[[#This Row],[date]]),1)</f>
        <v>45658</v>
      </c>
      <c r="N293" t="str">
        <f>IF(WEEKDAY(tblTransactions[[#This Row],[date]],2)&gt;5,"Weekend","Weekday")</f>
        <v>Weekday</v>
      </c>
      <c r="O29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3" s="13" t="str">
        <f>_xlfn.XLOOKUP(tblTransactions[[#This Row],[tenant_id]],tblTenants[tenant_id],tblTenants[zone],"NOT FOUND")</f>
        <v>Home &amp; Living</v>
      </c>
      <c r="Q293" s="13" t="str">
        <f>_xlfn.XLOOKUP(tblTransactions[[#This Row],[tenant_id]],tblTenants[tenant_id],tblTenants[category],"NOT FOUND")</f>
        <v>Home Decor</v>
      </c>
    </row>
    <row r="294" spans="1:17">
      <c r="A294" t="s">
        <v>338</v>
      </c>
      <c r="B294" s="2">
        <v>45759</v>
      </c>
      <c r="C294">
        <v>19</v>
      </c>
      <c r="D294" t="s">
        <v>122</v>
      </c>
      <c r="E294" t="s">
        <v>12</v>
      </c>
      <c r="F294" s="7">
        <v>1968.45</v>
      </c>
      <c r="G294" s="10">
        <v>0</v>
      </c>
      <c r="H294" s="7">
        <v>1968.45</v>
      </c>
      <c r="I294">
        <v>4</v>
      </c>
      <c r="J294" t="s">
        <v>16</v>
      </c>
      <c r="K294" s="13">
        <f>ROUND(tblTransactions[[#This Row],[gross_sales_inr]]*(1-tblTransactions[[#This Row],[discount_pct]]),2)</f>
        <v>1968.45</v>
      </c>
      <c r="L294" t="str">
        <f>IF(ABS(tblTransactions[[#This Row],[net_sales_inr]]-tblTransactions[[#This Row],[Recalc_Net_Sales]])&lt;0.02,"OK","CHECK")</f>
        <v>OK</v>
      </c>
      <c r="M294" s="14">
        <f>DATE(YEAR(tblTransactions[[#This Row],[date]]),MONTH(tblTransactions[[#This Row],[date]]),1)</f>
        <v>45748</v>
      </c>
      <c r="N294" t="str">
        <f>IF(WEEKDAY(tblTransactions[[#This Row],[date]],2)&gt;5,"Weekend","Weekday")</f>
        <v>Weekend</v>
      </c>
      <c r="O294" s="13" t="str">
        <f>IF(tblTransactions[[#This Row],[discount_pct]]=0,"0%",IF(tblTransactions[[#This Row],[discount_pct]]&lt;=10%,"1–
10%",IF(tblTransactions[[#This Row],[discount_pct]]&lt;=20%,"11–20%","&gt;20%")))</f>
        <v>0%</v>
      </c>
      <c r="P294" s="13" t="str">
        <f>_xlfn.XLOOKUP(tblTransactions[[#This Row],[tenant_id]],tblTenants[tenant_id],tblTenants[zone],"NOT FOUND")</f>
        <v>Beauty &amp; Wellness</v>
      </c>
      <c r="Q294" s="13" t="str">
        <f>_xlfn.XLOOKUP(tblTransactions[[#This Row],[tenant_id]],tblTenants[tenant_id],tblTenants[category],"NOT FOUND")</f>
        <v>Wellness</v>
      </c>
    </row>
    <row r="295" spans="1:17">
      <c r="A295" t="s">
        <v>339</v>
      </c>
      <c r="B295" s="2">
        <v>45781</v>
      </c>
      <c r="C295">
        <v>18</v>
      </c>
      <c r="D295" t="s">
        <v>59</v>
      </c>
      <c r="E295" t="s">
        <v>32</v>
      </c>
      <c r="F295" s="7">
        <v>945.94</v>
      </c>
      <c r="G295" s="10">
        <v>0.1</v>
      </c>
      <c r="H295" s="7">
        <v>851.35</v>
      </c>
      <c r="I295">
        <v>5</v>
      </c>
      <c r="J295" t="s">
        <v>13</v>
      </c>
      <c r="K295" s="13">
        <f>ROUND(tblTransactions[[#This Row],[gross_sales_inr]]*(1-tblTransactions[[#This Row],[discount_pct]]),2)</f>
        <v>851.35</v>
      </c>
      <c r="L295" t="str">
        <f>IF(ABS(tblTransactions[[#This Row],[net_sales_inr]]-tblTransactions[[#This Row],[Recalc_Net_Sales]])&lt;0.02,"OK","CHECK")</f>
        <v>OK</v>
      </c>
      <c r="M295" s="14">
        <f>DATE(YEAR(tblTransactions[[#This Row],[date]]),MONTH(tblTransactions[[#This Row],[date]]),1)</f>
        <v>45778</v>
      </c>
      <c r="N295" t="str">
        <f>IF(WEEKDAY(tblTransactions[[#This Row],[date]],2)&gt;5,"Weekend","Weekday")</f>
        <v>Weekend</v>
      </c>
      <c r="O29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5" s="13" t="str">
        <f>_xlfn.XLOOKUP(tblTransactions[[#This Row],[tenant_id]],tblTenants[tenant_id],tblTenants[zone],"NOT FOUND")</f>
        <v>Fashion Avenue</v>
      </c>
      <c r="Q295" s="13" t="str">
        <f>_xlfn.XLOOKUP(tblTransactions[[#This Row],[tenant_id]],tblTenants[tenant_id],tblTenants[category],"NOT FOUND")</f>
        <v>Footwear</v>
      </c>
    </row>
    <row r="296" spans="1:17">
      <c r="A296" t="s">
        <v>340</v>
      </c>
      <c r="B296" s="2">
        <v>45725</v>
      </c>
      <c r="C296">
        <v>10</v>
      </c>
      <c r="D296" t="s">
        <v>80</v>
      </c>
      <c r="E296" t="s">
        <v>12</v>
      </c>
      <c r="F296" s="7">
        <v>1419.51</v>
      </c>
      <c r="G296" s="10">
        <v>0</v>
      </c>
      <c r="H296" s="7">
        <v>1419.51</v>
      </c>
      <c r="I296">
        <v>1</v>
      </c>
      <c r="J296" t="s">
        <v>16</v>
      </c>
      <c r="K296" s="13">
        <f>ROUND(tblTransactions[[#This Row],[gross_sales_inr]]*(1-tblTransactions[[#This Row],[discount_pct]]),2)</f>
        <v>1419.51</v>
      </c>
      <c r="L296" t="str">
        <f>IF(ABS(tblTransactions[[#This Row],[net_sales_inr]]-tblTransactions[[#This Row],[Recalc_Net_Sales]])&lt;0.02,"OK","CHECK")</f>
        <v>OK</v>
      </c>
      <c r="M296" s="14">
        <f>DATE(YEAR(tblTransactions[[#This Row],[date]]),MONTH(tblTransactions[[#This Row],[date]]),1)</f>
        <v>45717</v>
      </c>
      <c r="N296" t="str">
        <f>IF(WEEKDAY(tblTransactions[[#This Row],[date]],2)&gt;5,"Weekend","Weekday")</f>
        <v>Weekend</v>
      </c>
      <c r="O296" s="13" t="str">
        <f>IF(tblTransactions[[#This Row],[discount_pct]]=0,"0%",IF(tblTransactions[[#This Row],[discount_pct]]&lt;=10%,"1–
10%",IF(tblTransactions[[#This Row],[discount_pct]]&lt;=20%,"11–20%","&gt;20%")))</f>
        <v>0%</v>
      </c>
      <c r="P296" s="13" t="str">
        <f>_xlfn.XLOOKUP(tblTransactions[[#This Row],[tenant_id]],tblTenants[tenant_id],tblTenants[zone],"NOT FOUND")</f>
        <v>Food Court</v>
      </c>
      <c r="Q296" s="13" t="str">
        <f>_xlfn.XLOOKUP(tblTransactions[[#This Row],[tenant_id]],tblTenants[tenant_id],tblTenants[category],"NOT FOUND")</f>
        <v>Casual Dining</v>
      </c>
    </row>
    <row r="297" spans="1:17">
      <c r="A297" t="s">
        <v>341</v>
      </c>
      <c r="B297" s="2">
        <v>45708</v>
      </c>
      <c r="C297">
        <v>15</v>
      </c>
      <c r="D297" t="s">
        <v>87</v>
      </c>
      <c r="E297" t="s">
        <v>21</v>
      </c>
      <c r="F297" s="7">
        <v>2018.95</v>
      </c>
      <c r="G297" s="10">
        <v>0</v>
      </c>
      <c r="H297" s="7">
        <v>2018.95</v>
      </c>
      <c r="I297">
        <v>2</v>
      </c>
      <c r="J297" t="s">
        <v>13</v>
      </c>
      <c r="K297" s="13">
        <f>ROUND(tblTransactions[[#This Row],[gross_sales_inr]]*(1-tblTransactions[[#This Row],[discount_pct]]),2)</f>
        <v>2018.95</v>
      </c>
      <c r="L297" t="str">
        <f>IF(ABS(tblTransactions[[#This Row],[net_sales_inr]]-tblTransactions[[#This Row],[Recalc_Net_Sales]])&lt;0.02,"OK","CHECK")</f>
        <v>OK</v>
      </c>
      <c r="M297" s="14">
        <f>DATE(YEAR(tblTransactions[[#This Row],[date]]),MONTH(tblTransactions[[#This Row],[date]]),1)</f>
        <v>45689</v>
      </c>
      <c r="N297" t="str">
        <f>IF(WEEKDAY(tblTransactions[[#This Row],[date]],2)&gt;5,"Weekend","Weekday")</f>
        <v>Weekday</v>
      </c>
      <c r="O297" s="13" t="str">
        <f>IF(tblTransactions[[#This Row],[discount_pct]]=0,"0%",IF(tblTransactions[[#This Row],[discount_pct]]&lt;=10%,"1–
10%",IF(tblTransactions[[#This Row],[discount_pct]]&lt;=20%,"11–20%","&gt;20%")))</f>
        <v>0%</v>
      </c>
      <c r="P297" s="13" t="str">
        <f>_xlfn.XLOOKUP(tblTransactions[[#This Row],[tenant_id]],tblTenants[tenant_id],tblTenants[zone],"NOT FOUND")</f>
        <v>Fashion Avenue</v>
      </c>
      <c r="Q297" s="13" t="str">
        <f>_xlfn.XLOOKUP(tblTransactions[[#This Row],[tenant_id]],tblTenants[tenant_id],tblTenants[category],"NOT FOUND")</f>
        <v>Footwear</v>
      </c>
    </row>
    <row r="298" spans="1:17">
      <c r="A298" t="s">
        <v>342</v>
      </c>
      <c r="B298" s="2">
        <v>45736</v>
      </c>
      <c r="C298">
        <v>21</v>
      </c>
      <c r="D298" t="s">
        <v>23</v>
      </c>
      <c r="E298" t="s">
        <v>12</v>
      </c>
      <c r="F298" s="7">
        <v>394.05</v>
      </c>
      <c r="G298" s="10">
        <v>0</v>
      </c>
      <c r="H298" s="7">
        <v>394.05</v>
      </c>
      <c r="I298">
        <v>5</v>
      </c>
      <c r="J298" t="s">
        <v>16</v>
      </c>
      <c r="K298" s="13">
        <f>ROUND(tblTransactions[[#This Row],[gross_sales_inr]]*(1-tblTransactions[[#This Row],[discount_pct]]),2)</f>
        <v>394.05</v>
      </c>
      <c r="L298" t="str">
        <f>IF(ABS(tblTransactions[[#This Row],[net_sales_inr]]-tblTransactions[[#This Row],[Recalc_Net_Sales]])&lt;0.02,"OK","CHECK")</f>
        <v>OK</v>
      </c>
      <c r="M298" s="14">
        <f>DATE(YEAR(tblTransactions[[#This Row],[date]]),MONTH(tblTransactions[[#This Row],[date]]),1)</f>
        <v>45717</v>
      </c>
      <c r="N298" t="str">
        <f>IF(WEEKDAY(tblTransactions[[#This Row],[date]],2)&gt;5,"Weekend","Weekday")</f>
        <v>Weekday</v>
      </c>
      <c r="O298" s="13" t="str">
        <f>IF(tblTransactions[[#This Row],[discount_pct]]=0,"0%",IF(tblTransactions[[#This Row],[discount_pct]]&lt;=10%,"1–
10%",IF(tblTransactions[[#This Row],[discount_pct]]&lt;=20%,"11–20%","&gt;20%")))</f>
        <v>0%</v>
      </c>
      <c r="P298" s="13" t="str">
        <f>_xlfn.XLOOKUP(tblTransactions[[#This Row],[tenant_id]],tblTenants[tenant_id],tblTenants[zone],"NOT FOUND")</f>
        <v>Entertainment</v>
      </c>
      <c r="Q298" s="13" t="str">
        <f>_xlfn.XLOOKUP(tblTransactions[[#This Row],[tenant_id]],tblTenants[tenant_id],tblTenants[category],"NOT FOUND")</f>
        <v>Cinema</v>
      </c>
    </row>
    <row r="299" spans="1:17">
      <c r="A299" t="s">
        <v>343</v>
      </c>
      <c r="B299" s="2">
        <v>45779</v>
      </c>
      <c r="C299">
        <v>17</v>
      </c>
      <c r="D299" t="s">
        <v>36</v>
      </c>
      <c r="E299" t="s">
        <v>12</v>
      </c>
      <c r="F299" s="7">
        <v>901.21</v>
      </c>
      <c r="G299" s="10">
        <v>0.1</v>
      </c>
      <c r="H299" s="7">
        <v>811.09</v>
      </c>
      <c r="I299">
        <v>2</v>
      </c>
      <c r="J299" t="s">
        <v>16</v>
      </c>
      <c r="K299" s="13">
        <f>ROUND(tblTransactions[[#This Row],[gross_sales_inr]]*(1-tblTransactions[[#This Row],[discount_pct]]),2)</f>
        <v>811.09</v>
      </c>
      <c r="L299" t="str">
        <f>IF(ABS(tblTransactions[[#This Row],[net_sales_inr]]-tblTransactions[[#This Row],[Recalc_Net_Sales]])&lt;0.02,"OK","CHECK")</f>
        <v>OK</v>
      </c>
      <c r="M299" s="14">
        <f>DATE(YEAR(tblTransactions[[#This Row],[date]]),MONTH(tblTransactions[[#This Row],[date]]),1)</f>
        <v>45778</v>
      </c>
      <c r="N299" t="str">
        <f>IF(WEEKDAY(tblTransactions[[#This Row],[date]],2)&gt;5,"Weekend","Weekday")</f>
        <v>Weekday</v>
      </c>
      <c r="O29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9" s="13" t="str">
        <f>_xlfn.XLOOKUP(tblTransactions[[#This Row],[tenant_id]],tblTenants[tenant_id],tblTenants[zone],"NOT FOUND")</f>
        <v>Home &amp; Living</v>
      </c>
      <c r="Q299" s="13" t="str">
        <f>_xlfn.XLOOKUP(tblTransactions[[#This Row],[tenant_id]],tblTenants[tenant_id],tblTenants[category],"NOT FOUND")</f>
        <v>Electronics</v>
      </c>
    </row>
    <row r="300" spans="1:17">
      <c r="A300" t="s">
        <v>344</v>
      </c>
      <c r="B300" s="2">
        <v>45687</v>
      </c>
      <c r="C300">
        <v>18</v>
      </c>
      <c r="D300" t="s">
        <v>204</v>
      </c>
      <c r="E300" t="s">
        <v>12</v>
      </c>
      <c r="F300" s="7">
        <v>3090.76</v>
      </c>
      <c r="G300" s="10">
        <v>0.3</v>
      </c>
      <c r="H300" s="7">
        <v>2163.5300000000002</v>
      </c>
      <c r="I300">
        <v>5</v>
      </c>
      <c r="J300" t="s">
        <v>16</v>
      </c>
      <c r="K300" s="13">
        <f>ROUND(tblTransactions[[#This Row],[gross_sales_inr]]*(1-tblTransactions[[#This Row],[discount_pct]]),2)</f>
        <v>2163.5300000000002</v>
      </c>
      <c r="L300" t="str">
        <f>IF(ABS(tblTransactions[[#This Row],[net_sales_inr]]-tblTransactions[[#This Row],[Recalc_Net_Sales]])&lt;0.02,"OK","CHECK")</f>
        <v>OK</v>
      </c>
      <c r="M300" s="14">
        <f>DATE(YEAR(tblTransactions[[#This Row],[date]]),MONTH(tblTransactions[[#This Row],[date]]),1)</f>
        <v>45658</v>
      </c>
      <c r="N300" t="str">
        <f>IF(WEEKDAY(tblTransactions[[#This Row],[date]],2)&gt;5,"Weekend","Weekday")</f>
        <v>Weekday</v>
      </c>
      <c r="O30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300" s="13" t="str">
        <f>_xlfn.XLOOKUP(tblTransactions[[#This Row],[tenant_id]],tblTenants[tenant_id],tblTenants[zone],"NOT FOUND")</f>
        <v>Home &amp; Living</v>
      </c>
      <c r="Q300" s="13" t="str">
        <f>_xlfn.XLOOKUP(tblTransactions[[#This Row],[tenant_id]],tblTenants[tenant_id],tblTenants[category],"NOT FOUND")</f>
        <v>Home Decor</v>
      </c>
    </row>
    <row r="301" spans="1:17">
      <c r="A301" t="s">
        <v>345</v>
      </c>
      <c r="B301" s="2">
        <v>45732</v>
      </c>
      <c r="C301">
        <v>15</v>
      </c>
      <c r="D301" t="s">
        <v>18</v>
      </c>
      <c r="E301" t="s">
        <v>32</v>
      </c>
      <c r="F301" s="7">
        <v>3000.91</v>
      </c>
      <c r="G301" s="10">
        <v>0.2</v>
      </c>
      <c r="H301" s="7">
        <v>2400.73</v>
      </c>
      <c r="I301">
        <v>2</v>
      </c>
      <c r="J301" t="s">
        <v>13</v>
      </c>
      <c r="K301" s="13">
        <f>ROUND(tblTransactions[[#This Row],[gross_sales_inr]]*(1-tblTransactions[[#This Row],[discount_pct]]),2)</f>
        <v>2400.73</v>
      </c>
      <c r="L301" t="str">
        <f>IF(ABS(tblTransactions[[#This Row],[net_sales_inr]]-tblTransactions[[#This Row],[Recalc_Net_Sales]])&lt;0.02,"OK","CHECK")</f>
        <v>OK</v>
      </c>
      <c r="M301" s="14">
        <f>DATE(YEAR(tblTransactions[[#This Row],[date]]),MONTH(tblTransactions[[#This Row],[date]]),1)</f>
        <v>45717</v>
      </c>
      <c r="N301" t="str">
        <f>IF(WEEKDAY(tblTransactions[[#This Row],[date]],2)&gt;5,"Weekend","Weekday")</f>
        <v>Weekend</v>
      </c>
      <c r="O30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1" s="13" t="str">
        <f>_xlfn.XLOOKUP(tblTransactions[[#This Row],[tenant_id]],tblTenants[tenant_id],tblTenants[zone],"NOT FOUND")</f>
        <v>Beauty &amp; Wellness</v>
      </c>
      <c r="Q301" s="13" t="str">
        <f>_xlfn.XLOOKUP(tblTransactions[[#This Row],[tenant_id]],tblTenants[tenant_id],tblTenants[category],"NOT FOUND")</f>
        <v>Beauty</v>
      </c>
    </row>
    <row r="302" spans="1:17">
      <c r="A302" t="s">
        <v>346</v>
      </c>
      <c r="B302" s="2">
        <v>45698</v>
      </c>
      <c r="C302">
        <v>20</v>
      </c>
      <c r="D302" t="s">
        <v>61</v>
      </c>
      <c r="E302" t="s">
        <v>12</v>
      </c>
      <c r="F302" s="7">
        <v>320.94</v>
      </c>
      <c r="G302" s="10">
        <v>0.15</v>
      </c>
      <c r="H302" s="7">
        <v>272.8</v>
      </c>
      <c r="I302">
        <v>1</v>
      </c>
      <c r="J302" t="s">
        <v>13</v>
      </c>
      <c r="K302" s="13">
        <f>ROUND(tblTransactions[[#This Row],[gross_sales_inr]]*(1-tblTransactions[[#This Row],[discount_pct]]),2)</f>
        <v>272.8</v>
      </c>
      <c r="L302" t="str">
        <f>IF(ABS(tblTransactions[[#This Row],[net_sales_inr]]-tblTransactions[[#This Row],[Recalc_Net_Sales]])&lt;0.02,"OK","CHECK")</f>
        <v>OK</v>
      </c>
      <c r="M302" s="14">
        <f>DATE(YEAR(tblTransactions[[#This Row],[date]]),MONTH(tblTransactions[[#This Row],[date]]),1)</f>
        <v>45689</v>
      </c>
      <c r="N302" t="str">
        <f>IF(WEEKDAY(tblTransactions[[#This Row],[date]],2)&gt;5,"Weekend","Weekday")</f>
        <v>Weekday</v>
      </c>
      <c r="O30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2" s="13" t="str">
        <f>_xlfn.XLOOKUP(tblTransactions[[#This Row],[tenant_id]],tblTenants[tenant_id],tblTenants[zone],"NOT FOUND")</f>
        <v>Food Court</v>
      </c>
      <c r="Q302" s="13" t="str">
        <f>_xlfn.XLOOKUP(tblTransactions[[#This Row],[tenant_id]],tblTenants[tenant_id],tblTenants[category],"NOT FOUND")</f>
        <v>Quick Service</v>
      </c>
    </row>
    <row r="303" spans="1:17">
      <c r="A303" t="s">
        <v>347</v>
      </c>
      <c r="B303" s="2">
        <v>45825</v>
      </c>
      <c r="C303">
        <v>16</v>
      </c>
      <c r="D303" t="s">
        <v>122</v>
      </c>
      <c r="E303" t="s">
        <v>32</v>
      </c>
      <c r="F303" s="7">
        <v>1147.94</v>
      </c>
      <c r="G303" s="10">
        <v>0.2</v>
      </c>
      <c r="H303" s="7">
        <v>918.35</v>
      </c>
      <c r="I303">
        <v>1</v>
      </c>
      <c r="J303" t="s">
        <v>13</v>
      </c>
      <c r="K303" s="13">
        <f>ROUND(tblTransactions[[#This Row],[gross_sales_inr]]*(1-tblTransactions[[#This Row],[discount_pct]]),2)</f>
        <v>918.35</v>
      </c>
      <c r="L303" t="str">
        <f>IF(ABS(tblTransactions[[#This Row],[net_sales_inr]]-tblTransactions[[#This Row],[Recalc_Net_Sales]])&lt;0.02,"OK","CHECK")</f>
        <v>OK</v>
      </c>
      <c r="M303" s="14">
        <f>DATE(YEAR(tblTransactions[[#This Row],[date]]),MONTH(tblTransactions[[#This Row],[date]]),1)</f>
        <v>45809</v>
      </c>
      <c r="N303" t="str">
        <f>IF(WEEKDAY(tblTransactions[[#This Row],[date]],2)&gt;5,"Weekend","Weekday")</f>
        <v>Weekday</v>
      </c>
      <c r="O30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3" s="13" t="str">
        <f>_xlfn.XLOOKUP(tblTransactions[[#This Row],[tenant_id]],tblTenants[tenant_id],tblTenants[zone],"NOT FOUND")</f>
        <v>Beauty &amp; Wellness</v>
      </c>
      <c r="Q303" s="13" t="str">
        <f>_xlfn.XLOOKUP(tblTransactions[[#This Row],[tenant_id]],tblTenants[tenant_id],tblTenants[category],"NOT FOUND")</f>
        <v>Wellness</v>
      </c>
    </row>
    <row r="304" spans="1:17">
      <c r="A304" t="s">
        <v>348</v>
      </c>
      <c r="B304" s="2">
        <v>45814</v>
      </c>
      <c r="C304">
        <v>19</v>
      </c>
      <c r="D304" t="s">
        <v>48</v>
      </c>
      <c r="E304" t="s">
        <v>32</v>
      </c>
      <c r="F304" s="7">
        <v>1226.8399999999999</v>
      </c>
      <c r="G304" s="10">
        <v>0</v>
      </c>
      <c r="H304" s="7">
        <v>1226.8399999999999</v>
      </c>
      <c r="I304">
        <v>2</v>
      </c>
      <c r="J304" t="s">
        <v>16</v>
      </c>
      <c r="K304" s="13">
        <f>ROUND(tblTransactions[[#This Row],[gross_sales_inr]]*(1-tblTransactions[[#This Row],[discount_pct]]),2)</f>
        <v>1226.8399999999999</v>
      </c>
      <c r="L304" t="str">
        <f>IF(ABS(tblTransactions[[#This Row],[net_sales_inr]]-tblTransactions[[#This Row],[Recalc_Net_Sales]])&lt;0.02,"OK","CHECK")</f>
        <v>OK</v>
      </c>
      <c r="M304" s="14">
        <f>DATE(YEAR(tblTransactions[[#This Row],[date]]),MONTH(tblTransactions[[#This Row],[date]]),1)</f>
        <v>45809</v>
      </c>
      <c r="N304" t="str">
        <f>IF(WEEKDAY(tblTransactions[[#This Row],[date]],2)&gt;5,"Weekend","Weekday")</f>
        <v>Weekday</v>
      </c>
      <c r="O304" s="13" t="str">
        <f>IF(tblTransactions[[#This Row],[discount_pct]]=0,"0%",IF(tblTransactions[[#This Row],[discount_pct]]&lt;=10%,"1–
10%",IF(tblTransactions[[#This Row],[discount_pct]]&lt;=20%,"11–20%","&gt;20%")))</f>
        <v>0%</v>
      </c>
      <c r="P304" s="13" t="str">
        <f>_xlfn.XLOOKUP(tblTransactions[[#This Row],[tenant_id]],tblTenants[tenant_id],tblTenants[zone],"NOT FOUND")</f>
        <v>Beauty &amp; Wellness</v>
      </c>
      <c r="Q304" s="13" t="str">
        <f>_xlfn.XLOOKUP(tblTransactions[[#This Row],[tenant_id]],tblTenants[tenant_id],tblTenants[category],"NOT FOUND")</f>
        <v>Wellness</v>
      </c>
    </row>
    <row r="305" spans="1:17">
      <c r="A305" t="s">
        <v>349</v>
      </c>
      <c r="B305" s="2">
        <v>45803</v>
      </c>
      <c r="C305">
        <v>18</v>
      </c>
      <c r="D305" t="s">
        <v>20</v>
      </c>
      <c r="E305" t="s">
        <v>32</v>
      </c>
      <c r="F305" s="7">
        <v>586.51</v>
      </c>
      <c r="G305" s="10">
        <v>0.2</v>
      </c>
      <c r="H305" s="7">
        <v>469.21</v>
      </c>
      <c r="I305">
        <v>4</v>
      </c>
      <c r="J305" t="s">
        <v>13</v>
      </c>
      <c r="K305" s="13">
        <f>ROUND(tblTransactions[[#This Row],[gross_sales_inr]]*(1-tblTransactions[[#This Row],[discount_pct]]),2)</f>
        <v>469.21</v>
      </c>
      <c r="L305" t="str">
        <f>IF(ABS(tblTransactions[[#This Row],[net_sales_inr]]-tblTransactions[[#This Row],[Recalc_Net_Sales]])&lt;0.02,"OK","CHECK")</f>
        <v>OK</v>
      </c>
      <c r="M305" s="14">
        <f>DATE(YEAR(tblTransactions[[#This Row],[date]]),MONTH(tblTransactions[[#This Row],[date]]),1)</f>
        <v>45778</v>
      </c>
      <c r="N305" t="str">
        <f>IF(WEEKDAY(tblTransactions[[#This Row],[date]],2)&gt;5,"Weekend","Weekday")</f>
        <v>Weekday</v>
      </c>
      <c r="O30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5" s="13" t="str">
        <f>_xlfn.XLOOKUP(tblTransactions[[#This Row],[tenant_id]],tblTenants[tenant_id],tblTenants[zone],"NOT FOUND")</f>
        <v>Fashion Avenue</v>
      </c>
      <c r="Q305" s="13" t="str">
        <f>_xlfn.XLOOKUP(tblTransactions[[#This Row],[tenant_id]],tblTenants[tenant_id],tblTenants[category],"NOT FOUND")</f>
        <v>Accessories</v>
      </c>
    </row>
    <row r="306" spans="1:17">
      <c r="A306" t="s">
        <v>350</v>
      </c>
      <c r="B306" s="2">
        <v>45663</v>
      </c>
      <c r="C306">
        <v>17</v>
      </c>
      <c r="D306" t="s">
        <v>122</v>
      </c>
      <c r="E306" t="s">
        <v>12</v>
      </c>
      <c r="F306" s="7">
        <v>2102.3000000000002</v>
      </c>
      <c r="G306" s="10">
        <v>0</v>
      </c>
      <c r="H306" s="7">
        <v>2102.3000000000002</v>
      </c>
      <c r="I306">
        <v>2</v>
      </c>
      <c r="J306" t="s">
        <v>13</v>
      </c>
      <c r="K306" s="13">
        <f>ROUND(tblTransactions[[#This Row],[gross_sales_inr]]*(1-tblTransactions[[#This Row],[discount_pct]]),2)</f>
        <v>2102.3000000000002</v>
      </c>
      <c r="L306" t="str">
        <f>IF(ABS(tblTransactions[[#This Row],[net_sales_inr]]-tblTransactions[[#This Row],[Recalc_Net_Sales]])&lt;0.02,"OK","CHECK")</f>
        <v>OK</v>
      </c>
      <c r="M306" s="14">
        <f>DATE(YEAR(tblTransactions[[#This Row],[date]]),MONTH(tblTransactions[[#This Row],[date]]),1)</f>
        <v>45658</v>
      </c>
      <c r="N306" t="str">
        <f>IF(WEEKDAY(tblTransactions[[#This Row],[date]],2)&gt;5,"Weekend","Weekday")</f>
        <v>Weekday</v>
      </c>
      <c r="O306" s="13" t="str">
        <f>IF(tblTransactions[[#This Row],[discount_pct]]=0,"0%",IF(tblTransactions[[#This Row],[discount_pct]]&lt;=10%,"1–
10%",IF(tblTransactions[[#This Row],[discount_pct]]&lt;=20%,"11–20%","&gt;20%")))</f>
        <v>0%</v>
      </c>
      <c r="P306" s="13" t="str">
        <f>_xlfn.XLOOKUP(tblTransactions[[#This Row],[tenant_id]],tblTenants[tenant_id],tblTenants[zone],"NOT FOUND")</f>
        <v>Beauty &amp; Wellness</v>
      </c>
      <c r="Q306" s="13" t="str">
        <f>_xlfn.XLOOKUP(tblTransactions[[#This Row],[tenant_id]],tblTenants[tenant_id],tblTenants[category],"NOT FOUND")</f>
        <v>Wellness</v>
      </c>
    </row>
    <row r="307" spans="1:17">
      <c r="A307" t="s">
        <v>351</v>
      </c>
      <c r="B307" s="2">
        <v>45729</v>
      </c>
      <c r="C307">
        <v>18</v>
      </c>
      <c r="D307" t="s">
        <v>55</v>
      </c>
      <c r="E307" t="s">
        <v>21</v>
      </c>
      <c r="F307" s="7">
        <v>1099.8599999999999</v>
      </c>
      <c r="G307" s="10">
        <v>0</v>
      </c>
      <c r="H307" s="7">
        <v>1099.8599999999999</v>
      </c>
      <c r="I307">
        <v>2</v>
      </c>
      <c r="J307" t="s">
        <v>13</v>
      </c>
      <c r="K307" s="13">
        <f>ROUND(tblTransactions[[#This Row],[gross_sales_inr]]*(1-tblTransactions[[#This Row],[discount_pct]]),2)</f>
        <v>1099.8599999999999</v>
      </c>
      <c r="L307" t="str">
        <f>IF(ABS(tblTransactions[[#This Row],[net_sales_inr]]-tblTransactions[[#This Row],[Recalc_Net_Sales]])&lt;0.02,"OK","CHECK")</f>
        <v>OK</v>
      </c>
      <c r="M307" s="14">
        <f>DATE(YEAR(tblTransactions[[#This Row],[date]]),MONTH(tblTransactions[[#This Row],[date]]),1)</f>
        <v>45717</v>
      </c>
      <c r="N307" t="str">
        <f>IF(WEEKDAY(tblTransactions[[#This Row],[date]],2)&gt;5,"Weekend","Weekday")</f>
        <v>Weekday</v>
      </c>
      <c r="O307" s="13" t="str">
        <f>IF(tblTransactions[[#This Row],[discount_pct]]=0,"0%",IF(tblTransactions[[#This Row],[discount_pct]]&lt;=10%,"1–
10%",IF(tblTransactions[[#This Row],[discount_pct]]&lt;=20%,"11–20%","&gt;20%")))</f>
        <v>0%</v>
      </c>
      <c r="P307" s="13" t="str">
        <f>_xlfn.XLOOKUP(tblTransactions[[#This Row],[tenant_id]],tblTenants[tenant_id],tblTenants[zone],"NOT FOUND")</f>
        <v>Food Court</v>
      </c>
      <c r="Q307" s="13" t="str">
        <f>_xlfn.XLOOKUP(tblTransactions[[#This Row],[tenant_id]],tblTenants[tenant_id],tblTenants[category],"NOT FOUND")</f>
        <v>Quick Service</v>
      </c>
    </row>
    <row r="308" spans="1:17">
      <c r="A308" t="s">
        <v>352</v>
      </c>
      <c r="B308" s="2">
        <v>45669</v>
      </c>
      <c r="C308">
        <v>19</v>
      </c>
      <c r="D308" t="s">
        <v>43</v>
      </c>
      <c r="E308" t="s">
        <v>12</v>
      </c>
      <c r="F308" s="7">
        <v>2780.02</v>
      </c>
      <c r="G308" s="10">
        <v>0.05</v>
      </c>
      <c r="H308" s="7">
        <v>2641.02</v>
      </c>
      <c r="I308">
        <v>5</v>
      </c>
      <c r="J308" t="s">
        <v>13</v>
      </c>
      <c r="K308" s="13">
        <f>ROUND(tblTransactions[[#This Row],[gross_sales_inr]]*(1-tblTransactions[[#This Row],[discount_pct]]),2)</f>
        <v>2641.02</v>
      </c>
      <c r="L308" t="str">
        <f>IF(ABS(tblTransactions[[#This Row],[net_sales_inr]]-tblTransactions[[#This Row],[Recalc_Net_Sales]])&lt;0.02,"OK","CHECK")</f>
        <v>OK</v>
      </c>
      <c r="M308" s="14">
        <f>DATE(YEAR(tblTransactions[[#This Row],[date]]),MONTH(tblTransactions[[#This Row],[date]]),1)</f>
        <v>45658</v>
      </c>
      <c r="N308" t="str">
        <f>IF(WEEKDAY(tblTransactions[[#This Row],[date]],2)&gt;5,"Weekend","Weekday")</f>
        <v>Weekend</v>
      </c>
      <c r="O30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8" s="13" t="str">
        <f>_xlfn.XLOOKUP(tblTransactions[[#This Row],[tenant_id]],tblTenants[tenant_id],tblTenants[zone],"NOT FOUND")</f>
        <v>Food Court</v>
      </c>
      <c r="Q308" s="13" t="str">
        <f>_xlfn.XLOOKUP(tblTransactions[[#This Row],[tenant_id]],tblTenants[tenant_id],tblTenants[category],"NOT FOUND")</f>
        <v>Casual Dining</v>
      </c>
    </row>
    <row r="309" spans="1:17">
      <c r="A309" t="s">
        <v>353</v>
      </c>
      <c r="B309" s="2">
        <v>45807</v>
      </c>
      <c r="C309">
        <v>17</v>
      </c>
      <c r="D309" t="s">
        <v>45</v>
      </c>
      <c r="E309" t="s">
        <v>32</v>
      </c>
      <c r="F309" s="7">
        <v>891.45</v>
      </c>
      <c r="G309" s="10">
        <v>0</v>
      </c>
      <c r="H309" s="7">
        <v>891.45</v>
      </c>
      <c r="I309">
        <v>1</v>
      </c>
      <c r="J309" t="s">
        <v>16</v>
      </c>
      <c r="K309" s="13">
        <f>ROUND(tblTransactions[[#This Row],[gross_sales_inr]]*(1-tblTransactions[[#This Row],[discount_pct]]),2)</f>
        <v>891.45</v>
      </c>
      <c r="L309" t="str">
        <f>IF(ABS(tblTransactions[[#This Row],[net_sales_inr]]-tblTransactions[[#This Row],[Recalc_Net_Sales]])&lt;0.02,"OK","CHECK")</f>
        <v>OK</v>
      </c>
      <c r="M309" s="14">
        <f>DATE(YEAR(tblTransactions[[#This Row],[date]]),MONTH(tblTransactions[[#This Row],[date]]),1)</f>
        <v>45778</v>
      </c>
      <c r="N309" t="str">
        <f>IF(WEEKDAY(tblTransactions[[#This Row],[date]],2)&gt;5,"Weekend","Weekday")</f>
        <v>Weekday</v>
      </c>
      <c r="O309" s="13" t="str">
        <f>IF(tblTransactions[[#This Row],[discount_pct]]=0,"0%",IF(tblTransactions[[#This Row],[discount_pct]]&lt;=10%,"1–
10%",IF(tblTransactions[[#This Row],[discount_pct]]&lt;=20%,"11–20%","&gt;20%")))</f>
        <v>0%</v>
      </c>
      <c r="P309" s="13" t="str">
        <f>_xlfn.XLOOKUP(tblTransactions[[#This Row],[tenant_id]],tblTenants[tenant_id],tblTenants[zone],"NOT FOUND")</f>
        <v>Home &amp; Living</v>
      </c>
      <c r="Q309" s="13" t="str">
        <f>_xlfn.XLOOKUP(tblTransactions[[#This Row],[tenant_id]],tblTenants[tenant_id],tblTenants[category],"NOT FOUND")</f>
        <v>Home Decor</v>
      </c>
    </row>
    <row r="310" spans="1:17">
      <c r="A310" t="s">
        <v>354</v>
      </c>
      <c r="B310" s="2">
        <v>45710</v>
      </c>
      <c r="C310">
        <v>14</v>
      </c>
      <c r="D310" t="s">
        <v>25</v>
      </c>
      <c r="E310" t="s">
        <v>12</v>
      </c>
      <c r="F310" s="7">
        <v>6507.29</v>
      </c>
      <c r="G310" s="10">
        <v>0</v>
      </c>
      <c r="H310" s="7">
        <v>6507.29</v>
      </c>
      <c r="I310">
        <v>1</v>
      </c>
      <c r="J310" t="s">
        <v>13</v>
      </c>
      <c r="K310" s="13">
        <f>ROUND(tblTransactions[[#This Row],[gross_sales_inr]]*(1-tblTransactions[[#This Row],[discount_pct]]),2)</f>
        <v>6507.29</v>
      </c>
      <c r="L310" t="str">
        <f>IF(ABS(tblTransactions[[#This Row],[net_sales_inr]]-tblTransactions[[#This Row],[Recalc_Net_Sales]])&lt;0.02,"OK","CHECK")</f>
        <v>OK</v>
      </c>
      <c r="M310" s="14">
        <f>DATE(YEAR(tblTransactions[[#This Row],[date]]),MONTH(tblTransactions[[#This Row],[date]]),1)</f>
        <v>45689</v>
      </c>
      <c r="N310" t="str">
        <f>IF(WEEKDAY(tblTransactions[[#This Row],[date]],2)&gt;5,"Weekend","Weekday")</f>
        <v>Weekend</v>
      </c>
      <c r="O310" s="13" t="str">
        <f>IF(tblTransactions[[#This Row],[discount_pct]]=0,"0%",IF(tblTransactions[[#This Row],[discount_pct]]&lt;=10%,"1–
10%",IF(tblTransactions[[#This Row],[discount_pct]]&lt;=20%,"11–20%","&gt;20%")))</f>
        <v>0%</v>
      </c>
      <c r="P310" s="13" t="str">
        <f>_xlfn.XLOOKUP(tblTransactions[[#This Row],[tenant_id]],tblTenants[tenant_id],tblTenants[zone],"NOT FOUND")</f>
        <v>Beauty &amp; Wellness</v>
      </c>
      <c r="Q310" s="13" t="str">
        <f>_xlfn.XLOOKUP(tblTransactions[[#This Row],[tenant_id]],tblTenants[tenant_id],tblTenants[category],"NOT FOUND")</f>
        <v>Beauty</v>
      </c>
    </row>
    <row r="311" spans="1:17">
      <c r="A311" t="s">
        <v>355</v>
      </c>
      <c r="B311" s="2">
        <v>45671</v>
      </c>
      <c r="C311">
        <v>12</v>
      </c>
      <c r="D311" t="s">
        <v>18</v>
      </c>
      <c r="E311" t="s">
        <v>12</v>
      </c>
      <c r="F311" s="7">
        <v>1001.74</v>
      </c>
      <c r="G311" s="10">
        <v>0</v>
      </c>
      <c r="H311" s="7">
        <v>1001.74</v>
      </c>
      <c r="I311">
        <v>4</v>
      </c>
      <c r="J311" t="s">
        <v>16</v>
      </c>
      <c r="K311" s="13">
        <f>ROUND(tblTransactions[[#This Row],[gross_sales_inr]]*(1-tblTransactions[[#This Row],[discount_pct]]),2)</f>
        <v>1001.74</v>
      </c>
      <c r="L311" t="str">
        <f>IF(ABS(tblTransactions[[#This Row],[net_sales_inr]]-tblTransactions[[#This Row],[Recalc_Net_Sales]])&lt;0.02,"OK","CHECK")</f>
        <v>OK</v>
      </c>
      <c r="M311" s="14">
        <f>DATE(YEAR(tblTransactions[[#This Row],[date]]),MONTH(tblTransactions[[#This Row],[date]]),1)</f>
        <v>45658</v>
      </c>
      <c r="N311" t="str">
        <f>IF(WEEKDAY(tblTransactions[[#This Row],[date]],2)&gt;5,"Weekend","Weekday")</f>
        <v>Weekday</v>
      </c>
      <c r="O311" s="13" t="str">
        <f>IF(tblTransactions[[#This Row],[discount_pct]]=0,"0%",IF(tblTransactions[[#This Row],[discount_pct]]&lt;=10%,"1–
10%",IF(tblTransactions[[#This Row],[discount_pct]]&lt;=20%,"11–20%","&gt;20%")))</f>
        <v>0%</v>
      </c>
      <c r="P311" s="13" t="str">
        <f>_xlfn.XLOOKUP(tblTransactions[[#This Row],[tenant_id]],tblTenants[tenant_id],tblTenants[zone],"NOT FOUND")</f>
        <v>Beauty &amp; Wellness</v>
      </c>
      <c r="Q311" s="13" t="str">
        <f>_xlfn.XLOOKUP(tblTransactions[[#This Row],[tenant_id]],tblTenants[tenant_id],tblTenants[category],"NOT FOUND")</f>
        <v>Beauty</v>
      </c>
    </row>
    <row r="312" spans="1:17">
      <c r="A312" t="s">
        <v>356</v>
      </c>
      <c r="B312" s="2">
        <v>45678</v>
      </c>
      <c r="C312">
        <v>19</v>
      </c>
      <c r="D312" t="s">
        <v>104</v>
      </c>
      <c r="E312" t="s">
        <v>12</v>
      </c>
      <c r="F312" s="7">
        <v>428.57</v>
      </c>
      <c r="G312" s="10">
        <v>0.2</v>
      </c>
      <c r="H312" s="7">
        <v>342.86</v>
      </c>
      <c r="I312">
        <v>3</v>
      </c>
      <c r="J312" t="s">
        <v>13</v>
      </c>
      <c r="K312" s="13">
        <f>ROUND(tblTransactions[[#This Row],[gross_sales_inr]]*(1-tblTransactions[[#This Row],[discount_pct]]),2)</f>
        <v>342.86</v>
      </c>
      <c r="L312" t="str">
        <f>IF(ABS(tblTransactions[[#This Row],[net_sales_inr]]-tblTransactions[[#This Row],[Recalc_Net_Sales]])&lt;0.02,"OK","CHECK")</f>
        <v>OK</v>
      </c>
      <c r="M312" s="14">
        <f>DATE(YEAR(tblTransactions[[#This Row],[date]]),MONTH(tblTransactions[[#This Row],[date]]),1)</f>
        <v>45658</v>
      </c>
      <c r="N312" t="str">
        <f>IF(WEEKDAY(tblTransactions[[#This Row],[date]],2)&gt;5,"Weekend","Weekday")</f>
        <v>Weekday</v>
      </c>
      <c r="O31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2" s="13" t="str">
        <f>_xlfn.XLOOKUP(tblTransactions[[#This Row],[tenant_id]],tblTenants[tenant_id],tblTenants[zone],"NOT FOUND")</f>
        <v>Entertainment</v>
      </c>
      <c r="Q312" s="13" t="str">
        <f>_xlfn.XLOOKUP(tblTransactions[[#This Row],[tenant_id]],tblTenants[tenant_id],tblTenants[category],"NOT FOUND")</f>
        <v>Family Entertainment</v>
      </c>
    </row>
    <row r="313" spans="1:17">
      <c r="A313" t="s">
        <v>357</v>
      </c>
      <c r="B313" s="2">
        <v>45786</v>
      </c>
      <c r="C313">
        <v>22</v>
      </c>
      <c r="D313" t="s">
        <v>204</v>
      </c>
      <c r="E313" t="s">
        <v>12</v>
      </c>
      <c r="F313" s="7">
        <v>2784.3</v>
      </c>
      <c r="G313" s="10">
        <v>0</v>
      </c>
      <c r="H313" s="7">
        <v>2784.3</v>
      </c>
      <c r="I313">
        <v>1</v>
      </c>
      <c r="J313" t="s">
        <v>13</v>
      </c>
      <c r="K313" s="13">
        <f>ROUND(tblTransactions[[#This Row],[gross_sales_inr]]*(1-tblTransactions[[#This Row],[discount_pct]]),2)</f>
        <v>2784.3</v>
      </c>
      <c r="L313" t="str">
        <f>IF(ABS(tblTransactions[[#This Row],[net_sales_inr]]-tblTransactions[[#This Row],[Recalc_Net_Sales]])&lt;0.02,"OK","CHECK")</f>
        <v>OK</v>
      </c>
      <c r="M313" s="14">
        <f>DATE(YEAR(tblTransactions[[#This Row],[date]]),MONTH(tblTransactions[[#This Row],[date]]),1)</f>
        <v>45778</v>
      </c>
      <c r="N313" t="str">
        <f>IF(WEEKDAY(tblTransactions[[#This Row],[date]],2)&gt;5,"Weekend","Weekday")</f>
        <v>Weekday</v>
      </c>
      <c r="O313" s="13" t="str">
        <f>IF(tblTransactions[[#This Row],[discount_pct]]=0,"0%",IF(tblTransactions[[#This Row],[discount_pct]]&lt;=10%,"1–
10%",IF(tblTransactions[[#This Row],[discount_pct]]&lt;=20%,"11–20%","&gt;20%")))</f>
        <v>0%</v>
      </c>
      <c r="P313" s="13" t="str">
        <f>_xlfn.XLOOKUP(tblTransactions[[#This Row],[tenant_id]],tblTenants[tenant_id],tblTenants[zone],"NOT FOUND")</f>
        <v>Home &amp; Living</v>
      </c>
      <c r="Q313" s="13" t="str">
        <f>_xlfn.XLOOKUP(tblTransactions[[#This Row],[tenant_id]],tblTenants[tenant_id],tblTenants[category],"NOT FOUND")</f>
        <v>Home Decor</v>
      </c>
    </row>
    <row r="314" spans="1:17">
      <c r="A314" t="s">
        <v>358</v>
      </c>
      <c r="B314" s="2">
        <v>45836</v>
      </c>
      <c r="C314">
        <v>15</v>
      </c>
      <c r="D314" t="s">
        <v>36</v>
      </c>
      <c r="E314" t="s">
        <v>12</v>
      </c>
      <c r="F314" s="7">
        <v>498.83</v>
      </c>
      <c r="G314" s="10">
        <v>0</v>
      </c>
      <c r="H314" s="7">
        <v>498.83</v>
      </c>
      <c r="I314">
        <v>2</v>
      </c>
      <c r="J314" t="s">
        <v>16</v>
      </c>
      <c r="K314" s="13">
        <f>ROUND(tblTransactions[[#This Row],[gross_sales_inr]]*(1-tblTransactions[[#This Row],[discount_pct]]),2)</f>
        <v>498.83</v>
      </c>
      <c r="L314" t="str">
        <f>IF(ABS(tblTransactions[[#This Row],[net_sales_inr]]-tblTransactions[[#This Row],[Recalc_Net_Sales]])&lt;0.02,"OK","CHECK")</f>
        <v>OK</v>
      </c>
      <c r="M314" s="14">
        <f>DATE(YEAR(tblTransactions[[#This Row],[date]]),MONTH(tblTransactions[[#This Row],[date]]),1)</f>
        <v>45809</v>
      </c>
      <c r="N314" t="str">
        <f>IF(WEEKDAY(tblTransactions[[#This Row],[date]],2)&gt;5,"Weekend","Weekday")</f>
        <v>Weekend</v>
      </c>
      <c r="O314" s="13" t="str">
        <f>IF(tblTransactions[[#This Row],[discount_pct]]=0,"0%",IF(tblTransactions[[#This Row],[discount_pct]]&lt;=10%,"1–
10%",IF(tblTransactions[[#This Row],[discount_pct]]&lt;=20%,"11–20%","&gt;20%")))</f>
        <v>0%</v>
      </c>
      <c r="P314" s="13" t="str">
        <f>_xlfn.XLOOKUP(tblTransactions[[#This Row],[tenant_id]],tblTenants[tenant_id],tblTenants[zone],"NOT FOUND")</f>
        <v>Home &amp; Living</v>
      </c>
      <c r="Q314" s="13" t="str">
        <f>_xlfn.XLOOKUP(tblTransactions[[#This Row],[tenant_id]],tblTenants[tenant_id],tblTenants[category],"NOT FOUND")</f>
        <v>Electronics</v>
      </c>
    </row>
    <row r="315" spans="1:17">
      <c r="A315" t="s">
        <v>359</v>
      </c>
      <c r="B315" s="2">
        <v>45747</v>
      </c>
      <c r="C315">
        <v>22</v>
      </c>
      <c r="D315" t="s">
        <v>11</v>
      </c>
      <c r="E315" t="s">
        <v>12</v>
      </c>
      <c r="F315" s="7">
        <v>1144.42</v>
      </c>
      <c r="G315" s="10">
        <v>0.05</v>
      </c>
      <c r="H315" s="7">
        <v>1087.2</v>
      </c>
      <c r="I315">
        <v>1</v>
      </c>
      <c r="J315" t="s">
        <v>16</v>
      </c>
      <c r="K315" s="13">
        <f>ROUND(tblTransactions[[#This Row],[gross_sales_inr]]*(1-tblTransactions[[#This Row],[discount_pct]]),2)</f>
        <v>1087.2</v>
      </c>
      <c r="L315" t="str">
        <f>IF(ABS(tblTransactions[[#This Row],[net_sales_inr]]-tblTransactions[[#This Row],[Recalc_Net_Sales]])&lt;0.02,"OK","CHECK")</f>
        <v>OK</v>
      </c>
      <c r="M315" s="14">
        <f>DATE(YEAR(tblTransactions[[#This Row],[date]]),MONTH(tblTransactions[[#This Row],[date]]),1)</f>
        <v>45717</v>
      </c>
      <c r="N315" t="str">
        <f>IF(WEEKDAY(tblTransactions[[#This Row],[date]],2)&gt;5,"Weekend","Weekday")</f>
        <v>Weekday</v>
      </c>
      <c r="O31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5" s="13" t="str">
        <f>_xlfn.XLOOKUP(tblTransactions[[#This Row],[tenant_id]],tblTenants[tenant_id],tblTenants[zone],"NOT FOUND")</f>
        <v>Home &amp; Living</v>
      </c>
      <c r="Q315" s="13" t="str">
        <f>_xlfn.XLOOKUP(tblTransactions[[#This Row],[tenant_id]],tblTenants[tenant_id],tblTenants[category],"NOT FOUND")</f>
        <v>Home Decor</v>
      </c>
    </row>
    <row r="316" spans="1:17">
      <c r="A316" t="s">
        <v>360</v>
      </c>
      <c r="B316" s="2">
        <v>45821</v>
      </c>
      <c r="C316">
        <v>22</v>
      </c>
      <c r="D316" t="s">
        <v>61</v>
      </c>
      <c r="E316" t="s">
        <v>12</v>
      </c>
      <c r="F316" s="7">
        <v>978.96</v>
      </c>
      <c r="G316" s="10">
        <v>0.05</v>
      </c>
      <c r="H316" s="7">
        <v>930.01</v>
      </c>
      <c r="I316">
        <v>2</v>
      </c>
      <c r="J316" t="s">
        <v>13</v>
      </c>
      <c r="K316" s="13">
        <f>ROUND(tblTransactions[[#This Row],[gross_sales_inr]]*(1-tblTransactions[[#This Row],[discount_pct]]),2)</f>
        <v>930.01</v>
      </c>
      <c r="L316" t="str">
        <f>IF(ABS(tblTransactions[[#This Row],[net_sales_inr]]-tblTransactions[[#This Row],[Recalc_Net_Sales]])&lt;0.02,"OK","CHECK")</f>
        <v>OK</v>
      </c>
      <c r="M316" s="14">
        <f>DATE(YEAR(tblTransactions[[#This Row],[date]]),MONTH(tblTransactions[[#This Row],[date]]),1)</f>
        <v>45809</v>
      </c>
      <c r="N316" t="str">
        <f>IF(WEEKDAY(tblTransactions[[#This Row],[date]],2)&gt;5,"Weekend","Weekday")</f>
        <v>Weekday</v>
      </c>
      <c r="O31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6" s="13" t="str">
        <f>_xlfn.XLOOKUP(tblTransactions[[#This Row],[tenant_id]],tblTenants[tenant_id],tblTenants[zone],"NOT FOUND")</f>
        <v>Food Court</v>
      </c>
      <c r="Q316" s="13" t="str">
        <f>_xlfn.XLOOKUP(tblTransactions[[#This Row],[tenant_id]],tblTenants[tenant_id],tblTenants[category],"NOT FOUND")</f>
        <v>Quick Service</v>
      </c>
    </row>
    <row r="317" spans="1:17">
      <c r="A317" t="s">
        <v>361</v>
      </c>
      <c r="B317" s="2">
        <v>45775</v>
      </c>
      <c r="C317">
        <v>13</v>
      </c>
      <c r="D317" t="s">
        <v>43</v>
      </c>
      <c r="E317" t="s">
        <v>12</v>
      </c>
      <c r="F317" s="7">
        <v>206.27</v>
      </c>
      <c r="G317" s="10">
        <v>0</v>
      </c>
      <c r="H317" s="7">
        <v>206.27</v>
      </c>
      <c r="I317">
        <v>2</v>
      </c>
      <c r="J317" t="s">
        <v>13</v>
      </c>
      <c r="K317" s="13">
        <f>ROUND(tblTransactions[[#This Row],[gross_sales_inr]]*(1-tblTransactions[[#This Row],[discount_pct]]),2)</f>
        <v>206.27</v>
      </c>
      <c r="L317" t="str">
        <f>IF(ABS(tblTransactions[[#This Row],[net_sales_inr]]-tblTransactions[[#This Row],[Recalc_Net_Sales]])&lt;0.02,"OK","CHECK")</f>
        <v>OK</v>
      </c>
      <c r="M317" s="14">
        <f>DATE(YEAR(tblTransactions[[#This Row],[date]]),MONTH(tblTransactions[[#This Row],[date]]),1)</f>
        <v>45748</v>
      </c>
      <c r="N317" t="str">
        <f>IF(WEEKDAY(tblTransactions[[#This Row],[date]],2)&gt;5,"Weekend","Weekday")</f>
        <v>Weekday</v>
      </c>
      <c r="O317" s="13" t="str">
        <f>IF(tblTransactions[[#This Row],[discount_pct]]=0,"0%",IF(tblTransactions[[#This Row],[discount_pct]]&lt;=10%,"1–
10%",IF(tblTransactions[[#This Row],[discount_pct]]&lt;=20%,"11–20%","&gt;20%")))</f>
        <v>0%</v>
      </c>
      <c r="P317" s="13" t="str">
        <f>_xlfn.XLOOKUP(tblTransactions[[#This Row],[tenant_id]],tblTenants[tenant_id],tblTenants[zone],"NOT FOUND")</f>
        <v>Food Court</v>
      </c>
      <c r="Q317" s="13" t="str">
        <f>_xlfn.XLOOKUP(tblTransactions[[#This Row],[tenant_id]],tblTenants[tenant_id],tblTenants[category],"NOT FOUND")</f>
        <v>Casual Dining</v>
      </c>
    </row>
    <row r="318" spans="1:17">
      <c r="A318" t="s">
        <v>362</v>
      </c>
      <c r="B318" s="2">
        <v>45742</v>
      </c>
      <c r="C318">
        <v>19</v>
      </c>
      <c r="D318" t="s">
        <v>53</v>
      </c>
      <c r="E318" t="s">
        <v>12</v>
      </c>
      <c r="F318" s="7">
        <v>624.08000000000004</v>
      </c>
      <c r="G318" s="10">
        <v>0</v>
      </c>
      <c r="H318" s="7">
        <v>624.08000000000004</v>
      </c>
      <c r="I318">
        <v>1</v>
      </c>
      <c r="J318" t="s">
        <v>16</v>
      </c>
      <c r="K318" s="13">
        <f>ROUND(tblTransactions[[#This Row],[gross_sales_inr]]*(1-tblTransactions[[#This Row],[discount_pct]]),2)</f>
        <v>624.08000000000004</v>
      </c>
      <c r="L318" t="str">
        <f>IF(ABS(tblTransactions[[#This Row],[net_sales_inr]]-tblTransactions[[#This Row],[Recalc_Net_Sales]])&lt;0.02,"OK","CHECK")</f>
        <v>OK</v>
      </c>
      <c r="M318" s="14">
        <f>DATE(YEAR(tblTransactions[[#This Row],[date]]),MONTH(tblTransactions[[#This Row],[date]]),1)</f>
        <v>45717</v>
      </c>
      <c r="N318" t="str">
        <f>IF(WEEKDAY(tblTransactions[[#This Row],[date]],2)&gt;5,"Weekend","Weekday")</f>
        <v>Weekday</v>
      </c>
      <c r="O318" s="13" t="str">
        <f>IF(tblTransactions[[#This Row],[discount_pct]]=0,"0%",IF(tblTransactions[[#This Row],[discount_pct]]&lt;=10%,"1–
10%",IF(tblTransactions[[#This Row],[discount_pct]]&lt;=20%,"11–20%","&gt;20%")))</f>
        <v>0%</v>
      </c>
      <c r="P318" s="13" t="str">
        <f>_xlfn.XLOOKUP(tblTransactions[[#This Row],[tenant_id]],tblTenants[tenant_id],tblTenants[zone],"NOT FOUND")</f>
        <v>Beauty &amp; Wellness</v>
      </c>
      <c r="Q318" s="13" t="str">
        <f>_xlfn.XLOOKUP(tblTransactions[[#This Row],[tenant_id]],tblTenants[tenant_id],tblTenants[category],"NOT FOUND")</f>
        <v>Beauty</v>
      </c>
    </row>
    <row r="319" spans="1:17">
      <c r="A319" t="s">
        <v>363</v>
      </c>
      <c r="B319" s="2">
        <v>45672</v>
      </c>
      <c r="C319">
        <v>11</v>
      </c>
      <c r="D319" t="s">
        <v>15</v>
      </c>
      <c r="E319" t="s">
        <v>12</v>
      </c>
      <c r="F319" s="7">
        <v>4629.05</v>
      </c>
      <c r="G319" s="10">
        <v>0</v>
      </c>
      <c r="H319" s="7">
        <v>4629.05</v>
      </c>
      <c r="I319">
        <v>3</v>
      </c>
      <c r="J319" t="s">
        <v>16</v>
      </c>
      <c r="K319" s="13">
        <f>ROUND(tblTransactions[[#This Row],[gross_sales_inr]]*(1-tblTransactions[[#This Row],[discount_pct]]),2)</f>
        <v>4629.05</v>
      </c>
      <c r="L319" t="str">
        <f>IF(ABS(tblTransactions[[#This Row],[net_sales_inr]]-tblTransactions[[#This Row],[Recalc_Net_Sales]])&lt;0.02,"OK","CHECK")</f>
        <v>OK</v>
      </c>
      <c r="M319" s="14">
        <f>DATE(YEAR(tblTransactions[[#This Row],[date]]),MONTH(tblTransactions[[#This Row],[date]]),1)</f>
        <v>45658</v>
      </c>
      <c r="N319" t="str">
        <f>IF(WEEKDAY(tblTransactions[[#This Row],[date]],2)&gt;5,"Weekend","Weekday")</f>
        <v>Weekday</v>
      </c>
      <c r="O319" s="13" t="str">
        <f>IF(tblTransactions[[#This Row],[discount_pct]]=0,"0%",IF(tblTransactions[[#This Row],[discount_pct]]&lt;=10%,"1–
10%",IF(tblTransactions[[#This Row],[discount_pct]]&lt;=20%,"11–20%","&gt;20%")))</f>
        <v>0%</v>
      </c>
      <c r="P319" s="13" t="str">
        <f>_xlfn.XLOOKUP(tblTransactions[[#This Row],[tenant_id]],tblTenants[tenant_id],tblTenants[zone],"NOT FOUND")</f>
        <v>Fashion Avenue</v>
      </c>
      <c r="Q319" s="13" t="str">
        <f>_xlfn.XLOOKUP(tblTransactions[[#This Row],[tenant_id]],tblTenants[tenant_id],tblTenants[category],"NOT FOUND")</f>
        <v>Accessories</v>
      </c>
    </row>
    <row r="320" spans="1:17">
      <c r="A320" t="s">
        <v>364</v>
      </c>
      <c r="B320" s="2">
        <v>45828</v>
      </c>
      <c r="C320">
        <v>17</v>
      </c>
      <c r="D320" t="s">
        <v>87</v>
      </c>
      <c r="E320" t="s">
        <v>32</v>
      </c>
      <c r="F320" s="7">
        <v>4557.78</v>
      </c>
      <c r="G320" s="10">
        <v>0.05</v>
      </c>
      <c r="H320" s="7">
        <v>4329.8900000000003</v>
      </c>
      <c r="I320">
        <v>1</v>
      </c>
      <c r="J320" t="s">
        <v>16</v>
      </c>
      <c r="K320" s="13">
        <f>ROUND(tblTransactions[[#This Row],[gross_sales_inr]]*(1-tblTransactions[[#This Row],[discount_pct]]),2)</f>
        <v>4329.8900000000003</v>
      </c>
      <c r="L320" t="str">
        <f>IF(ABS(tblTransactions[[#This Row],[net_sales_inr]]-tblTransactions[[#This Row],[Recalc_Net_Sales]])&lt;0.02,"OK","CHECK")</f>
        <v>OK</v>
      </c>
      <c r="M320" s="14">
        <f>DATE(YEAR(tblTransactions[[#This Row],[date]]),MONTH(tblTransactions[[#This Row],[date]]),1)</f>
        <v>45809</v>
      </c>
      <c r="N320" t="str">
        <f>IF(WEEKDAY(tblTransactions[[#This Row],[date]],2)&gt;5,"Weekend","Weekday")</f>
        <v>Weekday</v>
      </c>
      <c r="O32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20" s="13" t="str">
        <f>_xlfn.XLOOKUP(tblTransactions[[#This Row],[tenant_id]],tblTenants[tenant_id],tblTenants[zone],"NOT FOUND")</f>
        <v>Fashion Avenue</v>
      </c>
      <c r="Q320" s="13" t="str">
        <f>_xlfn.XLOOKUP(tblTransactions[[#This Row],[tenant_id]],tblTenants[tenant_id],tblTenants[category],"NOT FOUND")</f>
        <v>Footwear</v>
      </c>
    </row>
    <row r="321" spans="1:17">
      <c r="A321" t="s">
        <v>365</v>
      </c>
      <c r="B321" s="2">
        <v>45691</v>
      </c>
      <c r="C321">
        <v>17</v>
      </c>
      <c r="D321" t="s">
        <v>31</v>
      </c>
      <c r="E321" t="s">
        <v>51</v>
      </c>
      <c r="F321" s="7">
        <v>1089.96</v>
      </c>
      <c r="G321" s="10">
        <v>0</v>
      </c>
      <c r="H321" s="7">
        <v>1089.96</v>
      </c>
      <c r="I321">
        <v>1</v>
      </c>
      <c r="J321" t="s">
        <v>13</v>
      </c>
      <c r="K321" s="13">
        <f>ROUND(tblTransactions[[#This Row],[gross_sales_inr]]*(1-tblTransactions[[#This Row],[discount_pct]]),2)</f>
        <v>1089.96</v>
      </c>
      <c r="L321" t="str">
        <f>IF(ABS(tblTransactions[[#This Row],[net_sales_inr]]-tblTransactions[[#This Row],[Recalc_Net_Sales]])&lt;0.02,"OK","CHECK")</f>
        <v>OK</v>
      </c>
      <c r="M321" s="14">
        <f>DATE(YEAR(tblTransactions[[#This Row],[date]]),MONTH(tblTransactions[[#This Row],[date]]),1)</f>
        <v>45689</v>
      </c>
      <c r="N321" t="str">
        <f>IF(WEEKDAY(tblTransactions[[#This Row],[date]],2)&gt;5,"Weekend","Weekday")</f>
        <v>Weekday</v>
      </c>
      <c r="O321" s="13" t="str">
        <f>IF(tblTransactions[[#This Row],[discount_pct]]=0,"0%",IF(tblTransactions[[#This Row],[discount_pct]]&lt;=10%,"1–
10%",IF(tblTransactions[[#This Row],[discount_pct]]&lt;=20%,"11–20%","&gt;20%")))</f>
        <v>0%</v>
      </c>
      <c r="P321" s="13" t="str">
        <f>_xlfn.XLOOKUP(tblTransactions[[#This Row],[tenant_id]],tblTenants[tenant_id],tblTenants[zone],"NOT FOUND")</f>
        <v>Entertainment</v>
      </c>
      <c r="Q321" s="13" t="str">
        <f>_xlfn.XLOOKUP(tblTransactions[[#This Row],[tenant_id]],tblTenants[tenant_id],tblTenants[category],"NOT FOUND")</f>
        <v>Arcade</v>
      </c>
    </row>
    <row r="322" spans="1:17">
      <c r="A322" t="s">
        <v>366</v>
      </c>
      <c r="B322" s="2">
        <v>45703</v>
      </c>
      <c r="C322">
        <v>22</v>
      </c>
      <c r="D322" t="s">
        <v>57</v>
      </c>
      <c r="E322" t="s">
        <v>32</v>
      </c>
      <c r="F322" s="7">
        <v>1105.5899999999999</v>
      </c>
      <c r="G322" s="10">
        <v>0.05</v>
      </c>
      <c r="H322" s="7">
        <v>1050.31</v>
      </c>
      <c r="I322">
        <v>1</v>
      </c>
      <c r="J322" t="s">
        <v>16</v>
      </c>
      <c r="K322" s="13">
        <f>ROUND(tblTransactions[[#This Row],[gross_sales_inr]]*(1-tblTransactions[[#This Row],[discount_pct]]),2)</f>
        <v>1050.31</v>
      </c>
      <c r="L322" t="str">
        <f>IF(ABS(tblTransactions[[#This Row],[net_sales_inr]]-tblTransactions[[#This Row],[Recalc_Net_Sales]])&lt;0.02,"OK","CHECK")</f>
        <v>OK</v>
      </c>
      <c r="M322" s="14">
        <f>DATE(YEAR(tblTransactions[[#This Row],[date]]),MONTH(tblTransactions[[#This Row],[date]]),1)</f>
        <v>45689</v>
      </c>
      <c r="N322" t="str">
        <f>IF(WEEKDAY(tblTransactions[[#This Row],[date]],2)&gt;5,"Weekend","Weekday")</f>
        <v>Weekend</v>
      </c>
      <c r="O32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22" s="13" t="str">
        <f>_xlfn.XLOOKUP(tblTransactions[[#This Row],[tenant_id]],tblTenants[tenant_id],tblTenants[zone],"NOT FOUND")</f>
        <v>Food Court</v>
      </c>
      <c r="Q322" s="13" t="str">
        <f>_xlfn.XLOOKUP(tblTransactions[[#This Row],[tenant_id]],tblTenants[tenant_id],tblTenants[category],"NOT FOUND")</f>
        <v>Casual Dining</v>
      </c>
    </row>
    <row r="323" spans="1:17">
      <c r="A323" t="s">
        <v>367</v>
      </c>
      <c r="B323" s="2">
        <v>45673</v>
      </c>
      <c r="C323">
        <v>14</v>
      </c>
      <c r="D323" t="s">
        <v>104</v>
      </c>
      <c r="E323" t="s">
        <v>51</v>
      </c>
      <c r="F323" s="7">
        <v>1542.12</v>
      </c>
      <c r="G323" s="10">
        <v>0.15</v>
      </c>
      <c r="H323" s="7">
        <v>1310.8</v>
      </c>
      <c r="I323">
        <v>3</v>
      </c>
      <c r="J323" t="s">
        <v>13</v>
      </c>
      <c r="K323" s="13">
        <f>ROUND(tblTransactions[[#This Row],[gross_sales_inr]]*(1-tblTransactions[[#This Row],[discount_pct]]),2)</f>
        <v>1310.8</v>
      </c>
      <c r="L323" t="str">
        <f>IF(ABS(tblTransactions[[#This Row],[net_sales_inr]]-tblTransactions[[#This Row],[Recalc_Net_Sales]])&lt;0.02,"OK","CHECK")</f>
        <v>OK</v>
      </c>
      <c r="M323" s="14">
        <f>DATE(YEAR(tblTransactions[[#This Row],[date]]),MONTH(tblTransactions[[#This Row],[date]]),1)</f>
        <v>45658</v>
      </c>
      <c r="N323" t="str">
        <f>IF(WEEKDAY(tblTransactions[[#This Row],[date]],2)&gt;5,"Weekend","Weekday")</f>
        <v>Weekday</v>
      </c>
      <c r="O32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23" s="13" t="str">
        <f>_xlfn.XLOOKUP(tblTransactions[[#This Row],[tenant_id]],tblTenants[tenant_id],tblTenants[zone],"NOT FOUND")</f>
        <v>Entertainment</v>
      </c>
      <c r="Q323" s="13" t="str">
        <f>_xlfn.XLOOKUP(tblTransactions[[#This Row],[tenant_id]],tblTenants[tenant_id],tblTenants[category],"NOT FOUND")</f>
        <v>Family Entertainment</v>
      </c>
    </row>
    <row r="324" spans="1:17">
      <c r="A324" t="s">
        <v>368</v>
      </c>
      <c r="B324" s="2">
        <v>45766</v>
      </c>
      <c r="C324">
        <v>12</v>
      </c>
      <c r="D324" t="s">
        <v>122</v>
      </c>
      <c r="E324" t="s">
        <v>32</v>
      </c>
      <c r="F324" s="7">
        <v>1488.2</v>
      </c>
      <c r="G324" s="10">
        <v>0.05</v>
      </c>
      <c r="H324" s="7">
        <v>1413.79</v>
      </c>
      <c r="I324">
        <v>2</v>
      </c>
      <c r="J324" t="s">
        <v>16</v>
      </c>
      <c r="K324" s="13">
        <f>ROUND(tblTransactions[[#This Row],[gross_sales_inr]]*(1-tblTransactions[[#This Row],[discount_pct]]),2)</f>
        <v>1413.79</v>
      </c>
      <c r="L324" t="str">
        <f>IF(ABS(tblTransactions[[#This Row],[net_sales_inr]]-tblTransactions[[#This Row],[Recalc_Net_Sales]])&lt;0.02,"OK","CHECK")</f>
        <v>OK</v>
      </c>
      <c r="M324" s="14">
        <f>DATE(YEAR(tblTransactions[[#This Row],[date]]),MONTH(tblTransactions[[#This Row],[date]]),1)</f>
        <v>45748</v>
      </c>
      <c r="N324" t="str">
        <f>IF(WEEKDAY(tblTransactions[[#This Row],[date]],2)&gt;5,"Weekend","Weekday")</f>
        <v>Weekend</v>
      </c>
      <c r="O32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24" s="13" t="str">
        <f>_xlfn.XLOOKUP(tblTransactions[[#This Row],[tenant_id]],tblTenants[tenant_id],tblTenants[zone],"NOT FOUND")</f>
        <v>Beauty &amp; Wellness</v>
      </c>
      <c r="Q324" s="13" t="str">
        <f>_xlfn.XLOOKUP(tblTransactions[[#This Row],[tenant_id]],tblTenants[tenant_id],tblTenants[category],"NOT FOUND")</f>
        <v>Wellness</v>
      </c>
    </row>
    <row r="325" spans="1:17">
      <c r="A325" t="s">
        <v>369</v>
      </c>
      <c r="B325" s="2">
        <v>45721</v>
      </c>
      <c r="C325">
        <v>15</v>
      </c>
      <c r="D325" t="s">
        <v>61</v>
      </c>
      <c r="E325" t="s">
        <v>12</v>
      </c>
      <c r="F325" s="7">
        <v>1490.65</v>
      </c>
      <c r="G325" s="10">
        <v>0.15</v>
      </c>
      <c r="H325" s="7">
        <v>1267.05</v>
      </c>
      <c r="I325">
        <v>4</v>
      </c>
      <c r="J325" t="s">
        <v>13</v>
      </c>
      <c r="K325" s="13">
        <f>ROUND(tblTransactions[[#This Row],[gross_sales_inr]]*(1-tblTransactions[[#This Row],[discount_pct]]),2)</f>
        <v>1267.05</v>
      </c>
      <c r="L325" t="str">
        <f>IF(ABS(tblTransactions[[#This Row],[net_sales_inr]]-tblTransactions[[#This Row],[Recalc_Net_Sales]])&lt;0.02,"OK","CHECK")</f>
        <v>OK</v>
      </c>
      <c r="M325" s="14">
        <f>DATE(YEAR(tblTransactions[[#This Row],[date]]),MONTH(tblTransactions[[#This Row],[date]]),1)</f>
        <v>45717</v>
      </c>
      <c r="N325" t="str">
        <f>IF(WEEKDAY(tblTransactions[[#This Row],[date]],2)&gt;5,"Weekend","Weekday")</f>
        <v>Weekday</v>
      </c>
      <c r="O32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25" s="13" t="str">
        <f>_xlfn.XLOOKUP(tblTransactions[[#This Row],[tenant_id]],tblTenants[tenant_id],tblTenants[zone],"NOT FOUND")</f>
        <v>Food Court</v>
      </c>
      <c r="Q325" s="13" t="str">
        <f>_xlfn.XLOOKUP(tblTransactions[[#This Row],[tenant_id]],tblTenants[tenant_id],tblTenants[category],"NOT FOUND")</f>
        <v>Quick Service</v>
      </c>
    </row>
    <row r="326" spans="1:17">
      <c r="A326" t="s">
        <v>370</v>
      </c>
      <c r="B326" s="2">
        <v>45750</v>
      </c>
      <c r="C326">
        <v>19</v>
      </c>
      <c r="D326" t="s">
        <v>63</v>
      </c>
      <c r="E326" t="s">
        <v>12</v>
      </c>
      <c r="F326" s="7">
        <v>919.6</v>
      </c>
      <c r="G326" s="10">
        <v>0.2</v>
      </c>
      <c r="H326" s="7">
        <v>735.68</v>
      </c>
      <c r="I326">
        <v>1</v>
      </c>
      <c r="J326" t="s">
        <v>16</v>
      </c>
      <c r="K326" s="13">
        <f>ROUND(tblTransactions[[#This Row],[gross_sales_inr]]*(1-tblTransactions[[#This Row],[discount_pct]]),2)</f>
        <v>735.68</v>
      </c>
      <c r="L326" t="str">
        <f>IF(ABS(tblTransactions[[#This Row],[net_sales_inr]]-tblTransactions[[#This Row],[Recalc_Net_Sales]])&lt;0.02,"OK","CHECK")</f>
        <v>OK</v>
      </c>
      <c r="M326" s="14">
        <f>DATE(YEAR(tblTransactions[[#This Row],[date]]),MONTH(tblTransactions[[#This Row],[date]]),1)</f>
        <v>45748</v>
      </c>
      <c r="N326" t="str">
        <f>IF(WEEKDAY(tblTransactions[[#This Row],[date]],2)&gt;5,"Weekend","Weekday")</f>
        <v>Weekday</v>
      </c>
      <c r="O32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26" s="13" t="str">
        <f>_xlfn.XLOOKUP(tblTransactions[[#This Row],[tenant_id]],tblTenants[tenant_id],tblTenants[zone],"NOT FOUND")</f>
        <v>Entertainment</v>
      </c>
      <c r="Q326" s="13" t="str">
        <f>_xlfn.XLOOKUP(tblTransactions[[#This Row],[tenant_id]],tblTenants[tenant_id],tblTenants[category],"NOT FOUND")</f>
        <v>Family Entertainment</v>
      </c>
    </row>
    <row r="327" spans="1:17">
      <c r="A327" t="s">
        <v>371</v>
      </c>
      <c r="B327" s="2">
        <v>45744</v>
      </c>
      <c r="C327">
        <v>14</v>
      </c>
      <c r="D327" t="s">
        <v>59</v>
      </c>
      <c r="E327" t="s">
        <v>32</v>
      </c>
      <c r="F327" s="7">
        <v>256.77</v>
      </c>
      <c r="G327" s="10">
        <v>0.2</v>
      </c>
      <c r="H327" s="7">
        <v>205.42</v>
      </c>
      <c r="I327">
        <v>2</v>
      </c>
      <c r="J327" t="s">
        <v>13</v>
      </c>
      <c r="K327" s="13">
        <f>ROUND(tblTransactions[[#This Row],[gross_sales_inr]]*(1-tblTransactions[[#This Row],[discount_pct]]),2)</f>
        <v>205.42</v>
      </c>
      <c r="L327" t="str">
        <f>IF(ABS(tblTransactions[[#This Row],[net_sales_inr]]-tblTransactions[[#This Row],[Recalc_Net_Sales]])&lt;0.02,"OK","CHECK")</f>
        <v>OK</v>
      </c>
      <c r="M327" s="14">
        <f>DATE(YEAR(tblTransactions[[#This Row],[date]]),MONTH(tblTransactions[[#This Row],[date]]),1)</f>
        <v>45717</v>
      </c>
      <c r="N327" t="str">
        <f>IF(WEEKDAY(tblTransactions[[#This Row],[date]],2)&gt;5,"Weekend","Weekday")</f>
        <v>Weekday</v>
      </c>
      <c r="O32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27" s="13" t="str">
        <f>_xlfn.XLOOKUP(tblTransactions[[#This Row],[tenant_id]],tblTenants[tenant_id],tblTenants[zone],"NOT FOUND")</f>
        <v>Fashion Avenue</v>
      </c>
      <c r="Q327" s="13" t="str">
        <f>_xlfn.XLOOKUP(tblTransactions[[#This Row],[tenant_id]],tblTenants[tenant_id],tblTenants[category],"NOT FOUND")</f>
        <v>Footwear</v>
      </c>
    </row>
    <row r="328" spans="1:17">
      <c r="A328" t="s">
        <v>372</v>
      </c>
      <c r="B328" s="2">
        <v>45775</v>
      </c>
      <c r="C328">
        <v>14</v>
      </c>
      <c r="D328" t="s">
        <v>18</v>
      </c>
      <c r="E328" t="s">
        <v>12</v>
      </c>
      <c r="F328" s="7">
        <v>2255.59</v>
      </c>
      <c r="G328" s="10">
        <v>0</v>
      </c>
      <c r="H328" s="7">
        <v>2255.59</v>
      </c>
      <c r="I328">
        <v>4</v>
      </c>
      <c r="J328" t="s">
        <v>13</v>
      </c>
      <c r="K328" s="13">
        <f>ROUND(tblTransactions[[#This Row],[gross_sales_inr]]*(1-tblTransactions[[#This Row],[discount_pct]]),2)</f>
        <v>2255.59</v>
      </c>
      <c r="L328" t="str">
        <f>IF(ABS(tblTransactions[[#This Row],[net_sales_inr]]-tblTransactions[[#This Row],[Recalc_Net_Sales]])&lt;0.02,"OK","CHECK")</f>
        <v>OK</v>
      </c>
      <c r="M328" s="14">
        <f>DATE(YEAR(tblTransactions[[#This Row],[date]]),MONTH(tblTransactions[[#This Row],[date]]),1)</f>
        <v>45748</v>
      </c>
      <c r="N328" t="str">
        <f>IF(WEEKDAY(tblTransactions[[#This Row],[date]],2)&gt;5,"Weekend","Weekday")</f>
        <v>Weekday</v>
      </c>
      <c r="O328" s="13" t="str">
        <f>IF(tblTransactions[[#This Row],[discount_pct]]=0,"0%",IF(tblTransactions[[#This Row],[discount_pct]]&lt;=10%,"1–
10%",IF(tblTransactions[[#This Row],[discount_pct]]&lt;=20%,"11–20%","&gt;20%")))</f>
        <v>0%</v>
      </c>
      <c r="P328" s="13" t="str">
        <f>_xlfn.XLOOKUP(tblTransactions[[#This Row],[tenant_id]],tblTenants[tenant_id],tblTenants[zone],"NOT FOUND")</f>
        <v>Beauty &amp; Wellness</v>
      </c>
      <c r="Q328" s="13" t="str">
        <f>_xlfn.XLOOKUP(tblTransactions[[#This Row],[tenant_id]],tblTenants[tenant_id],tblTenants[category],"NOT FOUND")</f>
        <v>Beauty</v>
      </c>
    </row>
    <row r="329" spans="1:17">
      <c r="A329" t="s">
        <v>373</v>
      </c>
      <c r="B329" s="2">
        <v>45829</v>
      </c>
      <c r="C329">
        <v>19</v>
      </c>
      <c r="D329" t="s">
        <v>63</v>
      </c>
      <c r="E329" t="s">
        <v>12</v>
      </c>
      <c r="F329" s="7">
        <v>733.82</v>
      </c>
      <c r="G329" s="10">
        <v>0.1</v>
      </c>
      <c r="H329" s="7">
        <v>660.44</v>
      </c>
      <c r="I329">
        <v>4</v>
      </c>
      <c r="J329" t="s">
        <v>16</v>
      </c>
      <c r="K329" s="13">
        <f>ROUND(tblTransactions[[#This Row],[gross_sales_inr]]*(1-tblTransactions[[#This Row],[discount_pct]]),2)</f>
        <v>660.44</v>
      </c>
      <c r="L329" t="str">
        <f>IF(ABS(tblTransactions[[#This Row],[net_sales_inr]]-tblTransactions[[#This Row],[Recalc_Net_Sales]])&lt;0.02,"OK","CHECK")</f>
        <v>OK</v>
      </c>
      <c r="M329" s="14">
        <f>DATE(YEAR(tblTransactions[[#This Row],[date]]),MONTH(tblTransactions[[#This Row],[date]]),1)</f>
        <v>45809</v>
      </c>
      <c r="N329" t="str">
        <f>IF(WEEKDAY(tblTransactions[[#This Row],[date]],2)&gt;5,"Weekend","Weekday")</f>
        <v>Weekend</v>
      </c>
      <c r="O32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29" s="13" t="str">
        <f>_xlfn.XLOOKUP(tblTransactions[[#This Row],[tenant_id]],tblTenants[tenant_id],tblTenants[zone],"NOT FOUND")</f>
        <v>Entertainment</v>
      </c>
      <c r="Q329" s="13" t="str">
        <f>_xlfn.XLOOKUP(tblTransactions[[#This Row],[tenant_id]],tblTenants[tenant_id],tblTenants[category],"NOT FOUND")</f>
        <v>Family Entertainment</v>
      </c>
    </row>
    <row r="330" spans="1:17">
      <c r="A330" t="s">
        <v>374</v>
      </c>
      <c r="B330" s="2">
        <v>45790</v>
      </c>
      <c r="C330">
        <v>20</v>
      </c>
      <c r="D330" t="s">
        <v>15</v>
      </c>
      <c r="E330" t="s">
        <v>32</v>
      </c>
      <c r="F330" s="7">
        <v>611.29999999999995</v>
      </c>
      <c r="G330" s="10">
        <v>0</v>
      </c>
      <c r="H330" s="7">
        <v>611.29999999999995</v>
      </c>
      <c r="I330">
        <v>2</v>
      </c>
      <c r="J330" t="s">
        <v>16</v>
      </c>
      <c r="K330" s="13">
        <f>ROUND(tblTransactions[[#This Row],[gross_sales_inr]]*(1-tblTransactions[[#This Row],[discount_pct]]),2)</f>
        <v>611.29999999999995</v>
      </c>
      <c r="L330" t="str">
        <f>IF(ABS(tblTransactions[[#This Row],[net_sales_inr]]-tblTransactions[[#This Row],[Recalc_Net_Sales]])&lt;0.02,"OK","CHECK")</f>
        <v>OK</v>
      </c>
      <c r="M330" s="14">
        <f>DATE(YEAR(tblTransactions[[#This Row],[date]]),MONTH(tblTransactions[[#This Row],[date]]),1)</f>
        <v>45778</v>
      </c>
      <c r="N330" t="str">
        <f>IF(WEEKDAY(tblTransactions[[#This Row],[date]],2)&gt;5,"Weekend","Weekday")</f>
        <v>Weekday</v>
      </c>
      <c r="O330" s="13" t="str">
        <f>IF(tblTransactions[[#This Row],[discount_pct]]=0,"0%",IF(tblTransactions[[#This Row],[discount_pct]]&lt;=10%,"1–
10%",IF(tblTransactions[[#This Row],[discount_pct]]&lt;=20%,"11–20%","&gt;20%")))</f>
        <v>0%</v>
      </c>
      <c r="P330" s="13" t="str">
        <f>_xlfn.XLOOKUP(tblTransactions[[#This Row],[tenant_id]],tblTenants[tenant_id],tblTenants[zone],"NOT FOUND")</f>
        <v>Fashion Avenue</v>
      </c>
      <c r="Q330" s="13" t="str">
        <f>_xlfn.XLOOKUP(tblTransactions[[#This Row],[tenant_id]],tblTenants[tenant_id],tblTenants[category],"NOT FOUND")</f>
        <v>Accessories</v>
      </c>
    </row>
    <row r="331" spans="1:17">
      <c r="A331" t="s">
        <v>375</v>
      </c>
      <c r="B331" s="2">
        <v>45728</v>
      </c>
      <c r="C331">
        <v>10</v>
      </c>
      <c r="D331" t="s">
        <v>23</v>
      </c>
      <c r="E331" t="s">
        <v>32</v>
      </c>
      <c r="F331" s="7">
        <v>799.38</v>
      </c>
      <c r="G331" s="10">
        <v>0.1</v>
      </c>
      <c r="H331" s="7">
        <v>719.44</v>
      </c>
      <c r="I331">
        <v>1</v>
      </c>
      <c r="J331" t="s">
        <v>13</v>
      </c>
      <c r="K331" s="13">
        <f>ROUND(tblTransactions[[#This Row],[gross_sales_inr]]*(1-tblTransactions[[#This Row],[discount_pct]]),2)</f>
        <v>719.44</v>
      </c>
      <c r="L331" t="str">
        <f>IF(ABS(tblTransactions[[#This Row],[net_sales_inr]]-tblTransactions[[#This Row],[Recalc_Net_Sales]])&lt;0.02,"OK","CHECK")</f>
        <v>OK</v>
      </c>
      <c r="M331" s="14">
        <f>DATE(YEAR(tblTransactions[[#This Row],[date]]),MONTH(tblTransactions[[#This Row],[date]]),1)</f>
        <v>45717</v>
      </c>
      <c r="N331" t="str">
        <f>IF(WEEKDAY(tblTransactions[[#This Row],[date]],2)&gt;5,"Weekend","Weekday")</f>
        <v>Weekday</v>
      </c>
      <c r="O33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31" s="13" t="str">
        <f>_xlfn.XLOOKUP(tblTransactions[[#This Row],[tenant_id]],tblTenants[tenant_id],tblTenants[zone],"NOT FOUND")</f>
        <v>Entertainment</v>
      </c>
      <c r="Q331" s="13" t="str">
        <f>_xlfn.XLOOKUP(tblTransactions[[#This Row],[tenant_id]],tblTenants[tenant_id],tblTenants[category],"NOT FOUND")</f>
        <v>Cinema</v>
      </c>
    </row>
    <row r="332" spans="1:17">
      <c r="A332" t="s">
        <v>376</v>
      </c>
      <c r="B332" s="2">
        <v>45688</v>
      </c>
      <c r="C332">
        <v>11</v>
      </c>
      <c r="D332" t="s">
        <v>55</v>
      </c>
      <c r="E332" t="s">
        <v>32</v>
      </c>
      <c r="F332" s="7">
        <v>1256.33</v>
      </c>
      <c r="G332" s="10">
        <v>0.1</v>
      </c>
      <c r="H332" s="7">
        <v>1130.7</v>
      </c>
      <c r="I332">
        <v>5</v>
      </c>
      <c r="J332" t="s">
        <v>13</v>
      </c>
      <c r="K332" s="13">
        <f>ROUND(tblTransactions[[#This Row],[gross_sales_inr]]*(1-tblTransactions[[#This Row],[discount_pct]]),2)</f>
        <v>1130.7</v>
      </c>
      <c r="L332" t="str">
        <f>IF(ABS(tblTransactions[[#This Row],[net_sales_inr]]-tblTransactions[[#This Row],[Recalc_Net_Sales]])&lt;0.02,"OK","CHECK")</f>
        <v>OK</v>
      </c>
      <c r="M332" s="14">
        <f>DATE(YEAR(tblTransactions[[#This Row],[date]]),MONTH(tblTransactions[[#This Row],[date]]),1)</f>
        <v>45658</v>
      </c>
      <c r="N332" t="str">
        <f>IF(WEEKDAY(tblTransactions[[#This Row],[date]],2)&gt;5,"Weekend","Weekday")</f>
        <v>Weekday</v>
      </c>
      <c r="O33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32" s="13" t="str">
        <f>_xlfn.XLOOKUP(tblTransactions[[#This Row],[tenant_id]],tblTenants[tenant_id],tblTenants[zone],"NOT FOUND")</f>
        <v>Food Court</v>
      </c>
      <c r="Q332" s="13" t="str">
        <f>_xlfn.XLOOKUP(tblTransactions[[#This Row],[tenant_id]],tblTenants[tenant_id],tblTenants[category],"NOT FOUND")</f>
        <v>Quick Service</v>
      </c>
    </row>
    <row r="333" spans="1:17">
      <c r="A333" t="s">
        <v>377</v>
      </c>
      <c r="B333" s="2">
        <v>45713</v>
      </c>
      <c r="C333">
        <v>18</v>
      </c>
      <c r="D333" t="s">
        <v>41</v>
      </c>
      <c r="E333" t="s">
        <v>12</v>
      </c>
      <c r="F333" s="7">
        <v>1395.81</v>
      </c>
      <c r="G333" s="10">
        <v>0</v>
      </c>
      <c r="H333" s="7">
        <v>1395.81</v>
      </c>
      <c r="I333">
        <v>3</v>
      </c>
      <c r="J333" t="s">
        <v>13</v>
      </c>
      <c r="K333" s="13">
        <f>ROUND(tblTransactions[[#This Row],[gross_sales_inr]]*(1-tblTransactions[[#This Row],[discount_pct]]),2)</f>
        <v>1395.81</v>
      </c>
      <c r="L333" t="str">
        <f>IF(ABS(tblTransactions[[#This Row],[net_sales_inr]]-tblTransactions[[#This Row],[Recalc_Net_Sales]])&lt;0.02,"OK","CHECK")</f>
        <v>OK</v>
      </c>
      <c r="M333" s="14">
        <f>DATE(YEAR(tblTransactions[[#This Row],[date]]),MONTH(tblTransactions[[#This Row],[date]]),1)</f>
        <v>45689</v>
      </c>
      <c r="N333" t="str">
        <f>IF(WEEKDAY(tblTransactions[[#This Row],[date]],2)&gt;5,"Weekend","Weekday")</f>
        <v>Weekday</v>
      </c>
      <c r="O333" s="13" t="str">
        <f>IF(tblTransactions[[#This Row],[discount_pct]]=0,"0%",IF(tblTransactions[[#This Row],[discount_pct]]&lt;=10%,"1–
10%",IF(tblTransactions[[#This Row],[discount_pct]]&lt;=20%,"11–20%","&gt;20%")))</f>
        <v>0%</v>
      </c>
      <c r="P333" s="13" t="str">
        <f>_xlfn.XLOOKUP(tblTransactions[[#This Row],[tenant_id]],tblTenants[tenant_id],tblTenants[zone],"NOT FOUND")</f>
        <v>Fashion Avenue</v>
      </c>
      <c r="Q333" s="13" t="str">
        <f>_xlfn.XLOOKUP(tblTransactions[[#This Row],[tenant_id]],tblTenants[tenant_id],tblTenants[category],"NOT FOUND")</f>
        <v>Clothing</v>
      </c>
    </row>
    <row r="334" spans="1:17">
      <c r="A334" t="s">
        <v>378</v>
      </c>
      <c r="B334" s="2">
        <v>45736</v>
      </c>
      <c r="C334">
        <v>12</v>
      </c>
      <c r="D334" t="s">
        <v>98</v>
      </c>
      <c r="E334" t="s">
        <v>32</v>
      </c>
      <c r="F334" s="7">
        <v>1112.74</v>
      </c>
      <c r="G334" s="10">
        <v>0</v>
      </c>
      <c r="H334" s="7">
        <v>1112.74</v>
      </c>
      <c r="I334">
        <v>3</v>
      </c>
      <c r="J334" t="s">
        <v>13</v>
      </c>
      <c r="K334" s="13">
        <f>ROUND(tblTransactions[[#This Row],[gross_sales_inr]]*(1-tblTransactions[[#This Row],[discount_pct]]),2)</f>
        <v>1112.74</v>
      </c>
      <c r="L334" t="str">
        <f>IF(ABS(tblTransactions[[#This Row],[net_sales_inr]]-tblTransactions[[#This Row],[Recalc_Net_Sales]])&lt;0.02,"OK","CHECK")</f>
        <v>OK</v>
      </c>
      <c r="M334" s="14">
        <f>DATE(YEAR(tblTransactions[[#This Row],[date]]),MONTH(tblTransactions[[#This Row],[date]]),1)</f>
        <v>45717</v>
      </c>
      <c r="N334" t="str">
        <f>IF(WEEKDAY(tblTransactions[[#This Row],[date]],2)&gt;5,"Weekend","Weekday")</f>
        <v>Weekday</v>
      </c>
      <c r="O334" s="13" t="str">
        <f>IF(tblTransactions[[#This Row],[discount_pct]]=0,"0%",IF(tblTransactions[[#This Row],[discount_pct]]&lt;=10%,"1–
10%",IF(tblTransactions[[#This Row],[discount_pct]]&lt;=20%,"11–20%","&gt;20%")))</f>
        <v>0%</v>
      </c>
      <c r="P334" s="13" t="str">
        <f>_xlfn.XLOOKUP(tblTransactions[[#This Row],[tenant_id]],tblTenants[tenant_id],tblTenants[zone],"NOT FOUND")</f>
        <v>Fashion Avenue</v>
      </c>
      <c r="Q334" s="13" t="str">
        <f>_xlfn.XLOOKUP(tblTransactions[[#This Row],[tenant_id]],tblTenants[tenant_id],tblTenants[category],"NOT FOUND")</f>
        <v>Accessories</v>
      </c>
    </row>
    <row r="335" spans="1:17">
      <c r="A335" t="s">
        <v>379</v>
      </c>
      <c r="B335" s="2">
        <v>45764</v>
      </c>
      <c r="C335">
        <v>13</v>
      </c>
      <c r="D335" t="s">
        <v>34</v>
      </c>
      <c r="E335" t="s">
        <v>12</v>
      </c>
      <c r="F335" s="7">
        <v>1280.8800000000001</v>
      </c>
      <c r="G335" s="10">
        <v>0.1</v>
      </c>
      <c r="H335" s="7">
        <v>1152.79</v>
      </c>
      <c r="I335">
        <v>5</v>
      </c>
      <c r="J335" t="s">
        <v>16</v>
      </c>
      <c r="K335" s="13">
        <f>ROUND(tblTransactions[[#This Row],[gross_sales_inr]]*(1-tblTransactions[[#This Row],[discount_pct]]),2)</f>
        <v>1152.79</v>
      </c>
      <c r="L335" t="str">
        <f>IF(ABS(tblTransactions[[#This Row],[net_sales_inr]]-tblTransactions[[#This Row],[Recalc_Net_Sales]])&lt;0.02,"OK","CHECK")</f>
        <v>OK</v>
      </c>
      <c r="M335" s="14">
        <f>DATE(YEAR(tblTransactions[[#This Row],[date]]),MONTH(tblTransactions[[#This Row],[date]]),1)</f>
        <v>45748</v>
      </c>
      <c r="N335" t="str">
        <f>IF(WEEKDAY(tblTransactions[[#This Row],[date]],2)&gt;5,"Weekend","Weekday")</f>
        <v>Weekday</v>
      </c>
      <c r="O33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35" s="13" t="str">
        <f>_xlfn.XLOOKUP(tblTransactions[[#This Row],[tenant_id]],tblTenants[tenant_id],tblTenants[zone],"NOT FOUND")</f>
        <v>Home &amp; Living</v>
      </c>
      <c r="Q335" s="13" t="str">
        <f>_xlfn.XLOOKUP(tblTransactions[[#This Row],[tenant_id]],tblTenants[tenant_id],tblTenants[category],"NOT FOUND")</f>
        <v>Electronics</v>
      </c>
    </row>
    <row r="336" spans="1:17">
      <c r="A336" t="s">
        <v>380</v>
      </c>
      <c r="B336" s="2">
        <v>45831</v>
      </c>
      <c r="C336">
        <v>16</v>
      </c>
      <c r="D336" t="s">
        <v>80</v>
      </c>
      <c r="E336" t="s">
        <v>12</v>
      </c>
      <c r="F336" s="7">
        <v>2892.39</v>
      </c>
      <c r="G336" s="10">
        <v>0.2</v>
      </c>
      <c r="H336" s="7">
        <v>2313.91</v>
      </c>
      <c r="I336">
        <v>4</v>
      </c>
      <c r="J336" t="s">
        <v>13</v>
      </c>
      <c r="K336" s="13">
        <f>ROUND(tblTransactions[[#This Row],[gross_sales_inr]]*(1-tblTransactions[[#This Row],[discount_pct]]),2)</f>
        <v>2313.91</v>
      </c>
      <c r="L336" t="str">
        <f>IF(ABS(tblTransactions[[#This Row],[net_sales_inr]]-tblTransactions[[#This Row],[Recalc_Net_Sales]])&lt;0.02,"OK","CHECK")</f>
        <v>OK</v>
      </c>
      <c r="M336" s="14">
        <f>DATE(YEAR(tblTransactions[[#This Row],[date]]),MONTH(tblTransactions[[#This Row],[date]]),1)</f>
        <v>45809</v>
      </c>
      <c r="N336" t="str">
        <f>IF(WEEKDAY(tblTransactions[[#This Row],[date]],2)&gt;5,"Weekend","Weekday")</f>
        <v>Weekday</v>
      </c>
      <c r="O33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36" s="13" t="str">
        <f>_xlfn.XLOOKUP(tblTransactions[[#This Row],[tenant_id]],tblTenants[tenant_id],tblTenants[zone],"NOT FOUND")</f>
        <v>Food Court</v>
      </c>
      <c r="Q336" s="13" t="str">
        <f>_xlfn.XLOOKUP(tblTransactions[[#This Row],[tenant_id]],tblTenants[tenant_id],tblTenants[category],"NOT FOUND")</f>
        <v>Casual Dining</v>
      </c>
    </row>
    <row r="337" spans="1:17">
      <c r="A337" t="s">
        <v>381</v>
      </c>
      <c r="B337" s="2">
        <v>45751</v>
      </c>
      <c r="C337">
        <v>16</v>
      </c>
      <c r="D337" t="s">
        <v>11</v>
      </c>
      <c r="E337" t="s">
        <v>32</v>
      </c>
      <c r="F337" s="7">
        <v>1071.7</v>
      </c>
      <c r="G337" s="10">
        <v>0</v>
      </c>
      <c r="H337" s="7">
        <v>1071.7</v>
      </c>
      <c r="I337">
        <v>4</v>
      </c>
      <c r="J337" t="s">
        <v>16</v>
      </c>
      <c r="K337" s="13">
        <f>ROUND(tblTransactions[[#This Row],[gross_sales_inr]]*(1-tblTransactions[[#This Row],[discount_pct]]),2)</f>
        <v>1071.7</v>
      </c>
      <c r="L337" t="str">
        <f>IF(ABS(tblTransactions[[#This Row],[net_sales_inr]]-tblTransactions[[#This Row],[Recalc_Net_Sales]])&lt;0.02,"OK","CHECK")</f>
        <v>OK</v>
      </c>
      <c r="M337" s="14">
        <f>DATE(YEAR(tblTransactions[[#This Row],[date]]),MONTH(tblTransactions[[#This Row],[date]]),1)</f>
        <v>45748</v>
      </c>
      <c r="N337" t="str">
        <f>IF(WEEKDAY(tblTransactions[[#This Row],[date]],2)&gt;5,"Weekend","Weekday")</f>
        <v>Weekday</v>
      </c>
      <c r="O337" s="13" t="str">
        <f>IF(tblTransactions[[#This Row],[discount_pct]]=0,"0%",IF(tblTransactions[[#This Row],[discount_pct]]&lt;=10%,"1–
10%",IF(tblTransactions[[#This Row],[discount_pct]]&lt;=20%,"11–20%","&gt;20%")))</f>
        <v>0%</v>
      </c>
      <c r="P337" s="13" t="str">
        <f>_xlfn.XLOOKUP(tblTransactions[[#This Row],[tenant_id]],tblTenants[tenant_id],tblTenants[zone],"NOT FOUND")</f>
        <v>Home &amp; Living</v>
      </c>
      <c r="Q337" s="13" t="str">
        <f>_xlfn.XLOOKUP(tblTransactions[[#This Row],[tenant_id]],tblTenants[tenant_id],tblTenants[category],"NOT FOUND")</f>
        <v>Home Decor</v>
      </c>
    </row>
    <row r="338" spans="1:17">
      <c r="A338" t="s">
        <v>382</v>
      </c>
      <c r="B338" s="2">
        <v>45751</v>
      </c>
      <c r="C338">
        <v>17</v>
      </c>
      <c r="D338" t="s">
        <v>122</v>
      </c>
      <c r="E338" t="s">
        <v>12</v>
      </c>
      <c r="F338" s="7">
        <v>621.11</v>
      </c>
      <c r="G338" s="10">
        <v>0.15</v>
      </c>
      <c r="H338" s="7">
        <v>527.94000000000005</v>
      </c>
      <c r="I338">
        <v>6</v>
      </c>
      <c r="J338" t="s">
        <v>16</v>
      </c>
      <c r="K338" s="13">
        <f>ROUND(tblTransactions[[#This Row],[gross_sales_inr]]*(1-tblTransactions[[#This Row],[discount_pct]]),2)</f>
        <v>527.94000000000005</v>
      </c>
      <c r="L338" t="str">
        <f>IF(ABS(tblTransactions[[#This Row],[net_sales_inr]]-tblTransactions[[#This Row],[Recalc_Net_Sales]])&lt;0.02,"OK","CHECK")</f>
        <v>OK</v>
      </c>
      <c r="M338" s="14">
        <f>DATE(YEAR(tblTransactions[[#This Row],[date]]),MONTH(tblTransactions[[#This Row],[date]]),1)</f>
        <v>45748</v>
      </c>
      <c r="N338" t="str">
        <f>IF(WEEKDAY(tblTransactions[[#This Row],[date]],2)&gt;5,"Weekend","Weekday")</f>
        <v>Weekday</v>
      </c>
      <c r="O33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38" s="13" t="str">
        <f>_xlfn.XLOOKUP(tblTransactions[[#This Row],[tenant_id]],tblTenants[tenant_id],tblTenants[zone],"NOT FOUND")</f>
        <v>Beauty &amp; Wellness</v>
      </c>
      <c r="Q338" s="13" t="str">
        <f>_xlfn.XLOOKUP(tblTransactions[[#This Row],[tenant_id]],tblTenants[tenant_id],tblTenants[category],"NOT FOUND")</f>
        <v>Wellness</v>
      </c>
    </row>
    <row r="339" spans="1:17">
      <c r="A339" t="s">
        <v>383</v>
      </c>
      <c r="B339" s="2">
        <v>45817</v>
      </c>
      <c r="C339">
        <v>16</v>
      </c>
      <c r="D339" t="s">
        <v>61</v>
      </c>
      <c r="E339" t="s">
        <v>21</v>
      </c>
      <c r="F339" s="7">
        <v>1389.53</v>
      </c>
      <c r="G339" s="10">
        <v>0.15</v>
      </c>
      <c r="H339" s="7">
        <v>1181.0999999999999</v>
      </c>
      <c r="I339">
        <v>3</v>
      </c>
      <c r="J339" t="s">
        <v>13</v>
      </c>
      <c r="K339" s="13">
        <f>ROUND(tblTransactions[[#This Row],[gross_sales_inr]]*(1-tblTransactions[[#This Row],[discount_pct]]),2)</f>
        <v>1181.0999999999999</v>
      </c>
      <c r="L339" t="str">
        <f>IF(ABS(tblTransactions[[#This Row],[net_sales_inr]]-tblTransactions[[#This Row],[Recalc_Net_Sales]])&lt;0.02,"OK","CHECK")</f>
        <v>OK</v>
      </c>
      <c r="M339" s="14">
        <f>DATE(YEAR(tblTransactions[[#This Row],[date]]),MONTH(tblTransactions[[#This Row],[date]]),1)</f>
        <v>45809</v>
      </c>
      <c r="N339" t="str">
        <f>IF(WEEKDAY(tblTransactions[[#This Row],[date]],2)&gt;5,"Weekend","Weekday")</f>
        <v>Weekday</v>
      </c>
      <c r="O33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39" s="13" t="str">
        <f>_xlfn.XLOOKUP(tblTransactions[[#This Row],[tenant_id]],tblTenants[tenant_id],tblTenants[zone],"NOT FOUND")</f>
        <v>Food Court</v>
      </c>
      <c r="Q339" s="13" t="str">
        <f>_xlfn.XLOOKUP(tblTransactions[[#This Row],[tenant_id]],tblTenants[tenant_id],tblTenants[category],"NOT FOUND")</f>
        <v>Quick Service</v>
      </c>
    </row>
    <row r="340" spans="1:17">
      <c r="A340" t="s">
        <v>384</v>
      </c>
      <c r="B340" s="2">
        <v>45667</v>
      </c>
      <c r="C340">
        <v>14</v>
      </c>
      <c r="D340" t="s">
        <v>104</v>
      </c>
      <c r="E340" t="s">
        <v>32</v>
      </c>
      <c r="F340" s="7">
        <v>843.07</v>
      </c>
      <c r="G340" s="10">
        <v>0.05</v>
      </c>
      <c r="H340" s="7">
        <v>800.92</v>
      </c>
      <c r="I340">
        <v>4</v>
      </c>
      <c r="J340" t="s">
        <v>13</v>
      </c>
      <c r="K340" s="13">
        <f>ROUND(tblTransactions[[#This Row],[gross_sales_inr]]*(1-tblTransactions[[#This Row],[discount_pct]]),2)</f>
        <v>800.92</v>
      </c>
      <c r="L340" t="str">
        <f>IF(ABS(tblTransactions[[#This Row],[net_sales_inr]]-tblTransactions[[#This Row],[Recalc_Net_Sales]])&lt;0.02,"OK","CHECK")</f>
        <v>OK</v>
      </c>
      <c r="M340" s="14">
        <f>DATE(YEAR(tblTransactions[[#This Row],[date]]),MONTH(tblTransactions[[#This Row],[date]]),1)</f>
        <v>45658</v>
      </c>
      <c r="N340" t="str">
        <f>IF(WEEKDAY(tblTransactions[[#This Row],[date]],2)&gt;5,"Weekend","Weekday")</f>
        <v>Weekday</v>
      </c>
      <c r="O34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40" s="13" t="str">
        <f>_xlfn.XLOOKUP(tblTransactions[[#This Row],[tenant_id]],tblTenants[tenant_id],tblTenants[zone],"NOT FOUND")</f>
        <v>Entertainment</v>
      </c>
      <c r="Q340" s="13" t="str">
        <f>_xlfn.XLOOKUP(tblTransactions[[#This Row],[tenant_id]],tblTenants[tenant_id],tblTenants[category],"NOT FOUND")</f>
        <v>Family Entertainment</v>
      </c>
    </row>
    <row r="341" spans="1:17">
      <c r="A341" t="s">
        <v>385</v>
      </c>
      <c r="B341" s="2">
        <v>45661</v>
      </c>
      <c r="C341">
        <v>20</v>
      </c>
      <c r="D341" t="s">
        <v>98</v>
      </c>
      <c r="E341" t="s">
        <v>12</v>
      </c>
      <c r="F341" s="7">
        <v>984.94</v>
      </c>
      <c r="G341" s="10">
        <v>0.05</v>
      </c>
      <c r="H341" s="7">
        <v>935.69</v>
      </c>
      <c r="I341">
        <v>2</v>
      </c>
      <c r="J341" t="s">
        <v>13</v>
      </c>
      <c r="K341" s="13">
        <f>ROUND(tblTransactions[[#This Row],[gross_sales_inr]]*(1-tblTransactions[[#This Row],[discount_pct]]),2)</f>
        <v>935.69</v>
      </c>
      <c r="L341" t="str">
        <f>IF(ABS(tblTransactions[[#This Row],[net_sales_inr]]-tblTransactions[[#This Row],[Recalc_Net_Sales]])&lt;0.02,"OK","CHECK")</f>
        <v>OK</v>
      </c>
      <c r="M341" s="14">
        <f>DATE(YEAR(tblTransactions[[#This Row],[date]]),MONTH(tblTransactions[[#This Row],[date]]),1)</f>
        <v>45658</v>
      </c>
      <c r="N341" t="str">
        <f>IF(WEEKDAY(tblTransactions[[#This Row],[date]],2)&gt;5,"Weekend","Weekday")</f>
        <v>Weekend</v>
      </c>
      <c r="O34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41" s="13" t="str">
        <f>_xlfn.XLOOKUP(tblTransactions[[#This Row],[tenant_id]],tblTenants[tenant_id],tblTenants[zone],"NOT FOUND")</f>
        <v>Fashion Avenue</v>
      </c>
      <c r="Q341" s="13" t="str">
        <f>_xlfn.XLOOKUP(tblTransactions[[#This Row],[tenant_id]],tblTenants[tenant_id],tblTenants[category],"NOT FOUND")</f>
        <v>Accessories</v>
      </c>
    </row>
    <row r="342" spans="1:17">
      <c r="A342" t="s">
        <v>386</v>
      </c>
      <c r="B342" s="2">
        <v>45734</v>
      </c>
      <c r="C342">
        <v>20</v>
      </c>
      <c r="D342" t="s">
        <v>31</v>
      </c>
      <c r="E342" t="s">
        <v>12</v>
      </c>
      <c r="F342" s="7">
        <v>1223.43</v>
      </c>
      <c r="G342" s="10">
        <v>0.1</v>
      </c>
      <c r="H342" s="7">
        <v>1101.0899999999999</v>
      </c>
      <c r="I342">
        <v>1</v>
      </c>
      <c r="J342" t="s">
        <v>13</v>
      </c>
      <c r="K342" s="13">
        <f>ROUND(tblTransactions[[#This Row],[gross_sales_inr]]*(1-tblTransactions[[#This Row],[discount_pct]]),2)</f>
        <v>1101.0899999999999</v>
      </c>
      <c r="L342" t="str">
        <f>IF(ABS(tblTransactions[[#This Row],[net_sales_inr]]-tblTransactions[[#This Row],[Recalc_Net_Sales]])&lt;0.02,"OK","CHECK")</f>
        <v>OK</v>
      </c>
      <c r="M342" s="14">
        <f>DATE(YEAR(tblTransactions[[#This Row],[date]]),MONTH(tblTransactions[[#This Row],[date]]),1)</f>
        <v>45717</v>
      </c>
      <c r="N342" t="str">
        <f>IF(WEEKDAY(tblTransactions[[#This Row],[date]],2)&gt;5,"Weekend","Weekday")</f>
        <v>Weekday</v>
      </c>
      <c r="O34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42" s="13" t="str">
        <f>_xlfn.XLOOKUP(tblTransactions[[#This Row],[tenant_id]],tblTenants[tenant_id],tblTenants[zone],"NOT FOUND")</f>
        <v>Entertainment</v>
      </c>
      <c r="Q342" s="13" t="str">
        <f>_xlfn.XLOOKUP(tblTransactions[[#This Row],[tenant_id]],tblTenants[tenant_id],tblTenants[category],"NOT FOUND")</f>
        <v>Arcade</v>
      </c>
    </row>
    <row r="343" spans="1:17">
      <c r="A343" t="s">
        <v>387</v>
      </c>
      <c r="B343" s="2">
        <v>45736</v>
      </c>
      <c r="C343">
        <v>15</v>
      </c>
      <c r="D343" t="s">
        <v>27</v>
      </c>
      <c r="E343" t="s">
        <v>12</v>
      </c>
      <c r="F343" s="7">
        <v>1500.79</v>
      </c>
      <c r="G343" s="10">
        <v>0.1</v>
      </c>
      <c r="H343" s="7">
        <v>1350.71</v>
      </c>
      <c r="I343">
        <v>5</v>
      </c>
      <c r="J343" t="s">
        <v>16</v>
      </c>
      <c r="K343" s="13">
        <f>ROUND(tblTransactions[[#This Row],[gross_sales_inr]]*(1-tblTransactions[[#This Row],[discount_pct]]),2)</f>
        <v>1350.71</v>
      </c>
      <c r="L343" t="str">
        <f>IF(ABS(tblTransactions[[#This Row],[net_sales_inr]]-tblTransactions[[#This Row],[Recalc_Net_Sales]])&lt;0.02,"OK","CHECK")</f>
        <v>OK</v>
      </c>
      <c r="M343" s="14">
        <f>DATE(YEAR(tblTransactions[[#This Row],[date]]),MONTH(tblTransactions[[#This Row],[date]]),1)</f>
        <v>45717</v>
      </c>
      <c r="N343" t="str">
        <f>IF(WEEKDAY(tblTransactions[[#This Row],[date]],2)&gt;5,"Weekend","Weekday")</f>
        <v>Weekday</v>
      </c>
      <c r="O34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43" s="13" t="str">
        <f>_xlfn.XLOOKUP(tblTransactions[[#This Row],[tenant_id]],tblTenants[tenant_id],tblTenants[zone],"NOT FOUND")</f>
        <v>Beauty &amp; Wellness</v>
      </c>
      <c r="Q343" s="13" t="str">
        <f>_xlfn.XLOOKUP(tblTransactions[[#This Row],[tenant_id]],tblTenants[tenant_id],tblTenants[category],"NOT FOUND")</f>
        <v>Wellness</v>
      </c>
    </row>
    <row r="344" spans="1:17">
      <c r="A344" t="s">
        <v>388</v>
      </c>
      <c r="B344" s="2">
        <v>45780</v>
      </c>
      <c r="C344">
        <v>18</v>
      </c>
      <c r="D344" t="s">
        <v>34</v>
      </c>
      <c r="E344" t="s">
        <v>21</v>
      </c>
      <c r="F344" s="7">
        <v>728.9</v>
      </c>
      <c r="G344" s="10">
        <v>0.05</v>
      </c>
      <c r="H344" s="7">
        <v>692.45</v>
      </c>
      <c r="I344">
        <v>2</v>
      </c>
      <c r="J344" t="s">
        <v>13</v>
      </c>
      <c r="K344" s="13">
        <f>ROUND(tblTransactions[[#This Row],[gross_sales_inr]]*(1-tblTransactions[[#This Row],[discount_pct]]),2)</f>
        <v>692.46</v>
      </c>
      <c r="L344" t="str">
        <f>IF(ABS(tblTransactions[[#This Row],[net_sales_inr]]-tblTransactions[[#This Row],[Recalc_Net_Sales]])&lt;0.02,"OK","CHECK")</f>
        <v>OK</v>
      </c>
      <c r="M344" s="14">
        <f>DATE(YEAR(tblTransactions[[#This Row],[date]]),MONTH(tblTransactions[[#This Row],[date]]),1)</f>
        <v>45778</v>
      </c>
      <c r="N344" t="str">
        <f>IF(WEEKDAY(tblTransactions[[#This Row],[date]],2)&gt;5,"Weekend","Weekday")</f>
        <v>Weekend</v>
      </c>
      <c r="O34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44" s="13" t="str">
        <f>_xlfn.XLOOKUP(tblTransactions[[#This Row],[tenant_id]],tblTenants[tenant_id],tblTenants[zone],"NOT FOUND")</f>
        <v>Home &amp; Living</v>
      </c>
      <c r="Q344" s="13" t="str">
        <f>_xlfn.XLOOKUP(tblTransactions[[#This Row],[tenant_id]],tblTenants[tenant_id],tblTenants[category],"NOT FOUND")</f>
        <v>Electronics</v>
      </c>
    </row>
    <row r="345" spans="1:17">
      <c r="A345" t="s">
        <v>389</v>
      </c>
      <c r="B345" s="2">
        <v>45708</v>
      </c>
      <c r="C345">
        <v>13</v>
      </c>
      <c r="D345" t="s">
        <v>41</v>
      </c>
      <c r="E345" t="s">
        <v>32</v>
      </c>
      <c r="F345" s="7">
        <v>818.33</v>
      </c>
      <c r="G345" s="10">
        <v>0</v>
      </c>
      <c r="H345" s="7">
        <v>818.33</v>
      </c>
      <c r="I345">
        <v>2</v>
      </c>
      <c r="J345" t="s">
        <v>13</v>
      </c>
      <c r="K345" s="13">
        <f>ROUND(tblTransactions[[#This Row],[gross_sales_inr]]*(1-tblTransactions[[#This Row],[discount_pct]]),2)</f>
        <v>818.33</v>
      </c>
      <c r="L345" t="str">
        <f>IF(ABS(tblTransactions[[#This Row],[net_sales_inr]]-tblTransactions[[#This Row],[Recalc_Net_Sales]])&lt;0.02,"OK","CHECK")</f>
        <v>OK</v>
      </c>
      <c r="M345" s="14">
        <f>DATE(YEAR(tblTransactions[[#This Row],[date]]),MONTH(tblTransactions[[#This Row],[date]]),1)</f>
        <v>45689</v>
      </c>
      <c r="N345" t="str">
        <f>IF(WEEKDAY(tblTransactions[[#This Row],[date]],2)&gt;5,"Weekend","Weekday")</f>
        <v>Weekday</v>
      </c>
      <c r="O345" s="13" t="str">
        <f>IF(tblTransactions[[#This Row],[discount_pct]]=0,"0%",IF(tblTransactions[[#This Row],[discount_pct]]&lt;=10%,"1–
10%",IF(tblTransactions[[#This Row],[discount_pct]]&lt;=20%,"11–20%","&gt;20%")))</f>
        <v>0%</v>
      </c>
      <c r="P345" s="13" t="str">
        <f>_xlfn.XLOOKUP(tblTransactions[[#This Row],[tenant_id]],tblTenants[tenant_id],tblTenants[zone],"NOT FOUND")</f>
        <v>Fashion Avenue</v>
      </c>
      <c r="Q345" s="13" t="str">
        <f>_xlfn.XLOOKUP(tblTransactions[[#This Row],[tenant_id]],tblTenants[tenant_id],tblTenants[category],"NOT FOUND")</f>
        <v>Clothing</v>
      </c>
    </row>
    <row r="346" spans="1:17">
      <c r="A346" t="s">
        <v>390</v>
      </c>
      <c r="B346" s="2">
        <v>45694</v>
      </c>
      <c r="C346">
        <v>19</v>
      </c>
      <c r="D346" t="s">
        <v>80</v>
      </c>
      <c r="E346" t="s">
        <v>32</v>
      </c>
      <c r="F346" s="7">
        <v>172.79</v>
      </c>
      <c r="G346" s="10">
        <v>0</v>
      </c>
      <c r="H346" s="7">
        <v>172.79</v>
      </c>
      <c r="I346">
        <v>3</v>
      </c>
      <c r="J346" t="s">
        <v>13</v>
      </c>
      <c r="K346" s="13">
        <f>ROUND(tblTransactions[[#This Row],[gross_sales_inr]]*(1-tblTransactions[[#This Row],[discount_pct]]),2)</f>
        <v>172.79</v>
      </c>
      <c r="L346" t="str">
        <f>IF(ABS(tblTransactions[[#This Row],[net_sales_inr]]-tblTransactions[[#This Row],[Recalc_Net_Sales]])&lt;0.02,"OK","CHECK")</f>
        <v>OK</v>
      </c>
      <c r="M346" s="14">
        <f>DATE(YEAR(tblTransactions[[#This Row],[date]]),MONTH(tblTransactions[[#This Row],[date]]),1)</f>
        <v>45689</v>
      </c>
      <c r="N346" t="str">
        <f>IF(WEEKDAY(tblTransactions[[#This Row],[date]],2)&gt;5,"Weekend","Weekday")</f>
        <v>Weekday</v>
      </c>
      <c r="O346" s="13" t="str">
        <f>IF(tblTransactions[[#This Row],[discount_pct]]=0,"0%",IF(tblTransactions[[#This Row],[discount_pct]]&lt;=10%,"1–
10%",IF(tblTransactions[[#This Row],[discount_pct]]&lt;=20%,"11–20%","&gt;20%")))</f>
        <v>0%</v>
      </c>
      <c r="P346" s="13" t="str">
        <f>_xlfn.XLOOKUP(tblTransactions[[#This Row],[tenant_id]],tblTenants[tenant_id],tblTenants[zone],"NOT FOUND")</f>
        <v>Food Court</v>
      </c>
      <c r="Q346" s="13" t="str">
        <f>_xlfn.XLOOKUP(tblTransactions[[#This Row],[tenant_id]],tblTenants[tenant_id],tblTenants[category],"NOT FOUND")</f>
        <v>Casual Dining</v>
      </c>
    </row>
    <row r="347" spans="1:17">
      <c r="A347" t="s">
        <v>391</v>
      </c>
      <c r="B347" s="2">
        <v>45800</v>
      </c>
      <c r="C347">
        <v>18</v>
      </c>
      <c r="D347" t="s">
        <v>85</v>
      </c>
      <c r="E347" t="s">
        <v>12</v>
      </c>
      <c r="F347" s="7">
        <v>741.82</v>
      </c>
      <c r="G347" s="10">
        <v>0.1</v>
      </c>
      <c r="H347" s="7">
        <v>667.64</v>
      </c>
      <c r="I347">
        <v>3</v>
      </c>
      <c r="J347" t="s">
        <v>13</v>
      </c>
      <c r="K347" s="13">
        <f>ROUND(tblTransactions[[#This Row],[gross_sales_inr]]*(1-tblTransactions[[#This Row],[discount_pct]]),2)</f>
        <v>667.64</v>
      </c>
      <c r="L347" t="str">
        <f>IF(ABS(tblTransactions[[#This Row],[net_sales_inr]]-tblTransactions[[#This Row],[Recalc_Net_Sales]])&lt;0.02,"OK","CHECK")</f>
        <v>OK</v>
      </c>
      <c r="M347" s="14">
        <f>DATE(YEAR(tblTransactions[[#This Row],[date]]),MONTH(tblTransactions[[#This Row],[date]]),1)</f>
        <v>45778</v>
      </c>
      <c r="N347" t="str">
        <f>IF(WEEKDAY(tblTransactions[[#This Row],[date]],2)&gt;5,"Weekend","Weekday")</f>
        <v>Weekday</v>
      </c>
      <c r="O34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47" s="13" t="str">
        <f>_xlfn.XLOOKUP(tblTransactions[[#This Row],[tenant_id]],tblTenants[tenant_id],tblTenants[zone],"NOT FOUND")</f>
        <v>Home &amp; Living</v>
      </c>
      <c r="Q347" s="13" t="str">
        <f>_xlfn.XLOOKUP(tblTransactions[[#This Row],[tenant_id]],tblTenants[tenant_id],tblTenants[category],"NOT FOUND")</f>
        <v>Electronics</v>
      </c>
    </row>
    <row r="348" spans="1:17">
      <c r="A348" t="s">
        <v>392</v>
      </c>
      <c r="B348" s="2">
        <v>45746</v>
      </c>
      <c r="C348">
        <v>21</v>
      </c>
      <c r="D348" t="s">
        <v>72</v>
      </c>
      <c r="E348" t="s">
        <v>12</v>
      </c>
      <c r="F348" s="7">
        <v>1790.98</v>
      </c>
      <c r="G348" s="10">
        <v>0</v>
      </c>
      <c r="H348" s="7">
        <v>1790.98</v>
      </c>
      <c r="I348">
        <v>2</v>
      </c>
      <c r="J348" t="s">
        <v>16</v>
      </c>
      <c r="K348" s="13">
        <f>ROUND(tblTransactions[[#This Row],[gross_sales_inr]]*(1-tblTransactions[[#This Row],[discount_pct]]),2)</f>
        <v>1790.98</v>
      </c>
      <c r="L348" t="str">
        <f>IF(ABS(tblTransactions[[#This Row],[net_sales_inr]]-tblTransactions[[#This Row],[Recalc_Net_Sales]])&lt;0.02,"OK","CHECK")</f>
        <v>OK</v>
      </c>
      <c r="M348" s="14">
        <f>DATE(YEAR(tblTransactions[[#This Row],[date]]),MONTH(tblTransactions[[#This Row],[date]]),1)</f>
        <v>45717</v>
      </c>
      <c r="N348" t="str">
        <f>IF(WEEKDAY(tblTransactions[[#This Row],[date]],2)&gt;5,"Weekend","Weekday")</f>
        <v>Weekend</v>
      </c>
      <c r="O348" s="13" t="str">
        <f>IF(tblTransactions[[#This Row],[discount_pct]]=0,"0%",IF(tblTransactions[[#This Row],[discount_pct]]&lt;=10%,"1–
10%",IF(tblTransactions[[#This Row],[discount_pct]]&lt;=20%,"11–20%","&gt;20%")))</f>
        <v>0%</v>
      </c>
      <c r="P348" s="13" t="str">
        <f>_xlfn.XLOOKUP(tblTransactions[[#This Row],[tenant_id]],tblTenants[tenant_id],tblTenants[zone],"NOT FOUND")</f>
        <v>Entertainment</v>
      </c>
      <c r="Q348" s="13" t="str">
        <f>_xlfn.XLOOKUP(tblTransactions[[#This Row],[tenant_id]],tblTenants[tenant_id],tblTenants[category],"NOT FOUND")</f>
        <v>Arcade</v>
      </c>
    </row>
    <row r="349" spans="1:17">
      <c r="A349" t="s">
        <v>393</v>
      </c>
      <c r="B349" s="2">
        <v>45682</v>
      </c>
      <c r="C349">
        <v>19</v>
      </c>
      <c r="D349" t="s">
        <v>104</v>
      </c>
      <c r="E349" t="s">
        <v>12</v>
      </c>
      <c r="F349" s="7">
        <v>1568.26</v>
      </c>
      <c r="G349" s="10">
        <v>0.15</v>
      </c>
      <c r="H349" s="7">
        <v>1333.02</v>
      </c>
      <c r="I349">
        <v>2</v>
      </c>
      <c r="J349" t="s">
        <v>16</v>
      </c>
      <c r="K349" s="13">
        <f>ROUND(tblTransactions[[#This Row],[gross_sales_inr]]*(1-tblTransactions[[#This Row],[discount_pct]]),2)</f>
        <v>1333.02</v>
      </c>
      <c r="L349" t="str">
        <f>IF(ABS(tblTransactions[[#This Row],[net_sales_inr]]-tblTransactions[[#This Row],[Recalc_Net_Sales]])&lt;0.02,"OK","CHECK")</f>
        <v>OK</v>
      </c>
      <c r="M349" s="14">
        <f>DATE(YEAR(tblTransactions[[#This Row],[date]]),MONTH(tblTransactions[[#This Row],[date]]),1)</f>
        <v>45658</v>
      </c>
      <c r="N349" t="str">
        <f>IF(WEEKDAY(tblTransactions[[#This Row],[date]],2)&gt;5,"Weekend","Weekday")</f>
        <v>Weekend</v>
      </c>
      <c r="O34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49" s="13" t="str">
        <f>_xlfn.XLOOKUP(tblTransactions[[#This Row],[tenant_id]],tblTenants[tenant_id],tblTenants[zone],"NOT FOUND")</f>
        <v>Entertainment</v>
      </c>
      <c r="Q349" s="13" t="str">
        <f>_xlfn.XLOOKUP(tblTransactions[[#This Row],[tenant_id]],tblTenants[tenant_id],tblTenants[category],"NOT FOUND")</f>
        <v>Family Entertainment</v>
      </c>
    </row>
    <row r="350" spans="1:17">
      <c r="A350" t="s">
        <v>394</v>
      </c>
      <c r="B350" s="2">
        <v>45675</v>
      </c>
      <c r="C350">
        <v>18</v>
      </c>
      <c r="D350" t="s">
        <v>70</v>
      </c>
      <c r="E350" t="s">
        <v>21</v>
      </c>
      <c r="F350" s="7">
        <v>661.31</v>
      </c>
      <c r="G350" s="10">
        <v>0</v>
      </c>
      <c r="H350" s="7">
        <v>661.31</v>
      </c>
      <c r="I350">
        <v>1</v>
      </c>
      <c r="J350" t="s">
        <v>13</v>
      </c>
      <c r="K350" s="13">
        <f>ROUND(tblTransactions[[#This Row],[gross_sales_inr]]*(1-tblTransactions[[#This Row],[discount_pct]]),2)</f>
        <v>661.31</v>
      </c>
      <c r="L350" t="str">
        <f>IF(ABS(tblTransactions[[#This Row],[net_sales_inr]]-tblTransactions[[#This Row],[Recalc_Net_Sales]])&lt;0.02,"OK","CHECK")</f>
        <v>OK</v>
      </c>
      <c r="M350" s="14">
        <f>DATE(YEAR(tblTransactions[[#This Row],[date]]),MONTH(tblTransactions[[#This Row],[date]]),1)</f>
        <v>45658</v>
      </c>
      <c r="N350" t="str">
        <f>IF(WEEKDAY(tblTransactions[[#This Row],[date]],2)&gt;5,"Weekend","Weekday")</f>
        <v>Weekend</v>
      </c>
      <c r="O350" s="13" t="str">
        <f>IF(tblTransactions[[#This Row],[discount_pct]]=0,"0%",IF(tblTransactions[[#This Row],[discount_pct]]&lt;=10%,"1–
10%",IF(tblTransactions[[#This Row],[discount_pct]]&lt;=20%,"11–20%","&gt;20%")))</f>
        <v>0%</v>
      </c>
      <c r="P350" s="13" t="str">
        <f>_xlfn.XLOOKUP(tblTransactions[[#This Row],[tenant_id]],tblTenants[tenant_id],tblTenants[zone],"NOT FOUND")</f>
        <v>Food Court</v>
      </c>
      <c r="Q350" s="13" t="str">
        <f>_xlfn.XLOOKUP(tblTransactions[[#This Row],[tenant_id]],tblTenants[tenant_id],tblTenants[category],"NOT FOUND")</f>
        <v>Quick Service</v>
      </c>
    </row>
    <row r="351" spans="1:17">
      <c r="A351" t="s">
        <v>395</v>
      </c>
      <c r="B351" s="2">
        <v>45694</v>
      </c>
      <c r="C351">
        <v>19</v>
      </c>
      <c r="D351" t="s">
        <v>41</v>
      </c>
      <c r="E351" t="s">
        <v>12</v>
      </c>
      <c r="F351" s="7">
        <v>962.36</v>
      </c>
      <c r="G351" s="10">
        <v>0</v>
      </c>
      <c r="H351" s="7">
        <v>962.36</v>
      </c>
      <c r="I351">
        <v>2</v>
      </c>
      <c r="J351" t="s">
        <v>16</v>
      </c>
      <c r="K351" s="13">
        <f>ROUND(tblTransactions[[#This Row],[gross_sales_inr]]*(1-tblTransactions[[#This Row],[discount_pct]]),2)</f>
        <v>962.36</v>
      </c>
      <c r="L351" t="str">
        <f>IF(ABS(tblTransactions[[#This Row],[net_sales_inr]]-tblTransactions[[#This Row],[Recalc_Net_Sales]])&lt;0.02,"OK","CHECK")</f>
        <v>OK</v>
      </c>
      <c r="M351" s="14">
        <f>DATE(YEAR(tblTransactions[[#This Row],[date]]),MONTH(tblTransactions[[#This Row],[date]]),1)</f>
        <v>45689</v>
      </c>
      <c r="N351" t="str">
        <f>IF(WEEKDAY(tblTransactions[[#This Row],[date]],2)&gt;5,"Weekend","Weekday")</f>
        <v>Weekday</v>
      </c>
      <c r="O351" s="13" t="str">
        <f>IF(tblTransactions[[#This Row],[discount_pct]]=0,"0%",IF(tblTransactions[[#This Row],[discount_pct]]&lt;=10%,"1–
10%",IF(tblTransactions[[#This Row],[discount_pct]]&lt;=20%,"11–20%","&gt;20%")))</f>
        <v>0%</v>
      </c>
      <c r="P351" s="13" t="str">
        <f>_xlfn.XLOOKUP(tblTransactions[[#This Row],[tenant_id]],tblTenants[tenant_id],tblTenants[zone],"NOT FOUND")</f>
        <v>Fashion Avenue</v>
      </c>
      <c r="Q351" s="13" t="str">
        <f>_xlfn.XLOOKUP(tblTransactions[[#This Row],[tenant_id]],tblTenants[tenant_id],tblTenants[category],"NOT FOUND")</f>
        <v>Clothing</v>
      </c>
    </row>
    <row r="352" spans="1:17">
      <c r="A352" t="s">
        <v>396</v>
      </c>
      <c r="B352" s="2">
        <v>45795</v>
      </c>
      <c r="C352">
        <v>13</v>
      </c>
      <c r="D352" t="s">
        <v>15</v>
      </c>
      <c r="E352" t="s">
        <v>32</v>
      </c>
      <c r="F352" s="7">
        <v>738.27</v>
      </c>
      <c r="G352" s="10">
        <v>0</v>
      </c>
      <c r="H352" s="7">
        <v>738.27</v>
      </c>
      <c r="I352">
        <v>1</v>
      </c>
      <c r="J352" t="s">
        <v>13</v>
      </c>
      <c r="K352" s="13">
        <f>ROUND(tblTransactions[[#This Row],[gross_sales_inr]]*(1-tblTransactions[[#This Row],[discount_pct]]),2)</f>
        <v>738.27</v>
      </c>
      <c r="L352" t="str">
        <f>IF(ABS(tblTransactions[[#This Row],[net_sales_inr]]-tblTransactions[[#This Row],[Recalc_Net_Sales]])&lt;0.02,"OK","CHECK")</f>
        <v>OK</v>
      </c>
      <c r="M352" s="14">
        <f>DATE(YEAR(tblTransactions[[#This Row],[date]]),MONTH(tblTransactions[[#This Row],[date]]),1)</f>
        <v>45778</v>
      </c>
      <c r="N352" t="str">
        <f>IF(WEEKDAY(tblTransactions[[#This Row],[date]],2)&gt;5,"Weekend","Weekday")</f>
        <v>Weekend</v>
      </c>
      <c r="O352" s="13" t="str">
        <f>IF(tblTransactions[[#This Row],[discount_pct]]=0,"0%",IF(tblTransactions[[#This Row],[discount_pct]]&lt;=10%,"1–
10%",IF(tblTransactions[[#This Row],[discount_pct]]&lt;=20%,"11–20%","&gt;20%")))</f>
        <v>0%</v>
      </c>
      <c r="P352" s="13" t="str">
        <f>_xlfn.XLOOKUP(tblTransactions[[#This Row],[tenant_id]],tblTenants[tenant_id],tblTenants[zone],"NOT FOUND")</f>
        <v>Fashion Avenue</v>
      </c>
      <c r="Q352" s="13" t="str">
        <f>_xlfn.XLOOKUP(tblTransactions[[#This Row],[tenant_id]],tblTenants[tenant_id],tblTenants[category],"NOT FOUND")</f>
        <v>Accessories</v>
      </c>
    </row>
    <row r="353" spans="1:17">
      <c r="A353" t="s">
        <v>397</v>
      </c>
      <c r="B353" s="2">
        <v>45678</v>
      </c>
      <c r="C353">
        <v>10</v>
      </c>
      <c r="D353" t="s">
        <v>59</v>
      </c>
      <c r="E353" t="s">
        <v>12</v>
      </c>
      <c r="F353" s="7">
        <v>492.75</v>
      </c>
      <c r="G353" s="10">
        <v>0.1</v>
      </c>
      <c r="H353" s="7">
        <v>443.48</v>
      </c>
      <c r="I353">
        <v>1</v>
      </c>
      <c r="J353" t="s">
        <v>16</v>
      </c>
      <c r="K353" s="13">
        <f>ROUND(tblTransactions[[#This Row],[gross_sales_inr]]*(1-tblTransactions[[#This Row],[discount_pct]]),2)</f>
        <v>443.48</v>
      </c>
      <c r="L353" t="str">
        <f>IF(ABS(tblTransactions[[#This Row],[net_sales_inr]]-tblTransactions[[#This Row],[Recalc_Net_Sales]])&lt;0.02,"OK","CHECK")</f>
        <v>OK</v>
      </c>
      <c r="M353" s="14">
        <f>DATE(YEAR(tblTransactions[[#This Row],[date]]),MONTH(tblTransactions[[#This Row],[date]]),1)</f>
        <v>45658</v>
      </c>
      <c r="N353" t="str">
        <f>IF(WEEKDAY(tblTransactions[[#This Row],[date]],2)&gt;5,"Weekend","Weekday")</f>
        <v>Weekday</v>
      </c>
      <c r="O35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53" s="13" t="str">
        <f>_xlfn.XLOOKUP(tblTransactions[[#This Row],[tenant_id]],tblTenants[tenant_id],tblTenants[zone],"NOT FOUND")</f>
        <v>Fashion Avenue</v>
      </c>
      <c r="Q353" s="13" t="str">
        <f>_xlfn.XLOOKUP(tblTransactions[[#This Row],[tenant_id]],tblTenants[tenant_id],tblTenants[category],"NOT FOUND")</f>
        <v>Footwear</v>
      </c>
    </row>
    <row r="354" spans="1:17">
      <c r="A354" t="s">
        <v>398</v>
      </c>
      <c r="B354" s="2">
        <v>45747</v>
      </c>
      <c r="C354">
        <v>19</v>
      </c>
      <c r="D354" t="s">
        <v>48</v>
      </c>
      <c r="E354" t="s">
        <v>12</v>
      </c>
      <c r="F354" s="7">
        <v>821.39</v>
      </c>
      <c r="G354" s="10">
        <v>0.2</v>
      </c>
      <c r="H354" s="7">
        <v>657.11</v>
      </c>
      <c r="I354">
        <v>2</v>
      </c>
      <c r="J354" t="s">
        <v>16</v>
      </c>
      <c r="K354" s="13">
        <f>ROUND(tblTransactions[[#This Row],[gross_sales_inr]]*(1-tblTransactions[[#This Row],[discount_pct]]),2)</f>
        <v>657.11</v>
      </c>
      <c r="L354" t="str">
        <f>IF(ABS(tblTransactions[[#This Row],[net_sales_inr]]-tblTransactions[[#This Row],[Recalc_Net_Sales]])&lt;0.02,"OK","CHECK")</f>
        <v>OK</v>
      </c>
      <c r="M354" s="14">
        <f>DATE(YEAR(tblTransactions[[#This Row],[date]]),MONTH(tblTransactions[[#This Row],[date]]),1)</f>
        <v>45717</v>
      </c>
      <c r="N354" t="str">
        <f>IF(WEEKDAY(tblTransactions[[#This Row],[date]],2)&gt;5,"Weekend","Weekday")</f>
        <v>Weekday</v>
      </c>
      <c r="O35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54" s="13" t="str">
        <f>_xlfn.XLOOKUP(tblTransactions[[#This Row],[tenant_id]],tblTenants[tenant_id],tblTenants[zone],"NOT FOUND")</f>
        <v>Beauty &amp; Wellness</v>
      </c>
      <c r="Q354" s="13" t="str">
        <f>_xlfn.XLOOKUP(tblTransactions[[#This Row],[tenant_id]],tblTenants[tenant_id],tblTenants[category],"NOT FOUND")</f>
        <v>Wellness</v>
      </c>
    </row>
    <row r="355" spans="1:17">
      <c r="A355" t="s">
        <v>399</v>
      </c>
      <c r="B355" s="2">
        <v>45766</v>
      </c>
      <c r="C355">
        <v>22</v>
      </c>
      <c r="D355" t="s">
        <v>63</v>
      </c>
      <c r="E355" t="s">
        <v>32</v>
      </c>
      <c r="F355" s="7">
        <v>738.1</v>
      </c>
      <c r="G355" s="10">
        <v>0.15</v>
      </c>
      <c r="H355" s="7">
        <v>627.38</v>
      </c>
      <c r="I355">
        <v>1</v>
      </c>
      <c r="J355" t="s">
        <v>16</v>
      </c>
      <c r="K355" s="13">
        <f>ROUND(tblTransactions[[#This Row],[gross_sales_inr]]*(1-tblTransactions[[#This Row],[discount_pct]]),2)</f>
        <v>627.39</v>
      </c>
      <c r="L355" t="str">
        <f>IF(ABS(tblTransactions[[#This Row],[net_sales_inr]]-tblTransactions[[#This Row],[Recalc_Net_Sales]])&lt;0.02,"OK","CHECK")</f>
        <v>OK</v>
      </c>
      <c r="M355" s="14">
        <f>DATE(YEAR(tblTransactions[[#This Row],[date]]),MONTH(tblTransactions[[#This Row],[date]]),1)</f>
        <v>45748</v>
      </c>
      <c r="N355" t="str">
        <f>IF(WEEKDAY(tblTransactions[[#This Row],[date]],2)&gt;5,"Weekend","Weekday")</f>
        <v>Weekend</v>
      </c>
      <c r="O35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55" s="13" t="str">
        <f>_xlfn.XLOOKUP(tblTransactions[[#This Row],[tenant_id]],tblTenants[tenant_id],tblTenants[zone],"NOT FOUND")</f>
        <v>Entertainment</v>
      </c>
      <c r="Q355" s="13" t="str">
        <f>_xlfn.XLOOKUP(tblTransactions[[#This Row],[tenant_id]],tblTenants[tenant_id],tblTenants[category],"NOT FOUND")</f>
        <v>Family Entertainment</v>
      </c>
    </row>
    <row r="356" spans="1:17">
      <c r="A356" t="s">
        <v>400</v>
      </c>
      <c r="B356" s="2">
        <v>45745</v>
      </c>
      <c r="C356">
        <v>18</v>
      </c>
      <c r="D356" t="s">
        <v>55</v>
      </c>
      <c r="E356" t="s">
        <v>21</v>
      </c>
      <c r="F356" s="7">
        <v>10354.02</v>
      </c>
      <c r="G356" s="10">
        <v>0.1</v>
      </c>
      <c r="H356" s="7">
        <v>9318.6200000000008</v>
      </c>
      <c r="I356">
        <v>2</v>
      </c>
      <c r="J356" t="s">
        <v>13</v>
      </c>
      <c r="K356" s="13">
        <f>ROUND(tblTransactions[[#This Row],[gross_sales_inr]]*(1-tblTransactions[[#This Row],[discount_pct]]),2)</f>
        <v>9318.6200000000008</v>
      </c>
      <c r="L356" t="str">
        <f>IF(ABS(tblTransactions[[#This Row],[net_sales_inr]]-tblTransactions[[#This Row],[Recalc_Net_Sales]])&lt;0.02,"OK","CHECK")</f>
        <v>OK</v>
      </c>
      <c r="M356" s="14">
        <f>DATE(YEAR(tblTransactions[[#This Row],[date]]),MONTH(tblTransactions[[#This Row],[date]]),1)</f>
        <v>45717</v>
      </c>
      <c r="N356" t="str">
        <f>IF(WEEKDAY(tblTransactions[[#This Row],[date]],2)&gt;5,"Weekend","Weekday")</f>
        <v>Weekend</v>
      </c>
      <c r="O35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56" s="13" t="str">
        <f>_xlfn.XLOOKUP(tblTransactions[[#This Row],[tenant_id]],tblTenants[tenant_id],tblTenants[zone],"NOT FOUND")</f>
        <v>Food Court</v>
      </c>
      <c r="Q356" s="13" t="str">
        <f>_xlfn.XLOOKUP(tblTransactions[[#This Row],[tenant_id]],tblTenants[tenant_id],tblTenants[category],"NOT FOUND")</f>
        <v>Quick Service</v>
      </c>
    </row>
    <row r="357" spans="1:17">
      <c r="A357" t="s">
        <v>401</v>
      </c>
      <c r="B357" s="2">
        <v>45798</v>
      </c>
      <c r="C357">
        <v>19</v>
      </c>
      <c r="D357" t="s">
        <v>20</v>
      </c>
      <c r="E357" t="s">
        <v>12</v>
      </c>
      <c r="F357" s="7">
        <v>875.22</v>
      </c>
      <c r="G357" s="10">
        <v>0.2</v>
      </c>
      <c r="H357" s="7">
        <v>700.18</v>
      </c>
      <c r="I357">
        <v>1</v>
      </c>
      <c r="J357" t="s">
        <v>13</v>
      </c>
      <c r="K357" s="13">
        <f>ROUND(tblTransactions[[#This Row],[gross_sales_inr]]*(1-tblTransactions[[#This Row],[discount_pct]]),2)</f>
        <v>700.18</v>
      </c>
      <c r="L357" t="str">
        <f>IF(ABS(tblTransactions[[#This Row],[net_sales_inr]]-tblTransactions[[#This Row],[Recalc_Net_Sales]])&lt;0.02,"OK","CHECK")</f>
        <v>OK</v>
      </c>
      <c r="M357" s="14">
        <f>DATE(YEAR(tblTransactions[[#This Row],[date]]),MONTH(tblTransactions[[#This Row],[date]]),1)</f>
        <v>45778</v>
      </c>
      <c r="N357" t="str">
        <f>IF(WEEKDAY(tblTransactions[[#This Row],[date]],2)&gt;5,"Weekend","Weekday")</f>
        <v>Weekday</v>
      </c>
      <c r="O35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57" s="13" t="str">
        <f>_xlfn.XLOOKUP(tblTransactions[[#This Row],[tenant_id]],tblTenants[tenant_id],tblTenants[zone],"NOT FOUND")</f>
        <v>Fashion Avenue</v>
      </c>
      <c r="Q357" s="13" t="str">
        <f>_xlfn.XLOOKUP(tblTransactions[[#This Row],[tenant_id]],tblTenants[tenant_id],tblTenants[category],"NOT FOUND")</f>
        <v>Accessories</v>
      </c>
    </row>
    <row r="358" spans="1:17">
      <c r="A358" t="s">
        <v>402</v>
      </c>
      <c r="B358" s="2">
        <v>45707</v>
      </c>
      <c r="C358">
        <v>15</v>
      </c>
      <c r="D358" t="s">
        <v>59</v>
      </c>
      <c r="E358" t="s">
        <v>21</v>
      </c>
      <c r="F358" s="7">
        <v>604.62</v>
      </c>
      <c r="G358" s="10">
        <v>0</v>
      </c>
      <c r="H358" s="7">
        <v>604.62</v>
      </c>
      <c r="I358">
        <v>1</v>
      </c>
      <c r="J358" t="s">
        <v>16</v>
      </c>
      <c r="K358" s="13">
        <f>ROUND(tblTransactions[[#This Row],[gross_sales_inr]]*(1-tblTransactions[[#This Row],[discount_pct]]),2)</f>
        <v>604.62</v>
      </c>
      <c r="L358" t="str">
        <f>IF(ABS(tblTransactions[[#This Row],[net_sales_inr]]-tblTransactions[[#This Row],[Recalc_Net_Sales]])&lt;0.02,"OK","CHECK")</f>
        <v>OK</v>
      </c>
      <c r="M358" s="14">
        <f>DATE(YEAR(tblTransactions[[#This Row],[date]]),MONTH(tblTransactions[[#This Row],[date]]),1)</f>
        <v>45689</v>
      </c>
      <c r="N358" t="str">
        <f>IF(WEEKDAY(tblTransactions[[#This Row],[date]],2)&gt;5,"Weekend","Weekday")</f>
        <v>Weekday</v>
      </c>
      <c r="O358" s="13" t="str">
        <f>IF(tblTransactions[[#This Row],[discount_pct]]=0,"0%",IF(tblTransactions[[#This Row],[discount_pct]]&lt;=10%,"1–
10%",IF(tblTransactions[[#This Row],[discount_pct]]&lt;=20%,"11–20%","&gt;20%")))</f>
        <v>0%</v>
      </c>
      <c r="P358" s="13" t="str">
        <f>_xlfn.XLOOKUP(tblTransactions[[#This Row],[tenant_id]],tblTenants[tenant_id],tblTenants[zone],"NOT FOUND")</f>
        <v>Fashion Avenue</v>
      </c>
      <c r="Q358" s="13" t="str">
        <f>_xlfn.XLOOKUP(tblTransactions[[#This Row],[tenant_id]],tblTenants[tenant_id],tblTenants[category],"NOT FOUND")</f>
        <v>Footwear</v>
      </c>
    </row>
    <row r="359" spans="1:17">
      <c r="A359" t="s">
        <v>403</v>
      </c>
      <c r="B359" s="2">
        <v>45753</v>
      </c>
      <c r="C359">
        <v>16</v>
      </c>
      <c r="D359" t="s">
        <v>57</v>
      </c>
      <c r="E359" t="s">
        <v>51</v>
      </c>
      <c r="F359" s="7">
        <v>462.59</v>
      </c>
      <c r="G359" s="10">
        <v>0</v>
      </c>
      <c r="H359" s="7">
        <v>462.59</v>
      </c>
      <c r="I359">
        <v>4</v>
      </c>
      <c r="J359" t="s">
        <v>16</v>
      </c>
      <c r="K359" s="13">
        <f>ROUND(tblTransactions[[#This Row],[gross_sales_inr]]*(1-tblTransactions[[#This Row],[discount_pct]]),2)</f>
        <v>462.59</v>
      </c>
      <c r="L359" t="str">
        <f>IF(ABS(tblTransactions[[#This Row],[net_sales_inr]]-tblTransactions[[#This Row],[Recalc_Net_Sales]])&lt;0.02,"OK","CHECK")</f>
        <v>OK</v>
      </c>
      <c r="M359" s="14">
        <f>DATE(YEAR(tblTransactions[[#This Row],[date]]),MONTH(tblTransactions[[#This Row],[date]]),1)</f>
        <v>45748</v>
      </c>
      <c r="N359" t="str">
        <f>IF(WEEKDAY(tblTransactions[[#This Row],[date]],2)&gt;5,"Weekend","Weekday")</f>
        <v>Weekend</v>
      </c>
      <c r="O359" s="13" t="str">
        <f>IF(tblTransactions[[#This Row],[discount_pct]]=0,"0%",IF(tblTransactions[[#This Row],[discount_pct]]&lt;=10%,"1–
10%",IF(tblTransactions[[#This Row],[discount_pct]]&lt;=20%,"11–20%","&gt;20%")))</f>
        <v>0%</v>
      </c>
      <c r="P359" s="13" t="str">
        <f>_xlfn.XLOOKUP(tblTransactions[[#This Row],[tenant_id]],tblTenants[tenant_id],tblTenants[zone],"NOT FOUND")</f>
        <v>Food Court</v>
      </c>
      <c r="Q359" s="13" t="str">
        <f>_xlfn.XLOOKUP(tblTransactions[[#This Row],[tenant_id]],tblTenants[tenant_id],tblTenants[category],"NOT FOUND")</f>
        <v>Casual Dining</v>
      </c>
    </row>
    <row r="360" spans="1:17">
      <c r="A360" t="s">
        <v>404</v>
      </c>
      <c r="B360" s="2">
        <v>45749</v>
      </c>
      <c r="C360">
        <v>14</v>
      </c>
      <c r="D360" t="s">
        <v>18</v>
      </c>
      <c r="E360" t="s">
        <v>21</v>
      </c>
      <c r="F360" s="7">
        <v>485.04</v>
      </c>
      <c r="G360" s="10">
        <v>0.05</v>
      </c>
      <c r="H360" s="7">
        <v>460.79</v>
      </c>
      <c r="I360">
        <v>4</v>
      </c>
      <c r="J360" t="s">
        <v>13</v>
      </c>
      <c r="K360" s="13">
        <f>ROUND(tblTransactions[[#This Row],[gross_sales_inr]]*(1-tblTransactions[[#This Row],[discount_pct]]),2)</f>
        <v>460.79</v>
      </c>
      <c r="L360" t="str">
        <f>IF(ABS(tblTransactions[[#This Row],[net_sales_inr]]-tblTransactions[[#This Row],[Recalc_Net_Sales]])&lt;0.02,"OK","CHECK")</f>
        <v>OK</v>
      </c>
      <c r="M360" s="14">
        <f>DATE(YEAR(tblTransactions[[#This Row],[date]]),MONTH(tblTransactions[[#This Row],[date]]),1)</f>
        <v>45748</v>
      </c>
      <c r="N360" t="str">
        <f>IF(WEEKDAY(tblTransactions[[#This Row],[date]],2)&gt;5,"Weekend","Weekday")</f>
        <v>Weekday</v>
      </c>
      <c r="O36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60" s="13" t="str">
        <f>_xlfn.XLOOKUP(tblTransactions[[#This Row],[tenant_id]],tblTenants[tenant_id],tblTenants[zone],"NOT FOUND")</f>
        <v>Beauty &amp; Wellness</v>
      </c>
      <c r="Q360" s="13" t="str">
        <f>_xlfn.XLOOKUP(tblTransactions[[#This Row],[tenant_id]],tblTenants[tenant_id],tblTenants[category],"NOT FOUND")</f>
        <v>Beauty</v>
      </c>
    </row>
    <row r="361" spans="1:17">
      <c r="A361" t="s">
        <v>405</v>
      </c>
      <c r="B361" s="2">
        <v>45734</v>
      </c>
      <c r="C361">
        <v>22</v>
      </c>
      <c r="D361" t="s">
        <v>20</v>
      </c>
      <c r="E361" t="s">
        <v>21</v>
      </c>
      <c r="F361" s="7">
        <v>531.78</v>
      </c>
      <c r="G361" s="10">
        <v>0.15</v>
      </c>
      <c r="H361" s="7">
        <v>452.01</v>
      </c>
      <c r="I361">
        <v>1</v>
      </c>
      <c r="J361" t="s">
        <v>16</v>
      </c>
      <c r="K361" s="13">
        <f>ROUND(tblTransactions[[#This Row],[gross_sales_inr]]*(1-tblTransactions[[#This Row],[discount_pct]]),2)</f>
        <v>452.01</v>
      </c>
      <c r="L361" t="str">
        <f>IF(ABS(tblTransactions[[#This Row],[net_sales_inr]]-tblTransactions[[#This Row],[Recalc_Net_Sales]])&lt;0.02,"OK","CHECK")</f>
        <v>OK</v>
      </c>
      <c r="M361" s="14">
        <f>DATE(YEAR(tblTransactions[[#This Row],[date]]),MONTH(tblTransactions[[#This Row],[date]]),1)</f>
        <v>45717</v>
      </c>
      <c r="N361" t="str">
        <f>IF(WEEKDAY(tblTransactions[[#This Row],[date]],2)&gt;5,"Weekend","Weekday")</f>
        <v>Weekday</v>
      </c>
      <c r="O36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61" s="13" t="str">
        <f>_xlfn.XLOOKUP(tblTransactions[[#This Row],[tenant_id]],tblTenants[tenant_id],tblTenants[zone],"NOT FOUND")</f>
        <v>Fashion Avenue</v>
      </c>
      <c r="Q361" s="13" t="str">
        <f>_xlfn.XLOOKUP(tblTransactions[[#This Row],[tenant_id]],tblTenants[tenant_id],tblTenants[category],"NOT FOUND")</f>
        <v>Accessories</v>
      </c>
    </row>
    <row r="362" spans="1:17">
      <c r="A362" t="s">
        <v>406</v>
      </c>
      <c r="B362" s="2">
        <v>45749</v>
      </c>
      <c r="C362">
        <v>17</v>
      </c>
      <c r="D362" t="s">
        <v>104</v>
      </c>
      <c r="E362" t="s">
        <v>12</v>
      </c>
      <c r="F362" s="7">
        <v>241.06</v>
      </c>
      <c r="G362" s="10">
        <v>0</v>
      </c>
      <c r="H362" s="7">
        <v>241.06</v>
      </c>
      <c r="I362">
        <v>2</v>
      </c>
      <c r="J362" t="s">
        <v>13</v>
      </c>
      <c r="K362" s="13">
        <f>ROUND(tblTransactions[[#This Row],[gross_sales_inr]]*(1-tblTransactions[[#This Row],[discount_pct]]),2)</f>
        <v>241.06</v>
      </c>
      <c r="L362" t="str">
        <f>IF(ABS(tblTransactions[[#This Row],[net_sales_inr]]-tblTransactions[[#This Row],[Recalc_Net_Sales]])&lt;0.02,"OK","CHECK")</f>
        <v>OK</v>
      </c>
      <c r="M362" s="14">
        <f>DATE(YEAR(tblTransactions[[#This Row],[date]]),MONTH(tblTransactions[[#This Row],[date]]),1)</f>
        <v>45748</v>
      </c>
      <c r="N362" t="str">
        <f>IF(WEEKDAY(tblTransactions[[#This Row],[date]],2)&gt;5,"Weekend","Weekday")</f>
        <v>Weekday</v>
      </c>
      <c r="O362" s="13" t="str">
        <f>IF(tblTransactions[[#This Row],[discount_pct]]=0,"0%",IF(tblTransactions[[#This Row],[discount_pct]]&lt;=10%,"1–
10%",IF(tblTransactions[[#This Row],[discount_pct]]&lt;=20%,"11–20%","&gt;20%")))</f>
        <v>0%</v>
      </c>
      <c r="P362" s="13" t="str">
        <f>_xlfn.XLOOKUP(tblTransactions[[#This Row],[tenant_id]],tblTenants[tenant_id],tblTenants[zone],"NOT FOUND")</f>
        <v>Entertainment</v>
      </c>
      <c r="Q362" s="13" t="str">
        <f>_xlfn.XLOOKUP(tblTransactions[[#This Row],[tenant_id]],tblTenants[tenant_id],tblTenants[category],"NOT FOUND")</f>
        <v>Family Entertainment</v>
      </c>
    </row>
    <row r="363" spans="1:17">
      <c r="A363" t="s">
        <v>407</v>
      </c>
      <c r="B363" s="2">
        <v>45784</v>
      </c>
      <c r="C363">
        <v>11</v>
      </c>
      <c r="D363" t="s">
        <v>45</v>
      </c>
      <c r="E363" t="s">
        <v>21</v>
      </c>
      <c r="F363" s="7">
        <v>1211.75</v>
      </c>
      <c r="G363" s="10">
        <v>0</v>
      </c>
      <c r="H363" s="7">
        <v>1211.75</v>
      </c>
      <c r="I363">
        <v>1</v>
      </c>
      <c r="J363" t="s">
        <v>13</v>
      </c>
      <c r="K363" s="13">
        <f>ROUND(tblTransactions[[#This Row],[gross_sales_inr]]*(1-tblTransactions[[#This Row],[discount_pct]]),2)</f>
        <v>1211.75</v>
      </c>
      <c r="L363" t="str">
        <f>IF(ABS(tblTransactions[[#This Row],[net_sales_inr]]-tblTransactions[[#This Row],[Recalc_Net_Sales]])&lt;0.02,"OK","CHECK")</f>
        <v>OK</v>
      </c>
      <c r="M363" s="14">
        <f>DATE(YEAR(tblTransactions[[#This Row],[date]]),MONTH(tblTransactions[[#This Row],[date]]),1)</f>
        <v>45778</v>
      </c>
      <c r="N363" t="str">
        <f>IF(WEEKDAY(tblTransactions[[#This Row],[date]],2)&gt;5,"Weekend","Weekday")</f>
        <v>Weekday</v>
      </c>
      <c r="O363" s="13" t="str">
        <f>IF(tblTransactions[[#This Row],[discount_pct]]=0,"0%",IF(tblTransactions[[#This Row],[discount_pct]]&lt;=10%,"1–
10%",IF(tblTransactions[[#This Row],[discount_pct]]&lt;=20%,"11–20%","&gt;20%")))</f>
        <v>0%</v>
      </c>
      <c r="P363" s="13" t="str">
        <f>_xlfn.XLOOKUP(tblTransactions[[#This Row],[tenant_id]],tblTenants[tenant_id],tblTenants[zone],"NOT FOUND")</f>
        <v>Home &amp; Living</v>
      </c>
      <c r="Q363" s="13" t="str">
        <f>_xlfn.XLOOKUP(tblTransactions[[#This Row],[tenant_id]],tblTenants[tenant_id],tblTenants[category],"NOT FOUND")</f>
        <v>Home Decor</v>
      </c>
    </row>
    <row r="364" spans="1:17">
      <c r="A364" t="s">
        <v>408</v>
      </c>
      <c r="B364" s="2">
        <v>45820</v>
      </c>
      <c r="C364">
        <v>12</v>
      </c>
      <c r="D364" t="s">
        <v>11</v>
      </c>
      <c r="E364" t="s">
        <v>32</v>
      </c>
      <c r="F364" s="7">
        <v>1610.43</v>
      </c>
      <c r="G364" s="10">
        <v>0</v>
      </c>
      <c r="H364" s="7">
        <v>1610.43</v>
      </c>
      <c r="I364">
        <v>4</v>
      </c>
      <c r="J364" t="s">
        <v>13</v>
      </c>
      <c r="K364" s="13">
        <f>ROUND(tblTransactions[[#This Row],[gross_sales_inr]]*(1-tblTransactions[[#This Row],[discount_pct]]),2)</f>
        <v>1610.43</v>
      </c>
      <c r="L364" t="str">
        <f>IF(ABS(tblTransactions[[#This Row],[net_sales_inr]]-tblTransactions[[#This Row],[Recalc_Net_Sales]])&lt;0.02,"OK","CHECK")</f>
        <v>OK</v>
      </c>
      <c r="M364" s="14">
        <f>DATE(YEAR(tblTransactions[[#This Row],[date]]),MONTH(tblTransactions[[#This Row],[date]]),1)</f>
        <v>45809</v>
      </c>
      <c r="N364" t="str">
        <f>IF(WEEKDAY(tblTransactions[[#This Row],[date]],2)&gt;5,"Weekend","Weekday")</f>
        <v>Weekday</v>
      </c>
      <c r="O364" s="13" t="str">
        <f>IF(tblTransactions[[#This Row],[discount_pct]]=0,"0%",IF(tblTransactions[[#This Row],[discount_pct]]&lt;=10%,"1–
10%",IF(tblTransactions[[#This Row],[discount_pct]]&lt;=20%,"11–20%","&gt;20%")))</f>
        <v>0%</v>
      </c>
      <c r="P364" s="13" t="str">
        <f>_xlfn.XLOOKUP(tblTransactions[[#This Row],[tenant_id]],tblTenants[tenant_id],tblTenants[zone],"NOT FOUND")</f>
        <v>Home &amp; Living</v>
      </c>
      <c r="Q364" s="13" t="str">
        <f>_xlfn.XLOOKUP(tblTransactions[[#This Row],[tenant_id]],tblTenants[tenant_id],tblTenants[category],"NOT FOUND")</f>
        <v>Home Decor</v>
      </c>
    </row>
    <row r="365" spans="1:17">
      <c r="A365" t="s">
        <v>409</v>
      </c>
      <c r="B365" s="2">
        <v>45671</v>
      </c>
      <c r="C365">
        <v>15</v>
      </c>
      <c r="D365" t="s">
        <v>43</v>
      </c>
      <c r="E365" t="s">
        <v>32</v>
      </c>
      <c r="F365" s="7">
        <v>250.5</v>
      </c>
      <c r="G365" s="10">
        <v>0.05</v>
      </c>
      <c r="H365" s="7">
        <v>237.97</v>
      </c>
      <c r="I365">
        <v>2</v>
      </c>
      <c r="J365" t="s">
        <v>13</v>
      </c>
      <c r="K365" s="13">
        <f>ROUND(tblTransactions[[#This Row],[gross_sales_inr]]*(1-tblTransactions[[#This Row],[discount_pct]]),2)</f>
        <v>237.98</v>
      </c>
      <c r="L365" t="str">
        <f>IF(ABS(tblTransactions[[#This Row],[net_sales_inr]]-tblTransactions[[#This Row],[Recalc_Net_Sales]])&lt;0.02,"OK","CHECK")</f>
        <v>OK</v>
      </c>
      <c r="M365" s="14">
        <f>DATE(YEAR(tblTransactions[[#This Row],[date]]),MONTH(tblTransactions[[#This Row],[date]]),1)</f>
        <v>45658</v>
      </c>
      <c r="N365" t="str">
        <f>IF(WEEKDAY(tblTransactions[[#This Row],[date]],2)&gt;5,"Weekend","Weekday")</f>
        <v>Weekday</v>
      </c>
      <c r="O36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65" s="13" t="str">
        <f>_xlfn.XLOOKUP(tblTransactions[[#This Row],[tenant_id]],tblTenants[tenant_id],tblTenants[zone],"NOT FOUND")</f>
        <v>Food Court</v>
      </c>
      <c r="Q365" s="13" t="str">
        <f>_xlfn.XLOOKUP(tblTransactions[[#This Row],[tenant_id]],tblTenants[tenant_id],tblTenants[category],"NOT FOUND")</f>
        <v>Casual Dining</v>
      </c>
    </row>
    <row r="366" spans="1:17">
      <c r="A366" t="s">
        <v>410</v>
      </c>
      <c r="B366" s="2">
        <v>45691</v>
      </c>
      <c r="C366">
        <v>12</v>
      </c>
      <c r="D366" t="s">
        <v>53</v>
      </c>
      <c r="E366" t="s">
        <v>32</v>
      </c>
      <c r="F366" s="7">
        <v>2329.0500000000002</v>
      </c>
      <c r="G366" s="10">
        <v>0</v>
      </c>
      <c r="H366" s="7">
        <v>2329.0500000000002</v>
      </c>
      <c r="I366">
        <v>2</v>
      </c>
      <c r="J366" t="s">
        <v>13</v>
      </c>
      <c r="K366" s="13">
        <f>ROUND(tblTransactions[[#This Row],[gross_sales_inr]]*(1-tblTransactions[[#This Row],[discount_pct]]),2)</f>
        <v>2329.0500000000002</v>
      </c>
      <c r="L366" t="str">
        <f>IF(ABS(tblTransactions[[#This Row],[net_sales_inr]]-tblTransactions[[#This Row],[Recalc_Net_Sales]])&lt;0.02,"OK","CHECK")</f>
        <v>OK</v>
      </c>
      <c r="M366" s="14">
        <f>DATE(YEAR(tblTransactions[[#This Row],[date]]),MONTH(tblTransactions[[#This Row],[date]]),1)</f>
        <v>45689</v>
      </c>
      <c r="N366" t="str">
        <f>IF(WEEKDAY(tblTransactions[[#This Row],[date]],2)&gt;5,"Weekend","Weekday")</f>
        <v>Weekday</v>
      </c>
      <c r="O366" s="13" t="str">
        <f>IF(tblTransactions[[#This Row],[discount_pct]]=0,"0%",IF(tblTransactions[[#This Row],[discount_pct]]&lt;=10%,"1–
10%",IF(tblTransactions[[#This Row],[discount_pct]]&lt;=20%,"11–20%","&gt;20%")))</f>
        <v>0%</v>
      </c>
      <c r="P366" s="13" t="str">
        <f>_xlfn.XLOOKUP(tblTransactions[[#This Row],[tenant_id]],tblTenants[tenant_id],tblTenants[zone],"NOT FOUND")</f>
        <v>Beauty &amp; Wellness</v>
      </c>
      <c r="Q366" s="13" t="str">
        <f>_xlfn.XLOOKUP(tblTransactions[[#This Row],[tenant_id]],tblTenants[tenant_id],tblTenants[category],"NOT FOUND")</f>
        <v>Beauty</v>
      </c>
    </row>
    <row r="367" spans="1:17">
      <c r="A367" t="s">
        <v>411</v>
      </c>
      <c r="B367" s="2">
        <v>45680</v>
      </c>
      <c r="C367">
        <v>18</v>
      </c>
      <c r="D367" t="s">
        <v>41</v>
      </c>
      <c r="E367" t="s">
        <v>12</v>
      </c>
      <c r="F367" s="7">
        <v>1147.57</v>
      </c>
      <c r="G367" s="10">
        <v>0.15</v>
      </c>
      <c r="H367" s="7">
        <v>975.43</v>
      </c>
      <c r="I367">
        <v>4</v>
      </c>
      <c r="J367" t="s">
        <v>16</v>
      </c>
      <c r="K367" s="13">
        <f>ROUND(tblTransactions[[#This Row],[gross_sales_inr]]*(1-tblTransactions[[#This Row],[discount_pct]]),2)</f>
        <v>975.43</v>
      </c>
      <c r="L367" t="str">
        <f>IF(ABS(tblTransactions[[#This Row],[net_sales_inr]]-tblTransactions[[#This Row],[Recalc_Net_Sales]])&lt;0.02,"OK","CHECK")</f>
        <v>OK</v>
      </c>
      <c r="M367" s="14">
        <f>DATE(YEAR(tblTransactions[[#This Row],[date]]),MONTH(tblTransactions[[#This Row],[date]]),1)</f>
        <v>45658</v>
      </c>
      <c r="N367" t="str">
        <f>IF(WEEKDAY(tblTransactions[[#This Row],[date]],2)&gt;5,"Weekend","Weekday")</f>
        <v>Weekday</v>
      </c>
      <c r="O36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67" s="13" t="str">
        <f>_xlfn.XLOOKUP(tblTransactions[[#This Row],[tenant_id]],tblTenants[tenant_id],tblTenants[zone],"NOT FOUND")</f>
        <v>Fashion Avenue</v>
      </c>
      <c r="Q367" s="13" t="str">
        <f>_xlfn.XLOOKUP(tblTransactions[[#This Row],[tenant_id]],tblTenants[tenant_id],tblTenants[category],"NOT FOUND")</f>
        <v>Clothing</v>
      </c>
    </row>
    <row r="368" spans="1:17">
      <c r="A368" t="s">
        <v>412</v>
      </c>
      <c r="B368" s="2">
        <v>45738</v>
      </c>
      <c r="C368">
        <v>10</v>
      </c>
      <c r="D368" t="s">
        <v>11</v>
      </c>
      <c r="E368" t="s">
        <v>12</v>
      </c>
      <c r="F368" s="7">
        <v>2407.13</v>
      </c>
      <c r="G368" s="10">
        <v>0.15</v>
      </c>
      <c r="H368" s="7">
        <v>2046.06</v>
      </c>
      <c r="I368">
        <v>4</v>
      </c>
      <c r="J368" t="s">
        <v>13</v>
      </c>
      <c r="K368" s="13">
        <f>ROUND(tblTransactions[[#This Row],[gross_sales_inr]]*(1-tblTransactions[[#This Row],[discount_pct]]),2)</f>
        <v>2046.06</v>
      </c>
      <c r="L368" t="str">
        <f>IF(ABS(tblTransactions[[#This Row],[net_sales_inr]]-tblTransactions[[#This Row],[Recalc_Net_Sales]])&lt;0.02,"OK","CHECK")</f>
        <v>OK</v>
      </c>
      <c r="M368" s="14">
        <f>DATE(YEAR(tblTransactions[[#This Row],[date]]),MONTH(tblTransactions[[#This Row],[date]]),1)</f>
        <v>45717</v>
      </c>
      <c r="N368" t="str">
        <f>IF(WEEKDAY(tblTransactions[[#This Row],[date]],2)&gt;5,"Weekend","Weekday")</f>
        <v>Weekend</v>
      </c>
      <c r="O36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68" s="13" t="str">
        <f>_xlfn.XLOOKUP(tblTransactions[[#This Row],[tenant_id]],tblTenants[tenant_id],tblTenants[zone],"NOT FOUND")</f>
        <v>Home &amp; Living</v>
      </c>
      <c r="Q368" s="13" t="str">
        <f>_xlfn.XLOOKUP(tblTransactions[[#This Row],[tenant_id]],tblTenants[tenant_id],tblTenants[category],"NOT FOUND")</f>
        <v>Home Decor</v>
      </c>
    </row>
    <row r="369" spans="1:17">
      <c r="A369" t="s">
        <v>413</v>
      </c>
      <c r="B369" s="2">
        <v>45811</v>
      </c>
      <c r="C369">
        <v>18</v>
      </c>
      <c r="D369" t="s">
        <v>61</v>
      </c>
      <c r="E369" t="s">
        <v>32</v>
      </c>
      <c r="F369" s="7">
        <v>434.8</v>
      </c>
      <c r="G369" s="10">
        <v>0</v>
      </c>
      <c r="H369" s="7">
        <v>434.8</v>
      </c>
      <c r="I369">
        <v>1</v>
      </c>
      <c r="J369" t="s">
        <v>13</v>
      </c>
      <c r="K369" s="13">
        <f>ROUND(tblTransactions[[#This Row],[gross_sales_inr]]*(1-tblTransactions[[#This Row],[discount_pct]]),2)</f>
        <v>434.8</v>
      </c>
      <c r="L369" t="str">
        <f>IF(ABS(tblTransactions[[#This Row],[net_sales_inr]]-tblTransactions[[#This Row],[Recalc_Net_Sales]])&lt;0.02,"OK","CHECK")</f>
        <v>OK</v>
      </c>
      <c r="M369" s="14">
        <f>DATE(YEAR(tblTransactions[[#This Row],[date]]),MONTH(tblTransactions[[#This Row],[date]]),1)</f>
        <v>45809</v>
      </c>
      <c r="N369" t="str">
        <f>IF(WEEKDAY(tblTransactions[[#This Row],[date]],2)&gt;5,"Weekend","Weekday")</f>
        <v>Weekday</v>
      </c>
      <c r="O369" s="13" t="str">
        <f>IF(tblTransactions[[#This Row],[discount_pct]]=0,"0%",IF(tblTransactions[[#This Row],[discount_pct]]&lt;=10%,"1–
10%",IF(tblTransactions[[#This Row],[discount_pct]]&lt;=20%,"11–20%","&gt;20%")))</f>
        <v>0%</v>
      </c>
      <c r="P369" s="13" t="str">
        <f>_xlfn.XLOOKUP(tblTransactions[[#This Row],[tenant_id]],tblTenants[tenant_id],tblTenants[zone],"NOT FOUND")</f>
        <v>Food Court</v>
      </c>
      <c r="Q369" s="13" t="str">
        <f>_xlfn.XLOOKUP(tblTransactions[[#This Row],[tenant_id]],tblTenants[tenant_id],tblTenants[category],"NOT FOUND")</f>
        <v>Quick Service</v>
      </c>
    </row>
    <row r="370" spans="1:17">
      <c r="A370" t="s">
        <v>414</v>
      </c>
      <c r="B370" s="2">
        <v>45725</v>
      </c>
      <c r="C370">
        <v>18</v>
      </c>
      <c r="D370" t="s">
        <v>87</v>
      </c>
      <c r="E370" t="s">
        <v>12</v>
      </c>
      <c r="F370" s="7">
        <v>1974.75</v>
      </c>
      <c r="G370" s="10">
        <v>0</v>
      </c>
      <c r="H370" s="7">
        <v>1974.75</v>
      </c>
      <c r="I370">
        <v>2</v>
      </c>
      <c r="J370" t="s">
        <v>13</v>
      </c>
      <c r="K370" s="13">
        <f>ROUND(tblTransactions[[#This Row],[gross_sales_inr]]*(1-tblTransactions[[#This Row],[discount_pct]]),2)</f>
        <v>1974.75</v>
      </c>
      <c r="L370" t="str">
        <f>IF(ABS(tblTransactions[[#This Row],[net_sales_inr]]-tblTransactions[[#This Row],[Recalc_Net_Sales]])&lt;0.02,"OK","CHECK")</f>
        <v>OK</v>
      </c>
      <c r="M370" s="14">
        <f>DATE(YEAR(tblTransactions[[#This Row],[date]]),MONTH(tblTransactions[[#This Row],[date]]),1)</f>
        <v>45717</v>
      </c>
      <c r="N370" t="str">
        <f>IF(WEEKDAY(tblTransactions[[#This Row],[date]],2)&gt;5,"Weekend","Weekday")</f>
        <v>Weekend</v>
      </c>
      <c r="O370" s="13" t="str">
        <f>IF(tblTransactions[[#This Row],[discount_pct]]=0,"0%",IF(tblTransactions[[#This Row],[discount_pct]]&lt;=10%,"1–
10%",IF(tblTransactions[[#This Row],[discount_pct]]&lt;=20%,"11–20%","&gt;20%")))</f>
        <v>0%</v>
      </c>
      <c r="P370" s="13" t="str">
        <f>_xlfn.XLOOKUP(tblTransactions[[#This Row],[tenant_id]],tblTenants[tenant_id],tblTenants[zone],"NOT FOUND")</f>
        <v>Fashion Avenue</v>
      </c>
      <c r="Q370" s="13" t="str">
        <f>_xlfn.XLOOKUP(tblTransactions[[#This Row],[tenant_id]],tblTenants[tenant_id],tblTenants[category],"NOT FOUND")</f>
        <v>Footwear</v>
      </c>
    </row>
    <row r="371" spans="1:17">
      <c r="A371" t="s">
        <v>415</v>
      </c>
      <c r="B371" s="2">
        <v>45827</v>
      </c>
      <c r="C371">
        <v>10</v>
      </c>
      <c r="D371" t="s">
        <v>15</v>
      </c>
      <c r="E371" t="s">
        <v>32</v>
      </c>
      <c r="F371" s="7">
        <v>1077.96</v>
      </c>
      <c r="G371" s="10">
        <v>0</v>
      </c>
      <c r="H371" s="7">
        <v>1077.96</v>
      </c>
      <c r="I371">
        <v>4</v>
      </c>
      <c r="J371" t="s">
        <v>16</v>
      </c>
      <c r="K371" s="13">
        <f>ROUND(tblTransactions[[#This Row],[gross_sales_inr]]*(1-tblTransactions[[#This Row],[discount_pct]]),2)</f>
        <v>1077.96</v>
      </c>
      <c r="L371" t="str">
        <f>IF(ABS(tblTransactions[[#This Row],[net_sales_inr]]-tblTransactions[[#This Row],[Recalc_Net_Sales]])&lt;0.02,"OK","CHECK")</f>
        <v>OK</v>
      </c>
      <c r="M371" s="14">
        <f>DATE(YEAR(tblTransactions[[#This Row],[date]]),MONTH(tblTransactions[[#This Row],[date]]),1)</f>
        <v>45809</v>
      </c>
      <c r="N371" t="str">
        <f>IF(WEEKDAY(tblTransactions[[#This Row],[date]],2)&gt;5,"Weekend","Weekday")</f>
        <v>Weekday</v>
      </c>
      <c r="O371" s="13" t="str">
        <f>IF(tblTransactions[[#This Row],[discount_pct]]=0,"0%",IF(tblTransactions[[#This Row],[discount_pct]]&lt;=10%,"1–
10%",IF(tblTransactions[[#This Row],[discount_pct]]&lt;=20%,"11–20%","&gt;20%")))</f>
        <v>0%</v>
      </c>
      <c r="P371" s="13" t="str">
        <f>_xlfn.XLOOKUP(tblTransactions[[#This Row],[tenant_id]],tblTenants[tenant_id],tblTenants[zone],"NOT FOUND")</f>
        <v>Fashion Avenue</v>
      </c>
      <c r="Q371" s="13" t="str">
        <f>_xlfn.XLOOKUP(tblTransactions[[#This Row],[tenant_id]],tblTenants[tenant_id],tblTenants[category],"NOT FOUND")</f>
        <v>Accessories</v>
      </c>
    </row>
    <row r="372" spans="1:17">
      <c r="A372" t="s">
        <v>416</v>
      </c>
      <c r="B372" s="2">
        <v>45661</v>
      </c>
      <c r="C372">
        <v>16</v>
      </c>
      <c r="D372" t="s">
        <v>204</v>
      </c>
      <c r="E372" t="s">
        <v>51</v>
      </c>
      <c r="F372" s="7">
        <v>529.13</v>
      </c>
      <c r="G372" s="10">
        <v>0</v>
      </c>
      <c r="H372" s="7">
        <v>529.13</v>
      </c>
      <c r="I372">
        <v>3</v>
      </c>
      <c r="J372" t="s">
        <v>13</v>
      </c>
      <c r="K372" s="13">
        <f>ROUND(tblTransactions[[#This Row],[gross_sales_inr]]*(1-tblTransactions[[#This Row],[discount_pct]]),2)</f>
        <v>529.13</v>
      </c>
      <c r="L372" t="str">
        <f>IF(ABS(tblTransactions[[#This Row],[net_sales_inr]]-tblTransactions[[#This Row],[Recalc_Net_Sales]])&lt;0.02,"OK","CHECK")</f>
        <v>OK</v>
      </c>
      <c r="M372" s="14">
        <f>DATE(YEAR(tblTransactions[[#This Row],[date]]),MONTH(tblTransactions[[#This Row],[date]]),1)</f>
        <v>45658</v>
      </c>
      <c r="N372" t="str">
        <f>IF(WEEKDAY(tblTransactions[[#This Row],[date]],2)&gt;5,"Weekend","Weekday")</f>
        <v>Weekend</v>
      </c>
      <c r="O372" s="13" t="str">
        <f>IF(tblTransactions[[#This Row],[discount_pct]]=0,"0%",IF(tblTransactions[[#This Row],[discount_pct]]&lt;=10%,"1–
10%",IF(tblTransactions[[#This Row],[discount_pct]]&lt;=20%,"11–20%","&gt;20%")))</f>
        <v>0%</v>
      </c>
      <c r="P372" s="13" t="str">
        <f>_xlfn.XLOOKUP(tblTransactions[[#This Row],[tenant_id]],tblTenants[tenant_id],tblTenants[zone],"NOT FOUND")</f>
        <v>Home &amp; Living</v>
      </c>
      <c r="Q372" s="13" t="str">
        <f>_xlfn.XLOOKUP(tblTransactions[[#This Row],[tenant_id]],tblTenants[tenant_id],tblTenants[category],"NOT FOUND")</f>
        <v>Home Decor</v>
      </c>
    </row>
    <row r="373" spans="1:17">
      <c r="A373" t="s">
        <v>417</v>
      </c>
      <c r="B373" s="2">
        <v>45789</v>
      </c>
      <c r="C373">
        <v>16</v>
      </c>
      <c r="D373" t="s">
        <v>80</v>
      </c>
      <c r="E373" t="s">
        <v>12</v>
      </c>
      <c r="F373" s="7">
        <v>1307.05</v>
      </c>
      <c r="G373" s="10">
        <v>0</v>
      </c>
      <c r="H373" s="7">
        <v>1307.05</v>
      </c>
      <c r="I373">
        <v>3</v>
      </c>
      <c r="J373" t="s">
        <v>16</v>
      </c>
      <c r="K373" s="13">
        <f>ROUND(tblTransactions[[#This Row],[gross_sales_inr]]*(1-tblTransactions[[#This Row],[discount_pct]]),2)</f>
        <v>1307.05</v>
      </c>
      <c r="L373" t="str">
        <f>IF(ABS(tblTransactions[[#This Row],[net_sales_inr]]-tblTransactions[[#This Row],[Recalc_Net_Sales]])&lt;0.02,"OK","CHECK")</f>
        <v>OK</v>
      </c>
      <c r="M373" s="14">
        <f>DATE(YEAR(tblTransactions[[#This Row],[date]]),MONTH(tblTransactions[[#This Row],[date]]),1)</f>
        <v>45778</v>
      </c>
      <c r="N373" t="str">
        <f>IF(WEEKDAY(tblTransactions[[#This Row],[date]],2)&gt;5,"Weekend","Weekday")</f>
        <v>Weekday</v>
      </c>
      <c r="O373" s="13" t="str">
        <f>IF(tblTransactions[[#This Row],[discount_pct]]=0,"0%",IF(tblTransactions[[#This Row],[discount_pct]]&lt;=10%,"1–
10%",IF(tblTransactions[[#This Row],[discount_pct]]&lt;=20%,"11–20%","&gt;20%")))</f>
        <v>0%</v>
      </c>
      <c r="P373" s="13" t="str">
        <f>_xlfn.XLOOKUP(tblTransactions[[#This Row],[tenant_id]],tblTenants[tenant_id],tblTenants[zone],"NOT FOUND")</f>
        <v>Food Court</v>
      </c>
      <c r="Q373" s="13" t="str">
        <f>_xlfn.XLOOKUP(tblTransactions[[#This Row],[tenant_id]],tblTenants[tenant_id],tblTenants[category],"NOT FOUND")</f>
        <v>Casual Dining</v>
      </c>
    </row>
    <row r="374" spans="1:17">
      <c r="A374" t="s">
        <v>418</v>
      </c>
      <c r="B374" s="2">
        <v>45746</v>
      </c>
      <c r="C374">
        <v>16</v>
      </c>
      <c r="D374" t="s">
        <v>70</v>
      </c>
      <c r="E374" t="s">
        <v>32</v>
      </c>
      <c r="F374" s="7">
        <v>332.38</v>
      </c>
      <c r="G374" s="10">
        <v>0.3</v>
      </c>
      <c r="H374" s="7">
        <v>232.67</v>
      </c>
      <c r="I374">
        <v>3</v>
      </c>
      <c r="J374" t="s">
        <v>16</v>
      </c>
      <c r="K374" s="13">
        <f>ROUND(tblTransactions[[#This Row],[gross_sales_inr]]*(1-tblTransactions[[#This Row],[discount_pct]]),2)</f>
        <v>232.67</v>
      </c>
      <c r="L374" t="str">
        <f>IF(ABS(tblTransactions[[#This Row],[net_sales_inr]]-tblTransactions[[#This Row],[Recalc_Net_Sales]])&lt;0.02,"OK","CHECK")</f>
        <v>OK</v>
      </c>
      <c r="M374" s="14">
        <f>DATE(YEAR(tblTransactions[[#This Row],[date]]),MONTH(tblTransactions[[#This Row],[date]]),1)</f>
        <v>45717</v>
      </c>
      <c r="N374" t="str">
        <f>IF(WEEKDAY(tblTransactions[[#This Row],[date]],2)&gt;5,"Weekend","Weekday")</f>
        <v>Weekend</v>
      </c>
      <c r="O37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374" s="13" t="str">
        <f>_xlfn.XLOOKUP(tblTransactions[[#This Row],[tenant_id]],tblTenants[tenant_id],tblTenants[zone],"NOT FOUND")</f>
        <v>Food Court</v>
      </c>
      <c r="Q374" s="13" t="str">
        <f>_xlfn.XLOOKUP(tblTransactions[[#This Row],[tenant_id]],tblTenants[tenant_id],tblTenants[category],"NOT FOUND")</f>
        <v>Quick Service</v>
      </c>
    </row>
    <row r="375" spans="1:17">
      <c r="A375" t="s">
        <v>419</v>
      </c>
      <c r="B375" s="2">
        <v>45714</v>
      </c>
      <c r="C375">
        <v>17</v>
      </c>
      <c r="D375" t="s">
        <v>63</v>
      </c>
      <c r="E375" t="s">
        <v>32</v>
      </c>
      <c r="F375" s="7">
        <v>1141.02</v>
      </c>
      <c r="G375" s="10">
        <v>0.3</v>
      </c>
      <c r="H375" s="7">
        <v>798.71</v>
      </c>
      <c r="I375">
        <v>1</v>
      </c>
      <c r="J375" t="s">
        <v>13</v>
      </c>
      <c r="K375" s="13">
        <f>ROUND(tblTransactions[[#This Row],[gross_sales_inr]]*(1-tblTransactions[[#This Row],[discount_pct]]),2)</f>
        <v>798.71</v>
      </c>
      <c r="L375" t="str">
        <f>IF(ABS(tblTransactions[[#This Row],[net_sales_inr]]-tblTransactions[[#This Row],[Recalc_Net_Sales]])&lt;0.02,"OK","CHECK")</f>
        <v>OK</v>
      </c>
      <c r="M375" s="14">
        <f>DATE(YEAR(tblTransactions[[#This Row],[date]]),MONTH(tblTransactions[[#This Row],[date]]),1)</f>
        <v>45689</v>
      </c>
      <c r="N375" t="str">
        <f>IF(WEEKDAY(tblTransactions[[#This Row],[date]],2)&gt;5,"Weekend","Weekday")</f>
        <v>Weekday</v>
      </c>
      <c r="O375" s="13" t="str">
        <f>IF(tblTransactions[[#This Row],[discount_pct]]=0,"0%",IF(tblTransactions[[#This Row],[discount_pct]]&lt;=10%,"1–
10%",IF(tblTransactions[[#This Row],[discount_pct]]&lt;=20%,"11–20%","&gt;20%")))</f>
        <v>&gt;20%</v>
      </c>
      <c r="P375" s="13" t="str">
        <f>_xlfn.XLOOKUP(tblTransactions[[#This Row],[tenant_id]],tblTenants[tenant_id],tblTenants[zone],"NOT FOUND")</f>
        <v>Entertainment</v>
      </c>
      <c r="Q375" s="13" t="str">
        <f>_xlfn.XLOOKUP(tblTransactions[[#This Row],[tenant_id]],tblTenants[tenant_id],tblTenants[category],"NOT FOUND")</f>
        <v>Family Entertainment</v>
      </c>
    </row>
    <row r="376" spans="1:17">
      <c r="A376" t="s">
        <v>420</v>
      </c>
      <c r="B376" s="2">
        <v>45798</v>
      </c>
      <c r="C376">
        <v>10</v>
      </c>
      <c r="D376" t="s">
        <v>29</v>
      </c>
      <c r="E376" t="s">
        <v>12</v>
      </c>
      <c r="F376" s="7">
        <v>691.98</v>
      </c>
      <c r="G376" s="10">
        <v>0</v>
      </c>
      <c r="H376" s="7">
        <v>691.98</v>
      </c>
      <c r="I376">
        <v>2</v>
      </c>
      <c r="J376" t="s">
        <v>16</v>
      </c>
      <c r="K376" s="13">
        <f>ROUND(tblTransactions[[#This Row],[gross_sales_inr]]*(1-tblTransactions[[#This Row],[discount_pct]]),2)</f>
        <v>691.98</v>
      </c>
      <c r="L376" t="str">
        <f>IF(ABS(tblTransactions[[#This Row],[net_sales_inr]]-tblTransactions[[#This Row],[Recalc_Net_Sales]])&lt;0.02,"OK","CHECK")</f>
        <v>OK</v>
      </c>
      <c r="M376" s="14">
        <f>DATE(YEAR(tblTransactions[[#This Row],[date]]),MONTH(tblTransactions[[#This Row],[date]]),1)</f>
        <v>45778</v>
      </c>
      <c r="N376" t="str">
        <f>IF(WEEKDAY(tblTransactions[[#This Row],[date]],2)&gt;5,"Weekend","Weekday")</f>
        <v>Weekday</v>
      </c>
      <c r="O376" s="13" t="str">
        <f>IF(tblTransactions[[#This Row],[discount_pct]]=0,"0%",IF(tblTransactions[[#This Row],[discount_pct]]&lt;=10%,"1–
10%",IF(tblTransactions[[#This Row],[discount_pct]]&lt;=20%,"11–20%","&gt;20%")))</f>
        <v>0%</v>
      </c>
      <c r="P376" s="13" t="str">
        <f>_xlfn.XLOOKUP(tblTransactions[[#This Row],[tenant_id]],tblTenants[tenant_id],tblTenants[zone],"NOT FOUND")</f>
        <v>Entertainment</v>
      </c>
      <c r="Q376" s="13" t="str">
        <f>_xlfn.XLOOKUP(tblTransactions[[#This Row],[tenant_id]],tblTenants[tenant_id],tblTenants[category],"NOT FOUND")</f>
        <v>Cinema</v>
      </c>
    </row>
    <row r="377" spans="1:17">
      <c r="A377" t="s">
        <v>421</v>
      </c>
      <c r="B377" s="2">
        <v>45709</v>
      </c>
      <c r="C377">
        <v>17</v>
      </c>
      <c r="D377" t="s">
        <v>85</v>
      </c>
      <c r="E377" t="s">
        <v>12</v>
      </c>
      <c r="F377" s="7">
        <v>1219.8599999999999</v>
      </c>
      <c r="G377" s="10">
        <v>0.1</v>
      </c>
      <c r="H377" s="7">
        <v>1097.8699999999999</v>
      </c>
      <c r="I377">
        <v>5</v>
      </c>
      <c r="J377" t="s">
        <v>16</v>
      </c>
      <c r="K377" s="13">
        <f>ROUND(tblTransactions[[#This Row],[gross_sales_inr]]*(1-tblTransactions[[#This Row],[discount_pct]]),2)</f>
        <v>1097.8699999999999</v>
      </c>
      <c r="L377" t="str">
        <f>IF(ABS(tblTransactions[[#This Row],[net_sales_inr]]-tblTransactions[[#This Row],[Recalc_Net_Sales]])&lt;0.02,"OK","CHECK")</f>
        <v>OK</v>
      </c>
      <c r="M377" s="14">
        <f>DATE(YEAR(tblTransactions[[#This Row],[date]]),MONTH(tblTransactions[[#This Row],[date]]),1)</f>
        <v>45689</v>
      </c>
      <c r="N377" t="str">
        <f>IF(WEEKDAY(tblTransactions[[#This Row],[date]],2)&gt;5,"Weekend","Weekday")</f>
        <v>Weekday</v>
      </c>
      <c r="O37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77" s="13" t="str">
        <f>_xlfn.XLOOKUP(tblTransactions[[#This Row],[tenant_id]],tblTenants[tenant_id],tblTenants[zone],"NOT FOUND")</f>
        <v>Home &amp; Living</v>
      </c>
      <c r="Q377" s="13" t="str">
        <f>_xlfn.XLOOKUP(tblTransactions[[#This Row],[tenant_id]],tblTenants[tenant_id],tblTenants[category],"NOT FOUND")</f>
        <v>Electronics</v>
      </c>
    </row>
    <row r="378" spans="1:17">
      <c r="A378" t="s">
        <v>422</v>
      </c>
      <c r="B378" s="2">
        <v>45830</v>
      </c>
      <c r="C378">
        <v>12</v>
      </c>
      <c r="D378" t="s">
        <v>20</v>
      </c>
      <c r="E378" t="s">
        <v>21</v>
      </c>
      <c r="F378" s="7">
        <v>857.58</v>
      </c>
      <c r="G378" s="10">
        <v>0</v>
      </c>
      <c r="H378" s="7">
        <v>857.58</v>
      </c>
      <c r="I378">
        <v>5</v>
      </c>
      <c r="J378" t="s">
        <v>16</v>
      </c>
      <c r="K378" s="13">
        <f>ROUND(tblTransactions[[#This Row],[gross_sales_inr]]*(1-tblTransactions[[#This Row],[discount_pct]]),2)</f>
        <v>857.58</v>
      </c>
      <c r="L378" t="str">
        <f>IF(ABS(tblTransactions[[#This Row],[net_sales_inr]]-tblTransactions[[#This Row],[Recalc_Net_Sales]])&lt;0.02,"OK","CHECK")</f>
        <v>OK</v>
      </c>
      <c r="M378" s="14">
        <f>DATE(YEAR(tblTransactions[[#This Row],[date]]),MONTH(tblTransactions[[#This Row],[date]]),1)</f>
        <v>45809</v>
      </c>
      <c r="N378" t="str">
        <f>IF(WEEKDAY(tblTransactions[[#This Row],[date]],2)&gt;5,"Weekend","Weekday")</f>
        <v>Weekend</v>
      </c>
      <c r="O378" s="13" t="str">
        <f>IF(tblTransactions[[#This Row],[discount_pct]]=0,"0%",IF(tblTransactions[[#This Row],[discount_pct]]&lt;=10%,"1–
10%",IF(tblTransactions[[#This Row],[discount_pct]]&lt;=20%,"11–20%","&gt;20%")))</f>
        <v>0%</v>
      </c>
      <c r="P378" s="13" t="str">
        <f>_xlfn.XLOOKUP(tblTransactions[[#This Row],[tenant_id]],tblTenants[tenant_id],tblTenants[zone],"NOT FOUND")</f>
        <v>Fashion Avenue</v>
      </c>
      <c r="Q378" s="13" t="str">
        <f>_xlfn.XLOOKUP(tblTransactions[[#This Row],[tenant_id]],tblTenants[tenant_id],tblTenants[category],"NOT FOUND")</f>
        <v>Accessories</v>
      </c>
    </row>
    <row r="379" spans="1:17">
      <c r="A379" t="s">
        <v>423</v>
      </c>
      <c r="B379" s="2">
        <v>45742</v>
      </c>
      <c r="C379">
        <v>12</v>
      </c>
      <c r="D379" t="s">
        <v>20</v>
      </c>
      <c r="E379" t="s">
        <v>12</v>
      </c>
      <c r="F379" s="7">
        <v>2835.59</v>
      </c>
      <c r="G379" s="10">
        <v>0.1</v>
      </c>
      <c r="H379" s="7">
        <v>2552.0300000000002</v>
      </c>
      <c r="I379">
        <v>3</v>
      </c>
      <c r="J379" t="s">
        <v>13</v>
      </c>
      <c r="K379" s="13">
        <f>ROUND(tblTransactions[[#This Row],[gross_sales_inr]]*(1-tblTransactions[[#This Row],[discount_pct]]),2)</f>
        <v>2552.0300000000002</v>
      </c>
      <c r="L379" t="str">
        <f>IF(ABS(tblTransactions[[#This Row],[net_sales_inr]]-tblTransactions[[#This Row],[Recalc_Net_Sales]])&lt;0.02,"OK","CHECK")</f>
        <v>OK</v>
      </c>
      <c r="M379" s="14">
        <f>DATE(YEAR(tblTransactions[[#This Row],[date]]),MONTH(tblTransactions[[#This Row],[date]]),1)</f>
        <v>45717</v>
      </c>
      <c r="N379" t="str">
        <f>IF(WEEKDAY(tblTransactions[[#This Row],[date]],2)&gt;5,"Weekend","Weekday")</f>
        <v>Weekday</v>
      </c>
      <c r="O37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79" s="13" t="str">
        <f>_xlfn.XLOOKUP(tblTransactions[[#This Row],[tenant_id]],tblTenants[tenant_id],tblTenants[zone],"NOT FOUND")</f>
        <v>Fashion Avenue</v>
      </c>
      <c r="Q379" s="13" t="str">
        <f>_xlfn.XLOOKUP(tblTransactions[[#This Row],[tenant_id]],tblTenants[tenant_id],tblTenants[category],"NOT FOUND")</f>
        <v>Accessories</v>
      </c>
    </row>
    <row r="380" spans="1:17">
      <c r="A380" t="s">
        <v>424</v>
      </c>
      <c r="B380" s="2">
        <v>45702</v>
      </c>
      <c r="C380">
        <v>17</v>
      </c>
      <c r="D380" t="s">
        <v>25</v>
      </c>
      <c r="E380" t="s">
        <v>32</v>
      </c>
      <c r="F380" s="7">
        <v>339.34</v>
      </c>
      <c r="G380" s="10">
        <v>0</v>
      </c>
      <c r="H380" s="7">
        <v>339.34</v>
      </c>
      <c r="I380">
        <v>1</v>
      </c>
      <c r="J380" t="s">
        <v>13</v>
      </c>
      <c r="K380" s="13">
        <f>ROUND(tblTransactions[[#This Row],[gross_sales_inr]]*(1-tblTransactions[[#This Row],[discount_pct]]),2)</f>
        <v>339.34</v>
      </c>
      <c r="L380" t="str">
        <f>IF(ABS(tblTransactions[[#This Row],[net_sales_inr]]-tblTransactions[[#This Row],[Recalc_Net_Sales]])&lt;0.02,"OK","CHECK")</f>
        <v>OK</v>
      </c>
      <c r="M380" s="14">
        <f>DATE(YEAR(tblTransactions[[#This Row],[date]]),MONTH(tblTransactions[[#This Row],[date]]),1)</f>
        <v>45689</v>
      </c>
      <c r="N380" t="str">
        <f>IF(WEEKDAY(tblTransactions[[#This Row],[date]],2)&gt;5,"Weekend","Weekday")</f>
        <v>Weekday</v>
      </c>
      <c r="O380" s="13" t="str">
        <f>IF(tblTransactions[[#This Row],[discount_pct]]=0,"0%",IF(tblTransactions[[#This Row],[discount_pct]]&lt;=10%,"1–
10%",IF(tblTransactions[[#This Row],[discount_pct]]&lt;=20%,"11–20%","&gt;20%")))</f>
        <v>0%</v>
      </c>
      <c r="P380" s="13" t="str">
        <f>_xlfn.XLOOKUP(tblTransactions[[#This Row],[tenant_id]],tblTenants[tenant_id],tblTenants[zone],"NOT FOUND")</f>
        <v>Beauty &amp; Wellness</v>
      </c>
      <c r="Q380" s="13" t="str">
        <f>_xlfn.XLOOKUP(tblTransactions[[#This Row],[tenant_id]],tblTenants[tenant_id],tblTenants[category],"NOT FOUND")</f>
        <v>Beauty</v>
      </c>
    </row>
    <row r="381" spans="1:17">
      <c r="A381" t="s">
        <v>425</v>
      </c>
      <c r="B381" s="2">
        <v>45690</v>
      </c>
      <c r="C381">
        <v>20</v>
      </c>
      <c r="D381" t="s">
        <v>15</v>
      </c>
      <c r="E381" t="s">
        <v>12</v>
      </c>
      <c r="F381" s="7">
        <v>3263.06</v>
      </c>
      <c r="G381" s="10">
        <v>0</v>
      </c>
      <c r="H381" s="7">
        <v>3263.06</v>
      </c>
      <c r="I381">
        <v>2</v>
      </c>
      <c r="J381" t="s">
        <v>13</v>
      </c>
      <c r="K381" s="13">
        <f>ROUND(tblTransactions[[#This Row],[gross_sales_inr]]*(1-tblTransactions[[#This Row],[discount_pct]]),2)</f>
        <v>3263.06</v>
      </c>
      <c r="L381" t="str">
        <f>IF(ABS(tblTransactions[[#This Row],[net_sales_inr]]-tblTransactions[[#This Row],[Recalc_Net_Sales]])&lt;0.02,"OK","CHECK")</f>
        <v>OK</v>
      </c>
      <c r="M381" s="14">
        <f>DATE(YEAR(tblTransactions[[#This Row],[date]]),MONTH(tblTransactions[[#This Row],[date]]),1)</f>
        <v>45689</v>
      </c>
      <c r="N381" t="str">
        <f>IF(WEEKDAY(tblTransactions[[#This Row],[date]],2)&gt;5,"Weekend","Weekday")</f>
        <v>Weekend</v>
      </c>
      <c r="O381" s="13" t="str">
        <f>IF(tblTransactions[[#This Row],[discount_pct]]=0,"0%",IF(tblTransactions[[#This Row],[discount_pct]]&lt;=10%,"1–
10%",IF(tblTransactions[[#This Row],[discount_pct]]&lt;=20%,"11–20%","&gt;20%")))</f>
        <v>0%</v>
      </c>
      <c r="P381" s="13" t="str">
        <f>_xlfn.XLOOKUP(tblTransactions[[#This Row],[tenant_id]],tblTenants[tenant_id],tblTenants[zone],"NOT FOUND")</f>
        <v>Fashion Avenue</v>
      </c>
      <c r="Q381" s="13" t="str">
        <f>_xlfn.XLOOKUP(tblTransactions[[#This Row],[tenant_id]],tblTenants[tenant_id],tblTenants[category],"NOT FOUND")</f>
        <v>Accessories</v>
      </c>
    </row>
    <row r="382" spans="1:17">
      <c r="A382" t="s">
        <v>426</v>
      </c>
      <c r="B382" s="2">
        <v>45757</v>
      </c>
      <c r="C382">
        <v>19</v>
      </c>
      <c r="D382" t="s">
        <v>72</v>
      </c>
      <c r="E382" t="s">
        <v>12</v>
      </c>
      <c r="F382" s="7">
        <v>950.19</v>
      </c>
      <c r="G382" s="10">
        <v>0.2</v>
      </c>
      <c r="H382" s="7">
        <v>760.15</v>
      </c>
      <c r="I382">
        <v>1</v>
      </c>
      <c r="J382" t="s">
        <v>13</v>
      </c>
      <c r="K382" s="13">
        <f>ROUND(tblTransactions[[#This Row],[gross_sales_inr]]*(1-tblTransactions[[#This Row],[discount_pct]]),2)</f>
        <v>760.15</v>
      </c>
      <c r="L382" t="str">
        <f>IF(ABS(tblTransactions[[#This Row],[net_sales_inr]]-tblTransactions[[#This Row],[Recalc_Net_Sales]])&lt;0.02,"OK","CHECK")</f>
        <v>OK</v>
      </c>
      <c r="M382" s="14">
        <f>DATE(YEAR(tblTransactions[[#This Row],[date]]),MONTH(tblTransactions[[#This Row],[date]]),1)</f>
        <v>45748</v>
      </c>
      <c r="N382" t="str">
        <f>IF(WEEKDAY(tblTransactions[[#This Row],[date]],2)&gt;5,"Weekend","Weekday")</f>
        <v>Weekday</v>
      </c>
      <c r="O38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82" s="13" t="str">
        <f>_xlfn.XLOOKUP(tblTransactions[[#This Row],[tenant_id]],tblTenants[tenant_id],tblTenants[zone],"NOT FOUND")</f>
        <v>Entertainment</v>
      </c>
      <c r="Q382" s="13" t="str">
        <f>_xlfn.XLOOKUP(tblTransactions[[#This Row],[tenant_id]],tblTenants[tenant_id],tblTenants[category],"NOT FOUND")</f>
        <v>Arcade</v>
      </c>
    </row>
    <row r="383" spans="1:17">
      <c r="A383" t="s">
        <v>427</v>
      </c>
      <c r="B383" s="2">
        <v>45687</v>
      </c>
      <c r="C383">
        <v>11</v>
      </c>
      <c r="D383" t="s">
        <v>43</v>
      </c>
      <c r="E383" t="s">
        <v>32</v>
      </c>
      <c r="F383" s="7">
        <v>967.41</v>
      </c>
      <c r="G383" s="10">
        <v>0.15</v>
      </c>
      <c r="H383" s="7">
        <v>822.3</v>
      </c>
      <c r="I383">
        <v>1</v>
      </c>
      <c r="J383" t="s">
        <v>16</v>
      </c>
      <c r="K383" s="13">
        <f>ROUND(tblTransactions[[#This Row],[gross_sales_inr]]*(1-tblTransactions[[#This Row],[discount_pct]]),2)</f>
        <v>822.3</v>
      </c>
      <c r="L383" t="str">
        <f>IF(ABS(tblTransactions[[#This Row],[net_sales_inr]]-tblTransactions[[#This Row],[Recalc_Net_Sales]])&lt;0.02,"OK","CHECK")</f>
        <v>OK</v>
      </c>
      <c r="M383" s="14">
        <f>DATE(YEAR(tblTransactions[[#This Row],[date]]),MONTH(tblTransactions[[#This Row],[date]]),1)</f>
        <v>45658</v>
      </c>
      <c r="N383" t="str">
        <f>IF(WEEKDAY(tblTransactions[[#This Row],[date]],2)&gt;5,"Weekend","Weekday")</f>
        <v>Weekday</v>
      </c>
      <c r="O38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83" s="13" t="str">
        <f>_xlfn.XLOOKUP(tblTransactions[[#This Row],[tenant_id]],tblTenants[tenant_id],tblTenants[zone],"NOT FOUND")</f>
        <v>Food Court</v>
      </c>
      <c r="Q383" s="13" t="str">
        <f>_xlfn.XLOOKUP(tblTransactions[[#This Row],[tenant_id]],tblTenants[tenant_id],tblTenants[category],"NOT FOUND")</f>
        <v>Casual Dining</v>
      </c>
    </row>
    <row r="384" spans="1:17">
      <c r="A384" t="s">
        <v>428</v>
      </c>
      <c r="B384" s="2">
        <v>45779</v>
      </c>
      <c r="C384">
        <v>16</v>
      </c>
      <c r="D384" t="s">
        <v>20</v>
      </c>
      <c r="E384" t="s">
        <v>12</v>
      </c>
      <c r="F384" s="7">
        <v>1405.96</v>
      </c>
      <c r="G384" s="10">
        <v>0</v>
      </c>
      <c r="H384" s="7">
        <v>1405.96</v>
      </c>
      <c r="I384">
        <v>3</v>
      </c>
      <c r="J384" t="s">
        <v>16</v>
      </c>
      <c r="K384" s="13">
        <f>ROUND(tblTransactions[[#This Row],[gross_sales_inr]]*(1-tblTransactions[[#This Row],[discount_pct]]),2)</f>
        <v>1405.96</v>
      </c>
      <c r="L384" t="str">
        <f>IF(ABS(tblTransactions[[#This Row],[net_sales_inr]]-tblTransactions[[#This Row],[Recalc_Net_Sales]])&lt;0.02,"OK","CHECK")</f>
        <v>OK</v>
      </c>
      <c r="M384" s="14">
        <f>DATE(YEAR(tblTransactions[[#This Row],[date]]),MONTH(tblTransactions[[#This Row],[date]]),1)</f>
        <v>45778</v>
      </c>
      <c r="N384" t="str">
        <f>IF(WEEKDAY(tblTransactions[[#This Row],[date]],2)&gt;5,"Weekend","Weekday")</f>
        <v>Weekday</v>
      </c>
      <c r="O384" s="13" t="str">
        <f>IF(tblTransactions[[#This Row],[discount_pct]]=0,"0%",IF(tblTransactions[[#This Row],[discount_pct]]&lt;=10%,"1–
10%",IF(tblTransactions[[#This Row],[discount_pct]]&lt;=20%,"11–20%","&gt;20%")))</f>
        <v>0%</v>
      </c>
      <c r="P384" s="13" t="str">
        <f>_xlfn.XLOOKUP(tblTransactions[[#This Row],[tenant_id]],tblTenants[tenant_id],tblTenants[zone],"NOT FOUND")</f>
        <v>Fashion Avenue</v>
      </c>
      <c r="Q384" s="13" t="str">
        <f>_xlfn.XLOOKUP(tblTransactions[[#This Row],[tenant_id]],tblTenants[tenant_id],tblTenants[category],"NOT FOUND")</f>
        <v>Accessories</v>
      </c>
    </row>
    <row r="385" spans="1:17">
      <c r="A385" t="s">
        <v>429</v>
      </c>
      <c r="B385" s="2">
        <v>45768</v>
      </c>
      <c r="C385">
        <v>12</v>
      </c>
      <c r="D385" t="s">
        <v>57</v>
      </c>
      <c r="E385" t="s">
        <v>12</v>
      </c>
      <c r="F385" s="7">
        <v>1018.11</v>
      </c>
      <c r="G385" s="10">
        <v>0</v>
      </c>
      <c r="H385" s="7">
        <v>1018.11</v>
      </c>
      <c r="I385">
        <v>1</v>
      </c>
      <c r="J385" t="s">
        <v>13</v>
      </c>
      <c r="K385" s="13">
        <f>ROUND(tblTransactions[[#This Row],[gross_sales_inr]]*(1-tblTransactions[[#This Row],[discount_pct]]),2)</f>
        <v>1018.11</v>
      </c>
      <c r="L385" t="str">
        <f>IF(ABS(tblTransactions[[#This Row],[net_sales_inr]]-tblTransactions[[#This Row],[Recalc_Net_Sales]])&lt;0.02,"OK","CHECK")</f>
        <v>OK</v>
      </c>
      <c r="M385" s="14">
        <f>DATE(YEAR(tblTransactions[[#This Row],[date]]),MONTH(tblTransactions[[#This Row],[date]]),1)</f>
        <v>45748</v>
      </c>
      <c r="N385" t="str">
        <f>IF(WEEKDAY(tblTransactions[[#This Row],[date]],2)&gt;5,"Weekend","Weekday")</f>
        <v>Weekday</v>
      </c>
      <c r="O385" s="13" t="str">
        <f>IF(tblTransactions[[#This Row],[discount_pct]]=0,"0%",IF(tblTransactions[[#This Row],[discount_pct]]&lt;=10%,"1–
10%",IF(tblTransactions[[#This Row],[discount_pct]]&lt;=20%,"11–20%","&gt;20%")))</f>
        <v>0%</v>
      </c>
      <c r="P385" s="13" t="str">
        <f>_xlfn.XLOOKUP(tblTransactions[[#This Row],[tenant_id]],tblTenants[tenant_id],tblTenants[zone],"NOT FOUND")</f>
        <v>Food Court</v>
      </c>
      <c r="Q385" s="13" t="str">
        <f>_xlfn.XLOOKUP(tblTransactions[[#This Row],[tenant_id]],tblTenants[tenant_id],tblTenants[category],"NOT FOUND")</f>
        <v>Casual Dining</v>
      </c>
    </row>
    <row r="386" spans="1:17">
      <c r="A386" t="s">
        <v>430</v>
      </c>
      <c r="B386" s="2">
        <v>45802</v>
      </c>
      <c r="C386">
        <v>10</v>
      </c>
      <c r="D386" t="s">
        <v>18</v>
      </c>
      <c r="E386" t="s">
        <v>21</v>
      </c>
      <c r="F386" s="7">
        <v>346.79</v>
      </c>
      <c r="G386" s="10">
        <v>0.1</v>
      </c>
      <c r="H386" s="7">
        <v>312.11</v>
      </c>
      <c r="I386">
        <v>1</v>
      </c>
      <c r="J386" t="s">
        <v>16</v>
      </c>
      <c r="K386" s="13">
        <f>ROUND(tblTransactions[[#This Row],[gross_sales_inr]]*(1-tblTransactions[[#This Row],[discount_pct]]),2)</f>
        <v>312.11</v>
      </c>
      <c r="L386" t="str">
        <f>IF(ABS(tblTransactions[[#This Row],[net_sales_inr]]-tblTransactions[[#This Row],[Recalc_Net_Sales]])&lt;0.02,"OK","CHECK")</f>
        <v>OK</v>
      </c>
      <c r="M386" s="14">
        <f>DATE(YEAR(tblTransactions[[#This Row],[date]]),MONTH(tblTransactions[[#This Row],[date]]),1)</f>
        <v>45778</v>
      </c>
      <c r="N386" t="str">
        <f>IF(WEEKDAY(tblTransactions[[#This Row],[date]],2)&gt;5,"Weekend","Weekday")</f>
        <v>Weekend</v>
      </c>
      <c r="O38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86" s="13" t="str">
        <f>_xlfn.XLOOKUP(tblTransactions[[#This Row],[tenant_id]],tblTenants[tenant_id],tblTenants[zone],"NOT FOUND")</f>
        <v>Beauty &amp; Wellness</v>
      </c>
      <c r="Q386" s="13" t="str">
        <f>_xlfn.XLOOKUP(tblTransactions[[#This Row],[tenant_id]],tblTenants[tenant_id],tblTenants[category],"NOT FOUND")</f>
        <v>Beauty</v>
      </c>
    </row>
    <row r="387" spans="1:17">
      <c r="A387" t="s">
        <v>431</v>
      </c>
      <c r="B387" s="2">
        <v>45760</v>
      </c>
      <c r="C387">
        <v>13</v>
      </c>
      <c r="D387" t="s">
        <v>59</v>
      </c>
      <c r="E387" t="s">
        <v>21</v>
      </c>
      <c r="F387" s="7">
        <v>1210.19</v>
      </c>
      <c r="G387" s="10">
        <v>0</v>
      </c>
      <c r="H387" s="7">
        <v>1210.19</v>
      </c>
      <c r="I387">
        <v>5</v>
      </c>
      <c r="J387" t="s">
        <v>16</v>
      </c>
      <c r="K387" s="13">
        <f>ROUND(tblTransactions[[#This Row],[gross_sales_inr]]*(1-tblTransactions[[#This Row],[discount_pct]]),2)</f>
        <v>1210.19</v>
      </c>
      <c r="L387" t="str">
        <f>IF(ABS(tblTransactions[[#This Row],[net_sales_inr]]-tblTransactions[[#This Row],[Recalc_Net_Sales]])&lt;0.02,"OK","CHECK")</f>
        <v>OK</v>
      </c>
      <c r="M387" s="14">
        <f>DATE(YEAR(tblTransactions[[#This Row],[date]]),MONTH(tblTransactions[[#This Row],[date]]),1)</f>
        <v>45748</v>
      </c>
      <c r="N387" t="str">
        <f>IF(WEEKDAY(tblTransactions[[#This Row],[date]],2)&gt;5,"Weekend","Weekday")</f>
        <v>Weekend</v>
      </c>
      <c r="O387" s="13" t="str">
        <f>IF(tblTransactions[[#This Row],[discount_pct]]=0,"0%",IF(tblTransactions[[#This Row],[discount_pct]]&lt;=10%,"1–
10%",IF(tblTransactions[[#This Row],[discount_pct]]&lt;=20%,"11–20%","&gt;20%")))</f>
        <v>0%</v>
      </c>
      <c r="P387" s="13" t="str">
        <f>_xlfn.XLOOKUP(tblTransactions[[#This Row],[tenant_id]],tblTenants[tenant_id],tblTenants[zone],"NOT FOUND")</f>
        <v>Fashion Avenue</v>
      </c>
      <c r="Q387" s="13" t="str">
        <f>_xlfn.XLOOKUP(tblTransactions[[#This Row],[tenant_id]],tblTenants[tenant_id],tblTenants[category],"NOT FOUND")</f>
        <v>Footwear</v>
      </c>
    </row>
    <row r="388" spans="1:17">
      <c r="A388" t="s">
        <v>432</v>
      </c>
      <c r="B388" s="2">
        <v>45820</v>
      </c>
      <c r="C388">
        <v>13</v>
      </c>
      <c r="D388" t="s">
        <v>34</v>
      </c>
      <c r="E388" t="s">
        <v>12</v>
      </c>
      <c r="F388" s="7">
        <v>895.41</v>
      </c>
      <c r="G388" s="10">
        <v>0.05</v>
      </c>
      <c r="H388" s="7">
        <v>850.64</v>
      </c>
      <c r="I388">
        <v>4</v>
      </c>
      <c r="J388" t="s">
        <v>13</v>
      </c>
      <c r="K388" s="13">
        <f>ROUND(tblTransactions[[#This Row],[gross_sales_inr]]*(1-tblTransactions[[#This Row],[discount_pct]]),2)</f>
        <v>850.64</v>
      </c>
      <c r="L388" t="str">
        <f>IF(ABS(tblTransactions[[#This Row],[net_sales_inr]]-tblTransactions[[#This Row],[Recalc_Net_Sales]])&lt;0.02,"OK","CHECK")</f>
        <v>OK</v>
      </c>
      <c r="M388" s="14">
        <f>DATE(YEAR(tblTransactions[[#This Row],[date]]),MONTH(tblTransactions[[#This Row],[date]]),1)</f>
        <v>45809</v>
      </c>
      <c r="N388" t="str">
        <f>IF(WEEKDAY(tblTransactions[[#This Row],[date]],2)&gt;5,"Weekend","Weekday")</f>
        <v>Weekday</v>
      </c>
      <c r="O38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88" s="13" t="str">
        <f>_xlfn.XLOOKUP(tblTransactions[[#This Row],[tenant_id]],tblTenants[tenant_id],tblTenants[zone],"NOT FOUND")</f>
        <v>Home &amp; Living</v>
      </c>
      <c r="Q388" s="13" t="str">
        <f>_xlfn.XLOOKUP(tblTransactions[[#This Row],[tenant_id]],tblTenants[tenant_id],tblTenants[category],"NOT FOUND")</f>
        <v>Electronics</v>
      </c>
    </row>
    <row r="389" spans="1:17">
      <c r="A389" t="s">
        <v>433</v>
      </c>
      <c r="B389" s="2">
        <v>45757</v>
      </c>
      <c r="C389">
        <v>18</v>
      </c>
      <c r="D389" t="s">
        <v>11</v>
      </c>
      <c r="E389" t="s">
        <v>12</v>
      </c>
      <c r="F389" s="7">
        <v>1322.68</v>
      </c>
      <c r="G389" s="10">
        <v>0.05</v>
      </c>
      <c r="H389" s="7">
        <v>1256.55</v>
      </c>
      <c r="I389">
        <v>1</v>
      </c>
      <c r="J389" t="s">
        <v>13</v>
      </c>
      <c r="K389" s="13">
        <f>ROUND(tblTransactions[[#This Row],[gross_sales_inr]]*(1-tblTransactions[[#This Row],[discount_pct]]),2)</f>
        <v>1256.55</v>
      </c>
      <c r="L389" t="str">
        <f>IF(ABS(tblTransactions[[#This Row],[net_sales_inr]]-tblTransactions[[#This Row],[Recalc_Net_Sales]])&lt;0.02,"OK","CHECK")</f>
        <v>OK</v>
      </c>
      <c r="M389" s="14">
        <f>DATE(YEAR(tblTransactions[[#This Row],[date]]),MONTH(tblTransactions[[#This Row],[date]]),1)</f>
        <v>45748</v>
      </c>
      <c r="N389" t="str">
        <f>IF(WEEKDAY(tblTransactions[[#This Row],[date]],2)&gt;5,"Weekend","Weekday")</f>
        <v>Weekday</v>
      </c>
      <c r="O38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89" s="13" t="str">
        <f>_xlfn.XLOOKUP(tblTransactions[[#This Row],[tenant_id]],tblTenants[tenant_id],tblTenants[zone],"NOT FOUND")</f>
        <v>Home &amp; Living</v>
      </c>
      <c r="Q389" s="13" t="str">
        <f>_xlfn.XLOOKUP(tblTransactions[[#This Row],[tenant_id]],tblTenants[tenant_id],tblTenants[category],"NOT FOUND")</f>
        <v>Home Decor</v>
      </c>
    </row>
    <row r="390" spans="1:17">
      <c r="A390" t="s">
        <v>434</v>
      </c>
      <c r="B390" s="2">
        <v>45713</v>
      </c>
      <c r="C390">
        <v>18</v>
      </c>
      <c r="D390" t="s">
        <v>61</v>
      </c>
      <c r="E390" t="s">
        <v>12</v>
      </c>
      <c r="F390" s="7">
        <v>579.42999999999995</v>
      </c>
      <c r="G390" s="10">
        <v>0</v>
      </c>
      <c r="H390" s="7">
        <v>579.42999999999995</v>
      </c>
      <c r="I390">
        <v>6</v>
      </c>
      <c r="J390" t="s">
        <v>16</v>
      </c>
      <c r="K390" s="13">
        <f>ROUND(tblTransactions[[#This Row],[gross_sales_inr]]*(1-tblTransactions[[#This Row],[discount_pct]]),2)</f>
        <v>579.42999999999995</v>
      </c>
      <c r="L390" t="str">
        <f>IF(ABS(tblTransactions[[#This Row],[net_sales_inr]]-tblTransactions[[#This Row],[Recalc_Net_Sales]])&lt;0.02,"OK","CHECK")</f>
        <v>OK</v>
      </c>
      <c r="M390" s="14">
        <f>DATE(YEAR(tblTransactions[[#This Row],[date]]),MONTH(tblTransactions[[#This Row],[date]]),1)</f>
        <v>45689</v>
      </c>
      <c r="N390" t="str">
        <f>IF(WEEKDAY(tblTransactions[[#This Row],[date]],2)&gt;5,"Weekend","Weekday")</f>
        <v>Weekday</v>
      </c>
      <c r="O390" s="13" t="str">
        <f>IF(tblTransactions[[#This Row],[discount_pct]]=0,"0%",IF(tblTransactions[[#This Row],[discount_pct]]&lt;=10%,"1–
10%",IF(tblTransactions[[#This Row],[discount_pct]]&lt;=20%,"11–20%","&gt;20%")))</f>
        <v>0%</v>
      </c>
      <c r="P390" s="13" t="str">
        <f>_xlfn.XLOOKUP(tblTransactions[[#This Row],[tenant_id]],tblTenants[tenant_id],tblTenants[zone],"NOT FOUND")</f>
        <v>Food Court</v>
      </c>
      <c r="Q390" s="13" t="str">
        <f>_xlfn.XLOOKUP(tblTransactions[[#This Row],[tenant_id]],tblTenants[tenant_id],tblTenants[category],"NOT FOUND")</f>
        <v>Quick Service</v>
      </c>
    </row>
    <row r="391" spans="1:17">
      <c r="A391" t="s">
        <v>435</v>
      </c>
      <c r="B391" s="2">
        <v>45732</v>
      </c>
      <c r="C391">
        <v>11</v>
      </c>
      <c r="D391" t="s">
        <v>87</v>
      </c>
      <c r="E391" t="s">
        <v>51</v>
      </c>
      <c r="F391" s="7">
        <v>862.38</v>
      </c>
      <c r="G391" s="10">
        <v>0.1</v>
      </c>
      <c r="H391" s="7">
        <v>776.14</v>
      </c>
      <c r="I391">
        <v>1</v>
      </c>
      <c r="J391" t="s">
        <v>13</v>
      </c>
      <c r="K391" s="13">
        <f>ROUND(tblTransactions[[#This Row],[gross_sales_inr]]*(1-tblTransactions[[#This Row],[discount_pct]]),2)</f>
        <v>776.14</v>
      </c>
      <c r="L391" t="str">
        <f>IF(ABS(tblTransactions[[#This Row],[net_sales_inr]]-tblTransactions[[#This Row],[Recalc_Net_Sales]])&lt;0.02,"OK","CHECK")</f>
        <v>OK</v>
      </c>
      <c r="M391" s="14">
        <f>DATE(YEAR(tblTransactions[[#This Row],[date]]),MONTH(tblTransactions[[#This Row],[date]]),1)</f>
        <v>45717</v>
      </c>
      <c r="N391" t="str">
        <f>IF(WEEKDAY(tblTransactions[[#This Row],[date]],2)&gt;5,"Weekend","Weekday")</f>
        <v>Weekend</v>
      </c>
      <c r="O39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91" s="13" t="str">
        <f>_xlfn.XLOOKUP(tblTransactions[[#This Row],[tenant_id]],tblTenants[tenant_id],tblTenants[zone],"NOT FOUND")</f>
        <v>Fashion Avenue</v>
      </c>
      <c r="Q391" s="13" t="str">
        <f>_xlfn.XLOOKUP(tblTransactions[[#This Row],[tenant_id]],tblTenants[tenant_id],tblTenants[category],"NOT FOUND")</f>
        <v>Footwear</v>
      </c>
    </row>
    <row r="392" spans="1:17">
      <c r="A392" t="s">
        <v>436</v>
      </c>
      <c r="B392" s="2">
        <v>45824</v>
      </c>
      <c r="C392">
        <v>22</v>
      </c>
      <c r="D392" t="s">
        <v>36</v>
      </c>
      <c r="E392" t="s">
        <v>32</v>
      </c>
      <c r="F392" s="7">
        <v>863.33</v>
      </c>
      <c r="G392" s="10">
        <v>0</v>
      </c>
      <c r="H392" s="7">
        <v>863.33</v>
      </c>
      <c r="I392">
        <v>2</v>
      </c>
      <c r="J392" t="s">
        <v>16</v>
      </c>
      <c r="K392" s="13">
        <f>ROUND(tblTransactions[[#This Row],[gross_sales_inr]]*(1-tblTransactions[[#This Row],[discount_pct]]),2)</f>
        <v>863.33</v>
      </c>
      <c r="L392" t="str">
        <f>IF(ABS(tblTransactions[[#This Row],[net_sales_inr]]-tblTransactions[[#This Row],[Recalc_Net_Sales]])&lt;0.02,"OK","CHECK")</f>
        <v>OK</v>
      </c>
      <c r="M392" s="14">
        <f>DATE(YEAR(tblTransactions[[#This Row],[date]]),MONTH(tblTransactions[[#This Row],[date]]),1)</f>
        <v>45809</v>
      </c>
      <c r="N392" t="str">
        <f>IF(WEEKDAY(tblTransactions[[#This Row],[date]],2)&gt;5,"Weekend","Weekday")</f>
        <v>Weekday</v>
      </c>
      <c r="O392" s="13" t="str">
        <f>IF(tblTransactions[[#This Row],[discount_pct]]=0,"0%",IF(tblTransactions[[#This Row],[discount_pct]]&lt;=10%,"1–
10%",IF(tblTransactions[[#This Row],[discount_pct]]&lt;=20%,"11–20%","&gt;20%")))</f>
        <v>0%</v>
      </c>
      <c r="P392" s="13" t="str">
        <f>_xlfn.XLOOKUP(tblTransactions[[#This Row],[tenant_id]],tblTenants[tenant_id],tblTenants[zone],"NOT FOUND")</f>
        <v>Home &amp; Living</v>
      </c>
      <c r="Q392" s="13" t="str">
        <f>_xlfn.XLOOKUP(tblTransactions[[#This Row],[tenant_id]],tblTenants[tenant_id],tblTenants[category],"NOT FOUND")</f>
        <v>Electronics</v>
      </c>
    </row>
    <row r="393" spans="1:17">
      <c r="A393" t="s">
        <v>437</v>
      </c>
      <c r="B393" s="2">
        <v>45747</v>
      </c>
      <c r="C393">
        <v>20</v>
      </c>
      <c r="D393" t="s">
        <v>25</v>
      </c>
      <c r="E393" t="s">
        <v>32</v>
      </c>
      <c r="F393" s="7">
        <v>225.48</v>
      </c>
      <c r="G393" s="10">
        <v>0.05</v>
      </c>
      <c r="H393" s="7">
        <v>214.21</v>
      </c>
      <c r="I393">
        <v>4</v>
      </c>
      <c r="J393" t="s">
        <v>16</v>
      </c>
      <c r="K393" s="13">
        <f>ROUND(tblTransactions[[#This Row],[gross_sales_inr]]*(1-tblTransactions[[#This Row],[discount_pct]]),2)</f>
        <v>214.21</v>
      </c>
      <c r="L393" t="str">
        <f>IF(ABS(tblTransactions[[#This Row],[net_sales_inr]]-tblTransactions[[#This Row],[Recalc_Net_Sales]])&lt;0.02,"OK","CHECK")</f>
        <v>OK</v>
      </c>
      <c r="M393" s="14">
        <f>DATE(YEAR(tblTransactions[[#This Row],[date]]),MONTH(tblTransactions[[#This Row],[date]]),1)</f>
        <v>45717</v>
      </c>
      <c r="N393" t="str">
        <f>IF(WEEKDAY(tblTransactions[[#This Row],[date]],2)&gt;5,"Weekend","Weekday")</f>
        <v>Weekday</v>
      </c>
      <c r="O39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93" s="13" t="str">
        <f>_xlfn.XLOOKUP(tblTransactions[[#This Row],[tenant_id]],tblTenants[tenant_id],tblTenants[zone],"NOT FOUND")</f>
        <v>Beauty &amp; Wellness</v>
      </c>
      <c r="Q393" s="13" t="str">
        <f>_xlfn.XLOOKUP(tblTransactions[[#This Row],[tenant_id]],tblTenants[tenant_id],tblTenants[category],"NOT FOUND")</f>
        <v>Beauty</v>
      </c>
    </row>
    <row r="394" spans="1:17">
      <c r="A394" t="s">
        <v>438</v>
      </c>
      <c r="B394" s="2">
        <v>45729</v>
      </c>
      <c r="C394">
        <v>12</v>
      </c>
      <c r="D394" t="s">
        <v>87</v>
      </c>
      <c r="E394" t="s">
        <v>12</v>
      </c>
      <c r="F394" s="7">
        <v>1156.5</v>
      </c>
      <c r="G394" s="10">
        <v>0.15</v>
      </c>
      <c r="H394" s="7">
        <v>983.02</v>
      </c>
      <c r="I394">
        <v>2</v>
      </c>
      <c r="J394" t="s">
        <v>13</v>
      </c>
      <c r="K394" s="13">
        <f>ROUND(tblTransactions[[#This Row],[gross_sales_inr]]*(1-tblTransactions[[#This Row],[discount_pct]]),2)</f>
        <v>983.03</v>
      </c>
      <c r="L394" t="str">
        <f>IF(ABS(tblTransactions[[#This Row],[net_sales_inr]]-tblTransactions[[#This Row],[Recalc_Net_Sales]])&lt;0.02,"OK","CHECK")</f>
        <v>OK</v>
      </c>
      <c r="M394" s="14">
        <f>DATE(YEAR(tblTransactions[[#This Row],[date]]),MONTH(tblTransactions[[#This Row],[date]]),1)</f>
        <v>45717</v>
      </c>
      <c r="N394" t="str">
        <f>IF(WEEKDAY(tblTransactions[[#This Row],[date]],2)&gt;5,"Weekend","Weekday")</f>
        <v>Weekday</v>
      </c>
      <c r="O39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94" s="13" t="str">
        <f>_xlfn.XLOOKUP(tblTransactions[[#This Row],[tenant_id]],tblTenants[tenant_id],tblTenants[zone],"NOT FOUND")</f>
        <v>Fashion Avenue</v>
      </c>
      <c r="Q394" s="13" t="str">
        <f>_xlfn.XLOOKUP(tblTransactions[[#This Row],[tenant_id]],tblTenants[tenant_id],tblTenants[category],"NOT FOUND")</f>
        <v>Footwear</v>
      </c>
    </row>
    <row r="395" spans="1:17">
      <c r="A395" t="s">
        <v>439</v>
      </c>
      <c r="B395" s="2">
        <v>45678</v>
      </c>
      <c r="C395">
        <v>21</v>
      </c>
      <c r="D395" t="s">
        <v>70</v>
      </c>
      <c r="E395" t="s">
        <v>12</v>
      </c>
      <c r="F395" s="7">
        <v>327.39</v>
      </c>
      <c r="G395" s="10">
        <v>0</v>
      </c>
      <c r="H395" s="7">
        <v>327.39</v>
      </c>
      <c r="I395">
        <v>2</v>
      </c>
      <c r="J395" t="s">
        <v>13</v>
      </c>
      <c r="K395" s="13">
        <f>ROUND(tblTransactions[[#This Row],[gross_sales_inr]]*(1-tblTransactions[[#This Row],[discount_pct]]),2)</f>
        <v>327.39</v>
      </c>
      <c r="L395" t="str">
        <f>IF(ABS(tblTransactions[[#This Row],[net_sales_inr]]-tblTransactions[[#This Row],[Recalc_Net_Sales]])&lt;0.02,"OK","CHECK")</f>
        <v>OK</v>
      </c>
      <c r="M395" s="14">
        <f>DATE(YEAR(tblTransactions[[#This Row],[date]]),MONTH(tblTransactions[[#This Row],[date]]),1)</f>
        <v>45658</v>
      </c>
      <c r="N395" t="str">
        <f>IF(WEEKDAY(tblTransactions[[#This Row],[date]],2)&gt;5,"Weekend","Weekday")</f>
        <v>Weekday</v>
      </c>
      <c r="O395" s="13" t="str">
        <f>IF(tblTransactions[[#This Row],[discount_pct]]=0,"0%",IF(tblTransactions[[#This Row],[discount_pct]]&lt;=10%,"1–
10%",IF(tblTransactions[[#This Row],[discount_pct]]&lt;=20%,"11–20%","&gt;20%")))</f>
        <v>0%</v>
      </c>
      <c r="P395" s="13" t="str">
        <f>_xlfn.XLOOKUP(tblTransactions[[#This Row],[tenant_id]],tblTenants[tenant_id],tblTenants[zone],"NOT FOUND")</f>
        <v>Food Court</v>
      </c>
      <c r="Q395" s="13" t="str">
        <f>_xlfn.XLOOKUP(tblTransactions[[#This Row],[tenant_id]],tblTenants[tenant_id],tblTenants[category],"NOT FOUND")</f>
        <v>Quick Service</v>
      </c>
    </row>
    <row r="396" spans="1:17">
      <c r="A396" t="s">
        <v>440</v>
      </c>
      <c r="B396" s="2">
        <v>45662</v>
      </c>
      <c r="C396">
        <v>15</v>
      </c>
      <c r="D396" t="s">
        <v>122</v>
      </c>
      <c r="E396" t="s">
        <v>12</v>
      </c>
      <c r="F396" s="7">
        <v>515.30999999999995</v>
      </c>
      <c r="G396" s="10">
        <v>0.15</v>
      </c>
      <c r="H396" s="7">
        <v>438.01</v>
      </c>
      <c r="I396">
        <v>3</v>
      </c>
      <c r="J396" t="s">
        <v>13</v>
      </c>
      <c r="K396" s="13">
        <f>ROUND(tblTransactions[[#This Row],[gross_sales_inr]]*(1-tblTransactions[[#This Row],[discount_pct]]),2)</f>
        <v>438.01</v>
      </c>
      <c r="L396" t="str">
        <f>IF(ABS(tblTransactions[[#This Row],[net_sales_inr]]-tblTransactions[[#This Row],[Recalc_Net_Sales]])&lt;0.02,"OK","CHECK")</f>
        <v>OK</v>
      </c>
      <c r="M396" s="14">
        <f>DATE(YEAR(tblTransactions[[#This Row],[date]]),MONTH(tblTransactions[[#This Row],[date]]),1)</f>
        <v>45658</v>
      </c>
      <c r="N396" t="str">
        <f>IF(WEEKDAY(tblTransactions[[#This Row],[date]],2)&gt;5,"Weekend","Weekday")</f>
        <v>Weekend</v>
      </c>
      <c r="O39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96" s="13" t="str">
        <f>_xlfn.XLOOKUP(tblTransactions[[#This Row],[tenant_id]],tblTenants[tenant_id],tblTenants[zone],"NOT FOUND")</f>
        <v>Beauty &amp; Wellness</v>
      </c>
      <c r="Q396" s="13" t="str">
        <f>_xlfn.XLOOKUP(tblTransactions[[#This Row],[tenant_id]],tblTenants[tenant_id],tblTenants[category],"NOT FOUND")</f>
        <v>Wellness</v>
      </c>
    </row>
    <row r="397" spans="1:17">
      <c r="A397" t="s">
        <v>441</v>
      </c>
      <c r="B397" s="2">
        <v>45661</v>
      </c>
      <c r="C397">
        <v>11</v>
      </c>
      <c r="D397" t="s">
        <v>41</v>
      </c>
      <c r="E397" t="s">
        <v>12</v>
      </c>
      <c r="F397" s="7">
        <v>810.27</v>
      </c>
      <c r="G397" s="10">
        <v>0</v>
      </c>
      <c r="H397" s="7">
        <v>810.27</v>
      </c>
      <c r="I397">
        <v>3</v>
      </c>
      <c r="J397" t="s">
        <v>16</v>
      </c>
      <c r="K397" s="13">
        <f>ROUND(tblTransactions[[#This Row],[gross_sales_inr]]*(1-tblTransactions[[#This Row],[discount_pct]]),2)</f>
        <v>810.27</v>
      </c>
      <c r="L397" t="str">
        <f>IF(ABS(tblTransactions[[#This Row],[net_sales_inr]]-tblTransactions[[#This Row],[Recalc_Net_Sales]])&lt;0.02,"OK","CHECK")</f>
        <v>OK</v>
      </c>
      <c r="M397" s="14">
        <f>DATE(YEAR(tblTransactions[[#This Row],[date]]),MONTH(tblTransactions[[#This Row],[date]]),1)</f>
        <v>45658</v>
      </c>
      <c r="N397" t="str">
        <f>IF(WEEKDAY(tblTransactions[[#This Row],[date]],2)&gt;5,"Weekend","Weekday")</f>
        <v>Weekend</v>
      </c>
      <c r="O397" s="13" t="str">
        <f>IF(tblTransactions[[#This Row],[discount_pct]]=0,"0%",IF(tblTransactions[[#This Row],[discount_pct]]&lt;=10%,"1–
10%",IF(tblTransactions[[#This Row],[discount_pct]]&lt;=20%,"11–20%","&gt;20%")))</f>
        <v>0%</v>
      </c>
      <c r="P397" s="13" t="str">
        <f>_xlfn.XLOOKUP(tblTransactions[[#This Row],[tenant_id]],tblTenants[tenant_id],tblTenants[zone],"NOT FOUND")</f>
        <v>Fashion Avenue</v>
      </c>
      <c r="Q397" s="13" t="str">
        <f>_xlfn.XLOOKUP(tblTransactions[[#This Row],[tenant_id]],tblTenants[tenant_id],tblTenants[category],"NOT FOUND")</f>
        <v>Clothing</v>
      </c>
    </row>
    <row r="398" spans="1:17">
      <c r="A398" t="s">
        <v>442</v>
      </c>
      <c r="B398" s="2">
        <v>45793</v>
      </c>
      <c r="C398">
        <v>22</v>
      </c>
      <c r="D398" t="s">
        <v>29</v>
      </c>
      <c r="E398" t="s">
        <v>12</v>
      </c>
      <c r="F398" s="7">
        <v>1106.6600000000001</v>
      </c>
      <c r="G398" s="10">
        <v>0.2</v>
      </c>
      <c r="H398" s="7">
        <v>885.33</v>
      </c>
      <c r="I398">
        <v>1</v>
      </c>
      <c r="J398" t="s">
        <v>13</v>
      </c>
      <c r="K398" s="13">
        <f>ROUND(tblTransactions[[#This Row],[gross_sales_inr]]*(1-tblTransactions[[#This Row],[discount_pct]]),2)</f>
        <v>885.33</v>
      </c>
      <c r="L398" t="str">
        <f>IF(ABS(tblTransactions[[#This Row],[net_sales_inr]]-tblTransactions[[#This Row],[Recalc_Net_Sales]])&lt;0.02,"OK","CHECK")</f>
        <v>OK</v>
      </c>
      <c r="M398" s="14">
        <f>DATE(YEAR(tblTransactions[[#This Row],[date]]),MONTH(tblTransactions[[#This Row],[date]]),1)</f>
        <v>45778</v>
      </c>
      <c r="N398" t="str">
        <f>IF(WEEKDAY(tblTransactions[[#This Row],[date]],2)&gt;5,"Weekend","Weekday")</f>
        <v>Weekday</v>
      </c>
      <c r="O39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98" s="13" t="str">
        <f>_xlfn.XLOOKUP(tblTransactions[[#This Row],[tenant_id]],tblTenants[tenant_id],tblTenants[zone],"NOT FOUND")</f>
        <v>Entertainment</v>
      </c>
      <c r="Q398" s="13" t="str">
        <f>_xlfn.XLOOKUP(tblTransactions[[#This Row],[tenant_id]],tblTenants[tenant_id],tblTenants[category],"NOT FOUND")</f>
        <v>Cinema</v>
      </c>
    </row>
    <row r="399" spans="1:17">
      <c r="A399" t="s">
        <v>443</v>
      </c>
      <c r="B399" s="2">
        <v>45679</v>
      </c>
      <c r="C399">
        <v>13</v>
      </c>
      <c r="D399" t="s">
        <v>87</v>
      </c>
      <c r="E399" t="s">
        <v>12</v>
      </c>
      <c r="F399" s="7">
        <v>847.97</v>
      </c>
      <c r="G399" s="10">
        <v>0</v>
      </c>
      <c r="H399" s="7">
        <v>847.97</v>
      </c>
      <c r="I399">
        <v>2</v>
      </c>
      <c r="J399" t="s">
        <v>13</v>
      </c>
      <c r="K399" s="13">
        <f>ROUND(tblTransactions[[#This Row],[gross_sales_inr]]*(1-tblTransactions[[#This Row],[discount_pct]]),2)</f>
        <v>847.97</v>
      </c>
      <c r="L399" t="str">
        <f>IF(ABS(tblTransactions[[#This Row],[net_sales_inr]]-tblTransactions[[#This Row],[Recalc_Net_Sales]])&lt;0.02,"OK","CHECK")</f>
        <v>OK</v>
      </c>
      <c r="M399" s="14">
        <f>DATE(YEAR(tblTransactions[[#This Row],[date]]),MONTH(tblTransactions[[#This Row],[date]]),1)</f>
        <v>45658</v>
      </c>
      <c r="N399" t="str">
        <f>IF(WEEKDAY(tblTransactions[[#This Row],[date]],2)&gt;5,"Weekend","Weekday")</f>
        <v>Weekday</v>
      </c>
      <c r="O399" s="13" t="str">
        <f>IF(tblTransactions[[#This Row],[discount_pct]]=0,"0%",IF(tblTransactions[[#This Row],[discount_pct]]&lt;=10%,"1–
10%",IF(tblTransactions[[#This Row],[discount_pct]]&lt;=20%,"11–20%","&gt;20%")))</f>
        <v>0%</v>
      </c>
      <c r="P399" s="13" t="str">
        <f>_xlfn.XLOOKUP(tblTransactions[[#This Row],[tenant_id]],tblTenants[tenant_id],tblTenants[zone],"NOT FOUND")</f>
        <v>Fashion Avenue</v>
      </c>
      <c r="Q399" s="13" t="str">
        <f>_xlfn.XLOOKUP(tblTransactions[[#This Row],[tenant_id]],tblTenants[tenant_id],tblTenants[category],"NOT FOUND")</f>
        <v>Footwear</v>
      </c>
    </row>
    <row r="400" spans="1:17">
      <c r="A400" t="s">
        <v>444</v>
      </c>
      <c r="B400" s="2">
        <v>45824</v>
      </c>
      <c r="C400">
        <v>10</v>
      </c>
      <c r="D400" t="s">
        <v>87</v>
      </c>
      <c r="E400" t="s">
        <v>32</v>
      </c>
      <c r="F400" s="7">
        <v>2001.44</v>
      </c>
      <c r="G400" s="10">
        <v>0.1</v>
      </c>
      <c r="H400" s="7">
        <v>1801.3</v>
      </c>
      <c r="I400">
        <v>1</v>
      </c>
      <c r="J400" t="s">
        <v>13</v>
      </c>
      <c r="K400" s="13">
        <f>ROUND(tblTransactions[[#This Row],[gross_sales_inr]]*(1-tblTransactions[[#This Row],[discount_pct]]),2)</f>
        <v>1801.3</v>
      </c>
      <c r="L400" t="str">
        <f>IF(ABS(tblTransactions[[#This Row],[net_sales_inr]]-tblTransactions[[#This Row],[Recalc_Net_Sales]])&lt;0.02,"OK","CHECK")</f>
        <v>OK</v>
      </c>
      <c r="M400" s="14">
        <f>DATE(YEAR(tblTransactions[[#This Row],[date]]),MONTH(tblTransactions[[#This Row],[date]]),1)</f>
        <v>45809</v>
      </c>
      <c r="N400" t="str">
        <f>IF(WEEKDAY(tblTransactions[[#This Row],[date]],2)&gt;5,"Weekend","Weekday")</f>
        <v>Weekday</v>
      </c>
      <c r="O40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00" s="13" t="str">
        <f>_xlfn.XLOOKUP(tblTransactions[[#This Row],[tenant_id]],tblTenants[tenant_id],tblTenants[zone],"NOT FOUND")</f>
        <v>Fashion Avenue</v>
      </c>
      <c r="Q400" s="13" t="str">
        <f>_xlfn.XLOOKUP(tblTransactions[[#This Row],[tenant_id]],tblTenants[tenant_id],tblTenants[category],"NOT FOUND")</f>
        <v>Footwear</v>
      </c>
    </row>
    <row r="401" spans="1:17">
      <c r="A401" t="s">
        <v>445</v>
      </c>
      <c r="B401" s="2">
        <v>45788</v>
      </c>
      <c r="C401">
        <v>20</v>
      </c>
      <c r="D401" t="s">
        <v>15</v>
      </c>
      <c r="E401" t="s">
        <v>32</v>
      </c>
      <c r="F401" s="7">
        <v>444.15</v>
      </c>
      <c r="G401" s="10">
        <v>0.1</v>
      </c>
      <c r="H401" s="7">
        <v>399.74</v>
      </c>
      <c r="I401">
        <v>2</v>
      </c>
      <c r="J401" t="s">
        <v>16</v>
      </c>
      <c r="K401" s="13">
        <f>ROUND(tblTransactions[[#This Row],[gross_sales_inr]]*(1-tblTransactions[[#This Row],[discount_pct]]),2)</f>
        <v>399.74</v>
      </c>
      <c r="L401" t="str">
        <f>IF(ABS(tblTransactions[[#This Row],[net_sales_inr]]-tblTransactions[[#This Row],[Recalc_Net_Sales]])&lt;0.02,"OK","CHECK")</f>
        <v>OK</v>
      </c>
      <c r="M401" s="14">
        <f>DATE(YEAR(tblTransactions[[#This Row],[date]]),MONTH(tblTransactions[[#This Row],[date]]),1)</f>
        <v>45778</v>
      </c>
      <c r="N401" t="str">
        <f>IF(WEEKDAY(tblTransactions[[#This Row],[date]],2)&gt;5,"Weekend","Weekday")</f>
        <v>Weekend</v>
      </c>
      <c r="O40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01" s="13" t="str">
        <f>_xlfn.XLOOKUP(tblTransactions[[#This Row],[tenant_id]],tblTenants[tenant_id],tblTenants[zone],"NOT FOUND")</f>
        <v>Fashion Avenue</v>
      </c>
      <c r="Q401" s="13" t="str">
        <f>_xlfn.XLOOKUP(tblTransactions[[#This Row],[tenant_id]],tblTenants[tenant_id],tblTenants[category],"NOT FOUND")</f>
        <v>Accessories</v>
      </c>
    </row>
    <row r="402" spans="1:17">
      <c r="A402" t="s">
        <v>446</v>
      </c>
      <c r="B402" s="2">
        <v>45661</v>
      </c>
      <c r="C402">
        <v>21</v>
      </c>
      <c r="D402" t="s">
        <v>25</v>
      </c>
      <c r="E402" t="s">
        <v>12</v>
      </c>
      <c r="F402" s="7">
        <v>1402.03</v>
      </c>
      <c r="G402" s="10">
        <v>0</v>
      </c>
      <c r="H402" s="7">
        <v>1402.03</v>
      </c>
      <c r="I402">
        <v>6</v>
      </c>
      <c r="J402" t="s">
        <v>13</v>
      </c>
      <c r="K402" s="13">
        <f>ROUND(tblTransactions[[#This Row],[gross_sales_inr]]*(1-tblTransactions[[#This Row],[discount_pct]]),2)</f>
        <v>1402.03</v>
      </c>
      <c r="L402" t="str">
        <f>IF(ABS(tblTransactions[[#This Row],[net_sales_inr]]-tblTransactions[[#This Row],[Recalc_Net_Sales]])&lt;0.02,"OK","CHECK")</f>
        <v>OK</v>
      </c>
      <c r="M402" s="14">
        <f>DATE(YEAR(tblTransactions[[#This Row],[date]]),MONTH(tblTransactions[[#This Row],[date]]),1)</f>
        <v>45658</v>
      </c>
      <c r="N402" t="str">
        <f>IF(WEEKDAY(tblTransactions[[#This Row],[date]],2)&gt;5,"Weekend","Weekday")</f>
        <v>Weekend</v>
      </c>
      <c r="O402" s="13" t="str">
        <f>IF(tblTransactions[[#This Row],[discount_pct]]=0,"0%",IF(tblTransactions[[#This Row],[discount_pct]]&lt;=10%,"1–
10%",IF(tblTransactions[[#This Row],[discount_pct]]&lt;=20%,"11–20%","&gt;20%")))</f>
        <v>0%</v>
      </c>
      <c r="P402" s="13" t="str">
        <f>_xlfn.XLOOKUP(tblTransactions[[#This Row],[tenant_id]],tblTenants[tenant_id],tblTenants[zone],"NOT FOUND")</f>
        <v>Beauty &amp; Wellness</v>
      </c>
      <c r="Q402" s="13" t="str">
        <f>_xlfn.XLOOKUP(tblTransactions[[#This Row],[tenant_id]],tblTenants[tenant_id],tblTenants[category],"NOT FOUND")</f>
        <v>Beauty</v>
      </c>
    </row>
    <row r="403" spans="1:17">
      <c r="A403" t="s">
        <v>447</v>
      </c>
      <c r="B403" s="2">
        <v>45666</v>
      </c>
      <c r="C403">
        <v>14</v>
      </c>
      <c r="D403" t="s">
        <v>48</v>
      </c>
      <c r="E403" t="s">
        <v>12</v>
      </c>
      <c r="F403" s="7">
        <v>1172.0899999999999</v>
      </c>
      <c r="G403" s="10">
        <v>0.3</v>
      </c>
      <c r="H403" s="7">
        <v>820.46</v>
      </c>
      <c r="I403">
        <v>3</v>
      </c>
      <c r="J403" t="s">
        <v>16</v>
      </c>
      <c r="K403" s="13">
        <f>ROUND(tblTransactions[[#This Row],[gross_sales_inr]]*(1-tblTransactions[[#This Row],[discount_pct]]),2)</f>
        <v>820.46</v>
      </c>
      <c r="L403" t="str">
        <f>IF(ABS(tblTransactions[[#This Row],[net_sales_inr]]-tblTransactions[[#This Row],[Recalc_Net_Sales]])&lt;0.02,"OK","CHECK")</f>
        <v>OK</v>
      </c>
      <c r="M403" s="14">
        <f>DATE(YEAR(tblTransactions[[#This Row],[date]]),MONTH(tblTransactions[[#This Row],[date]]),1)</f>
        <v>45658</v>
      </c>
      <c r="N403" t="str">
        <f>IF(WEEKDAY(tblTransactions[[#This Row],[date]],2)&gt;5,"Weekend","Weekday")</f>
        <v>Weekday</v>
      </c>
      <c r="O403" s="13" t="str">
        <f>IF(tblTransactions[[#This Row],[discount_pct]]=0,"0%",IF(tblTransactions[[#This Row],[discount_pct]]&lt;=10%,"1–
10%",IF(tblTransactions[[#This Row],[discount_pct]]&lt;=20%,"11–20%","&gt;20%")))</f>
        <v>&gt;20%</v>
      </c>
      <c r="P403" s="13" t="str">
        <f>_xlfn.XLOOKUP(tblTransactions[[#This Row],[tenant_id]],tblTenants[tenant_id],tblTenants[zone],"NOT FOUND")</f>
        <v>Beauty &amp; Wellness</v>
      </c>
      <c r="Q403" s="13" t="str">
        <f>_xlfn.XLOOKUP(tblTransactions[[#This Row],[tenant_id]],tblTenants[tenant_id],tblTenants[category],"NOT FOUND")</f>
        <v>Wellness</v>
      </c>
    </row>
    <row r="404" spans="1:17">
      <c r="A404" t="s">
        <v>448</v>
      </c>
      <c r="B404" s="2">
        <v>45697</v>
      </c>
      <c r="C404">
        <v>16</v>
      </c>
      <c r="D404" t="s">
        <v>23</v>
      </c>
      <c r="E404" t="s">
        <v>12</v>
      </c>
      <c r="F404" s="7">
        <v>1444.85</v>
      </c>
      <c r="G404" s="10">
        <v>0</v>
      </c>
      <c r="H404" s="7">
        <v>1444.85</v>
      </c>
      <c r="I404">
        <v>3</v>
      </c>
      <c r="J404" t="s">
        <v>13</v>
      </c>
      <c r="K404" s="13">
        <f>ROUND(tblTransactions[[#This Row],[gross_sales_inr]]*(1-tblTransactions[[#This Row],[discount_pct]]),2)</f>
        <v>1444.85</v>
      </c>
      <c r="L404" t="str">
        <f>IF(ABS(tblTransactions[[#This Row],[net_sales_inr]]-tblTransactions[[#This Row],[Recalc_Net_Sales]])&lt;0.02,"OK","CHECK")</f>
        <v>OK</v>
      </c>
      <c r="M404" s="14">
        <f>DATE(YEAR(tblTransactions[[#This Row],[date]]),MONTH(tblTransactions[[#This Row],[date]]),1)</f>
        <v>45689</v>
      </c>
      <c r="N404" t="str">
        <f>IF(WEEKDAY(tblTransactions[[#This Row],[date]],2)&gt;5,"Weekend","Weekday")</f>
        <v>Weekend</v>
      </c>
      <c r="O404" s="13" t="str">
        <f>IF(tblTransactions[[#This Row],[discount_pct]]=0,"0%",IF(tblTransactions[[#This Row],[discount_pct]]&lt;=10%,"1–
10%",IF(tblTransactions[[#This Row],[discount_pct]]&lt;=20%,"11–20%","&gt;20%")))</f>
        <v>0%</v>
      </c>
      <c r="P404" s="13" t="str">
        <f>_xlfn.XLOOKUP(tblTransactions[[#This Row],[tenant_id]],tblTenants[tenant_id],tblTenants[zone],"NOT FOUND")</f>
        <v>Entertainment</v>
      </c>
      <c r="Q404" s="13" t="str">
        <f>_xlfn.XLOOKUP(tblTransactions[[#This Row],[tenant_id]],tblTenants[tenant_id],tblTenants[category],"NOT FOUND")</f>
        <v>Cinema</v>
      </c>
    </row>
    <row r="405" spans="1:17">
      <c r="A405" t="s">
        <v>449</v>
      </c>
      <c r="B405" s="2">
        <v>45779</v>
      </c>
      <c r="C405">
        <v>19</v>
      </c>
      <c r="D405" t="s">
        <v>20</v>
      </c>
      <c r="E405" t="s">
        <v>51</v>
      </c>
      <c r="F405" s="7">
        <v>1229.04</v>
      </c>
      <c r="G405" s="10">
        <v>0.1</v>
      </c>
      <c r="H405" s="7">
        <v>1106.1400000000001</v>
      </c>
      <c r="I405">
        <v>1</v>
      </c>
      <c r="J405" t="s">
        <v>16</v>
      </c>
      <c r="K405" s="13">
        <f>ROUND(tblTransactions[[#This Row],[gross_sales_inr]]*(1-tblTransactions[[#This Row],[discount_pct]]),2)</f>
        <v>1106.1400000000001</v>
      </c>
      <c r="L405" t="str">
        <f>IF(ABS(tblTransactions[[#This Row],[net_sales_inr]]-tblTransactions[[#This Row],[Recalc_Net_Sales]])&lt;0.02,"OK","CHECK")</f>
        <v>OK</v>
      </c>
      <c r="M405" s="14">
        <f>DATE(YEAR(tblTransactions[[#This Row],[date]]),MONTH(tblTransactions[[#This Row],[date]]),1)</f>
        <v>45778</v>
      </c>
      <c r="N405" t="str">
        <f>IF(WEEKDAY(tblTransactions[[#This Row],[date]],2)&gt;5,"Weekend","Weekday")</f>
        <v>Weekday</v>
      </c>
      <c r="O40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05" s="13" t="str">
        <f>_xlfn.XLOOKUP(tblTransactions[[#This Row],[tenant_id]],tblTenants[tenant_id],tblTenants[zone],"NOT FOUND")</f>
        <v>Fashion Avenue</v>
      </c>
      <c r="Q405" s="13" t="str">
        <f>_xlfn.XLOOKUP(tblTransactions[[#This Row],[tenant_id]],tblTenants[tenant_id],tblTenants[category],"NOT FOUND")</f>
        <v>Accessories</v>
      </c>
    </row>
    <row r="406" spans="1:17">
      <c r="A406" t="s">
        <v>450</v>
      </c>
      <c r="B406" s="2">
        <v>45815</v>
      </c>
      <c r="C406">
        <v>22</v>
      </c>
      <c r="D406" t="s">
        <v>18</v>
      </c>
      <c r="E406" t="s">
        <v>12</v>
      </c>
      <c r="F406" s="7">
        <v>1258.75</v>
      </c>
      <c r="G406" s="10">
        <v>0.1</v>
      </c>
      <c r="H406" s="7">
        <v>1132.8800000000001</v>
      </c>
      <c r="I406">
        <v>2</v>
      </c>
      <c r="J406" t="s">
        <v>13</v>
      </c>
      <c r="K406" s="13">
        <f>ROUND(tblTransactions[[#This Row],[gross_sales_inr]]*(1-tblTransactions[[#This Row],[discount_pct]]),2)</f>
        <v>1132.8800000000001</v>
      </c>
      <c r="L406" t="str">
        <f>IF(ABS(tblTransactions[[#This Row],[net_sales_inr]]-tblTransactions[[#This Row],[Recalc_Net_Sales]])&lt;0.02,"OK","CHECK")</f>
        <v>OK</v>
      </c>
      <c r="M406" s="14">
        <f>DATE(YEAR(tblTransactions[[#This Row],[date]]),MONTH(tblTransactions[[#This Row],[date]]),1)</f>
        <v>45809</v>
      </c>
      <c r="N406" t="str">
        <f>IF(WEEKDAY(tblTransactions[[#This Row],[date]],2)&gt;5,"Weekend","Weekday")</f>
        <v>Weekend</v>
      </c>
      <c r="O40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06" s="13" t="str">
        <f>_xlfn.XLOOKUP(tblTransactions[[#This Row],[tenant_id]],tblTenants[tenant_id],tblTenants[zone],"NOT FOUND")</f>
        <v>Beauty &amp; Wellness</v>
      </c>
      <c r="Q406" s="13" t="str">
        <f>_xlfn.XLOOKUP(tblTransactions[[#This Row],[tenant_id]],tblTenants[tenant_id],tblTenants[category],"NOT FOUND")</f>
        <v>Beauty</v>
      </c>
    </row>
    <row r="407" spans="1:17">
      <c r="A407" t="s">
        <v>451</v>
      </c>
      <c r="B407" s="2">
        <v>45793</v>
      </c>
      <c r="C407">
        <v>13</v>
      </c>
      <c r="D407" t="s">
        <v>20</v>
      </c>
      <c r="E407" t="s">
        <v>12</v>
      </c>
      <c r="F407" s="7">
        <v>936.53</v>
      </c>
      <c r="G407" s="10">
        <v>0</v>
      </c>
      <c r="H407" s="7">
        <v>936.53</v>
      </c>
      <c r="I407">
        <v>4</v>
      </c>
      <c r="J407" t="s">
        <v>16</v>
      </c>
      <c r="K407" s="13">
        <f>ROUND(tblTransactions[[#This Row],[gross_sales_inr]]*(1-tblTransactions[[#This Row],[discount_pct]]),2)</f>
        <v>936.53</v>
      </c>
      <c r="L407" t="str">
        <f>IF(ABS(tblTransactions[[#This Row],[net_sales_inr]]-tblTransactions[[#This Row],[Recalc_Net_Sales]])&lt;0.02,"OK","CHECK")</f>
        <v>OK</v>
      </c>
      <c r="M407" s="14">
        <f>DATE(YEAR(tblTransactions[[#This Row],[date]]),MONTH(tblTransactions[[#This Row],[date]]),1)</f>
        <v>45778</v>
      </c>
      <c r="N407" t="str">
        <f>IF(WEEKDAY(tblTransactions[[#This Row],[date]],2)&gt;5,"Weekend","Weekday")</f>
        <v>Weekday</v>
      </c>
      <c r="O407" s="13" t="str">
        <f>IF(tblTransactions[[#This Row],[discount_pct]]=0,"0%",IF(tblTransactions[[#This Row],[discount_pct]]&lt;=10%,"1–
10%",IF(tblTransactions[[#This Row],[discount_pct]]&lt;=20%,"11–20%","&gt;20%")))</f>
        <v>0%</v>
      </c>
      <c r="P407" s="13" t="str">
        <f>_xlfn.XLOOKUP(tblTransactions[[#This Row],[tenant_id]],tblTenants[tenant_id],tblTenants[zone],"NOT FOUND")</f>
        <v>Fashion Avenue</v>
      </c>
      <c r="Q407" s="13" t="str">
        <f>_xlfn.XLOOKUP(tblTransactions[[#This Row],[tenant_id]],tblTenants[tenant_id],tblTenants[category],"NOT FOUND")</f>
        <v>Accessories</v>
      </c>
    </row>
    <row r="408" spans="1:17">
      <c r="A408" t="s">
        <v>452</v>
      </c>
      <c r="B408" s="2">
        <v>45713</v>
      </c>
      <c r="C408">
        <v>17</v>
      </c>
      <c r="D408" t="s">
        <v>18</v>
      </c>
      <c r="E408" t="s">
        <v>32</v>
      </c>
      <c r="F408" s="7">
        <v>3012.89</v>
      </c>
      <c r="G408" s="10">
        <v>0.05</v>
      </c>
      <c r="H408" s="7">
        <v>2862.25</v>
      </c>
      <c r="I408">
        <v>4</v>
      </c>
      <c r="J408" t="s">
        <v>13</v>
      </c>
      <c r="K408" s="13">
        <f>ROUND(tblTransactions[[#This Row],[gross_sales_inr]]*(1-tblTransactions[[#This Row],[discount_pct]]),2)</f>
        <v>2862.25</v>
      </c>
      <c r="L408" t="str">
        <f>IF(ABS(tblTransactions[[#This Row],[net_sales_inr]]-tblTransactions[[#This Row],[Recalc_Net_Sales]])&lt;0.02,"OK","CHECK")</f>
        <v>OK</v>
      </c>
      <c r="M408" s="14">
        <f>DATE(YEAR(tblTransactions[[#This Row],[date]]),MONTH(tblTransactions[[#This Row],[date]]),1)</f>
        <v>45689</v>
      </c>
      <c r="N408" t="str">
        <f>IF(WEEKDAY(tblTransactions[[#This Row],[date]],2)&gt;5,"Weekend","Weekday")</f>
        <v>Weekday</v>
      </c>
      <c r="O40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08" s="13" t="str">
        <f>_xlfn.XLOOKUP(tblTransactions[[#This Row],[tenant_id]],tblTenants[tenant_id],tblTenants[zone],"NOT FOUND")</f>
        <v>Beauty &amp; Wellness</v>
      </c>
      <c r="Q408" s="13" t="str">
        <f>_xlfn.XLOOKUP(tblTransactions[[#This Row],[tenant_id]],tblTenants[tenant_id],tblTenants[category],"NOT FOUND")</f>
        <v>Beauty</v>
      </c>
    </row>
    <row r="409" spans="1:17">
      <c r="A409" t="s">
        <v>453</v>
      </c>
      <c r="B409" s="2">
        <v>45671</v>
      </c>
      <c r="C409">
        <v>22</v>
      </c>
      <c r="D409" t="s">
        <v>63</v>
      </c>
      <c r="E409" t="s">
        <v>32</v>
      </c>
      <c r="F409" s="7">
        <v>1215.67</v>
      </c>
      <c r="G409" s="10">
        <v>0.15</v>
      </c>
      <c r="H409" s="7">
        <v>1033.32</v>
      </c>
      <c r="I409">
        <v>5</v>
      </c>
      <c r="J409" t="s">
        <v>13</v>
      </c>
      <c r="K409" s="13">
        <f>ROUND(tblTransactions[[#This Row],[gross_sales_inr]]*(1-tblTransactions[[#This Row],[discount_pct]]),2)</f>
        <v>1033.32</v>
      </c>
      <c r="L409" t="str">
        <f>IF(ABS(tblTransactions[[#This Row],[net_sales_inr]]-tblTransactions[[#This Row],[Recalc_Net_Sales]])&lt;0.02,"OK","CHECK")</f>
        <v>OK</v>
      </c>
      <c r="M409" s="14">
        <f>DATE(YEAR(tblTransactions[[#This Row],[date]]),MONTH(tblTransactions[[#This Row],[date]]),1)</f>
        <v>45658</v>
      </c>
      <c r="N409" t="str">
        <f>IF(WEEKDAY(tblTransactions[[#This Row],[date]],2)&gt;5,"Weekend","Weekday")</f>
        <v>Weekday</v>
      </c>
      <c r="O40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09" s="13" t="str">
        <f>_xlfn.XLOOKUP(tblTransactions[[#This Row],[tenant_id]],tblTenants[tenant_id],tblTenants[zone],"NOT FOUND")</f>
        <v>Entertainment</v>
      </c>
      <c r="Q409" s="13" t="str">
        <f>_xlfn.XLOOKUP(tblTransactions[[#This Row],[tenant_id]],tblTenants[tenant_id],tblTenants[category],"NOT FOUND")</f>
        <v>Family Entertainment</v>
      </c>
    </row>
    <row r="410" spans="1:17">
      <c r="A410" t="s">
        <v>454</v>
      </c>
      <c r="B410" s="2">
        <v>45691</v>
      </c>
      <c r="C410">
        <v>22</v>
      </c>
      <c r="D410" t="s">
        <v>70</v>
      </c>
      <c r="E410" t="s">
        <v>12</v>
      </c>
      <c r="F410" s="7">
        <v>622.25</v>
      </c>
      <c r="G410" s="10">
        <v>0.05</v>
      </c>
      <c r="H410" s="7">
        <v>591.14</v>
      </c>
      <c r="I410">
        <v>1</v>
      </c>
      <c r="J410" t="s">
        <v>13</v>
      </c>
      <c r="K410" s="13">
        <f>ROUND(tblTransactions[[#This Row],[gross_sales_inr]]*(1-tblTransactions[[#This Row],[discount_pct]]),2)</f>
        <v>591.14</v>
      </c>
      <c r="L410" t="str">
        <f>IF(ABS(tblTransactions[[#This Row],[net_sales_inr]]-tblTransactions[[#This Row],[Recalc_Net_Sales]])&lt;0.02,"OK","CHECK")</f>
        <v>OK</v>
      </c>
      <c r="M410" s="14">
        <f>DATE(YEAR(tblTransactions[[#This Row],[date]]),MONTH(tblTransactions[[#This Row],[date]]),1)</f>
        <v>45689</v>
      </c>
      <c r="N410" t="str">
        <f>IF(WEEKDAY(tblTransactions[[#This Row],[date]],2)&gt;5,"Weekend","Weekday")</f>
        <v>Weekday</v>
      </c>
      <c r="O41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10" s="13" t="str">
        <f>_xlfn.XLOOKUP(tblTransactions[[#This Row],[tenant_id]],tblTenants[tenant_id],tblTenants[zone],"NOT FOUND")</f>
        <v>Food Court</v>
      </c>
      <c r="Q410" s="13" t="str">
        <f>_xlfn.XLOOKUP(tblTransactions[[#This Row],[tenant_id]],tblTenants[tenant_id],tblTenants[category],"NOT FOUND")</f>
        <v>Quick Service</v>
      </c>
    </row>
    <row r="411" spans="1:17">
      <c r="A411" t="s">
        <v>455</v>
      </c>
      <c r="B411" s="2">
        <v>45789</v>
      </c>
      <c r="C411">
        <v>15</v>
      </c>
      <c r="D411" t="s">
        <v>70</v>
      </c>
      <c r="E411" t="s">
        <v>12</v>
      </c>
      <c r="F411" s="7">
        <v>585.27</v>
      </c>
      <c r="G411" s="10">
        <v>0</v>
      </c>
      <c r="H411" s="7">
        <v>585.27</v>
      </c>
      <c r="I411">
        <v>3</v>
      </c>
      <c r="J411" t="s">
        <v>13</v>
      </c>
      <c r="K411" s="13">
        <f>ROUND(tblTransactions[[#This Row],[gross_sales_inr]]*(1-tblTransactions[[#This Row],[discount_pct]]),2)</f>
        <v>585.27</v>
      </c>
      <c r="L411" t="str">
        <f>IF(ABS(tblTransactions[[#This Row],[net_sales_inr]]-tblTransactions[[#This Row],[Recalc_Net_Sales]])&lt;0.02,"OK","CHECK")</f>
        <v>OK</v>
      </c>
      <c r="M411" s="14">
        <f>DATE(YEAR(tblTransactions[[#This Row],[date]]),MONTH(tblTransactions[[#This Row],[date]]),1)</f>
        <v>45778</v>
      </c>
      <c r="N411" t="str">
        <f>IF(WEEKDAY(tblTransactions[[#This Row],[date]],2)&gt;5,"Weekend","Weekday")</f>
        <v>Weekday</v>
      </c>
      <c r="O411" s="13" t="str">
        <f>IF(tblTransactions[[#This Row],[discount_pct]]=0,"0%",IF(tblTransactions[[#This Row],[discount_pct]]&lt;=10%,"1–
10%",IF(tblTransactions[[#This Row],[discount_pct]]&lt;=20%,"11–20%","&gt;20%")))</f>
        <v>0%</v>
      </c>
      <c r="P411" s="13" t="str">
        <f>_xlfn.XLOOKUP(tblTransactions[[#This Row],[tenant_id]],tblTenants[tenant_id],tblTenants[zone],"NOT FOUND")</f>
        <v>Food Court</v>
      </c>
      <c r="Q411" s="13" t="str">
        <f>_xlfn.XLOOKUP(tblTransactions[[#This Row],[tenant_id]],tblTenants[tenant_id],tblTenants[category],"NOT FOUND")</f>
        <v>Quick Service</v>
      </c>
    </row>
    <row r="412" spans="1:17">
      <c r="A412" t="s">
        <v>456</v>
      </c>
      <c r="B412" s="2">
        <v>45773</v>
      </c>
      <c r="C412">
        <v>19</v>
      </c>
      <c r="D412" t="s">
        <v>53</v>
      </c>
      <c r="E412" t="s">
        <v>21</v>
      </c>
      <c r="F412" s="7">
        <v>1282.1199999999999</v>
      </c>
      <c r="G412" s="10">
        <v>0.1</v>
      </c>
      <c r="H412" s="7">
        <v>1153.9100000000001</v>
      </c>
      <c r="I412">
        <v>1</v>
      </c>
      <c r="J412" t="s">
        <v>16</v>
      </c>
      <c r="K412" s="13">
        <f>ROUND(tblTransactions[[#This Row],[gross_sales_inr]]*(1-tblTransactions[[#This Row],[discount_pct]]),2)</f>
        <v>1153.9100000000001</v>
      </c>
      <c r="L412" t="str">
        <f>IF(ABS(tblTransactions[[#This Row],[net_sales_inr]]-tblTransactions[[#This Row],[Recalc_Net_Sales]])&lt;0.02,"OK","CHECK")</f>
        <v>OK</v>
      </c>
      <c r="M412" s="14">
        <f>DATE(YEAR(tblTransactions[[#This Row],[date]]),MONTH(tblTransactions[[#This Row],[date]]),1)</f>
        <v>45748</v>
      </c>
      <c r="N412" t="str">
        <f>IF(WEEKDAY(tblTransactions[[#This Row],[date]],2)&gt;5,"Weekend","Weekday")</f>
        <v>Weekend</v>
      </c>
      <c r="O41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12" s="13" t="str">
        <f>_xlfn.XLOOKUP(tblTransactions[[#This Row],[tenant_id]],tblTenants[tenant_id],tblTenants[zone],"NOT FOUND")</f>
        <v>Beauty &amp; Wellness</v>
      </c>
      <c r="Q412" s="13" t="str">
        <f>_xlfn.XLOOKUP(tblTransactions[[#This Row],[tenant_id]],tblTenants[tenant_id],tblTenants[category],"NOT FOUND")</f>
        <v>Beauty</v>
      </c>
    </row>
    <row r="413" spans="1:17">
      <c r="A413" t="s">
        <v>457</v>
      </c>
      <c r="B413" s="2">
        <v>45715</v>
      </c>
      <c r="C413">
        <v>22</v>
      </c>
      <c r="D413" t="s">
        <v>204</v>
      </c>
      <c r="E413" t="s">
        <v>32</v>
      </c>
      <c r="F413" s="7">
        <v>2673.17</v>
      </c>
      <c r="G413" s="10">
        <v>0</v>
      </c>
      <c r="H413" s="7">
        <v>2673.17</v>
      </c>
      <c r="I413">
        <v>2</v>
      </c>
      <c r="J413" t="s">
        <v>16</v>
      </c>
      <c r="K413" s="13">
        <f>ROUND(tblTransactions[[#This Row],[gross_sales_inr]]*(1-tblTransactions[[#This Row],[discount_pct]]),2)</f>
        <v>2673.17</v>
      </c>
      <c r="L413" t="str">
        <f>IF(ABS(tblTransactions[[#This Row],[net_sales_inr]]-tblTransactions[[#This Row],[Recalc_Net_Sales]])&lt;0.02,"OK","CHECK")</f>
        <v>OK</v>
      </c>
      <c r="M413" s="14">
        <f>DATE(YEAR(tblTransactions[[#This Row],[date]]),MONTH(tblTransactions[[#This Row],[date]]),1)</f>
        <v>45689</v>
      </c>
      <c r="N413" t="str">
        <f>IF(WEEKDAY(tblTransactions[[#This Row],[date]],2)&gt;5,"Weekend","Weekday")</f>
        <v>Weekday</v>
      </c>
      <c r="O413" s="13" t="str">
        <f>IF(tblTransactions[[#This Row],[discount_pct]]=0,"0%",IF(tblTransactions[[#This Row],[discount_pct]]&lt;=10%,"1–
10%",IF(tblTransactions[[#This Row],[discount_pct]]&lt;=20%,"11–20%","&gt;20%")))</f>
        <v>0%</v>
      </c>
      <c r="P413" s="13" t="str">
        <f>_xlfn.XLOOKUP(tblTransactions[[#This Row],[tenant_id]],tblTenants[tenant_id],tblTenants[zone],"NOT FOUND")</f>
        <v>Home &amp; Living</v>
      </c>
      <c r="Q413" s="13" t="str">
        <f>_xlfn.XLOOKUP(tblTransactions[[#This Row],[tenant_id]],tblTenants[tenant_id],tblTenants[category],"NOT FOUND")</f>
        <v>Home Decor</v>
      </c>
    </row>
    <row r="414" spans="1:17">
      <c r="A414" t="s">
        <v>458</v>
      </c>
      <c r="B414" s="2">
        <v>45757</v>
      </c>
      <c r="C414">
        <v>17</v>
      </c>
      <c r="D414" t="s">
        <v>36</v>
      </c>
      <c r="E414" t="s">
        <v>32</v>
      </c>
      <c r="F414" s="7">
        <v>845.5</v>
      </c>
      <c r="G414" s="10">
        <v>0.05</v>
      </c>
      <c r="H414" s="7">
        <v>803.22</v>
      </c>
      <c r="I414">
        <v>1</v>
      </c>
      <c r="J414" t="s">
        <v>13</v>
      </c>
      <c r="K414" s="13">
        <f>ROUND(tblTransactions[[#This Row],[gross_sales_inr]]*(1-tblTransactions[[#This Row],[discount_pct]]),2)</f>
        <v>803.23</v>
      </c>
      <c r="L414" t="str">
        <f>IF(ABS(tblTransactions[[#This Row],[net_sales_inr]]-tblTransactions[[#This Row],[Recalc_Net_Sales]])&lt;0.02,"OK","CHECK")</f>
        <v>OK</v>
      </c>
      <c r="M414" s="14">
        <f>DATE(YEAR(tblTransactions[[#This Row],[date]]),MONTH(tblTransactions[[#This Row],[date]]),1)</f>
        <v>45748</v>
      </c>
      <c r="N414" t="str">
        <f>IF(WEEKDAY(tblTransactions[[#This Row],[date]],2)&gt;5,"Weekend","Weekday")</f>
        <v>Weekday</v>
      </c>
      <c r="O41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14" s="13" t="str">
        <f>_xlfn.XLOOKUP(tblTransactions[[#This Row],[tenant_id]],tblTenants[tenant_id],tblTenants[zone],"NOT FOUND")</f>
        <v>Home &amp; Living</v>
      </c>
      <c r="Q414" s="13" t="str">
        <f>_xlfn.XLOOKUP(tblTransactions[[#This Row],[tenant_id]],tblTenants[tenant_id],tblTenants[category],"NOT FOUND")</f>
        <v>Electronics</v>
      </c>
    </row>
    <row r="415" spans="1:17">
      <c r="A415" t="s">
        <v>459</v>
      </c>
      <c r="B415" s="2">
        <v>45738</v>
      </c>
      <c r="C415">
        <v>18</v>
      </c>
      <c r="D415" t="s">
        <v>63</v>
      </c>
      <c r="E415" t="s">
        <v>32</v>
      </c>
      <c r="F415" s="7">
        <v>908.88</v>
      </c>
      <c r="G415" s="10">
        <v>0</v>
      </c>
      <c r="H415" s="7">
        <v>908.88</v>
      </c>
      <c r="I415">
        <v>4</v>
      </c>
      <c r="J415" t="s">
        <v>16</v>
      </c>
      <c r="K415" s="13">
        <f>ROUND(tblTransactions[[#This Row],[gross_sales_inr]]*(1-tblTransactions[[#This Row],[discount_pct]]),2)</f>
        <v>908.88</v>
      </c>
      <c r="L415" t="str">
        <f>IF(ABS(tblTransactions[[#This Row],[net_sales_inr]]-tblTransactions[[#This Row],[Recalc_Net_Sales]])&lt;0.02,"OK","CHECK")</f>
        <v>OK</v>
      </c>
      <c r="M415" s="14">
        <f>DATE(YEAR(tblTransactions[[#This Row],[date]]),MONTH(tblTransactions[[#This Row],[date]]),1)</f>
        <v>45717</v>
      </c>
      <c r="N415" t="str">
        <f>IF(WEEKDAY(tblTransactions[[#This Row],[date]],2)&gt;5,"Weekend","Weekday")</f>
        <v>Weekend</v>
      </c>
      <c r="O415" s="13" t="str">
        <f>IF(tblTransactions[[#This Row],[discount_pct]]=0,"0%",IF(tblTransactions[[#This Row],[discount_pct]]&lt;=10%,"1–
10%",IF(tblTransactions[[#This Row],[discount_pct]]&lt;=20%,"11–20%","&gt;20%")))</f>
        <v>0%</v>
      </c>
      <c r="P415" s="13" t="str">
        <f>_xlfn.XLOOKUP(tblTransactions[[#This Row],[tenant_id]],tblTenants[tenant_id],tblTenants[zone],"NOT FOUND")</f>
        <v>Entertainment</v>
      </c>
      <c r="Q415" s="13" t="str">
        <f>_xlfn.XLOOKUP(tblTransactions[[#This Row],[tenant_id]],tblTenants[tenant_id],tblTenants[category],"NOT FOUND")</f>
        <v>Family Entertainment</v>
      </c>
    </row>
    <row r="416" spans="1:17">
      <c r="A416" t="s">
        <v>460</v>
      </c>
      <c r="B416" s="2">
        <v>45743</v>
      </c>
      <c r="C416">
        <v>11</v>
      </c>
      <c r="D416" t="s">
        <v>98</v>
      </c>
      <c r="E416" t="s">
        <v>12</v>
      </c>
      <c r="F416" s="7">
        <v>862.97</v>
      </c>
      <c r="G416" s="10">
        <v>0</v>
      </c>
      <c r="H416" s="7">
        <v>862.97</v>
      </c>
      <c r="I416">
        <v>1</v>
      </c>
      <c r="J416" t="s">
        <v>13</v>
      </c>
      <c r="K416" s="13">
        <f>ROUND(tblTransactions[[#This Row],[gross_sales_inr]]*(1-tblTransactions[[#This Row],[discount_pct]]),2)</f>
        <v>862.97</v>
      </c>
      <c r="L416" t="str">
        <f>IF(ABS(tblTransactions[[#This Row],[net_sales_inr]]-tblTransactions[[#This Row],[Recalc_Net_Sales]])&lt;0.02,"OK","CHECK")</f>
        <v>OK</v>
      </c>
      <c r="M416" s="14">
        <f>DATE(YEAR(tblTransactions[[#This Row],[date]]),MONTH(tblTransactions[[#This Row],[date]]),1)</f>
        <v>45717</v>
      </c>
      <c r="N416" t="str">
        <f>IF(WEEKDAY(tblTransactions[[#This Row],[date]],2)&gt;5,"Weekend","Weekday")</f>
        <v>Weekday</v>
      </c>
      <c r="O416" s="13" t="str">
        <f>IF(tblTransactions[[#This Row],[discount_pct]]=0,"0%",IF(tblTransactions[[#This Row],[discount_pct]]&lt;=10%,"1–
10%",IF(tblTransactions[[#This Row],[discount_pct]]&lt;=20%,"11–20%","&gt;20%")))</f>
        <v>0%</v>
      </c>
      <c r="P416" s="13" t="str">
        <f>_xlfn.XLOOKUP(tblTransactions[[#This Row],[tenant_id]],tblTenants[tenant_id],tblTenants[zone],"NOT FOUND")</f>
        <v>Fashion Avenue</v>
      </c>
      <c r="Q416" s="13" t="str">
        <f>_xlfn.XLOOKUP(tblTransactions[[#This Row],[tenant_id]],tblTenants[tenant_id],tblTenants[category],"NOT FOUND")</f>
        <v>Accessories</v>
      </c>
    </row>
    <row r="417" spans="1:17">
      <c r="A417" t="s">
        <v>461</v>
      </c>
      <c r="B417" s="2">
        <v>45738</v>
      </c>
      <c r="C417">
        <v>10</v>
      </c>
      <c r="D417" t="s">
        <v>85</v>
      </c>
      <c r="E417" t="s">
        <v>12</v>
      </c>
      <c r="F417" s="7">
        <v>2780.71</v>
      </c>
      <c r="G417" s="10">
        <v>0.1</v>
      </c>
      <c r="H417" s="7">
        <v>2502.64</v>
      </c>
      <c r="I417">
        <v>1</v>
      </c>
      <c r="J417" t="s">
        <v>16</v>
      </c>
      <c r="K417" s="13">
        <f>ROUND(tblTransactions[[#This Row],[gross_sales_inr]]*(1-tblTransactions[[#This Row],[discount_pct]]),2)</f>
        <v>2502.64</v>
      </c>
      <c r="L417" t="str">
        <f>IF(ABS(tblTransactions[[#This Row],[net_sales_inr]]-tblTransactions[[#This Row],[Recalc_Net_Sales]])&lt;0.02,"OK","CHECK")</f>
        <v>OK</v>
      </c>
      <c r="M417" s="14">
        <f>DATE(YEAR(tblTransactions[[#This Row],[date]]),MONTH(tblTransactions[[#This Row],[date]]),1)</f>
        <v>45717</v>
      </c>
      <c r="N417" t="str">
        <f>IF(WEEKDAY(tblTransactions[[#This Row],[date]],2)&gt;5,"Weekend","Weekday")</f>
        <v>Weekend</v>
      </c>
      <c r="O41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17" s="13" t="str">
        <f>_xlfn.XLOOKUP(tblTransactions[[#This Row],[tenant_id]],tblTenants[tenant_id],tblTenants[zone],"NOT FOUND")</f>
        <v>Home &amp; Living</v>
      </c>
      <c r="Q417" s="13" t="str">
        <f>_xlfn.XLOOKUP(tblTransactions[[#This Row],[tenant_id]],tblTenants[tenant_id],tblTenants[category],"NOT FOUND")</f>
        <v>Electronics</v>
      </c>
    </row>
    <row r="418" spans="1:17">
      <c r="A418" t="s">
        <v>462</v>
      </c>
      <c r="B418" s="2">
        <v>45680</v>
      </c>
      <c r="C418">
        <v>14</v>
      </c>
      <c r="D418" t="s">
        <v>41</v>
      </c>
      <c r="E418" t="s">
        <v>51</v>
      </c>
      <c r="F418" s="7">
        <v>1197.6500000000001</v>
      </c>
      <c r="G418" s="10">
        <v>0</v>
      </c>
      <c r="H418" s="7">
        <v>1197.6500000000001</v>
      </c>
      <c r="I418">
        <v>5</v>
      </c>
      <c r="J418" t="s">
        <v>16</v>
      </c>
      <c r="K418" s="13">
        <f>ROUND(tblTransactions[[#This Row],[gross_sales_inr]]*(1-tblTransactions[[#This Row],[discount_pct]]),2)</f>
        <v>1197.6500000000001</v>
      </c>
      <c r="L418" t="str">
        <f>IF(ABS(tblTransactions[[#This Row],[net_sales_inr]]-tblTransactions[[#This Row],[Recalc_Net_Sales]])&lt;0.02,"OK","CHECK")</f>
        <v>OK</v>
      </c>
      <c r="M418" s="14">
        <f>DATE(YEAR(tblTransactions[[#This Row],[date]]),MONTH(tblTransactions[[#This Row],[date]]),1)</f>
        <v>45658</v>
      </c>
      <c r="N418" t="str">
        <f>IF(WEEKDAY(tblTransactions[[#This Row],[date]],2)&gt;5,"Weekend","Weekday")</f>
        <v>Weekday</v>
      </c>
      <c r="O418" s="13" t="str">
        <f>IF(tblTransactions[[#This Row],[discount_pct]]=0,"0%",IF(tblTransactions[[#This Row],[discount_pct]]&lt;=10%,"1–
10%",IF(tblTransactions[[#This Row],[discount_pct]]&lt;=20%,"11–20%","&gt;20%")))</f>
        <v>0%</v>
      </c>
      <c r="P418" s="13" t="str">
        <f>_xlfn.XLOOKUP(tblTransactions[[#This Row],[tenant_id]],tblTenants[tenant_id],tblTenants[zone],"NOT FOUND")</f>
        <v>Fashion Avenue</v>
      </c>
      <c r="Q418" s="13" t="str">
        <f>_xlfn.XLOOKUP(tblTransactions[[#This Row],[tenant_id]],tblTenants[tenant_id],tblTenants[category],"NOT FOUND")</f>
        <v>Clothing</v>
      </c>
    </row>
    <row r="419" spans="1:17">
      <c r="A419" t="s">
        <v>463</v>
      </c>
      <c r="B419" s="2">
        <v>45707</v>
      </c>
      <c r="C419">
        <v>14</v>
      </c>
      <c r="D419" t="s">
        <v>63</v>
      </c>
      <c r="E419" t="s">
        <v>21</v>
      </c>
      <c r="F419" s="7">
        <v>283.07</v>
      </c>
      <c r="G419" s="10">
        <v>0.15</v>
      </c>
      <c r="H419" s="7">
        <v>240.61</v>
      </c>
      <c r="I419">
        <v>1</v>
      </c>
      <c r="J419" t="s">
        <v>16</v>
      </c>
      <c r="K419" s="13">
        <f>ROUND(tblTransactions[[#This Row],[gross_sales_inr]]*(1-tblTransactions[[#This Row],[discount_pct]]),2)</f>
        <v>240.61</v>
      </c>
      <c r="L419" t="str">
        <f>IF(ABS(tblTransactions[[#This Row],[net_sales_inr]]-tblTransactions[[#This Row],[Recalc_Net_Sales]])&lt;0.02,"OK","CHECK")</f>
        <v>OK</v>
      </c>
      <c r="M419" s="14">
        <f>DATE(YEAR(tblTransactions[[#This Row],[date]]),MONTH(tblTransactions[[#This Row],[date]]),1)</f>
        <v>45689</v>
      </c>
      <c r="N419" t="str">
        <f>IF(WEEKDAY(tblTransactions[[#This Row],[date]],2)&gt;5,"Weekend","Weekday")</f>
        <v>Weekday</v>
      </c>
      <c r="O41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19" s="13" t="str">
        <f>_xlfn.XLOOKUP(tblTransactions[[#This Row],[tenant_id]],tblTenants[tenant_id],tblTenants[zone],"NOT FOUND")</f>
        <v>Entertainment</v>
      </c>
      <c r="Q419" s="13" t="str">
        <f>_xlfn.XLOOKUP(tblTransactions[[#This Row],[tenant_id]],tblTenants[tenant_id],tblTenants[category],"NOT FOUND")</f>
        <v>Family Entertainment</v>
      </c>
    </row>
    <row r="420" spans="1:17">
      <c r="A420" t="s">
        <v>464</v>
      </c>
      <c r="B420" s="2">
        <v>45777</v>
      </c>
      <c r="C420">
        <v>11</v>
      </c>
      <c r="D420" t="s">
        <v>104</v>
      </c>
      <c r="E420" t="s">
        <v>32</v>
      </c>
      <c r="F420" s="7">
        <v>2117.1799999999998</v>
      </c>
      <c r="G420" s="10">
        <v>0.2</v>
      </c>
      <c r="H420" s="7">
        <v>1693.74</v>
      </c>
      <c r="I420">
        <v>1</v>
      </c>
      <c r="J420" t="s">
        <v>13</v>
      </c>
      <c r="K420" s="13">
        <f>ROUND(tblTransactions[[#This Row],[gross_sales_inr]]*(1-tblTransactions[[#This Row],[discount_pct]]),2)</f>
        <v>1693.74</v>
      </c>
      <c r="L420" t="str">
        <f>IF(ABS(tblTransactions[[#This Row],[net_sales_inr]]-tblTransactions[[#This Row],[Recalc_Net_Sales]])&lt;0.02,"OK","CHECK")</f>
        <v>OK</v>
      </c>
      <c r="M420" s="14">
        <f>DATE(YEAR(tblTransactions[[#This Row],[date]]),MONTH(tblTransactions[[#This Row],[date]]),1)</f>
        <v>45748</v>
      </c>
      <c r="N420" t="str">
        <f>IF(WEEKDAY(tblTransactions[[#This Row],[date]],2)&gt;5,"Weekend","Weekday")</f>
        <v>Weekday</v>
      </c>
      <c r="O42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20" s="13" t="str">
        <f>_xlfn.XLOOKUP(tblTransactions[[#This Row],[tenant_id]],tblTenants[tenant_id],tblTenants[zone],"NOT FOUND")</f>
        <v>Entertainment</v>
      </c>
      <c r="Q420" s="13" t="str">
        <f>_xlfn.XLOOKUP(tblTransactions[[#This Row],[tenant_id]],tblTenants[tenant_id],tblTenants[category],"NOT FOUND")</f>
        <v>Family Entertainment</v>
      </c>
    </row>
    <row r="421" spans="1:17">
      <c r="A421" t="s">
        <v>465</v>
      </c>
      <c r="B421" s="2">
        <v>45677</v>
      </c>
      <c r="C421">
        <v>21</v>
      </c>
      <c r="D421" t="s">
        <v>18</v>
      </c>
      <c r="E421" t="s">
        <v>32</v>
      </c>
      <c r="F421" s="7">
        <v>3003.92</v>
      </c>
      <c r="G421" s="10">
        <v>0</v>
      </c>
      <c r="H421" s="7">
        <v>3003.92</v>
      </c>
      <c r="I421">
        <v>2</v>
      </c>
      <c r="J421" t="s">
        <v>13</v>
      </c>
      <c r="K421" s="13">
        <f>ROUND(tblTransactions[[#This Row],[gross_sales_inr]]*(1-tblTransactions[[#This Row],[discount_pct]]),2)</f>
        <v>3003.92</v>
      </c>
      <c r="L421" t="str">
        <f>IF(ABS(tblTransactions[[#This Row],[net_sales_inr]]-tblTransactions[[#This Row],[Recalc_Net_Sales]])&lt;0.02,"OK","CHECK")</f>
        <v>OK</v>
      </c>
      <c r="M421" s="14">
        <f>DATE(YEAR(tblTransactions[[#This Row],[date]]),MONTH(tblTransactions[[#This Row],[date]]),1)</f>
        <v>45658</v>
      </c>
      <c r="N421" t="str">
        <f>IF(WEEKDAY(tblTransactions[[#This Row],[date]],2)&gt;5,"Weekend","Weekday")</f>
        <v>Weekday</v>
      </c>
      <c r="O421" s="13" t="str">
        <f>IF(tblTransactions[[#This Row],[discount_pct]]=0,"0%",IF(tblTransactions[[#This Row],[discount_pct]]&lt;=10%,"1–
10%",IF(tblTransactions[[#This Row],[discount_pct]]&lt;=20%,"11–20%","&gt;20%")))</f>
        <v>0%</v>
      </c>
      <c r="P421" s="13" t="str">
        <f>_xlfn.XLOOKUP(tblTransactions[[#This Row],[tenant_id]],tblTenants[tenant_id],tblTenants[zone],"NOT FOUND")</f>
        <v>Beauty &amp; Wellness</v>
      </c>
      <c r="Q421" s="13" t="str">
        <f>_xlfn.XLOOKUP(tblTransactions[[#This Row],[tenant_id]],tblTenants[tenant_id],tblTenants[category],"NOT FOUND")</f>
        <v>Beauty</v>
      </c>
    </row>
    <row r="422" spans="1:17">
      <c r="A422" t="s">
        <v>466</v>
      </c>
      <c r="B422" s="2">
        <v>45826</v>
      </c>
      <c r="C422">
        <v>22</v>
      </c>
      <c r="D422" t="s">
        <v>59</v>
      </c>
      <c r="E422" t="s">
        <v>12</v>
      </c>
      <c r="F422" s="7">
        <v>1434.68</v>
      </c>
      <c r="G422" s="10">
        <v>0</v>
      </c>
      <c r="H422" s="7">
        <v>1434.68</v>
      </c>
      <c r="I422">
        <v>3</v>
      </c>
      <c r="J422" t="s">
        <v>16</v>
      </c>
      <c r="K422" s="13">
        <f>ROUND(tblTransactions[[#This Row],[gross_sales_inr]]*(1-tblTransactions[[#This Row],[discount_pct]]),2)</f>
        <v>1434.68</v>
      </c>
      <c r="L422" t="str">
        <f>IF(ABS(tblTransactions[[#This Row],[net_sales_inr]]-tblTransactions[[#This Row],[Recalc_Net_Sales]])&lt;0.02,"OK","CHECK")</f>
        <v>OK</v>
      </c>
      <c r="M422" s="14">
        <f>DATE(YEAR(tblTransactions[[#This Row],[date]]),MONTH(tblTransactions[[#This Row],[date]]),1)</f>
        <v>45809</v>
      </c>
      <c r="N422" t="str">
        <f>IF(WEEKDAY(tblTransactions[[#This Row],[date]],2)&gt;5,"Weekend","Weekday")</f>
        <v>Weekday</v>
      </c>
      <c r="O422" s="13" t="str">
        <f>IF(tblTransactions[[#This Row],[discount_pct]]=0,"0%",IF(tblTransactions[[#This Row],[discount_pct]]&lt;=10%,"1–
10%",IF(tblTransactions[[#This Row],[discount_pct]]&lt;=20%,"11–20%","&gt;20%")))</f>
        <v>0%</v>
      </c>
      <c r="P422" s="13" t="str">
        <f>_xlfn.XLOOKUP(tblTransactions[[#This Row],[tenant_id]],tblTenants[tenant_id],tblTenants[zone],"NOT FOUND")</f>
        <v>Fashion Avenue</v>
      </c>
      <c r="Q422" s="13" t="str">
        <f>_xlfn.XLOOKUP(tblTransactions[[#This Row],[tenant_id]],tblTenants[tenant_id],tblTenants[category],"NOT FOUND")</f>
        <v>Footwear</v>
      </c>
    </row>
    <row r="423" spans="1:17">
      <c r="A423" t="s">
        <v>467</v>
      </c>
      <c r="B423" s="2">
        <v>45664</v>
      </c>
      <c r="C423">
        <v>11</v>
      </c>
      <c r="D423" t="s">
        <v>61</v>
      </c>
      <c r="E423" t="s">
        <v>21</v>
      </c>
      <c r="F423" s="7">
        <v>1060.27</v>
      </c>
      <c r="G423" s="10">
        <v>0</v>
      </c>
      <c r="H423" s="7">
        <v>1060.27</v>
      </c>
      <c r="I423">
        <v>5</v>
      </c>
      <c r="J423" t="s">
        <v>16</v>
      </c>
      <c r="K423" s="13">
        <f>ROUND(tblTransactions[[#This Row],[gross_sales_inr]]*(1-tblTransactions[[#This Row],[discount_pct]]),2)</f>
        <v>1060.27</v>
      </c>
      <c r="L423" t="str">
        <f>IF(ABS(tblTransactions[[#This Row],[net_sales_inr]]-tblTransactions[[#This Row],[Recalc_Net_Sales]])&lt;0.02,"OK","CHECK")</f>
        <v>OK</v>
      </c>
      <c r="M423" s="14">
        <f>DATE(YEAR(tblTransactions[[#This Row],[date]]),MONTH(tblTransactions[[#This Row],[date]]),1)</f>
        <v>45658</v>
      </c>
      <c r="N423" t="str">
        <f>IF(WEEKDAY(tblTransactions[[#This Row],[date]],2)&gt;5,"Weekend","Weekday")</f>
        <v>Weekday</v>
      </c>
      <c r="O423" s="13" t="str">
        <f>IF(tblTransactions[[#This Row],[discount_pct]]=0,"0%",IF(tblTransactions[[#This Row],[discount_pct]]&lt;=10%,"1–
10%",IF(tblTransactions[[#This Row],[discount_pct]]&lt;=20%,"11–20%","&gt;20%")))</f>
        <v>0%</v>
      </c>
      <c r="P423" s="13" t="str">
        <f>_xlfn.XLOOKUP(tblTransactions[[#This Row],[tenant_id]],tblTenants[tenant_id],tblTenants[zone],"NOT FOUND")</f>
        <v>Food Court</v>
      </c>
      <c r="Q423" s="13" t="str">
        <f>_xlfn.XLOOKUP(tblTransactions[[#This Row],[tenant_id]],tblTenants[tenant_id],tblTenants[category],"NOT FOUND")</f>
        <v>Quick Service</v>
      </c>
    </row>
    <row r="424" spans="1:17">
      <c r="A424" t="s">
        <v>468</v>
      </c>
      <c r="B424" s="2">
        <v>45719</v>
      </c>
      <c r="C424">
        <v>14</v>
      </c>
      <c r="D424" t="s">
        <v>63</v>
      </c>
      <c r="E424" t="s">
        <v>12</v>
      </c>
      <c r="F424" s="7">
        <v>2744.64</v>
      </c>
      <c r="G424" s="10">
        <v>0.3</v>
      </c>
      <c r="H424" s="7">
        <v>1921.25</v>
      </c>
      <c r="I424">
        <v>2</v>
      </c>
      <c r="J424" t="s">
        <v>13</v>
      </c>
      <c r="K424" s="13">
        <f>ROUND(tblTransactions[[#This Row],[gross_sales_inr]]*(1-tblTransactions[[#This Row],[discount_pct]]),2)</f>
        <v>1921.25</v>
      </c>
      <c r="L424" t="str">
        <f>IF(ABS(tblTransactions[[#This Row],[net_sales_inr]]-tblTransactions[[#This Row],[Recalc_Net_Sales]])&lt;0.02,"OK","CHECK")</f>
        <v>OK</v>
      </c>
      <c r="M424" s="14">
        <f>DATE(YEAR(tblTransactions[[#This Row],[date]]),MONTH(tblTransactions[[#This Row],[date]]),1)</f>
        <v>45717</v>
      </c>
      <c r="N424" t="str">
        <f>IF(WEEKDAY(tblTransactions[[#This Row],[date]],2)&gt;5,"Weekend","Weekday")</f>
        <v>Weekday</v>
      </c>
      <c r="O42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424" s="13" t="str">
        <f>_xlfn.XLOOKUP(tblTransactions[[#This Row],[tenant_id]],tblTenants[tenant_id],tblTenants[zone],"NOT FOUND")</f>
        <v>Entertainment</v>
      </c>
      <c r="Q424" s="13" t="str">
        <f>_xlfn.XLOOKUP(tblTransactions[[#This Row],[tenant_id]],tblTenants[tenant_id],tblTenants[category],"NOT FOUND")</f>
        <v>Family Entertainment</v>
      </c>
    </row>
    <row r="425" spans="1:17">
      <c r="A425" t="s">
        <v>469</v>
      </c>
      <c r="B425" s="2">
        <v>45720</v>
      </c>
      <c r="C425">
        <v>19</v>
      </c>
      <c r="D425" t="s">
        <v>45</v>
      </c>
      <c r="E425" t="s">
        <v>32</v>
      </c>
      <c r="F425" s="7">
        <v>526.52</v>
      </c>
      <c r="G425" s="10">
        <v>0</v>
      </c>
      <c r="H425" s="7">
        <v>526.52</v>
      </c>
      <c r="I425">
        <v>4</v>
      </c>
      <c r="J425" t="s">
        <v>13</v>
      </c>
      <c r="K425" s="13">
        <f>ROUND(tblTransactions[[#This Row],[gross_sales_inr]]*(1-tblTransactions[[#This Row],[discount_pct]]),2)</f>
        <v>526.52</v>
      </c>
      <c r="L425" t="str">
        <f>IF(ABS(tblTransactions[[#This Row],[net_sales_inr]]-tblTransactions[[#This Row],[Recalc_Net_Sales]])&lt;0.02,"OK","CHECK")</f>
        <v>OK</v>
      </c>
      <c r="M425" s="14">
        <f>DATE(YEAR(tblTransactions[[#This Row],[date]]),MONTH(tblTransactions[[#This Row],[date]]),1)</f>
        <v>45717</v>
      </c>
      <c r="N425" t="str">
        <f>IF(WEEKDAY(tblTransactions[[#This Row],[date]],2)&gt;5,"Weekend","Weekday")</f>
        <v>Weekday</v>
      </c>
      <c r="O425" s="13" t="str">
        <f>IF(tblTransactions[[#This Row],[discount_pct]]=0,"0%",IF(tblTransactions[[#This Row],[discount_pct]]&lt;=10%,"1–
10%",IF(tblTransactions[[#This Row],[discount_pct]]&lt;=20%,"11–20%","&gt;20%")))</f>
        <v>0%</v>
      </c>
      <c r="P425" s="13" t="str">
        <f>_xlfn.XLOOKUP(tblTransactions[[#This Row],[tenant_id]],tblTenants[tenant_id],tblTenants[zone],"NOT FOUND")</f>
        <v>Home &amp; Living</v>
      </c>
      <c r="Q425" s="13" t="str">
        <f>_xlfn.XLOOKUP(tblTransactions[[#This Row],[tenant_id]],tblTenants[tenant_id],tblTenants[category],"NOT FOUND")</f>
        <v>Home Decor</v>
      </c>
    </row>
    <row r="426" spans="1:17">
      <c r="A426" t="s">
        <v>470</v>
      </c>
      <c r="B426" s="2">
        <v>45726</v>
      </c>
      <c r="C426">
        <v>13</v>
      </c>
      <c r="D426" t="s">
        <v>15</v>
      </c>
      <c r="E426" t="s">
        <v>32</v>
      </c>
      <c r="F426" s="7">
        <v>1039.69</v>
      </c>
      <c r="G426" s="10">
        <v>0.05</v>
      </c>
      <c r="H426" s="7">
        <v>987.71</v>
      </c>
      <c r="I426">
        <v>6</v>
      </c>
      <c r="J426" t="s">
        <v>13</v>
      </c>
      <c r="K426" s="13">
        <f>ROUND(tblTransactions[[#This Row],[gross_sales_inr]]*(1-tblTransactions[[#This Row],[discount_pct]]),2)</f>
        <v>987.71</v>
      </c>
      <c r="L426" t="str">
        <f>IF(ABS(tblTransactions[[#This Row],[net_sales_inr]]-tblTransactions[[#This Row],[Recalc_Net_Sales]])&lt;0.02,"OK","CHECK")</f>
        <v>OK</v>
      </c>
      <c r="M426" s="14">
        <f>DATE(YEAR(tblTransactions[[#This Row],[date]]),MONTH(tblTransactions[[#This Row],[date]]),1)</f>
        <v>45717</v>
      </c>
      <c r="N426" t="str">
        <f>IF(WEEKDAY(tblTransactions[[#This Row],[date]],2)&gt;5,"Weekend","Weekday")</f>
        <v>Weekday</v>
      </c>
      <c r="O42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26" s="13" t="str">
        <f>_xlfn.XLOOKUP(tblTransactions[[#This Row],[tenant_id]],tblTenants[tenant_id],tblTenants[zone],"NOT FOUND")</f>
        <v>Fashion Avenue</v>
      </c>
      <c r="Q426" s="13" t="str">
        <f>_xlfn.XLOOKUP(tblTransactions[[#This Row],[tenant_id]],tblTenants[tenant_id],tblTenants[category],"NOT FOUND")</f>
        <v>Accessories</v>
      </c>
    </row>
    <row r="427" spans="1:17">
      <c r="A427" t="s">
        <v>471</v>
      </c>
      <c r="B427" s="2">
        <v>45752</v>
      </c>
      <c r="C427">
        <v>14</v>
      </c>
      <c r="D427" t="s">
        <v>63</v>
      </c>
      <c r="E427" t="s">
        <v>12</v>
      </c>
      <c r="F427" s="7">
        <v>814.06</v>
      </c>
      <c r="G427" s="10">
        <v>0</v>
      </c>
      <c r="H427" s="7">
        <v>814.06</v>
      </c>
      <c r="I427">
        <v>2</v>
      </c>
      <c r="J427" t="s">
        <v>16</v>
      </c>
      <c r="K427" s="13">
        <f>ROUND(tblTransactions[[#This Row],[gross_sales_inr]]*(1-tblTransactions[[#This Row],[discount_pct]]),2)</f>
        <v>814.06</v>
      </c>
      <c r="L427" t="str">
        <f>IF(ABS(tblTransactions[[#This Row],[net_sales_inr]]-tblTransactions[[#This Row],[Recalc_Net_Sales]])&lt;0.02,"OK","CHECK")</f>
        <v>OK</v>
      </c>
      <c r="M427" s="14">
        <f>DATE(YEAR(tblTransactions[[#This Row],[date]]),MONTH(tblTransactions[[#This Row],[date]]),1)</f>
        <v>45748</v>
      </c>
      <c r="N427" t="str">
        <f>IF(WEEKDAY(tblTransactions[[#This Row],[date]],2)&gt;5,"Weekend","Weekday")</f>
        <v>Weekend</v>
      </c>
      <c r="O427" s="13" t="str">
        <f>IF(tblTransactions[[#This Row],[discount_pct]]=0,"0%",IF(tblTransactions[[#This Row],[discount_pct]]&lt;=10%,"1–
10%",IF(tblTransactions[[#This Row],[discount_pct]]&lt;=20%,"11–20%","&gt;20%")))</f>
        <v>0%</v>
      </c>
      <c r="P427" s="13" t="str">
        <f>_xlfn.XLOOKUP(tblTransactions[[#This Row],[tenant_id]],tblTenants[tenant_id],tblTenants[zone],"NOT FOUND")</f>
        <v>Entertainment</v>
      </c>
      <c r="Q427" s="13" t="str">
        <f>_xlfn.XLOOKUP(tblTransactions[[#This Row],[tenant_id]],tblTenants[tenant_id],tblTenants[category],"NOT FOUND")</f>
        <v>Family Entertainment</v>
      </c>
    </row>
    <row r="428" spans="1:17">
      <c r="A428" t="s">
        <v>472</v>
      </c>
      <c r="B428" s="2">
        <v>45671</v>
      </c>
      <c r="C428">
        <v>13</v>
      </c>
      <c r="D428" t="s">
        <v>59</v>
      </c>
      <c r="E428" t="s">
        <v>21</v>
      </c>
      <c r="F428" s="7">
        <v>1195.49</v>
      </c>
      <c r="G428" s="10">
        <v>0</v>
      </c>
      <c r="H428" s="7">
        <v>1195.49</v>
      </c>
      <c r="I428">
        <v>2</v>
      </c>
      <c r="J428" t="s">
        <v>16</v>
      </c>
      <c r="K428" s="13">
        <f>ROUND(tblTransactions[[#This Row],[gross_sales_inr]]*(1-tblTransactions[[#This Row],[discount_pct]]),2)</f>
        <v>1195.49</v>
      </c>
      <c r="L428" t="str">
        <f>IF(ABS(tblTransactions[[#This Row],[net_sales_inr]]-tblTransactions[[#This Row],[Recalc_Net_Sales]])&lt;0.02,"OK","CHECK")</f>
        <v>OK</v>
      </c>
      <c r="M428" s="14">
        <f>DATE(YEAR(tblTransactions[[#This Row],[date]]),MONTH(tblTransactions[[#This Row],[date]]),1)</f>
        <v>45658</v>
      </c>
      <c r="N428" t="str">
        <f>IF(WEEKDAY(tblTransactions[[#This Row],[date]],2)&gt;5,"Weekend","Weekday")</f>
        <v>Weekday</v>
      </c>
      <c r="O428" s="13" t="str">
        <f>IF(tblTransactions[[#This Row],[discount_pct]]=0,"0%",IF(tblTransactions[[#This Row],[discount_pct]]&lt;=10%,"1–
10%",IF(tblTransactions[[#This Row],[discount_pct]]&lt;=20%,"11–20%","&gt;20%")))</f>
        <v>0%</v>
      </c>
      <c r="P428" s="13" t="str">
        <f>_xlfn.XLOOKUP(tblTransactions[[#This Row],[tenant_id]],tblTenants[tenant_id],tblTenants[zone],"NOT FOUND")</f>
        <v>Fashion Avenue</v>
      </c>
      <c r="Q428" s="13" t="str">
        <f>_xlfn.XLOOKUP(tblTransactions[[#This Row],[tenant_id]],tblTenants[tenant_id],tblTenants[category],"NOT FOUND")</f>
        <v>Footwear</v>
      </c>
    </row>
    <row r="429" spans="1:17">
      <c r="A429" t="s">
        <v>473</v>
      </c>
      <c r="B429" s="2">
        <v>45768</v>
      </c>
      <c r="C429">
        <v>14</v>
      </c>
      <c r="D429" t="s">
        <v>87</v>
      </c>
      <c r="E429" t="s">
        <v>12</v>
      </c>
      <c r="F429" s="7">
        <v>1529.5</v>
      </c>
      <c r="G429" s="10">
        <v>0.05</v>
      </c>
      <c r="H429" s="7">
        <v>1453.02</v>
      </c>
      <c r="I429">
        <v>2</v>
      </c>
      <c r="J429" t="s">
        <v>13</v>
      </c>
      <c r="K429" s="13">
        <f>ROUND(tblTransactions[[#This Row],[gross_sales_inr]]*(1-tblTransactions[[#This Row],[discount_pct]]),2)</f>
        <v>1453.03</v>
      </c>
      <c r="L429" t="str">
        <f>IF(ABS(tblTransactions[[#This Row],[net_sales_inr]]-tblTransactions[[#This Row],[Recalc_Net_Sales]])&lt;0.02,"OK","CHECK")</f>
        <v>OK</v>
      </c>
      <c r="M429" s="14">
        <f>DATE(YEAR(tblTransactions[[#This Row],[date]]),MONTH(tblTransactions[[#This Row],[date]]),1)</f>
        <v>45748</v>
      </c>
      <c r="N429" t="str">
        <f>IF(WEEKDAY(tblTransactions[[#This Row],[date]],2)&gt;5,"Weekend","Weekday")</f>
        <v>Weekday</v>
      </c>
      <c r="O42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29" s="13" t="str">
        <f>_xlfn.XLOOKUP(tblTransactions[[#This Row],[tenant_id]],tblTenants[tenant_id],tblTenants[zone],"NOT FOUND")</f>
        <v>Fashion Avenue</v>
      </c>
      <c r="Q429" s="13" t="str">
        <f>_xlfn.XLOOKUP(tblTransactions[[#This Row],[tenant_id]],tblTenants[tenant_id],tblTenants[category],"NOT FOUND")</f>
        <v>Footwear</v>
      </c>
    </row>
    <row r="430" spans="1:17">
      <c r="A430" t="s">
        <v>474</v>
      </c>
      <c r="B430" s="2">
        <v>45792</v>
      </c>
      <c r="C430">
        <v>19</v>
      </c>
      <c r="D430" t="s">
        <v>36</v>
      </c>
      <c r="E430" t="s">
        <v>21</v>
      </c>
      <c r="F430" s="7">
        <v>474.56</v>
      </c>
      <c r="G430" s="10">
        <v>0</v>
      </c>
      <c r="H430" s="7">
        <v>474.56</v>
      </c>
      <c r="I430">
        <v>1</v>
      </c>
      <c r="J430" t="s">
        <v>13</v>
      </c>
      <c r="K430" s="13">
        <f>ROUND(tblTransactions[[#This Row],[gross_sales_inr]]*(1-tblTransactions[[#This Row],[discount_pct]]),2)</f>
        <v>474.56</v>
      </c>
      <c r="L430" t="str">
        <f>IF(ABS(tblTransactions[[#This Row],[net_sales_inr]]-tblTransactions[[#This Row],[Recalc_Net_Sales]])&lt;0.02,"OK","CHECK")</f>
        <v>OK</v>
      </c>
      <c r="M430" s="14">
        <f>DATE(YEAR(tblTransactions[[#This Row],[date]]),MONTH(tblTransactions[[#This Row],[date]]),1)</f>
        <v>45778</v>
      </c>
      <c r="N430" t="str">
        <f>IF(WEEKDAY(tblTransactions[[#This Row],[date]],2)&gt;5,"Weekend","Weekday")</f>
        <v>Weekday</v>
      </c>
      <c r="O430" s="13" t="str">
        <f>IF(tblTransactions[[#This Row],[discount_pct]]=0,"0%",IF(tblTransactions[[#This Row],[discount_pct]]&lt;=10%,"1–
10%",IF(tblTransactions[[#This Row],[discount_pct]]&lt;=20%,"11–20%","&gt;20%")))</f>
        <v>0%</v>
      </c>
      <c r="P430" s="13" t="str">
        <f>_xlfn.XLOOKUP(tblTransactions[[#This Row],[tenant_id]],tblTenants[tenant_id],tblTenants[zone],"NOT FOUND")</f>
        <v>Home &amp; Living</v>
      </c>
      <c r="Q430" s="13" t="str">
        <f>_xlfn.XLOOKUP(tblTransactions[[#This Row],[tenant_id]],tblTenants[tenant_id],tblTenants[category],"NOT FOUND")</f>
        <v>Electronics</v>
      </c>
    </row>
    <row r="431" spans="1:17">
      <c r="A431" t="s">
        <v>475</v>
      </c>
      <c r="B431" s="2">
        <v>45718</v>
      </c>
      <c r="C431">
        <v>15</v>
      </c>
      <c r="D431" t="s">
        <v>45</v>
      </c>
      <c r="E431" t="s">
        <v>12</v>
      </c>
      <c r="F431" s="7">
        <v>711.3</v>
      </c>
      <c r="G431" s="10">
        <v>0.2</v>
      </c>
      <c r="H431" s="7">
        <v>569.04</v>
      </c>
      <c r="I431">
        <v>1</v>
      </c>
      <c r="J431" t="s">
        <v>13</v>
      </c>
      <c r="K431" s="13">
        <f>ROUND(tblTransactions[[#This Row],[gross_sales_inr]]*(1-tblTransactions[[#This Row],[discount_pct]]),2)</f>
        <v>569.04</v>
      </c>
      <c r="L431" t="str">
        <f>IF(ABS(tblTransactions[[#This Row],[net_sales_inr]]-tblTransactions[[#This Row],[Recalc_Net_Sales]])&lt;0.02,"OK","CHECK")</f>
        <v>OK</v>
      </c>
      <c r="M431" s="14">
        <f>DATE(YEAR(tblTransactions[[#This Row],[date]]),MONTH(tblTransactions[[#This Row],[date]]),1)</f>
        <v>45717</v>
      </c>
      <c r="N431" t="str">
        <f>IF(WEEKDAY(tblTransactions[[#This Row],[date]],2)&gt;5,"Weekend","Weekday")</f>
        <v>Weekend</v>
      </c>
      <c r="O43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31" s="13" t="str">
        <f>_xlfn.XLOOKUP(tblTransactions[[#This Row],[tenant_id]],tblTenants[tenant_id],tblTenants[zone],"NOT FOUND")</f>
        <v>Home &amp; Living</v>
      </c>
      <c r="Q431" s="13" t="str">
        <f>_xlfn.XLOOKUP(tblTransactions[[#This Row],[tenant_id]],tblTenants[tenant_id],tblTenants[category],"NOT FOUND")</f>
        <v>Home Decor</v>
      </c>
    </row>
    <row r="432" spans="1:17">
      <c r="A432" t="s">
        <v>476</v>
      </c>
      <c r="B432" s="2">
        <v>45726</v>
      </c>
      <c r="C432">
        <v>14</v>
      </c>
      <c r="D432" t="s">
        <v>63</v>
      </c>
      <c r="E432" t="s">
        <v>32</v>
      </c>
      <c r="F432" s="7">
        <v>1385.86</v>
      </c>
      <c r="G432" s="10">
        <v>0</v>
      </c>
      <c r="H432" s="7">
        <v>1385.86</v>
      </c>
      <c r="I432">
        <v>1</v>
      </c>
      <c r="J432" t="s">
        <v>16</v>
      </c>
      <c r="K432" s="13">
        <f>ROUND(tblTransactions[[#This Row],[gross_sales_inr]]*(1-tblTransactions[[#This Row],[discount_pct]]),2)</f>
        <v>1385.86</v>
      </c>
      <c r="L432" t="str">
        <f>IF(ABS(tblTransactions[[#This Row],[net_sales_inr]]-tblTransactions[[#This Row],[Recalc_Net_Sales]])&lt;0.02,"OK","CHECK")</f>
        <v>OK</v>
      </c>
      <c r="M432" s="14">
        <f>DATE(YEAR(tblTransactions[[#This Row],[date]]),MONTH(tblTransactions[[#This Row],[date]]),1)</f>
        <v>45717</v>
      </c>
      <c r="N432" t="str">
        <f>IF(WEEKDAY(tblTransactions[[#This Row],[date]],2)&gt;5,"Weekend","Weekday")</f>
        <v>Weekday</v>
      </c>
      <c r="O432" s="13" t="str">
        <f>IF(tblTransactions[[#This Row],[discount_pct]]=0,"0%",IF(tblTransactions[[#This Row],[discount_pct]]&lt;=10%,"1–
10%",IF(tblTransactions[[#This Row],[discount_pct]]&lt;=20%,"11–20%","&gt;20%")))</f>
        <v>0%</v>
      </c>
      <c r="P432" s="13" t="str">
        <f>_xlfn.XLOOKUP(tblTransactions[[#This Row],[tenant_id]],tblTenants[tenant_id],tblTenants[zone],"NOT FOUND")</f>
        <v>Entertainment</v>
      </c>
      <c r="Q432" s="13" t="str">
        <f>_xlfn.XLOOKUP(tblTransactions[[#This Row],[tenant_id]],tblTenants[tenant_id],tblTenants[category],"NOT FOUND")</f>
        <v>Family Entertainment</v>
      </c>
    </row>
    <row r="433" spans="1:17">
      <c r="A433" t="s">
        <v>477</v>
      </c>
      <c r="B433" s="2">
        <v>45681</v>
      </c>
      <c r="C433">
        <v>20</v>
      </c>
      <c r="D433" t="s">
        <v>34</v>
      </c>
      <c r="E433" t="s">
        <v>12</v>
      </c>
      <c r="F433" s="7">
        <v>664.57</v>
      </c>
      <c r="G433" s="10">
        <v>0</v>
      </c>
      <c r="H433" s="7">
        <v>664.57</v>
      </c>
      <c r="I433">
        <v>2</v>
      </c>
      <c r="J433" t="s">
        <v>13</v>
      </c>
      <c r="K433" s="13">
        <f>ROUND(tblTransactions[[#This Row],[gross_sales_inr]]*(1-tblTransactions[[#This Row],[discount_pct]]),2)</f>
        <v>664.57</v>
      </c>
      <c r="L433" t="str">
        <f>IF(ABS(tblTransactions[[#This Row],[net_sales_inr]]-tblTransactions[[#This Row],[Recalc_Net_Sales]])&lt;0.02,"OK","CHECK")</f>
        <v>OK</v>
      </c>
      <c r="M433" s="14">
        <f>DATE(YEAR(tblTransactions[[#This Row],[date]]),MONTH(tblTransactions[[#This Row],[date]]),1)</f>
        <v>45658</v>
      </c>
      <c r="N433" t="str">
        <f>IF(WEEKDAY(tblTransactions[[#This Row],[date]],2)&gt;5,"Weekend","Weekday")</f>
        <v>Weekday</v>
      </c>
      <c r="O433" s="13" t="str">
        <f>IF(tblTransactions[[#This Row],[discount_pct]]=0,"0%",IF(tblTransactions[[#This Row],[discount_pct]]&lt;=10%,"1–
10%",IF(tblTransactions[[#This Row],[discount_pct]]&lt;=20%,"11–20%","&gt;20%")))</f>
        <v>0%</v>
      </c>
      <c r="P433" s="13" t="str">
        <f>_xlfn.XLOOKUP(tblTransactions[[#This Row],[tenant_id]],tblTenants[tenant_id],tblTenants[zone],"NOT FOUND")</f>
        <v>Home &amp; Living</v>
      </c>
      <c r="Q433" s="13" t="str">
        <f>_xlfn.XLOOKUP(tblTransactions[[#This Row],[tenant_id]],tblTenants[tenant_id],tblTenants[category],"NOT FOUND")</f>
        <v>Electronics</v>
      </c>
    </row>
    <row r="434" spans="1:17">
      <c r="A434" t="s">
        <v>478</v>
      </c>
      <c r="B434" s="2">
        <v>45729</v>
      </c>
      <c r="C434">
        <v>13</v>
      </c>
      <c r="D434" t="s">
        <v>70</v>
      </c>
      <c r="E434" t="s">
        <v>12</v>
      </c>
      <c r="F434" s="7">
        <v>527.05999999999995</v>
      </c>
      <c r="G434" s="10">
        <v>0</v>
      </c>
      <c r="H434" s="7">
        <v>527.05999999999995</v>
      </c>
      <c r="I434">
        <v>2</v>
      </c>
      <c r="J434" t="s">
        <v>13</v>
      </c>
      <c r="K434" s="13">
        <f>ROUND(tblTransactions[[#This Row],[gross_sales_inr]]*(1-tblTransactions[[#This Row],[discount_pct]]),2)</f>
        <v>527.05999999999995</v>
      </c>
      <c r="L434" t="str">
        <f>IF(ABS(tblTransactions[[#This Row],[net_sales_inr]]-tblTransactions[[#This Row],[Recalc_Net_Sales]])&lt;0.02,"OK","CHECK")</f>
        <v>OK</v>
      </c>
      <c r="M434" s="14">
        <f>DATE(YEAR(tblTransactions[[#This Row],[date]]),MONTH(tblTransactions[[#This Row],[date]]),1)</f>
        <v>45717</v>
      </c>
      <c r="N434" t="str">
        <f>IF(WEEKDAY(tblTransactions[[#This Row],[date]],2)&gt;5,"Weekend","Weekday")</f>
        <v>Weekday</v>
      </c>
      <c r="O434" s="13" t="str">
        <f>IF(tblTransactions[[#This Row],[discount_pct]]=0,"0%",IF(tblTransactions[[#This Row],[discount_pct]]&lt;=10%,"1–
10%",IF(tblTransactions[[#This Row],[discount_pct]]&lt;=20%,"11–20%","&gt;20%")))</f>
        <v>0%</v>
      </c>
      <c r="P434" s="13" t="str">
        <f>_xlfn.XLOOKUP(tblTransactions[[#This Row],[tenant_id]],tblTenants[tenant_id],tblTenants[zone],"NOT FOUND")</f>
        <v>Food Court</v>
      </c>
      <c r="Q434" s="13" t="str">
        <f>_xlfn.XLOOKUP(tblTransactions[[#This Row],[tenant_id]],tblTenants[tenant_id],tblTenants[category],"NOT FOUND")</f>
        <v>Quick Service</v>
      </c>
    </row>
    <row r="435" spans="1:17">
      <c r="A435" t="s">
        <v>479</v>
      </c>
      <c r="B435" s="2">
        <v>45753</v>
      </c>
      <c r="C435">
        <v>17</v>
      </c>
      <c r="D435" t="s">
        <v>43</v>
      </c>
      <c r="E435" t="s">
        <v>12</v>
      </c>
      <c r="F435" s="7">
        <v>739.86</v>
      </c>
      <c r="G435" s="10">
        <v>0.3</v>
      </c>
      <c r="H435" s="7">
        <v>517.9</v>
      </c>
      <c r="I435">
        <v>5</v>
      </c>
      <c r="J435" t="s">
        <v>13</v>
      </c>
      <c r="K435" s="13">
        <f>ROUND(tblTransactions[[#This Row],[gross_sales_inr]]*(1-tblTransactions[[#This Row],[discount_pct]]),2)</f>
        <v>517.9</v>
      </c>
      <c r="L435" t="str">
        <f>IF(ABS(tblTransactions[[#This Row],[net_sales_inr]]-tblTransactions[[#This Row],[Recalc_Net_Sales]])&lt;0.02,"OK","CHECK")</f>
        <v>OK</v>
      </c>
      <c r="M435" s="14">
        <f>DATE(YEAR(tblTransactions[[#This Row],[date]]),MONTH(tblTransactions[[#This Row],[date]]),1)</f>
        <v>45748</v>
      </c>
      <c r="N435" t="str">
        <f>IF(WEEKDAY(tblTransactions[[#This Row],[date]],2)&gt;5,"Weekend","Weekday")</f>
        <v>Weekend</v>
      </c>
      <c r="O435" s="13" t="str">
        <f>IF(tblTransactions[[#This Row],[discount_pct]]=0,"0%",IF(tblTransactions[[#This Row],[discount_pct]]&lt;=10%,"1–
10%",IF(tblTransactions[[#This Row],[discount_pct]]&lt;=20%,"11–20%","&gt;20%")))</f>
        <v>&gt;20%</v>
      </c>
      <c r="P435" s="13" t="str">
        <f>_xlfn.XLOOKUP(tblTransactions[[#This Row],[tenant_id]],tblTenants[tenant_id],tblTenants[zone],"NOT FOUND")</f>
        <v>Food Court</v>
      </c>
      <c r="Q435" s="13" t="str">
        <f>_xlfn.XLOOKUP(tblTransactions[[#This Row],[tenant_id]],tblTenants[tenant_id],tblTenants[category],"NOT FOUND")</f>
        <v>Casual Dining</v>
      </c>
    </row>
    <row r="436" spans="1:17">
      <c r="A436" t="s">
        <v>480</v>
      </c>
      <c r="B436" s="2">
        <v>45813</v>
      </c>
      <c r="C436">
        <v>12</v>
      </c>
      <c r="D436" t="s">
        <v>20</v>
      </c>
      <c r="E436" t="s">
        <v>12</v>
      </c>
      <c r="F436" s="7">
        <v>548.4</v>
      </c>
      <c r="G436" s="10">
        <v>0.05</v>
      </c>
      <c r="H436" s="7">
        <v>520.98</v>
      </c>
      <c r="I436">
        <v>3</v>
      </c>
      <c r="J436" t="s">
        <v>13</v>
      </c>
      <c r="K436" s="13">
        <f>ROUND(tblTransactions[[#This Row],[gross_sales_inr]]*(1-tblTransactions[[#This Row],[discount_pct]]),2)</f>
        <v>520.98</v>
      </c>
      <c r="L436" t="str">
        <f>IF(ABS(tblTransactions[[#This Row],[net_sales_inr]]-tblTransactions[[#This Row],[Recalc_Net_Sales]])&lt;0.02,"OK","CHECK")</f>
        <v>OK</v>
      </c>
      <c r="M436" s="14">
        <f>DATE(YEAR(tblTransactions[[#This Row],[date]]),MONTH(tblTransactions[[#This Row],[date]]),1)</f>
        <v>45809</v>
      </c>
      <c r="N436" t="str">
        <f>IF(WEEKDAY(tblTransactions[[#This Row],[date]],2)&gt;5,"Weekend","Weekday")</f>
        <v>Weekday</v>
      </c>
      <c r="O43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36" s="13" t="str">
        <f>_xlfn.XLOOKUP(tblTransactions[[#This Row],[tenant_id]],tblTenants[tenant_id],tblTenants[zone],"NOT FOUND")</f>
        <v>Fashion Avenue</v>
      </c>
      <c r="Q436" s="13" t="str">
        <f>_xlfn.XLOOKUP(tblTransactions[[#This Row],[tenant_id]],tblTenants[tenant_id],tblTenants[category],"NOT FOUND")</f>
        <v>Accessories</v>
      </c>
    </row>
    <row r="437" spans="1:17">
      <c r="A437" t="s">
        <v>481</v>
      </c>
      <c r="B437" s="2">
        <v>45736</v>
      </c>
      <c r="C437">
        <v>12</v>
      </c>
      <c r="D437" t="s">
        <v>63</v>
      </c>
      <c r="E437" t="s">
        <v>12</v>
      </c>
      <c r="F437" s="7">
        <v>1245.69</v>
      </c>
      <c r="G437" s="10">
        <v>0.1</v>
      </c>
      <c r="H437" s="7">
        <v>1121.1199999999999</v>
      </c>
      <c r="I437">
        <v>1</v>
      </c>
      <c r="J437" t="s">
        <v>13</v>
      </c>
      <c r="K437" s="13">
        <f>ROUND(tblTransactions[[#This Row],[gross_sales_inr]]*(1-tblTransactions[[#This Row],[discount_pct]]),2)</f>
        <v>1121.1199999999999</v>
      </c>
      <c r="L437" t="str">
        <f>IF(ABS(tblTransactions[[#This Row],[net_sales_inr]]-tblTransactions[[#This Row],[Recalc_Net_Sales]])&lt;0.02,"OK","CHECK")</f>
        <v>OK</v>
      </c>
      <c r="M437" s="14">
        <f>DATE(YEAR(tblTransactions[[#This Row],[date]]),MONTH(tblTransactions[[#This Row],[date]]),1)</f>
        <v>45717</v>
      </c>
      <c r="N437" t="str">
        <f>IF(WEEKDAY(tblTransactions[[#This Row],[date]],2)&gt;5,"Weekend","Weekday")</f>
        <v>Weekday</v>
      </c>
      <c r="O43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37" s="13" t="str">
        <f>_xlfn.XLOOKUP(tblTransactions[[#This Row],[tenant_id]],tblTenants[tenant_id],tblTenants[zone],"NOT FOUND")</f>
        <v>Entertainment</v>
      </c>
      <c r="Q437" s="13" t="str">
        <f>_xlfn.XLOOKUP(tblTransactions[[#This Row],[tenant_id]],tblTenants[tenant_id],tblTenants[category],"NOT FOUND")</f>
        <v>Family Entertainment</v>
      </c>
    </row>
    <row r="438" spans="1:17">
      <c r="A438" t="s">
        <v>482</v>
      </c>
      <c r="B438" s="2">
        <v>45828</v>
      </c>
      <c r="C438">
        <v>16</v>
      </c>
      <c r="D438" t="s">
        <v>41</v>
      </c>
      <c r="E438" t="s">
        <v>12</v>
      </c>
      <c r="F438" s="7">
        <v>630.39</v>
      </c>
      <c r="G438" s="10">
        <v>0</v>
      </c>
      <c r="H438" s="7">
        <v>630.39</v>
      </c>
      <c r="I438">
        <v>3</v>
      </c>
      <c r="J438" t="s">
        <v>16</v>
      </c>
      <c r="K438" s="13">
        <f>ROUND(tblTransactions[[#This Row],[gross_sales_inr]]*(1-tblTransactions[[#This Row],[discount_pct]]),2)</f>
        <v>630.39</v>
      </c>
      <c r="L438" t="str">
        <f>IF(ABS(tblTransactions[[#This Row],[net_sales_inr]]-tblTransactions[[#This Row],[Recalc_Net_Sales]])&lt;0.02,"OK","CHECK")</f>
        <v>OK</v>
      </c>
      <c r="M438" s="14">
        <f>DATE(YEAR(tblTransactions[[#This Row],[date]]),MONTH(tblTransactions[[#This Row],[date]]),1)</f>
        <v>45809</v>
      </c>
      <c r="N438" t="str">
        <f>IF(WEEKDAY(tblTransactions[[#This Row],[date]],2)&gt;5,"Weekend","Weekday")</f>
        <v>Weekday</v>
      </c>
      <c r="O438" s="13" t="str">
        <f>IF(tblTransactions[[#This Row],[discount_pct]]=0,"0%",IF(tblTransactions[[#This Row],[discount_pct]]&lt;=10%,"1–
10%",IF(tblTransactions[[#This Row],[discount_pct]]&lt;=20%,"11–20%","&gt;20%")))</f>
        <v>0%</v>
      </c>
      <c r="P438" s="13" t="str">
        <f>_xlfn.XLOOKUP(tblTransactions[[#This Row],[tenant_id]],tblTenants[tenant_id],tblTenants[zone],"NOT FOUND")</f>
        <v>Fashion Avenue</v>
      </c>
      <c r="Q438" s="13" t="str">
        <f>_xlfn.XLOOKUP(tblTransactions[[#This Row],[tenant_id]],tblTenants[tenant_id],tblTenants[category],"NOT FOUND")</f>
        <v>Clothing</v>
      </c>
    </row>
    <row r="439" spans="1:17">
      <c r="A439" t="s">
        <v>483</v>
      </c>
      <c r="B439" s="2">
        <v>45672</v>
      </c>
      <c r="C439">
        <v>22</v>
      </c>
      <c r="D439" t="s">
        <v>25</v>
      </c>
      <c r="E439" t="s">
        <v>51</v>
      </c>
      <c r="F439" s="7">
        <v>1678.57</v>
      </c>
      <c r="G439" s="10">
        <v>0.1</v>
      </c>
      <c r="H439" s="7">
        <v>1510.71</v>
      </c>
      <c r="I439">
        <v>4</v>
      </c>
      <c r="J439" t="s">
        <v>16</v>
      </c>
      <c r="K439" s="13">
        <f>ROUND(tblTransactions[[#This Row],[gross_sales_inr]]*(1-tblTransactions[[#This Row],[discount_pct]]),2)</f>
        <v>1510.71</v>
      </c>
      <c r="L439" t="str">
        <f>IF(ABS(tblTransactions[[#This Row],[net_sales_inr]]-tblTransactions[[#This Row],[Recalc_Net_Sales]])&lt;0.02,"OK","CHECK")</f>
        <v>OK</v>
      </c>
      <c r="M439" s="14">
        <f>DATE(YEAR(tblTransactions[[#This Row],[date]]),MONTH(tblTransactions[[#This Row],[date]]),1)</f>
        <v>45658</v>
      </c>
      <c r="N439" t="str">
        <f>IF(WEEKDAY(tblTransactions[[#This Row],[date]],2)&gt;5,"Weekend","Weekday")</f>
        <v>Weekday</v>
      </c>
      <c r="O43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39" s="13" t="str">
        <f>_xlfn.XLOOKUP(tblTransactions[[#This Row],[tenant_id]],tblTenants[tenant_id],tblTenants[zone],"NOT FOUND")</f>
        <v>Beauty &amp; Wellness</v>
      </c>
      <c r="Q439" s="13" t="str">
        <f>_xlfn.XLOOKUP(tblTransactions[[#This Row],[tenant_id]],tblTenants[tenant_id],tblTenants[category],"NOT FOUND")</f>
        <v>Beauty</v>
      </c>
    </row>
    <row r="440" spans="1:17">
      <c r="A440" t="s">
        <v>484</v>
      </c>
      <c r="B440" s="2">
        <v>45786</v>
      </c>
      <c r="C440">
        <v>15</v>
      </c>
      <c r="D440" t="s">
        <v>63</v>
      </c>
      <c r="E440" t="s">
        <v>12</v>
      </c>
      <c r="F440" s="7">
        <v>883.14</v>
      </c>
      <c r="G440" s="10">
        <v>0.1</v>
      </c>
      <c r="H440" s="7">
        <v>794.83</v>
      </c>
      <c r="I440">
        <v>1</v>
      </c>
      <c r="J440" t="s">
        <v>13</v>
      </c>
      <c r="K440" s="13">
        <f>ROUND(tblTransactions[[#This Row],[gross_sales_inr]]*(1-tblTransactions[[#This Row],[discount_pct]]),2)</f>
        <v>794.83</v>
      </c>
      <c r="L440" t="str">
        <f>IF(ABS(tblTransactions[[#This Row],[net_sales_inr]]-tblTransactions[[#This Row],[Recalc_Net_Sales]])&lt;0.02,"OK","CHECK")</f>
        <v>OK</v>
      </c>
      <c r="M440" s="14">
        <f>DATE(YEAR(tblTransactions[[#This Row],[date]]),MONTH(tblTransactions[[#This Row],[date]]),1)</f>
        <v>45778</v>
      </c>
      <c r="N440" t="str">
        <f>IF(WEEKDAY(tblTransactions[[#This Row],[date]],2)&gt;5,"Weekend","Weekday")</f>
        <v>Weekday</v>
      </c>
      <c r="O44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40" s="13" t="str">
        <f>_xlfn.XLOOKUP(tblTransactions[[#This Row],[tenant_id]],tblTenants[tenant_id],tblTenants[zone],"NOT FOUND")</f>
        <v>Entertainment</v>
      </c>
      <c r="Q440" s="13" t="str">
        <f>_xlfn.XLOOKUP(tblTransactions[[#This Row],[tenant_id]],tblTenants[tenant_id],tblTenants[category],"NOT FOUND")</f>
        <v>Family Entertainment</v>
      </c>
    </row>
    <row r="441" spans="1:17">
      <c r="A441" t="s">
        <v>485</v>
      </c>
      <c r="B441" s="2">
        <v>45746</v>
      </c>
      <c r="C441">
        <v>14</v>
      </c>
      <c r="D441" t="s">
        <v>20</v>
      </c>
      <c r="E441" t="s">
        <v>12</v>
      </c>
      <c r="F441" s="7">
        <v>1843.26</v>
      </c>
      <c r="G441" s="10">
        <v>0</v>
      </c>
      <c r="H441" s="7">
        <v>1843.26</v>
      </c>
      <c r="I441">
        <v>4</v>
      </c>
      <c r="J441" t="s">
        <v>13</v>
      </c>
      <c r="K441" s="13">
        <f>ROUND(tblTransactions[[#This Row],[gross_sales_inr]]*(1-tblTransactions[[#This Row],[discount_pct]]),2)</f>
        <v>1843.26</v>
      </c>
      <c r="L441" t="str">
        <f>IF(ABS(tblTransactions[[#This Row],[net_sales_inr]]-tblTransactions[[#This Row],[Recalc_Net_Sales]])&lt;0.02,"OK","CHECK")</f>
        <v>OK</v>
      </c>
      <c r="M441" s="14">
        <f>DATE(YEAR(tblTransactions[[#This Row],[date]]),MONTH(tblTransactions[[#This Row],[date]]),1)</f>
        <v>45717</v>
      </c>
      <c r="N441" t="str">
        <f>IF(WEEKDAY(tblTransactions[[#This Row],[date]],2)&gt;5,"Weekend","Weekday")</f>
        <v>Weekend</v>
      </c>
      <c r="O441" s="13" t="str">
        <f>IF(tblTransactions[[#This Row],[discount_pct]]=0,"0%",IF(tblTransactions[[#This Row],[discount_pct]]&lt;=10%,"1–
10%",IF(tblTransactions[[#This Row],[discount_pct]]&lt;=20%,"11–20%","&gt;20%")))</f>
        <v>0%</v>
      </c>
      <c r="P441" s="13" t="str">
        <f>_xlfn.XLOOKUP(tblTransactions[[#This Row],[tenant_id]],tblTenants[tenant_id],tblTenants[zone],"NOT FOUND")</f>
        <v>Fashion Avenue</v>
      </c>
      <c r="Q441" s="13" t="str">
        <f>_xlfn.XLOOKUP(tblTransactions[[#This Row],[tenant_id]],tblTenants[tenant_id],tblTenants[category],"NOT FOUND")</f>
        <v>Accessories</v>
      </c>
    </row>
    <row r="442" spans="1:17">
      <c r="A442" t="s">
        <v>486</v>
      </c>
      <c r="B442" s="2">
        <v>45760</v>
      </c>
      <c r="C442">
        <v>14</v>
      </c>
      <c r="D442" t="s">
        <v>34</v>
      </c>
      <c r="E442" t="s">
        <v>21</v>
      </c>
      <c r="F442" s="7">
        <v>732.23</v>
      </c>
      <c r="G442" s="10">
        <v>0</v>
      </c>
      <c r="H442" s="7">
        <v>732.23</v>
      </c>
      <c r="I442">
        <v>3</v>
      </c>
      <c r="J442" t="s">
        <v>13</v>
      </c>
      <c r="K442" s="13">
        <f>ROUND(tblTransactions[[#This Row],[gross_sales_inr]]*(1-tblTransactions[[#This Row],[discount_pct]]),2)</f>
        <v>732.23</v>
      </c>
      <c r="L442" t="str">
        <f>IF(ABS(tblTransactions[[#This Row],[net_sales_inr]]-tblTransactions[[#This Row],[Recalc_Net_Sales]])&lt;0.02,"OK","CHECK")</f>
        <v>OK</v>
      </c>
      <c r="M442" s="14">
        <f>DATE(YEAR(tblTransactions[[#This Row],[date]]),MONTH(tblTransactions[[#This Row],[date]]),1)</f>
        <v>45748</v>
      </c>
      <c r="N442" t="str">
        <f>IF(WEEKDAY(tblTransactions[[#This Row],[date]],2)&gt;5,"Weekend","Weekday")</f>
        <v>Weekend</v>
      </c>
      <c r="O442" s="13" t="str">
        <f>IF(tblTransactions[[#This Row],[discount_pct]]=0,"0%",IF(tblTransactions[[#This Row],[discount_pct]]&lt;=10%,"1–
10%",IF(tblTransactions[[#This Row],[discount_pct]]&lt;=20%,"11–20%","&gt;20%")))</f>
        <v>0%</v>
      </c>
      <c r="P442" s="13" t="str">
        <f>_xlfn.XLOOKUP(tblTransactions[[#This Row],[tenant_id]],tblTenants[tenant_id],tblTenants[zone],"NOT FOUND")</f>
        <v>Home &amp; Living</v>
      </c>
      <c r="Q442" s="13" t="str">
        <f>_xlfn.XLOOKUP(tblTransactions[[#This Row],[tenant_id]],tblTenants[tenant_id],tblTenants[category],"NOT FOUND")</f>
        <v>Electronics</v>
      </c>
    </row>
    <row r="443" spans="1:17">
      <c r="A443" t="s">
        <v>487</v>
      </c>
      <c r="B443" s="2">
        <v>45741</v>
      </c>
      <c r="C443">
        <v>17</v>
      </c>
      <c r="D443" t="s">
        <v>80</v>
      </c>
      <c r="E443" t="s">
        <v>32</v>
      </c>
      <c r="F443" s="7">
        <v>1938.47</v>
      </c>
      <c r="G443" s="10">
        <v>0.1</v>
      </c>
      <c r="H443" s="7">
        <v>1744.62</v>
      </c>
      <c r="I443">
        <v>3</v>
      </c>
      <c r="J443" t="s">
        <v>13</v>
      </c>
      <c r="K443" s="13">
        <f>ROUND(tblTransactions[[#This Row],[gross_sales_inr]]*(1-tblTransactions[[#This Row],[discount_pct]]),2)</f>
        <v>1744.62</v>
      </c>
      <c r="L443" t="str">
        <f>IF(ABS(tblTransactions[[#This Row],[net_sales_inr]]-tblTransactions[[#This Row],[Recalc_Net_Sales]])&lt;0.02,"OK","CHECK")</f>
        <v>OK</v>
      </c>
      <c r="M443" s="14">
        <f>DATE(YEAR(tblTransactions[[#This Row],[date]]),MONTH(tblTransactions[[#This Row],[date]]),1)</f>
        <v>45717</v>
      </c>
      <c r="N443" t="str">
        <f>IF(WEEKDAY(tblTransactions[[#This Row],[date]],2)&gt;5,"Weekend","Weekday")</f>
        <v>Weekday</v>
      </c>
      <c r="O44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43" s="13" t="str">
        <f>_xlfn.XLOOKUP(tblTransactions[[#This Row],[tenant_id]],tblTenants[tenant_id],tblTenants[zone],"NOT FOUND")</f>
        <v>Food Court</v>
      </c>
      <c r="Q443" s="13" t="str">
        <f>_xlfn.XLOOKUP(tblTransactions[[#This Row],[tenant_id]],tblTenants[tenant_id],tblTenants[category],"NOT FOUND")</f>
        <v>Casual Dining</v>
      </c>
    </row>
    <row r="444" spans="1:17">
      <c r="A444" t="s">
        <v>488</v>
      </c>
      <c r="B444" s="2">
        <v>45727</v>
      </c>
      <c r="C444">
        <v>12</v>
      </c>
      <c r="D444" t="s">
        <v>85</v>
      </c>
      <c r="E444" t="s">
        <v>32</v>
      </c>
      <c r="F444" s="7">
        <v>1503.46</v>
      </c>
      <c r="G444" s="10">
        <v>0</v>
      </c>
      <c r="H444" s="7">
        <v>1503.46</v>
      </c>
      <c r="I444">
        <v>2</v>
      </c>
      <c r="J444" t="s">
        <v>13</v>
      </c>
      <c r="K444" s="13">
        <f>ROUND(tblTransactions[[#This Row],[gross_sales_inr]]*(1-tblTransactions[[#This Row],[discount_pct]]),2)</f>
        <v>1503.46</v>
      </c>
      <c r="L444" t="str">
        <f>IF(ABS(tblTransactions[[#This Row],[net_sales_inr]]-tblTransactions[[#This Row],[Recalc_Net_Sales]])&lt;0.02,"OK","CHECK")</f>
        <v>OK</v>
      </c>
      <c r="M444" s="14">
        <f>DATE(YEAR(tblTransactions[[#This Row],[date]]),MONTH(tblTransactions[[#This Row],[date]]),1)</f>
        <v>45717</v>
      </c>
      <c r="N444" t="str">
        <f>IF(WEEKDAY(tblTransactions[[#This Row],[date]],2)&gt;5,"Weekend","Weekday")</f>
        <v>Weekday</v>
      </c>
      <c r="O444" s="13" t="str">
        <f>IF(tblTransactions[[#This Row],[discount_pct]]=0,"0%",IF(tblTransactions[[#This Row],[discount_pct]]&lt;=10%,"1–
10%",IF(tblTransactions[[#This Row],[discount_pct]]&lt;=20%,"11–20%","&gt;20%")))</f>
        <v>0%</v>
      </c>
      <c r="P444" s="13" t="str">
        <f>_xlfn.XLOOKUP(tblTransactions[[#This Row],[tenant_id]],tblTenants[tenant_id],tblTenants[zone],"NOT FOUND")</f>
        <v>Home &amp; Living</v>
      </c>
      <c r="Q444" s="13" t="str">
        <f>_xlfn.XLOOKUP(tblTransactions[[#This Row],[tenant_id]],tblTenants[tenant_id],tblTenants[category],"NOT FOUND")</f>
        <v>Electronics</v>
      </c>
    </row>
    <row r="445" spans="1:17">
      <c r="A445" t="s">
        <v>489</v>
      </c>
      <c r="B445" s="2">
        <v>45700</v>
      </c>
      <c r="C445">
        <v>19</v>
      </c>
      <c r="D445" t="s">
        <v>59</v>
      </c>
      <c r="E445" t="s">
        <v>32</v>
      </c>
      <c r="F445" s="7">
        <v>1123.76</v>
      </c>
      <c r="G445" s="10">
        <v>0.1</v>
      </c>
      <c r="H445" s="7">
        <v>1011.38</v>
      </c>
      <c r="I445">
        <v>2</v>
      </c>
      <c r="J445" t="s">
        <v>13</v>
      </c>
      <c r="K445" s="13">
        <f>ROUND(tblTransactions[[#This Row],[gross_sales_inr]]*(1-tblTransactions[[#This Row],[discount_pct]]),2)</f>
        <v>1011.38</v>
      </c>
      <c r="L445" t="str">
        <f>IF(ABS(tblTransactions[[#This Row],[net_sales_inr]]-tblTransactions[[#This Row],[Recalc_Net_Sales]])&lt;0.02,"OK","CHECK")</f>
        <v>OK</v>
      </c>
      <c r="M445" s="14">
        <f>DATE(YEAR(tblTransactions[[#This Row],[date]]),MONTH(tblTransactions[[#This Row],[date]]),1)</f>
        <v>45689</v>
      </c>
      <c r="N445" t="str">
        <f>IF(WEEKDAY(tblTransactions[[#This Row],[date]],2)&gt;5,"Weekend","Weekday")</f>
        <v>Weekday</v>
      </c>
      <c r="O44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45" s="13" t="str">
        <f>_xlfn.XLOOKUP(tblTransactions[[#This Row],[tenant_id]],tblTenants[tenant_id],tblTenants[zone],"NOT FOUND")</f>
        <v>Fashion Avenue</v>
      </c>
      <c r="Q445" s="13" t="str">
        <f>_xlfn.XLOOKUP(tblTransactions[[#This Row],[tenant_id]],tblTenants[tenant_id],tblTenants[category],"NOT FOUND")</f>
        <v>Footwear</v>
      </c>
    </row>
    <row r="446" spans="1:17">
      <c r="A446" t="s">
        <v>490</v>
      </c>
      <c r="B446" s="2">
        <v>45808</v>
      </c>
      <c r="C446">
        <v>20</v>
      </c>
      <c r="D446" t="s">
        <v>98</v>
      </c>
      <c r="E446" t="s">
        <v>32</v>
      </c>
      <c r="F446" s="7">
        <v>1569.67</v>
      </c>
      <c r="G446" s="10">
        <v>0.15</v>
      </c>
      <c r="H446" s="7">
        <v>1334.22</v>
      </c>
      <c r="I446">
        <v>1</v>
      </c>
      <c r="J446" t="s">
        <v>13</v>
      </c>
      <c r="K446" s="13">
        <f>ROUND(tblTransactions[[#This Row],[gross_sales_inr]]*(1-tblTransactions[[#This Row],[discount_pct]]),2)</f>
        <v>1334.22</v>
      </c>
      <c r="L446" t="str">
        <f>IF(ABS(tblTransactions[[#This Row],[net_sales_inr]]-tblTransactions[[#This Row],[Recalc_Net_Sales]])&lt;0.02,"OK","CHECK")</f>
        <v>OK</v>
      </c>
      <c r="M446" s="14">
        <f>DATE(YEAR(tblTransactions[[#This Row],[date]]),MONTH(tblTransactions[[#This Row],[date]]),1)</f>
        <v>45778</v>
      </c>
      <c r="N446" t="str">
        <f>IF(WEEKDAY(tblTransactions[[#This Row],[date]],2)&gt;5,"Weekend","Weekday")</f>
        <v>Weekend</v>
      </c>
      <c r="O44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46" s="13" t="str">
        <f>_xlfn.XLOOKUP(tblTransactions[[#This Row],[tenant_id]],tblTenants[tenant_id],tblTenants[zone],"NOT FOUND")</f>
        <v>Fashion Avenue</v>
      </c>
      <c r="Q446" s="13" t="str">
        <f>_xlfn.XLOOKUP(tblTransactions[[#This Row],[tenant_id]],tblTenants[tenant_id],tblTenants[category],"NOT FOUND")</f>
        <v>Accessories</v>
      </c>
    </row>
    <row r="447" spans="1:17">
      <c r="A447" t="s">
        <v>491</v>
      </c>
      <c r="B447" s="2">
        <v>45821</v>
      </c>
      <c r="C447">
        <v>19</v>
      </c>
      <c r="D447" t="s">
        <v>11</v>
      </c>
      <c r="E447" t="s">
        <v>12</v>
      </c>
      <c r="F447" s="7">
        <v>1660.01</v>
      </c>
      <c r="G447" s="10">
        <v>0.15</v>
      </c>
      <c r="H447" s="7">
        <v>1411.01</v>
      </c>
      <c r="I447">
        <v>1</v>
      </c>
      <c r="J447" t="s">
        <v>16</v>
      </c>
      <c r="K447" s="13">
        <f>ROUND(tblTransactions[[#This Row],[gross_sales_inr]]*(1-tblTransactions[[#This Row],[discount_pct]]),2)</f>
        <v>1411.01</v>
      </c>
      <c r="L447" t="str">
        <f>IF(ABS(tblTransactions[[#This Row],[net_sales_inr]]-tblTransactions[[#This Row],[Recalc_Net_Sales]])&lt;0.02,"OK","CHECK")</f>
        <v>OK</v>
      </c>
      <c r="M447" s="14">
        <f>DATE(YEAR(tblTransactions[[#This Row],[date]]),MONTH(tblTransactions[[#This Row],[date]]),1)</f>
        <v>45809</v>
      </c>
      <c r="N447" t="str">
        <f>IF(WEEKDAY(tblTransactions[[#This Row],[date]],2)&gt;5,"Weekend","Weekday")</f>
        <v>Weekday</v>
      </c>
      <c r="O44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47" s="13" t="str">
        <f>_xlfn.XLOOKUP(tblTransactions[[#This Row],[tenant_id]],tblTenants[tenant_id],tblTenants[zone],"NOT FOUND")</f>
        <v>Home &amp; Living</v>
      </c>
      <c r="Q447" s="13" t="str">
        <f>_xlfn.XLOOKUP(tblTransactions[[#This Row],[tenant_id]],tblTenants[tenant_id],tblTenants[category],"NOT FOUND")</f>
        <v>Home Decor</v>
      </c>
    </row>
    <row r="448" spans="1:17">
      <c r="A448" t="s">
        <v>492</v>
      </c>
      <c r="B448" s="2">
        <v>45805</v>
      </c>
      <c r="C448">
        <v>18</v>
      </c>
      <c r="D448" t="s">
        <v>48</v>
      </c>
      <c r="E448" t="s">
        <v>12</v>
      </c>
      <c r="F448" s="7">
        <v>913.2</v>
      </c>
      <c r="G448" s="10">
        <v>0</v>
      </c>
      <c r="H448" s="7">
        <v>913.2</v>
      </c>
      <c r="I448">
        <v>2</v>
      </c>
      <c r="J448" t="s">
        <v>16</v>
      </c>
      <c r="K448" s="13">
        <f>ROUND(tblTransactions[[#This Row],[gross_sales_inr]]*(1-tblTransactions[[#This Row],[discount_pct]]),2)</f>
        <v>913.2</v>
      </c>
      <c r="L448" t="str">
        <f>IF(ABS(tblTransactions[[#This Row],[net_sales_inr]]-tblTransactions[[#This Row],[Recalc_Net_Sales]])&lt;0.02,"OK","CHECK")</f>
        <v>OK</v>
      </c>
      <c r="M448" s="14">
        <f>DATE(YEAR(tblTransactions[[#This Row],[date]]),MONTH(tblTransactions[[#This Row],[date]]),1)</f>
        <v>45778</v>
      </c>
      <c r="N448" t="str">
        <f>IF(WEEKDAY(tblTransactions[[#This Row],[date]],2)&gt;5,"Weekend","Weekday")</f>
        <v>Weekday</v>
      </c>
      <c r="O448" s="13" t="str">
        <f>IF(tblTransactions[[#This Row],[discount_pct]]=0,"0%",IF(tblTransactions[[#This Row],[discount_pct]]&lt;=10%,"1–
10%",IF(tblTransactions[[#This Row],[discount_pct]]&lt;=20%,"11–20%","&gt;20%")))</f>
        <v>0%</v>
      </c>
      <c r="P448" s="13" t="str">
        <f>_xlfn.XLOOKUP(tblTransactions[[#This Row],[tenant_id]],tblTenants[tenant_id],tblTenants[zone],"NOT FOUND")</f>
        <v>Beauty &amp; Wellness</v>
      </c>
      <c r="Q448" s="13" t="str">
        <f>_xlfn.XLOOKUP(tblTransactions[[#This Row],[tenant_id]],tblTenants[tenant_id],tblTenants[category],"NOT FOUND")</f>
        <v>Wellness</v>
      </c>
    </row>
    <row r="449" spans="1:17">
      <c r="A449" t="s">
        <v>493</v>
      </c>
      <c r="B449" s="2">
        <v>45707</v>
      </c>
      <c r="C449">
        <v>11</v>
      </c>
      <c r="D449" t="s">
        <v>29</v>
      </c>
      <c r="E449" t="s">
        <v>32</v>
      </c>
      <c r="F449" s="7">
        <v>763.33</v>
      </c>
      <c r="G449" s="10">
        <v>0</v>
      </c>
      <c r="H449" s="7">
        <v>763.33</v>
      </c>
      <c r="I449">
        <v>1</v>
      </c>
      <c r="J449" t="s">
        <v>13</v>
      </c>
      <c r="K449" s="13">
        <f>ROUND(tblTransactions[[#This Row],[gross_sales_inr]]*(1-tblTransactions[[#This Row],[discount_pct]]),2)</f>
        <v>763.33</v>
      </c>
      <c r="L449" t="str">
        <f>IF(ABS(tblTransactions[[#This Row],[net_sales_inr]]-tblTransactions[[#This Row],[Recalc_Net_Sales]])&lt;0.02,"OK","CHECK")</f>
        <v>OK</v>
      </c>
      <c r="M449" s="14">
        <f>DATE(YEAR(tblTransactions[[#This Row],[date]]),MONTH(tblTransactions[[#This Row],[date]]),1)</f>
        <v>45689</v>
      </c>
      <c r="N449" t="str">
        <f>IF(WEEKDAY(tblTransactions[[#This Row],[date]],2)&gt;5,"Weekend","Weekday")</f>
        <v>Weekday</v>
      </c>
      <c r="O449" s="13" t="str">
        <f>IF(tblTransactions[[#This Row],[discount_pct]]=0,"0%",IF(tblTransactions[[#This Row],[discount_pct]]&lt;=10%,"1–
10%",IF(tblTransactions[[#This Row],[discount_pct]]&lt;=20%,"11–20%","&gt;20%")))</f>
        <v>0%</v>
      </c>
      <c r="P449" s="13" t="str">
        <f>_xlfn.XLOOKUP(tblTransactions[[#This Row],[tenant_id]],tblTenants[tenant_id],tblTenants[zone],"NOT FOUND")</f>
        <v>Entertainment</v>
      </c>
      <c r="Q449" s="13" t="str">
        <f>_xlfn.XLOOKUP(tblTransactions[[#This Row],[tenant_id]],tblTenants[tenant_id],tblTenants[category],"NOT FOUND")</f>
        <v>Cinema</v>
      </c>
    </row>
    <row r="450" spans="1:17">
      <c r="A450" t="s">
        <v>494</v>
      </c>
      <c r="B450" s="2">
        <v>45671</v>
      </c>
      <c r="C450">
        <v>11</v>
      </c>
      <c r="D450" t="s">
        <v>18</v>
      </c>
      <c r="E450" t="s">
        <v>12</v>
      </c>
      <c r="F450" s="7">
        <v>941.62</v>
      </c>
      <c r="G450" s="10">
        <v>0</v>
      </c>
      <c r="H450" s="7">
        <v>941.62</v>
      </c>
      <c r="I450">
        <v>3</v>
      </c>
      <c r="J450" t="s">
        <v>16</v>
      </c>
      <c r="K450" s="13">
        <f>ROUND(tblTransactions[[#This Row],[gross_sales_inr]]*(1-tblTransactions[[#This Row],[discount_pct]]),2)</f>
        <v>941.62</v>
      </c>
      <c r="L450" t="str">
        <f>IF(ABS(tblTransactions[[#This Row],[net_sales_inr]]-tblTransactions[[#This Row],[Recalc_Net_Sales]])&lt;0.02,"OK","CHECK")</f>
        <v>OK</v>
      </c>
      <c r="M450" s="14">
        <f>DATE(YEAR(tblTransactions[[#This Row],[date]]),MONTH(tblTransactions[[#This Row],[date]]),1)</f>
        <v>45658</v>
      </c>
      <c r="N450" t="str">
        <f>IF(WEEKDAY(tblTransactions[[#This Row],[date]],2)&gt;5,"Weekend","Weekday")</f>
        <v>Weekday</v>
      </c>
      <c r="O450" s="13" t="str">
        <f>IF(tblTransactions[[#This Row],[discount_pct]]=0,"0%",IF(tblTransactions[[#This Row],[discount_pct]]&lt;=10%,"1–
10%",IF(tblTransactions[[#This Row],[discount_pct]]&lt;=20%,"11–20%","&gt;20%")))</f>
        <v>0%</v>
      </c>
      <c r="P450" s="13" t="str">
        <f>_xlfn.XLOOKUP(tblTransactions[[#This Row],[tenant_id]],tblTenants[tenant_id],tblTenants[zone],"NOT FOUND")</f>
        <v>Beauty &amp; Wellness</v>
      </c>
      <c r="Q450" s="13" t="str">
        <f>_xlfn.XLOOKUP(tblTransactions[[#This Row],[tenant_id]],tblTenants[tenant_id],tblTenants[category],"NOT FOUND")</f>
        <v>Beauty</v>
      </c>
    </row>
    <row r="451" spans="1:17">
      <c r="A451" t="s">
        <v>495</v>
      </c>
      <c r="B451" s="2">
        <v>45828</v>
      </c>
      <c r="C451">
        <v>13</v>
      </c>
      <c r="D451" t="s">
        <v>57</v>
      </c>
      <c r="E451" t="s">
        <v>12</v>
      </c>
      <c r="F451" s="7">
        <v>881.73</v>
      </c>
      <c r="G451" s="10">
        <v>0.2</v>
      </c>
      <c r="H451" s="7">
        <v>705.38</v>
      </c>
      <c r="I451">
        <v>4</v>
      </c>
      <c r="J451" t="s">
        <v>13</v>
      </c>
      <c r="K451" s="13">
        <f>ROUND(tblTransactions[[#This Row],[gross_sales_inr]]*(1-tblTransactions[[#This Row],[discount_pct]]),2)</f>
        <v>705.38</v>
      </c>
      <c r="L451" t="str">
        <f>IF(ABS(tblTransactions[[#This Row],[net_sales_inr]]-tblTransactions[[#This Row],[Recalc_Net_Sales]])&lt;0.02,"OK","CHECK")</f>
        <v>OK</v>
      </c>
      <c r="M451" s="14">
        <f>DATE(YEAR(tblTransactions[[#This Row],[date]]),MONTH(tblTransactions[[#This Row],[date]]),1)</f>
        <v>45809</v>
      </c>
      <c r="N451" t="str">
        <f>IF(WEEKDAY(tblTransactions[[#This Row],[date]],2)&gt;5,"Weekend","Weekday")</f>
        <v>Weekday</v>
      </c>
      <c r="O45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51" s="13" t="str">
        <f>_xlfn.XLOOKUP(tblTransactions[[#This Row],[tenant_id]],tblTenants[tenant_id],tblTenants[zone],"NOT FOUND")</f>
        <v>Food Court</v>
      </c>
      <c r="Q451" s="13" t="str">
        <f>_xlfn.XLOOKUP(tblTransactions[[#This Row],[tenant_id]],tblTenants[tenant_id],tblTenants[category],"NOT FOUND")</f>
        <v>Casual Dining</v>
      </c>
    </row>
    <row r="452" spans="1:17">
      <c r="A452" t="s">
        <v>496</v>
      </c>
      <c r="B452" s="2">
        <v>45821</v>
      </c>
      <c r="C452">
        <v>12</v>
      </c>
      <c r="D452" t="s">
        <v>204</v>
      </c>
      <c r="E452" t="s">
        <v>32</v>
      </c>
      <c r="F452" s="7">
        <v>476.79</v>
      </c>
      <c r="G452" s="10">
        <v>0</v>
      </c>
      <c r="H452" s="7">
        <v>476.79</v>
      </c>
      <c r="I452">
        <v>2</v>
      </c>
      <c r="J452" t="s">
        <v>16</v>
      </c>
      <c r="K452" s="13">
        <f>ROUND(tblTransactions[[#This Row],[gross_sales_inr]]*(1-tblTransactions[[#This Row],[discount_pct]]),2)</f>
        <v>476.79</v>
      </c>
      <c r="L452" t="str">
        <f>IF(ABS(tblTransactions[[#This Row],[net_sales_inr]]-tblTransactions[[#This Row],[Recalc_Net_Sales]])&lt;0.02,"OK","CHECK")</f>
        <v>OK</v>
      </c>
      <c r="M452" s="14">
        <f>DATE(YEAR(tblTransactions[[#This Row],[date]]),MONTH(tblTransactions[[#This Row],[date]]),1)</f>
        <v>45809</v>
      </c>
      <c r="N452" t="str">
        <f>IF(WEEKDAY(tblTransactions[[#This Row],[date]],2)&gt;5,"Weekend","Weekday")</f>
        <v>Weekday</v>
      </c>
      <c r="O452" s="13" t="str">
        <f>IF(tblTransactions[[#This Row],[discount_pct]]=0,"0%",IF(tblTransactions[[#This Row],[discount_pct]]&lt;=10%,"1–
10%",IF(tblTransactions[[#This Row],[discount_pct]]&lt;=20%,"11–20%","&gt;20%")))</f>
        <v>0%</v>
      </c>
      <c r="P452" s="13" t="str">
        <f>_xlfn.XLOOKUP(tblTransactions[[#This Row],[tenant_id]],tblTenants[tenant_id],tblTenants[zone],"NOT FOUND")</f>
        <v>Home &amp; Living</v>
      </c>
      <c r="Q452" s="13" t="str">
        <f>_xlfn.XLOOKUP(tblTransactions[[#This Row],[tenant_id]],tblTenants[tenant_id],tblTenants[category],"NOT FOUND")</f>
        <v>Home Decor</v>
      </c>
    </row>
    <row r="453" spans="1:17">
      <c r="A453" t="s">
        <v>497</v>
      </c>
      <c r="B453" s="2">
        <v>45737</v>
      </c>
      <c r="C453">
        <v>19</v>
      </c>
      <c r="D453" t="s">
        <v>20</v>
      </c>
      <c r="E453" t="s">
        <v>32</v>
      </c>
      <c r="F453" s="7">
        <v>635.4</v>
      </c>
      <c r="G453" s="10">
        <v>0.05</v>
      </c>
      <c r="H453" s="7">
        <v>603.63</v>
      </c>
      <c r="I453">
        <v>1</v>
      </c>
      <c r="J453" t="s">
        <v>13</v>
      </c>
      <c r="K453" s="13">
        <f>ROUND(tblTransactions[[#This Row],[gross_sales_inr]]*(1-tblTransactions[[#This Row],[discount_pct]]),2)</f>
        <v>603.63</v>
      </c>
      <c r="L453" t="str">
        <f>IF(ABS(tblTransactions[[#This Row],[net_sales_inr]]-tblTransactions[[#This Row],[Recalc_Net_Sales]])&lt;0.02,"OK","CHECK")</f>
        <v>OK</v>
      </c>
      <c r="M453" s="14">
        <f>DATE(YEAR(tblTransactions[[#This Row],[date]]),MONTH(tblTransactions[[#This Row],[date]]),1)</f>
        <v>45717</v>
      </c>
      <c r="N453" t="str">
        <f>IF(WEEKDAY(tblTransactions[[#This Row],[date]],2)&gt;5,"Weekend","Weekday")</f>
        <v>Weekday</v>
      </c>
      <c r="O45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53" s="13" t="str">
        <f>_xlfn.XLOOKUP(tblTransactions[[#This Row],[tenant_id]],tblTenants[tenant_id],tblTenants[zone],"NOT FOUND")</f>
        <v>Fashion Avenue</v>
      </c>
      <c r="Q453" s="13" t="str">
        <f>_xlfn.XLOOKUP(tblTransactions[[#This Row],[tenant_id]],tblTenants[tenant_id],tblTenants[category],"NOT FOUND")</f>
        <v>Accessories</v>
      </c>
    </row>
    <row r="454" spans="1:17">
      <c r="A454" t="s">
        <v>498</v>
      </c>
      <c r="B454" s="2">
        <v>45715</v>
      </c>
      <c r="C454">
        <v>22</v>
      </c>
      <c r="D454" t="s">
        <v>55</v>
      </c>
      <c r="E454" t="s">
        <v>32</v>
      </c>
      <c r="F454" s="7">
        <v>6047.24</v>
      </c>
      <c r="G454" s="10">
        <v>0</v>
      </c>
      <c r="H454" s="7">
        <v>6047.24</v>
      </c>
      <c r="I454">
        <v>2</v>
      </c>
      <c r="J454" t="s">
        <v>13</v>
      </c>
      <c r="K454" s="13">
        <f>ROUND(tblTransactions[[#This Row],[gross_sales_inr]]*(1-tblTransactions[[#This Row],[discount_pct]]),2)</f>
        <v>6047.24</v>
      </c>
      <c r="L454" t="str">
        <f>IF(ABS(tblTransactions[[#This Row],[net_sales_inr]]-tblTransactions[[#This Row],[Recalc_Net_Sales]])&lt;0.02,"OK","CHECK")</f>
        <v>OK</v>
      </c>
      <c r="M454" s="14">
        <f>DATE(YEAR(tblTransactions[[#This Row],[date]]),MONTH(tblTransactions[[#This Row],[date]]),1)</f>
        <v>45689</v>
      </c>
      <c r="N454" t="str">
        <f>IF(WEEKDAY(tblTransactions[[#This Row],[date]],2)&gt;5,"Weekend","Weekday")</f>
        <v>Weekday</v>
      </c>
      <c r="O454" s="13" t="str">
        <f>IF(tblTransactions[[#This Row],[discount_pct]]=0,"0%",IF(tblTransactions[[#This Row],[discount_pct]]&lt;=10%,"1–
10%",IF(tblTransactions[[#This Row],[discount_pct]]&lt;=20%,"11–20%","&gt;20%")))</f>
        <v>0%</v>
      </c>
      <c r="P454" s="13" t="str">
        <f>_xlfn.XLOOKUP(tblTransactions[[#This Row],[tenant_id]],tblTenants[tenant_id],tblTenants[zone],"NOT FOUND")</f>
        <v>Food Court</v>
      </c>
      <c r="Q454" s="13" t="str">
        <f>_xlfn.XLOOKUP(tblTransactions[[#This Row],[tenant_id]],tblTenants[tenant_id],tblTenants[category],"NOT FOUND")</f>
        <v>Quick Service</v>
      </c>
    </row>
    <row r="455" spans="1:17">
      <c r="A455" t="s">
        <v>499</v>
      </c>
      <c r="B455" s="2">
        <v>45765</v>
      </c>
      <c r="C455">
        <v>20</v>
      </c>
      <c r="D455" t="s">
        <v>204</v>
      </c>
      <c r="E455" t="s">
        <v>12</v>
      </c>
      <c r="F455" s="7">
        <v>356.46</v>
      </c>
      <c r="G455" s="10">
        <v>0.1</v>
      </c>
      <c r="H455" s="7">
        <v>320.81</v>
      </c>
      <c r="I455">
        <v>6</v>
      </c>
      <c r="J455" t="s">
        <v>16</v>
      </c>
      <c r="K455" s="13">
        <f>ROUND(tblTransactions[[#This Row],[gross_sales_inr]]*(1-tblTransactions[[#This Row],[discount_pct]]),2)</f>
        <v>320.81</v>
      </c>
      <c r="L455" t="str">
        <f>IF(ABS(tblTransactions[[#This Row],[net_sales_inr]]-tblTransactions[[#This Row],[Recalc_Net_Sales]])&lt;0.02,"OK","CHECK")</f>
        <v>OK</v>
      </c>
      <c r="M455" s="14">
        <f>DATE(YEAR(tblTransactions[[#This Row],[date]]),MONTH(tblTransactions[[#This Row],[date]]),1)</f>
        <v>45748</v>
      </c>
      <c r="N455" t="str">
        <f>IF(WEEKDAY(tblTransactions[[#This Row],[date]],2)&gt;5,"Weekend","Weekday")</f>
        <v>Weekday</v>
      </c>
      <c r="O45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55" s="13" t="str">
        <f>_xlfn.XLOOKUP(tblTransactions[[#This Row],[tenant_id]],tblTenants[tenant_id],tblTenants[zone],"NOT FOUND")</f>
        <v>Home &amp; Living</v>
      </c>
      <c r="Q455" s="13" t="str">
        <f>_xlfn.XLOOKUP(tblTransactions[[#This Row],[tenant_id]],tblTenants[tenant_id],tblTenants[category],"NOT FOUND")</f>
        <v>Home Decor</v>
      </c>
    </row>
    <row r="456" spans="1:17">
      <c r="A456" t="s">
        <v>500</v>
      </c>
      <c r="B456" s="2">
        <v>45836</v>
      </c>
      <c r="C456">
        <v>18</v>
      </c>
      <c r="D456" t="s">
        <v>36</v>
      </c>
      <c r="E456" t="s">
        <v>32</v>
      </c>
      <c r="F456" s="7">
        <v>1677.51</v>
      </c>
      <c r="G456" s="10">
        <v>0</v>
      </c>
      <c r="H456" s="7">
        <v>1677.51</v>
      </c>
      <c r="I456">
        <v>1</v>
      </c>
      <c r="J456" t="s">
        <v>13</v>
      </c>
      <c r="K456" s="13">
        <f>ROUND(tblTransactions[[#This Row],[gross_sales_inr]]*(1-tblTransactions[[#This Row],[discount_pct]]),2)</f>
        <v>1677.51</v>
      </c>
      <c r="L456" t="str">
        <f>IF(ABS(tblTransactions[[#This Row],[net_sales_inr]]-tblTransactions[[#This Row],[Recalc_Net_Sales]])&lt;0.02,"OK","CHECK")</f>
        <v>OK</v>
      </c>
      <c r="M456" s="14">
        <f>DATE(YEAR(tblTransactions[[#This Row],[date]]),MONTH(tblTransactions[[#This Row],[date]]),1)</f>
        <v>45809</v>
      </c>
      <c r="N456" t="str">
        <f>IF(WEEKDAY(tblTransactions[[#This Row],[date]],2)&gt;5,"Weekend","Weekday")</f>
        <v>Weekend</v>
      </c>
      <c r="O456" s="13" t="str">
        <f>IF(tblTransactions[[#This Row],[discount_pct]]=0,"0%",IF(tblTransactions[[#This Row],[discount_pct]]&lt;=10%,"1–
10%",IF(tblTransactions[[#This Row],[discount_pct]]&lt;=20%,"11–20%","&gt;20%")))</f>
        <v>0%</v>
      </c>
      <c r="P456" s="13" t="str">
        <f>_xlfn.XLOOKUP(tblTransactions[[#This Row],[tenant_id]],tblTenants[tenant_id],tblTenants[zone],"NOT FOUND")</f>
        <v>Home &amp; Living</v>
      </c>
      <c r="Q456" s="13" t="str">
        <f>_xlfn.XLOOKUP(tblTransactions[[#This Row],[tenant_id]],tblTenants[tenant_id],tblTenants[category],"NOT FOUND")</f>
        <v>Electronics</v>
      </c>
    </row>
    <row r="457" spans="1:17">
      <c r="A457" t="s">
        <v>501</v>
      </c>
      <c r="B457" s="2">
        <v>45782</v>
      </c>
      <c r="C457">
        <v>21</v>
      </c>
      <c r="D457" t="s">
        <v>11</v>
      </c>
      <c r="E457" t="s">
        <v>12</v>
      </c>
      <c r="F457" s="7">
        <v>752.61</v>
      </c>
      <c r="G457" s="10">
        <v>0.05</v>
      </c>
      <c r="H457" s="7">
        <v>714.98</v>
      </c>
      <c r="I457">
        <v>1</v>
      </c>
      <c r="J457" t="s">
        <v>13</v>
      </c>
      <c r="K457" s="13">
        <f>ROUND(tblTransactions[[#This Row],[gross_sales_inr]]*(1-tblTransactions[[#This Row],[discount_pct]]),2)</f>
        <v>714.98</v>
      </c>
      <c r="L457" t="str">
        <f>IF(ABS(tblTransactions[[#This Row],[net_sales_inr]]-tblTransactions[[#This Row],[Recalc_Net_Sales]])&lt;0.02,"OK","CHECK")</f>
        <v>OK</v>
      </c>
      <c r="M457" s="14">
        <f>DATE(YEAR(tblTransactions[[#This Row],[date]]),MONTH(tblTransactions[[#This Row],[date]]),1)</f>
        <v>45778</v>
      </c>
      <c r="N457" t="str">
        <f>IF(WEEKDAY(tblTransactions[[#This Row],[date]],2)&gt;5,"Weekend","Weekday")</f>
        <v>Weekday</v>
      </c>
      <c r="O45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57" s="13" t="str">
        <f>_xlfn.XLOOKUP(tblTransactions[[#This Row],[tenant_id]],tblTenants[tenant_id],tblTenants[zone],"NOT FOUND")</f>
        <v>Home &amp; Living</v>
      </c>
      <c r="Q457" s="13" t="str">
        <f>_xlfn.XLOOKUP(tblTransactions[[#This Row],[tenant_id]],tblTenants[tenant_id],tblTenants[category],"NOT FOUND")</f>
        <v>Home Decor</v>
      </c>
    </row>
    <row r="458" spans="1:17">
      <c r="A458" t="s">
        <v>502</v>
      </c>
      <c r="B458" s="2">
        <v>45683</v>
      </c>
      <c r="C458">
        <v>16</v>
      </c>
      <c r="D458" t="s">
        <v>80</v>
      </c>
      <c r="E458" t="s">
        <v>32</v>
      </c>
      <c r="F458" s="7">
        <v>465.28</v>
      </c>
      <c r="G458" s="10">
        <v>0.2</v>
      </c>
      <c r="H458" s="7">
        <v>372.22</v>
      </c>
      <c r="I458">
        <v>1</v>
      </c>
      <c r="J458" t="s">
        <v>16</v>
      </c>
      <c r="K458" s="13">
        <f>ROUND(tblTransactions[[#This Row],[gross_sales_inr]]*(1-tblTransactions[[#This Row],[discount_pct]]),2)</f>
        <v>372.22</v>
      </c>
      <c r="L458" t="str">
        <f>IF(ABS(tblTransactions[[#This Row],[net_sales_inr]]-tblTransactions[[#This Row],[Recalc_Net_Sales]])&lt;0.02,"OK","CHECK")</f>
        <v>OK</v>
      </c>
      <c r="M458" s="14">
        <f>DATE(YEAR(tblTransactions[[#This Row],[date]]),MONTH(tblTransactions[[#This Row],[date]]),1)</f>
        <v>45658</v>
      </c>
      <c r="N458" t="str">
        <f>IF(WEEKDAY(tblTransactions[[#This Row],[date]],2)&gt;5,"Weekend","Weekday")</f>
        <v>Weekend</v>
      </c>
      <c r="O45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58" s="13" t="str">
        <f>_xlfn.XLOOKUP(tblTransactions[[#This Row],[tenant_id]],tblTenants[tenant_id],tblTenants[zone],"NOT FOUND")</f>
        <v>Food Court</v>
      </c>
      <c r="Q458" s="13" t="str">
        <f>_xlfn.XLOOKUP(tblTransactions[[#This Row],[tenant_id]],tblTenants[tenant_id],tblTenants[category],"NOT FOUND")</f>
        <v>Casual Dining</v>
      </c>
    </row>
    <row r="459" spans="1:17">
      <c r="A459" t="s">
        <v>503</v>
      </c>
      <c r="B459" s="2">
        <v>45679</v>
      </c>
      <c r="C459">
        <v>16</v>
      </c>
      <c r="D459" t="s">
        <v>43</v>
      </c>
      <c r="E459" t="s">
        <v>12</v>
      </c>
      <c r="F459" s="7">
        <v>886.66</v>
      </c>
      <c r="G459" s="10">
        <v>0.2</v>
      </c>
      <c r="H459" s="7">
        <v>709.33</v>
      </c>
      <c r="I459">
        <v>4</v>
      </c>
      <c r="J459" t="s">
        <v>13</v>
      </c>
      <c r="K459" s="13">
        <f>ROUND(tblTransactions[[#This Row],[gross_sales_inr]]*(1-tblTransactions[[#This Row],[discount_pct]]),2)</f>
        <v>709.33</v>
      </c>
      <c r="L459" t="str">
        <f>IF(ABS(tblTransactions[[#This Row],[net_sales_inr]]-tblTransactions[[#This Row],[Recalc_Net_Sales]])&lt;0.02,"OK","CHECK")</f>
        <v>OK</v>
      </c>
      <c r="M459" s="14">
        <f>DATE(YEAR(tblTransactions[[#This Row],[date]]),MONTH(tblTransactions[[#This Row],[date]]),1)</f>
        <v>45658</v>
      </c>
      <c r="N459" t="str">
        <f>IF(WEEKDAY(tblTransactions[[#This Row],[date]],2)&gt;5,"Weekend","Weekday")</f>
        <v>Weekday</v>
      </c>
      <c r="O45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59" s="13" t="str">
        <f>_xlfn.XLOOKUP(tblTransactions[[#This Row],[tenant_id]],tblTenants[tenant_id],tblTenants[zone],"NOT FOUND")</f>
        <v>Food Court</v>
      </c>
      <c r="Q459" s="13" t="str">
        <f>_xlfn.XLOOKUP(tblTransactions[[#This Row],[tenant_id]],tblTenants[tenant_id],tblTenants[category],"NOT FOUND")</f>
        <v>Casual Dining</v>
      </c>
    </row>
    <row r="460" spans="1:17">
      <c r="A460" t="s">
        <v>504</v>
      </c>
      <c r="B460" s="2">
        <v>45679</v>
      </c>
      <c r="C460">
        <v>22</v>
      </c>
      <c r="D460" t="s">
        <v>15</v>
      </c>
      <c r="E460" t="s">
        <v>12</v>
      </c>
      <c r="F460" s="7">
        <v>705.67</v>
      </c>
      <c r="G460" s="10">
        <v>0</v>
      </c>
      <c r="H460" s="7">
        <v>705.67</v>
      </c>
      <c r="I460">
        <v>1</v>
      </c>
      <c r="J460" t="s">
        <v>13</v>
      </c>
      <c r="K460" s="13">
        <f>ROUND(tblTransactions[[#This Row],[gross_sales_inr]]*(1-tblTransactions[[#This Row],[discount_pct]]),2)</f>
        <v>705.67</v>
      </c>
      <c r="L460" t="str">
        <f>IF(ABS(tblTransactions[[#This Row],[net_sales_inr]]-tblTransactions[[#This Row],[Recalc_Net_Sales]])&lt;0.02,"OK","CHECK")</f>
        <v>OK</v>
      </c>
      <c r="M460" s="14">
        <f>DATE(YEAR(tblTransactions[[#This Row],[date]]),MONTH(tblTransactions[[#This Row],[date]]),1)</f>
        <v>45658</v>
      </c>
      <c r="N460" t="str">
        <f>IF(WEEKDAY(tblTransactions[[#This Row],[date]],2)&gt;5,"Weekend","Weekday")</f>
        <v>Weekday</v>
      </c>
      <c r="O460" s="13" t="str">
        <f>IF(tblTransactions[[#This Row],[discount_pct]]=0,"0%",IF(tblTransactions[[#This Row],[discount_pct]]&lt;=10%,"1–
10%",IF(tblTransactions[[#This Row],[discount_pct]]&lt;=20%,"11–20%","&gt;20%")))</f>
        <v>0%</v>
      </c>
      <c r="P460" s="13" t="str">
        <f>_xlfn.XLOOKUP(tblTransactions[[#This Row],[tenant_id]],tblTenants[tenant_id],tblTenants[zone],"NOT FOUND")</f>
        <v>Fashion Avenue</v>
      </c>
      <c r="Q460" s="13" t="str">
        <f>_xlfn.XLOOKUP(tblTransactions[[#This Row],[tenant_id]],tblTenants[tenant_id],tblTenants[category],"NOT FOUND")</f>
        <v>Accessories</v>
      </c>
    </row>
    <row r="461" spans="1:17">
      <c r="A461" t="s">
        <v>505</v>
      </c>
      <c r="B461" s="2">
        <v>45728</v>
      </c>
      <c r="C461">
        <v>16</v>
      </c>
      <c r="D461" t="s">
        <v>25</v>
      </c>
      <c r="E461" t="s">
        <v>32</v>
      </c>
      <c r="F461" s="7">
        <v>699.06</v>
      </c>
      <c r="G461" s="10">
        <v>0</v>
      </c>
      <c r="H461" s="7">
        <v>699.06</v>
      </c>
      <c r="I461">
        <v>3</v>
      </c>
      <c r="J461" t="s">
        <v>16</v>
      </c>
      <c r="K461" s="13">
        <f>ROUND(tblTransactions[[#This Row],[gross_sales_inr]]*(1-tblTransactions[[#This Row],[discount_pct]]),2)</f>
        <v>699.06</v>
      </c>
      <c r="L461" t="str">
        <f>IF(ABS(tblTransactions[[#This Row],[net_sales_inr]]-tblTransactions[[#This Row],[Recalc_Net_Sales]])&lt;0.02,"OK","CHECK")</f>
        <v>OK</v>
      </c>
      <c r="M461" s="14">
        <f>DATE(YEAR(tblTransactions[[#This Row],[date]]),MONTH(tblTransactions[[#This Row],[date]]),1)</f>
        <v>45717</v>
      </c>
      <c r="N461" t="str">
        <f>IF(WEEKDAY(tblTransactions[[#This Row],[date]],2)&gt;5,"Weekend","Weekday")</f>
        <v>Weekday</v>
      </c>
      <c r="O461" s="13" t="str">
        <f>IF(tblTransactions[[#This Row],[discount_pct]]=0,"0%",IF(tblTransactions[[#This Row],[discount_pct]]&lt;=10%,"1–
10%",IF(tblTransactions[[#This Row],[discount_pct]]&lt;=20%,"11–20%","&gt;20%")))</f>
        <v>0%</v>
      </c>
      <c r="P461" s="13" t="str">
        <f>_xlfn.XLOOKUP(tblTransactions[[#This Row],[tenant_id]],tblTenants[tenant_id],tblTenants[zone],"NOT FOUND")</f>
        <v>Beauty &amp; Wellness</v>
      </c>
      <c r="Q461" s="13" t="str">
        <f>_xlfn.XLOOKUP(tblTransactions[[#This Row],[tenant_id]],tblTenants[tenant_id],tblTenants[category],"NOT FOUND")</f>
        <v>Beauty</v>
      </c>
    </row>
    <row r="462" spans="1:17">
      <c r="A462" t="s">
        <v>506</v>
      </c>
      <c r="B462" s="2">
        <v>45753</v>
      </c>
      <c r="C462">
        <v>13</v>
      </c>
      <c r="D462" t="s">
        <v>63</v>
      </c>
      <c r="E462" t="s">
        <v>32</v>
      </c>
      <c r="F462" s="7">
        <v>1145.58</v>
      </c>
      <c r="G462" s="10">
        <v>0.15</v>
      </c>
      <c r="H462" s="7">
        <v>973.74</v>
      </c>
      <c r="I462">
        <v>1</v>
      </c>
      <c r="J462" t="s">
        <v>16</v>
      </c>
      <c r="K462" s="13">
        <f>ROUND(tblTransactions[[#This Row],[gross_sales_inr]]*(1-tblTransactions[[#This Row],[discount_pct]]),2)</f>
        <v>973.74</v>
      </c>
      <c r="L462" t="str">
        <f>IF(ABS(tblTransactions[[#This Row],[net_sales_inr]]-tblTransactions[[#This Row],[Recalc_Net_Sales]])&lt;0.02,"OK","CHECK")</f>
        <v>OK</v>
      </c>
      <c r="M462" s="14">
        <f>DATE(YEAR(tblTransactions[[#This Row],[date]]),MONTH(tblTransactions[[#This Row],[date]]),1)</f>
        <v>45748</v>
      </c>
      <c r="N462" t="str">
        <f>IF(WEEKDAY(tblTransactions[[#This Row],[date]],2)&gt;5,"Weekend","Weekday")</f>
        <v>Weekend</v>
      </c>
      <c r="O46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62" s="13" t="str">
        <f>_xlfn.XLOOKUP(tblTransactions[[#This Row],[tenant_id]],tblTenants[tenant_id],tblTenants[zone],"NOT FOUND")</f>
        <v>Entertainment</v>
      </c>
      <c r="Q462" s="13" t="str">
        <f>_xlfn.XLOOKUP(tblTransactions[[#This Row],[tenant_id]],tblTenants[tenant_id],tblTenants[category],"NOT FOUND")</f>
        <v>Family Entertainment</v>
      </c>
    </row>
    <row r="463" spans="1:17">
      <c r="A463" t="s">
        <v>507</v>
      </c>
      <c r="B463" s="2">
        <v>45703</v>
      </c>
      <c r="C463">
        <v>19</v>
      </c>
      <c r="D463" t="s">
        <v>70</v>
      </c>
      <c r="E463" t="s">
        <v>21</v>
      </c>
      <c r="F463" s="7">
        <v>996.51</v>
      </c>
      <c r="G463" s="10">
        <v>0</v>
      </c>
      <c r="H463" s="7">
        <v>996.51</v>
      </c>
      <c r="I463">
        <v>1</v>
      </c>
      <c r="J463" t="s">
        <v>13</v>
      </c>
      <c r="K463" s="13">
        <f>ROUND(tblTransactions[[#This Row],[gross_sales_inr]]*(1-tblTransactions[[#This Row],[discount_pct]]),2)</f>
        <v>996.51</v>
      </c>
      <c r="L463" t="str">
        <f>IF(ABS(tblTransactions[[#This Row],[net_sales_inr]]-tblTransactions[[#This Row],[Recalc_Net_Sales]])&lt;0.02,"OK","CHECK")</f>
        <v>OK</v>
      </c>
      <c r="M463" s="14">
        <f>DATE(YEAR(tblTransactions[[#This Row],[date]]),MONTH(tblTransactions[[#This Row],[date]]),1)</f>
        <v>45689</v>
      </c>
      <c r="N463" t="str">
        <f>IF(WEEKDAY(tblTransactions[[#This Row],[date]],2)&gt;5,"Weekend","Weekday")</f>
        <v>Weekend</v>
      </c>
      <c r="O463" s="13" t="str">
        <f>IF(tblTransactions[[#This Row],[discount_pct]]=0,"0%",IF(tblTransactions[[#This Row],[discount_pct]]&lt;=10%,"1–
10%",IF(tblTransactions[[#This Row],[discount_pct]]&lt;=20%,"11–20%","&gt;20%")))</f>
        <v>0%</v>
      </c>
      <c r="P463" s="13" t="str">
        <f>_xlfn.XLOOKUP(tblTransactions[[#This Row],[tenant_id]],tblTenants[tenant_id],tblTenants[zone],"NOT FOUND")</f>
        <v>Food Court</v>
      </c>
      <c r="Q463" s="13" t="str">
        <f>_xlfn.XLOOKUP(tblTransactions[[#This Row],[tenant_id]],tblTenants[tenant_id],tblTenants[category],"NOT FOUND")</f>
        <v>Quick Service</v>
      </c>
    </row>
    <row r="464" spans="1:17">
      <c r="A464" t="s">
        <v>508</v>
      </c>
      <c r="B464" s="2">
        <v>45771</v>
      </c>
      <c r="C464">
        <v>10</v>
      </c>
      <c r="D464" t="s">
        <v>53</v>
      </c>
      <c r="E464" t="s">
        <v>32</v>
      </c>
      <c r="F464" s="7">
        <v>644.98</v>
      </c>
      <c r="G464" s="10">
        <v>0.15</v>
      </c>
      <c r="H464" s="7">
        <v>548.23</v>
      </c>
      <c r="I464">
        <v>3</v>
      </c>
      <c r="J464" t="s">
        <v>13</v>
      </c>
      <c r="K464" s="13">
        <f>ROUND(tblTransactions[[#This Row],[gross_sales_inr]]*(1-tblTransactions[[#This Row],[discount_pct]]),2)</f>
        <v>548.23</v>
      </c>
      <c r="L464" t="str">
        <f>IF(ABS(tblTransactions[[#This Row],[net_sales_inr]]-tblTransactions[[#This Row],[Recalc_Net_Sales]])&lt;0.02,"OK","CHECK")</f>
        <v>OK</v>
      </c>
      <c r="M464" s="14">
        <f>DATE(YEAR(tblTransactions[[#This Row],[date]]),MONTH(tblTransactions[[#This Row],[date]]),1)</f>
        <v>45748</v>
      </c>
      <c r="N464" t="str">
        <f>IF(WEEKDAY(tblTransactions[[#This Row],[date]],2)&gt;5,"Weekend","Weekday")</f>
        <v>Weekday</v>
      </c>
      <c r="O46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64" s="13" t="str">
        <f>_xlfn.XLOOKUP(tblTransactions[[#This Row],[tenant_id]],tblTenants[tenant_id],tblTenants[zone],"NOT FOUND")</f>
        <v>Beauty &amp; Wellness</v>
      </c>
      <c r="Q464" s="13" t="str">
        <f>_xlfn.XLOOKUP(tblTransactions[[#This Row],[tenant_id]],tblTenants[tenant_id],tblTenants[category],"NOT FOUND")</f>
        <v>Beauty</v>
      </c>
    </row>
    <row r="465" spans="1:17">
      <c r="A465" t="s">
        <v>509</v>
      </c>
      <c r="B465" s="2">
        <v>45765</v>
      </c>
      <c r="C465">
        <v>12</v>
      </c>
      <c r="D465" t="s">
        <v>29</v>
      </c>
      <c r="E465" t="s">
        <v>51</v>
      </c>
      <c r="F465" s="7">
        <v>401.34</v>
      </c>
      <c r="G465" s="10">
        <v>0</v>
      </c>
      <c r="H465" s="7">
        <v>401.34</v>
      </c>
      <c r="I465">
        <v>1</v>
      </c>
      <c r="J465" t="s">
        <v>16</v>
      </c>
      <c r="K465" s="13">
        <f>ROUND(tblTransactions[[#This Row],[gross_sales_inr]]*(1-tblTransactions[[#This Row],[discount_pct]]),2)</f>
        <v>401.34</v>
      </c>
      <c r="L465" t="str">
        <f>IF(ABS(tblTransactions[[#This Row],[net_sales_inr]]-tblTransactions[[#This Row],[Recalc_Net_Sales]])&lt;0.02,"OK","CHECK")</f>
        <v>OK</v>
      </c>
      <c r="M465" s="14">
        <f>DATE(YEAR(tblTransactions[[#This Row],[date]]),MONTH(tblTransactions[[#This Row],[date]]),1)</f>
        <v>45748</v>
      </c>
      <c r="N465" t="str">
        <f>IF(WEEKDAY(tblTransactions[[#This Row],[date]],2)&gt;5,"Weekend","Weekday")</f>
        <v>Weekday</v>
      </c>
      <c r="O465" s="13" t="str">
        <f>IF(tblTransactions[[#This Row],[discount_pct]]=0,"0%",IF(tblTransactions[[#This Row],[discount_pct]]&lt;=10%,"1–
10%",IF(tblTransactions[[#This Row],[discount_pct]]&lt;=20%,"11–20%","&gt;20%")))</f>
        <v>0%</v>
      </c>
      <c r="P465" s="13" t="str">
        <f>_xlfn.XLOOKUP(tblTransactions[[#This Row],[tenant_id]],tblTenants[tenant_id],tblTenants[zone],"NOT FOUND")</f>
        <v>Entertainment</v>
      </c>
      <c r="Q465" s="13" t="str">
        <f>_xlfn.XLOOKUP(tblTransactions[[#This Row],[tenant_id]],tblTenants[tenant_id],tblTenants[category],"NOT FOUND")</f>
        <v>Cinema</v>
      </c>
    </row>
    <row r="466" spans="1:17">
      <c r="A466" t="s">
        <v>510</v>
      </c>
      <c r="B466" s="2">
        <v>45735</v>
      </c>
      <c r="C466">
        <v>18</v>
      </c>
      <c r="D466" t="s">
        <v>87</v>
      </c>
      <c r="E466" t="s">
        <v>12</v>
      </c>
      <c r="F466" s="7">
        <v>254.79</v>
      </c>
      <c r="G466" s="10">
        <v>0</v>
      </c>
      <c r="H466" s="7">
        <v>254.79</v>
      </c>
      <c r="I466">
        <v>1</v>
      </c>
      <c r="J466" t="s">
        <v>13</v>
      </c>
      <c r="K466" s="13">
        <f>ROUND(tblTransactions[[#This Row],[gross_sales_inr]]*(1-tblTransactions[[#This Row],[discount_pct]]),2)</f>
        <v>254.79</v>
      </c>
      <c r="L466" t="str">
        <f>IF(ABS(tblTransactions[[#This Row],[net_sales_inr]]-tblTransactions[[#This Row],[Recalc_Net_Sales]])&lt;0.02,"OK","CHECK")</f>
        <v>OK</v>
      </c>
      <c r="M466" s="14">
        <f>DATE(YEAR(tblTransactions[[#This Row],[date]]),MONTH(tblTransactions[[#This Row],[date]]),1)</f>
        <v>45717</v>
      </c>
      <c r="N466" t="str">
        <f>IF(WEEKDAY(tblTransactions[[#This Row],[date]],2)&gt;5,"Weekend","Weekday")</f>
        <v>Weekday</v>
      </c>
      <c r="O466" s="13" t="str">
        <f>IF(tblTransactions[[#This Row],[discount_pct]]=0,"0%",IF(tblTransactions[[#This Row],[discount_pct]]&lt;=10%,"1–
10%",IF(tblTransactions[[#This Row],[discount_pct]]&lt;=20%,"11–20%","&gt;20%")))</f>
        <v>0%</v>
      </c>
      <c r="P466" s="13" t="str">
        <f>_xlfn.XLOOKUP(tblTransactions[[#This Row],[tenant_id]],tblTenants[tenant_id],tblTenants[zone],"NOT FOUND")</f>
        <v>Fashion Avenue</v>
      </c>
      <c r="Q466" s="13" t="str">
        <f>_xlfn.XLOOKUP(tblTransactions[[#This Row],[tenant_id]],tblTenants[tenant_id],tblTenants[category],"NOT FOUND")</f>
        <v>Footwear</v>
      </c>
    </row>
    <row r="467" spans="1:17">
      <c r="A467" t="s">
        <v>511</v>
      </c>
      <c r="B467" s="2">
        <v>45786</v>
      </c>
      <c r="C467">
        <v>13</v>
      </c>
      <c r="D467" t="s">
        <v>29</v>
      </c>
      <c r="E467" t="s">
        <v>12</v>
      </c>
      <c r="F467" s="7">
        <v>450.14</v>
      </c>
      <c r="G467" s="10">
        <v>0</v>
      </c>
      <c r="H467" s="7">
        <v>450.14</v>
      </c>
      <c r="I467">
        <v>1</v>
      </c>
      <c r="J467" t="s">
        <v>16</v>
      </c>
      <c r="K467" s="13">
        <f>ROUND(tblTransactions[[#This Row],[gross_sales_inr]]*(1-tblTransactions[[#This Row],[discount_pct]]),2)</f>
        <v>450.14</v>
      </c>
      <c r="L467" t="str">
        <f>IF(ABS(tblTransactions[[#This Row],[net_sales_inr]]-tblTransactions[[#This Row],[Recalc_Net_Sales]])&lt;0.02,"OK","CHECK")</f>
        <v>OK</v>
      </c>
      <c r="M467" s="14">
        <f>DATE(YEAR(tblTransactions[[#This Row],[date]]),MONTH(tblTransactions[[#This Row],[date]]),1)</f>
        <v>45778</v>
      </c>
      <c r="N467" t="str">
        <f>IF(WEEKDAY(tblTransactions[[#This Row],[date]],2)&gt;5,"Weekend","Weekday")</f>
        <v>Weekday</v>
      </c>
      <c r="O467" s="13" t="str">
        <f>IF(tblTransactions[[#This Row],[discount_pct]]=0,"0%",IF(tblTransactions[[#This Row],[discount_pct]]&lt;=10%,"1–
10%",IF(tblTransactions[[#This Row],[discount_pct]]&lt;=20%,"11–20%","&gt;20%")))</f>
        <v>0%</v>
      </c>
      <c r="P467" s="13" t="str">
        <f>_xlfn.XLOOKUP(tblTransactions[[#This Row],[tenant_id]],tblTenants[tenant_id],tblTenants[zone],"NOT FOUND")</f>
        <v>Entertainment</v>
      </c>
      <c r="Q467" s="13" t="str">
        <f>_xlfn.XLOOKUP(tblTransactions[[#This Row],[tenant_id]],tblTenants[tenant_id],tblTenants[category],"NOT FOUND")</f>
        <v>Cinema</v>
      </c>
    </row>
    <row r="468" spans="1:17">
      <c r="A468" t="s">
        <v>512</v>
      </c>
      <c r="B468" s="2">
        <v>45769</v>
      </c>
      <c r="C468">
        <v>12</v>
      </c>
      <c r="D468" t="s">
        <v>11</v>
      </c>
      <c r="E468" t="s">
        <v>21</v>
      </c>
      <c r="F468" s="7">
        <v>959.06</v>
      </c>
      <c r="G468" s="10">
        <v>0</v>
      </c>
      <c r="H468" s="7">
        <v>959.06</v>
      </c>
      <c r="I468">
        <v>2</v>
      </c>
      <c r="J468" t="s">
        <v>13</v>
      </c>
      <c r="K468" s="13">
        <f>ROUND(tblTransactions[[#This Row],[gross_sales_inr]]*(1-tblTransactions[[#This Row],[discount_pct]]),2)</f>
        <v>959.06</v>
      </c>
      <c r="L468" t="str">
        <f>IF(ABS(tblTransactions[[#This Row],[net_sales_inr]]-tblTransactions[[#This Row],[Recalc_Net_Sales]])&lt;0.02,"OK","CHECK")</f>
        <v>OK</v>
      </c>
      <c r="M468" s="14">
        <f>DATE(YEAR(tblTransactions[[#This Row],[date]]),MONTH(tblTransactions[[#This Row],[date]]),1)</f>
        <v>45748</v>
      </c>
      <c r="N468" t="str">
        <f>IF(WEEKDAY(tblTransactions[[#This Row],[date]],2)&gt;5,"Weekend","Weekday")</f>
        <v>Weekday</v>
      </c>
      <c r="O468" s="13" t="str">
        <f>IF(tblTransactions[[#This Row],[discount_pct]]=0,"0%",IF(tblTransactions[[#This Row],[discount_pct]]&lt;=10%,"1–
10%",IF(tblTransactions[[#This Row],[discount_pct]]&lt;=20%,"11–20%","&gt;20%")))</f>
        <v>0%</v>
      </c>
      <c r="P468" s="13" t="str">
        <f>_xlfn.XLOOKUP(tblTransactions[[#This Row],[tenant_id]],tblTenants[tenant_id],tblTenants[zone],"NOT FOUND")</f>
        <v>Home &amp; Living</v>
      </c>
      <c r="Q468" s="13" t="str">
        <f>_xlfn.XLOOKUP(tblTransactions[[#This Row],[tenant_id]],tblTenants[tenant_id],tblTenants[category],"NOT FOUND")</f>
        <v>Home Decor</v>
      </c>
    </row>
    <row r="469" spans="1:17">
      <c r="A469" t="s">
        <v>513</v>
      </c>
      <c r="B469" s="2">
        <v>45715</v>
      </c>
      <c r="C469">
        <v>16</v>
      </c>
      <c r="D469" t="s">
        <v>61</v>
      </c>
      <c r="E469" t="s">
        <v>21</v>
      </c>
      <c r="F469" s="7">
        <v>364.01</v>
      </c>
      <c r="G469" s="10">
        <v>0.15</v>
      </c>
      <c r="H469" s="7">
        <v>309.41000000000003</v>
      </c>
      <c r="I469">
        <v>5</v>
      </c>
      <c r="J469" t="s">
        <v>16</v>
      </c>
      <c r="K469" s="13">
        <f>ROUND(tblTransactions[[#This Row],[gross_sales_inr]]*(1-tblTransactions[[#This Row],[discount_pct]]),2)</f>
        <v>309.41000000000003</v>
      </c>
      <c r="L469" t="str">
        <f>IF(ABS(tblTransactions[[#This Row],[net_sales_inr]]-tblTransactions[[#This Row],[Recalc_Net_Sales]])&lt;0.02,"OK","CHECK")</f>
        <v>OK</v>
      </c>
      <c r="M469" s="14">
        <f>DATE(YEAR(tblTransactions[[#This Row],[date]]),MONTH(tblTransactions[[#This Row],[date]]),1)</f>
        <v>45689</v>
      </c>
      <c r="N469" t="str">
        <f>IF(WEEKDAY(tblTransactions[[#This Row],[date]],2)&gt;5,"Weekend","Weekday")</f>
        <v>Weekday</v>
      </c>
      <c r="O46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69" s="13" t="str">
        <f>_xlfn.XLOOKUP(tblTransactions[[#This Row],[tenant_id]],tblTenants[tenant_id],tblTenants[zone],"NOT FOUND")</f>
        <v>Food Court</v>
      </c>
      <c r="Q469" s="13" t="str">
        <f>_xlfn.XLOOKUP(tblTransactions[[#This Row],[tenant_id]],tblTenants[tenant_id],tblTenants[category],"NOT FOUND")</f>
        <v>Quick Service</v>
      </c>
    </row>
    <row r="470" spans="1:17">
      <c r="A470" t="s">
        <v>514</v>
      </c>
      <c r="B470" s="2">
        <v>45775</v>
      </c>
      <c r="C470">
        <v>12</v>
      </c>
      <c r="D470" t="s">
        <v>27</v>
      </c>
      <c r="E470" t="s">
        <v>32</v>
      </c>
      <c r="F470" s="7">
        <v>1455.47</v>
      </c>
      <c r="G470" s="10">
        <v>0</v>
      </c>
      <c r="H470" s="7">
        <v>1455.47</v>
      </c>
      <c r="I470">
        <v>1</v>
      </c>
      <c r="J470" t="s">
        <v>13</v>
      </c>
      <c r="K470" s="13">
        <f>ROUND(tblTransactions[[#This Row],[gross_sales_inr]]*(1-tblTransactions[[#This Row],[discount_pct]]),2)</f>
        <v>1455.47</v>
      </c>
      <c r="L470" t="str">
        <f>IF(ABS(tblTransactions[[#This Row],[net_sales_inr]]-tblTransactions[[#This Row],[Recalc_Net_Sales]])&lt;0.02,"OK","CHECK")</f>
        <v>OK</v>
      </c>
      <c r="M470" s="14">
        <f>DATE(YEAR(tblTransactions[[#This Row],[date]]),MONTH(tblTransactions[[#This Row],[date]]),1)</f>
        <v>45748</v>
      </c>
      <c r="N470" t="str">
        <f>IF(WEEKDAY(tblTransactions[[#This Row],[date]],2)&gt;5,"Weekend","Weekday")</f>
        <v>Weekday</v>
      </c>
      <c r="O470" s="13" t="str">
        <f>IF(tblTransactions[[#This Row],[discount_pct]]=0,"0%",IF(tblTransactions[[#This Row],[discount_pct]]&lt;=10%,"1–
10%",IF(tblTransactions[[#This Row],[discount_pct]]&lt;=20%,"11–20%","&gt;20%")))</f>
        <v>0%</v>
      </c>
      <c r="P470" s="13" t="str">
        <f>_xlfn.XLOOKUP(tblTransactions[[#This Row],[tenant_id]],tblTenants[tenant_id],tblTenants[zone],"NOT FOUND")</f>
        <v>Beauty &amp; Wellness</v>
      </c>
      <c r="Q470" s="13" t="str">
        <f>_xlfn.XLOOKUP(tblTransactions[[#This Row],[tenant_id]],tblTenants[tenant_id],tblTenants[category],"NOT FOUND")</f>
        <v>Wellness</v>
      </c>
    </row>
    <row r="471" spans="1:17">
      <c r="A471" t="s">
        <v>515</v>
      </c>
      <c r="B471" s="2">
        <v>45717</v>
      </c>
      <c r="C471">
        <v>11</v>
      </c>
      <c r="D471" t="s">
        <v>31</v>
      </c>
      <c r="E471" t="s">
        <v>32</v>
      </c>
      <c r="F471" s="7">
        <v>1167.01</v>
      </c>
      <c r="G471" s="10">
        <v>0.2</v>
      </c>
      <c r="H471" s="7">
        <v>933.61</v>
      </c>
      <c r="I471">
        <v>2</v>
      </c>
      <c r="J471" t="s">
        <v>13</v>
      </c>
      <c r="K471" s="13">
        <f>ROUND(tblTransactions[[#This Row],[gross_sales_inr]]*(1-tblTransactions[[#This Row],[discount_pct]]),2)</f>
        <v>933.61</v>
      </c>
      <c r="L471" t="str">
        <f>IF(ABS(tblTransactions[[#This Row],[net_sales_inr]]-tblTransactions[[#This Row],[Recalc_Net_Sales]])&lt;0.02,"OK","CHECK")</f>
        <v>OK</v>
      </c>
      <c r="M471" s="14">
        <f>DATE(YEAR(tblTransactions[[#This Row],[date]]),MONTH(tblTransactions[[#This Row],[date]]),1)</f>
        <v>45717</v>
      </c>
      <c r="N471" t="str">
        <f>IF(WEEKDAY(tblTransactions[[#This Row],[date]],2)&gt;5,"Weekend","Weekday")</f>
        <v>Weekend</v>
      </c>
      <c r="O47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71" s="13" t="str">
        <f>_xlfn.XLOOKUP(tblTransactions[[#This Row],[tenant_id]],tblTenants[tenant_id],tblTenants[zone],"NOT FOUND")</f>
        <v>Entertainment</v>
      </c>
      <c r="Q471" s="13" t="str">
        <f>_xlfn.XLOOKUP(tblTransactions[[#This Row],[tenant_id]],tblTenants[tenant_id],tblTenants[category],"NOT FOUND")</f>
        <v>Arcade</v>
      </c>
    </row>
    <row r="472" spans="1:17">
      <c r="A472" t="s">
        <v>516</v>
      </c>
      <c r="B472" s="2">
        <v>45715</v>
      </c>
      <c r="C472">
        <v>22</v>
      </c>
      <c r="D472" t="s">
        <v>43</v>
      </c>
      <c r="E472" t="s">
        <v>32</v>
      </c>
      <c r="F472" s="7">
        <v>707.12</v>
      </c>
      <c r="G472" s="10">
        <v>0.05</v>
      </c>
      <c r="H472" s="7">
        <v>671.76</v>
      </c>
      <c r="I472">
        <v>1</v>
      </c>
      <c r="J472" t="s">
        <v>13</v>
      </c>
      <c r="K472" s="13">
        <f>ROUND(tblTransactions[[#This Row],[gross_sales_inr]]*(1-tblTransactions[[#This Row],[discount_pct]]),2)</f>
        <v>671.76</v>
      </c>
      <c r="L472" t="str">
        <f>IF(ABS(tblTransactions[[#This Row],[net_sales_inr]]-tblTransactions[[#This Row],[Recalc_Net_Sales]])&lt;0.02,"OK","CHECK")</f>
        <v>OK</v>
      </c>
      <c r="M472" s="14">
        <f>DATE(YEAR(tblTransactions[[#This Row],[date]]),MONTH(tblTransactions[[#This Row],[date]]),1)</f>
        <v>45689</v>
      </c>
      <c r="N472" t="str">
        <f>IF(WEEKDAY(tblTransactions[[#This Row],[date]],2)&gt;5,"Weekend","Weekday")</f>
        <v>Weekday</v>
      </c>
      <c r="O47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72" s="13" t="str">
        <f>_xlfn.XLOOKUP(tblTransactions[[#This Row],[tenant_id]],tblTenants[tenant_id],tblTenants[zone],"NOT FOUND")</f>
        <v>Food Court</v>
      </c>
      <c r="Q472" s="13" t="str">
        <f>_xlfn.XLOOKUP(tblTransactions[[#This Row],[tenant_id]],tblTenants[tenant_id],tblTenants[category],"NOT FOUND")</f>
        <v>Casual Dining</v>
      </c>
    </row>
    <row r="473" spans="1:17">
      <c r="A473" t="s">
        <v>517</v>
      </c>
      <c r="B473" s="2">
        <v>45721</v>
      </c>
      <c r="C473">
        <v>19</v>
      </c>
      <c r="D473" t="s">
        <v>31</v>
      </c>
      <c r="E473" t="s">
        <v>12</v>
      </c>
      <c r="F473" s="7">
        <v>627.4</v>
      </c>
      <c r="G473" s="10">
        <v>0</v>
      </c>
      <c r="H473" s="7">
        <v>627.4</v>
      </c>
      <c r="I473">
        <v>4</v>
      </c>
      <c r="J473" t="s">
        <v>13</v>
      </c>
      <c r="K473" s="13">
        <f>ROUND(tblTransactions[[#This Row],[gross_sales_inr]]*(1-tblTransactions[[#This Row],[discount_pct]]),2)</f>
        <v>627.4</v>
      </c>
      <c r="L473" t="str">
        <f>IF(ABS(tblTransactions[[#This Row],[net_sales_inr]]-tblTransactions[[#This Row],[Recalc_Net_Sales]])&lt;0.02,"OK","CHECK")</f>
        <v>OK</v>
      </c>
      <c r="M473" s="14">
        <f>DATE(YEAR(tblTransactions[[#This Row],[date]]),MONTH(tblTransactions[[#This Row],[date]]),1)</f>
        <v>45717</v>
      </c>
      <c r="N473" t="str">
        <f>IF(WEEKDAY(tblTransactions[[#This Row],[date]],2)&gt;5,"Weekend","Weekday")</f>
        <v>Weekday</v>
      </c>
      <c r="O473" s="13" t="str">
        <f>IF(tblTransactions[[#This Row],[discount_pct]]=0,"0%",IF(tblTransactions[[#This Row],[discount_pct]]&lt;=10%,"1–
10%",IF(tblTransactions[[#This Row],[discount_pct]]&lt;=20%,"11–20%","&gt;20%")))</f>
        <v>0%</v>
      </c>
      <c r="P473" s="13" t="str">
        <f>_xlfn.XLOOKUP(tblTransactions[[#This Row],[tenant_id]],tblTenants[tenant_id],tblTenants[zone],"NOT FOUND")</f>
        <v>Entertainment</v>
      </c>
      <c r="Q473" s="13" t="str">
        <f>_xlfn.XLOOKUP(tblTransactions[[#This Row],[tenant_id]],tblTenants[tenant_id],tblTenants[category],"NOT FOUND")</f>
        <v>Arcade</v>
      </c>
    </row>
    <row r="474" spans="1:17">
      <c r="A474" t="s">
        <v>518</v>
      </c>
      <c r="B474" s="2">
        <v>45809</v>
      </c>
      <c r="C474">
        <v>17</v>
      </c>
      <c r="D474" t="s">
        <v>80</v>
      </c>
      <c r="E474" t="s">
        <v>12</v>
      </c>
      <c r="F474" s="7">
        <v>980.72</v>
      </c>
      <c r="G474" s="10">
        <v>0</v>
      </c>
      <c r="H474" s="7">
        <v>980.72</v>
      </c>
      <c r="I474">
        <v>3</v>
      </c>
      <c r="J474" t="s">
        <v>16</v>
      </c>
      <c r="K474" s="13">
        <f>ROUND(tblTransactions[[#This Row],[gross_sales_inr]]*(1-tblTransactions[[#This Row],[discount_pct]]),2)</f>
        <v>980.72</v>
      </c>
      <c r="L474" t="str">
        <f>IF(ABS(tblTransactions[[#This Row],[net_sales_inr]]-tblTransactions[[#This Row],[Recalc_Net_Sales]])&lt;0.02,"OK","CHECK")</f>
        <v>OK</v>
      </c>
      <c r="M474" s="14">
        <f>DATE(YEAR(tblTransactions[[#This Row],[date]]),MONTH(tblTransactions[[#This Row],[date]]),1)</f>
        <v>45809</v>
      </c>
      <c r="N474" t="str">
        <f>IF(WEEKDAY(tblTransactions[[#This Row],[date]],2)&gt;5,"Weekend","Weekday")</f>
        <v>Weekend</v>
      </c>
      <c r="O474" s="13" t="str">
        <f>IF(tblTransactions[[#This Row],[discount_pct]]=0,"0%",IF(tblTransactions[[#This Row],[discount_pct]]&lt;=10%,"1–
10%",IF(tblTransactions[[#This Row],[discount_pct]]&lt;=20%,"11–20%","&gt;20%")))</f>
        <v>0%</v>
      </c>
      <c r="P474" s="13" t="str">
        <f>_xlfn.XLOOKUP(tblTransactions[[#This Row],[tenant_id]],tblTenants[tenant_id],tblTenants[zone],"NOT FOUND")</f>
        <v>Food Court</v>
      </c>
      <c r="Q474" s="13" t="str">
        <f>_xlfn.XLOOKUP(tblTransactions[[#This Row],[tenant_id]],tblTenants[tenant_id],tblTenants[category],"NOT FOUND")</f>
        <v>Casual Dining</v>
      </c>
    </row>
    <row r="475" spans="1:17">
      <c r="A475" t="s">
        <v>519</v>
      </c>
      <c r="B475" s="2">
        <v>45753</v>
      </c>
      <c r="C475">
        <v>13</v>
      </c>
      <c r="D475" t="s">
        <v>61</v>
      </c>
      <c r="E475" t="s">
        <v>32</v>
      </c>
      <c r="F475" s="7">
        <v>1034.1300000000001</v>
      </c>
      <c r="G475" s="10">
        <v>0.05</v>
      </c>
      <c r="H475" s="7">
        <v>982.42</v>
      </c>
      <c r="I475">
        <v>2</v>
      </c>
      <c r="J475" t="s">
        <v>13</v>
      </c>
      <c r="K475" s="13">
        <f>ROUND(tblTransactions[[#This Row],[gross_sales_inr]]*(1-tblTransactions[[#This Row],[discount_pct]]),2)</f>
        <v>982.42</v>
      </c>
      <c r="L475" t="str">
        <f>IF(ABS(tblTransactions[[#This Row],[net_sales_inr]]-tblTransactions[[#This Row],[Recalc_Net_Sales]])&lt;0.02,"OK","CHECK")</f>
        <v>OK</v>
      </c>
      <c r="M475" s="14">
        <f>DATE(YEAR(tblTransactions[[#This Row],[date]]),MONTH(tblTransactions[[#This Row],[date]]),1)</f>
        <v>45748</v>
      </c>
      <c r="N475" t="str">
        <f>IF(WEEKDAY(tblTransactions[[#This Row],[date]],2)&gt;5,"Weekend","Weekday")</f>
        <v>Weekend</v>
      </c>
      <c r="O47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75" s="13" t="str">
        <f>_xlfn.XLOOKUP(tblTransactions[[#This Row],[tenant_id]],tblTenants[tenant_id],tblTenants[zone],"NOT FOUND")</f>
        <v>Food Court</v>
      </c>
      <c r="Q475" s="13" t="str">
        <f>_xlfn.XLOOKUP(tblTransactions[[#This Row],[tenant_id]],tblTenants[tenant_id],tblTenants[category],"NOT FOUND")</f>
        <v>Quick Service</v>
      </c>
    </row>
    <row r="476" spans="1:17">
      <c r="A476" t="s">
        <v>520</v>
      </c>
      <c r="B476" s="2">
        <v>45725</v>
      </c>
      <c r="C476">
        <v>14</v>
      </c>
      <c r="D476" t="s">
        <v>87</v>
      </c>
      <c r="E476" t="s">
        <v>32</v>
      </c>
      <c r="F476" s="7">
        <v>1148.1199999999999</v>
      </c>
      <c r="G476" s="10">
        <v>0.1</v>
      </c>
      <c r="H476" s="7">
        <v>1033.31</v>
      </c>
      <c r="I476">
        <v>2</v>
      </c>
      <c r="J476" t="s">
        <v>16</v>
      </c>
      <c r="K476" s="13">
        <f>ROUND(tblTransactions[[#This Row],[gross_sales_inr]]*(1-tblTransactions[[#This Row],[discount_pct]]),2)</f>
        <v>1033.31</v>
      </c>
      <c r="L476" t="str">
        <f>IF(ABS(tblTransactions[[#This Row],[net_sales_inr]]-tblTransactions[[#This Row],[Recalc_Net_Sales]])&lt;0.02,"OK","CHECK")</f>
        <v>OK</v>
      </c>
      <c r="M476" s="14">
        <f>DATE(YEAR(tblTransactions[[#This Row],[date]]),MONTH(tblTransactions[[#This Row],[date]]),1)</f>
        <v>45717</v>
      </c>
      <c r="N476" t="str">
        <f>IF(WEEKDAY(tblTransactions[[#This Row],[date]],2)&gt;5,"Weekend","Weekday")</f>
        <v>Weekend</v>
      </c>
      <c r="O47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76" s="13" t="str">
        <f>_xlfn.XLOOKUP(tblTransactions[[#This Row],[tenant_id]],tblTenants[tenant_id],tblTenants[zone],"NOT FOUND")</f>
        <v>Fashion Avenue</v>
      </c>
      <c r="Q476" s="13" t="str">
        <f>_xlfn.XLOOKUP(tblTransactions[[#This Row],[tenant_id]],tblTenants[tenant_id],tblTenants[category],"NOT FOUND")</f>
        <v>Footwear</v>
      </c>
    </row>
    <row r="477" spans="1:17">
      <c r="A477" t="s">
        <v>521</v>
      </c>
      <c r="B477" s="2">
        <v>45772</v>
      </c>
      <c r="C477">
        <v>17</v>
      </c>
      <c r="D477" t="s">
        <v>80</v>
      </c>
      <c r="E477" t="s">
        <v>21</v>
      </c>
      <c r="F477" s="7">
        <v>676.24</v>
      </c>
      <c r="G477" s="10">
        <v>0</v>
      </c>
      <c r="H477" s="7">
        <v>676.24</v>
      </c>
      <c r="I477">
        <v>1</v>
      </c>
      <c r="J477" t="s">
        <v>13</v>
      </c>
      <c r="K477" s="13">
        <f>ROUND(tblTransactions[[#This Row],[gross_sales_inr]]*(1-tblTransactions[[#This Row],[discount_pct]]),2)</f>
        <v>676.24</v>
      </c>
      <c r="L477" t="str">
        <f>IF(ABS(tblTransactions[[#This Row],[net_sales_inr]]-tblTransactions[[#This Row],[Recalc_Net_Sales]])&lt;0.02,"OK","CHECK")</f>
        <v>OK</v>
      </c>
      <c r="M477" s="14">
        <f>DATE(YEAR(tblTransactions[[#This Row],[date]]),MONTH(tblTransactions[[#This Row],[date]]),1)</f>
        <v>45748</v>
      </c>
      <c r="N477" t="str">
        <f>IF(WEEKDAY(tblTransactions[[#This Row],[date]],2)&gt;5,"Weekend","Weekday")</f>
        <v>Weekday</v>
      </c>
      <c r="O477" s="13" t="str">
        <f>IF(tblTransactions[[#This Row],[discount_pct]]=0,"0%",IF(tblTransactions[[#This Row],[discount_pct]]&lt;=10%,"1–
10%",IF(tblTransactions[[#This Row],[discount_pct]]&lt;=20%,"11–20%","&gt;20%")))</f>
        <v>0%</v>
      </c>
      <c r="P477" s="13" t="str">
        <f>_xlfn.XLOOKUP(tblTransactions[[#This Row],[tenant_id]],tblTenants[tenant_id],tblTenants[zone],"NOT FOUND")</f>
        <v>Food Court</v>
      </c>
      <c r="Q477" s="13" t="str">
        <f>_xlfn.XLOOKUP(tblTransactions[[#This Row],[tenant_id]],tblTenants[tenant_id],tblTenants[category],"NOT FOUND")</f>
        <v>Casual Dining</v>
      </c>
    </row>
    <row r="478" spans="1:17">
      <c r="A478" t="s">
        <v>522</v>
      </c>
      <c r="B478" s="2">
        <v>45713</v>
      </c>
      <c r="C478">
        <v>19</v>
      </c>
      <c r="D478" t="s">
        <v>11</v>
      </c>
      <c r="E478" t="s">
        <v>21</v>
      </c>
      <c r="F478" s="7">
        <v>2054.79</v>
      </c>
      <c r="G478" s="10">
        <v>0.2</v>
      </c>
      <c r="H478" s="7">
        <v>1643.83</v>
      </c>
      <c r="I478">
        <v>3</v>
      </c>
      <c r="J478" t="s">
        <v>16</v>
      </c>
      <c r="K478" s="13">
        <f>ROUND(tblTransactions[[#This Row],[gross_sales_inr]]*(1-tblTransactions[[#This Row],[discount_pct]]),2)</f>
        <v>1643.83</v>
      </c>
      <c r="L478" t="str">
        <f>IF(ABS(tblTransactions[[#This Row],[net_sales_inr]]-tblTransactions[[#This Row],[Recalc_Net_Sales]])&lt;0.02,"OK","CHECK")</f>
        <v>OK</v>
      </c>
      <c r="M478" s="14">
        <f>DATE(YEAR(tblTransactions[[#This Row],[date]]),MONTH(tblTransactions[[#This Row],[date]]),1)</f>
        <v>45689</v>
      </c>
      <c r="N478" t="str">
        <f>IF(WEEKDAY(tblTransactions[[#This Row],[date]],2)&gt;5,"Weekend","Weekday")</f>
        <v>Weekday</v>
      </c>
      <c r="O47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78" s="13" t="str">
        <f>_xlfn.XLOOKUP(tblTransactions[[#This Row],[tenant_id]],tblTenants[tenant_id],tblTenants[zone],"NOT FOUND")</f>
        <v>Home &amp; Living</v>
      </c>
      <c r="Q478" s="13" t="str">
        <f>_xlfn.XLOOKUP(tblTransactions[[#This Row],[tenant_id]],tblTenants[tenant_id],tblTenants[category],"NOT FOUND")</f>
        <v>Home Decor</v>
      </c>
    </row>
    <row r="479" spans="1:17">
      <c r="A479" t="s">
        <v>523</v>
      </c>
      <c r="B479" s="2">
        <v>45692</v>
      </c>
      <c r="C479">
        <v>11</v>
      </c>
      <c r="D479" t="s">
        <v>43</v>
      </c>
      <c r="E479" t="s">
        <v>12</v>
      </c>
      <c r="F479" s="7">
        <v>1616.73</v>
      </c>
      <c r="G479" s="10">
        <v>0</v>
      </c>
      <c r="H479" s="7">
        <v>1616.73</v>
      </c>
      <c r="I479">
        <v>6</v>
      </c>
      <c r="J479" t="s">
        <v>16</v>
      </c>
      <c r="K479" s="13">
        <f>ROUND(tblTransactions[[#This Row],[gross_sales_inr]]*(1-tblTransactions[[#This Row],[discount_pct]]),2)</f>
        <v>1616.73</v>
      </c>
      <c r="L479" t="str">
        <f>IF(ABS(tblTransactions[[#This Row],[net_sales_inr]]-tblTransactions[[#This Row],[Recalc_Net_Sales]])&lt;0.02,"OK","CHECK")</f>
        <v>OK</v>
      </c>
      <c r="M479" s="14">
        <f>DATE(YEAR(tblTransactions[[#This Row],[date]]),MONTH(tblTransactions[[#This Row],[date]]),1)</f>
        <v>45689</v>
      </c>
      <c r="N479" t="str">
        <f>IF(WEEKDAY(tblTransactions[[#This Row],[date]],2)&gt;5,"Weekend","Weekday")</f>
        <v>Weekday</v>
      </c>
      <c r="O479" s="13" t="str">
        <f>IF(tblTransactions[[#This Row],[discount_pct]]=0,"0%",IF(tblTransactions[[#This Row],[discount_pct]]&lt;=10%,"1–
10%",IF(tblTransactions[[#This Row],[discount_pct]]&lt;=20%,"11–20%","&gt;20%")))</f>
        <v>0%</v>
      </c>
      <c r="P479" s="13" t="str">
        <f>_xlfn.XLOOKUP(tblTransactions[[#This Row],[tenant_id]],tblTenants[tenant_id],tblTenants[zone],"NOT FOUND")</f>
        <v>Food Court</v>
      </c>
      <c r="Q479" s="13" t="str">
        <f>_xlfn.XLOOKUP(tblTransactions[[#This Row],[tenant_id]],tblTenants[tenant_id],tblTenants[category],"NOT FOUND")</f>
        <v>Casual Dining</v>
      </c>
    </row>
    <row r="480" spans="1:17">
      <c r="A480" t="s">
        <v>524</v>
      </c>
      <c r="B480" s="2">
        <v>45803</v>
      </c>
      <c r="C480">
        <v>20</v>
      </c>
      <c r="D480" t="s">
        <v>18</v>
      </c>
      <c r="E480" t="s">
        <v>12</v>
      </c>
      <c r="F480" s="7">
        <v>1164.32</v>
      </c>
      <c r="G480" s="10">
        <v>0.3</v>
      </c>
      <c r="H480" s="7">
        <v>815.02</v>
      </c>
      <c r="I480">
        <v>2</v>
      </c>
      <c r="J480" t="s">
        <v>16</v>
      </c>
      <c r="K480" s="13">
        <f>ROUND(tblTransactions[[#This Row],[gross_sales_inr]]*(1-tblTransactions[[#This Row],[discount_pct]]),2)</f>
        <v>815.02</v>
      </c>
      <c r="L480" t="str">
        <f>IF(ABS(tblTransactions[[#This Row],[net_sales_inr]]-tblTransactions[[#This Row],[Recalc_Net_Sales]])&lt;0.02,"OK","CHECK")</f>
        <v>OK</v>
      </c>
      <c r="M480" s="14">
        <f>DATE(YEAR(tblTransactions[[#This Row],[date]]),MONTH(tblTransactions[[#This Row],[date]]),1)</f>
        <v>45778</v>
      </c>
      <c r="N480" t="str">
        <f>IF(WEEKDAY(tblTransactions[[#This Row],[date]],2)&gt;5,"Weekend","Weekday")</f>
        <v>Weekday</v>
      </c>
      <c r="O48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480" s="13" t="str">
        <f>_xlfn.XLOOKUP(tblTransactions[[#This Row],[tenant_id]],tblTenants[tenant_id],tblTenants[zone],"NOT FOUND")</f>
        <v>Beauty &amp; Wellness</v>
      </c>
      <c r="Q480" s="13" t="str">
        <f>_xlfn.XLOOKUP(tblTransactions[[#This Row],[tenant_id]],tblTenants[tenant_id],tblTenants[category],"NOT FOUND")</f>
        <v>Beauty</v>
      </c>
    </row>
    <row r="481" spans="1:17">
      <c r="A481" t="s">
        <v>525</v>
      </c>
      <c r="B481" s="2">
        <v>45698</v>
      </c>
      <c r="C481">
        <v>20</v>
      </c>
      <c r="D481" t="s">
        <v>57</v>
      </c>
      <c r="E481" t="s">
        <v>32</v>
      </c>
      <c r="F481" s="7">
        <v>734.51</v>
      </c>
      <c r="G481" s="10">
        <v>0.05</v>
      </c>
      <c r="H481" s="7">
        <v>697.78</v>
      </c>
      <c r="I481">
        <v>3</v>
      </c>
      <c r="J481" t="s">
        <v>16</v>
      </c>
      <c r="K481" s="13">
        <f>ROUND(tblTransactions[[#This Row],[gross_sales_inr]]*(1-tblTransactions[[#This Row],[discount_pct]]),2)</f>
        <v>697.78</v>
      </c>
      <c r="L481" t="str">
        <f>IF(ABS(tblTransactions[[#This Row],[net_sales_inr]]-tblTransactions[[#This Row],[Recalc_Net_Sales]])&lt;0.02,"OK","CHECK")</f>
        <v>OK</v>
      </c>
      <c r="M481" s="14">
        <f>DATE(YEAR(tblTransactions[[#This Row],[date]]),MONTH(tblTransactions[[#This Row],[date]]),1)</f>
        <v>45689</v>
      </c>
      <c r="N481" t="str">
        <f>IF(WEEKDAY(tblTransactions[[#This Row],[date]],2)&gt;5,"Weekend","Weekday")</f>
        <v>Weekday</v>
      </c>
      <c r="O48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81" s="13" t="str">
        <f>_xlfn.XLOOKUP(tblTransactions[[#This Row],[tenant_id]],tblTenants[tenant_id],tblTenants[zone],"NOT FOUND")</f>
        <v>Food Court</v>
      </c>
      <c r="Q481" s="13" t="str">
        <f>_xlfn.XLOOKUP(tblTransactions[[#This Row],[tenant_id]],tblTenants[tenant_id],tblTenants[category],"NOT FOUND")</f>
        <v>Casual Dining</v>
      </c>
    </row>
    <row r="482" spans="1:17">
      <c r="A482" t="s">
        <v>526</v>
      </c>
      <c r="B482" s="2">
        <v>45758</v>
      </c>
      <c r="C482">
        <v>15</v>
      </c>
      <c r="D482" t="s">
        <v>98</v>
      </c>
      <c r="E482" t="s">
        <v>51</v>
      </c>
      <c r="F482" s="7">
        <v>1200.98</v>
      </c>
      <c r="G482" s="10">
        <v>0</v>
      </c>
      <c r="H482" s="7">
        <v>1200.98</v>
      </c>
      <c r="I482">
        <v>2</v>
      </c>
      <c r="J482" t="s">
        <v>13</v>
      </c>
      <c r="K482" s="13">
        <f>ROUND(tblTransactions[[#This Row],[gross_sales_inr]]*(1-tblTransactions[[#This Row],[discount_pct]]),2)</f>
        <v>1200.98</v>
      </c>
      <c r="L482" t="str">
        <f>IF(ABS(tblTransactions[[#This Row],[net_sales_inr]]-tblTransactions[[#This Row],[Recalc_Net_Sales]])&lt;0.02,"OK","CHECK")</f>
        <v>OK</v>
      </c>
      <c r="M482" s="14">
        <f>DATE(YEAR(tblTransactions[[#This Row],[date]]),MONTH(tblTransactions[[#This Row],[date]]),1)</f>
        <v>45748</v>
      </c>
      <c r="N482" t="str">
        <f>IF(WEEKDAY(tblTransactions[[#This Row],[date]],2)&gt;5,"Weekend","Weekday")</f>
        <v>Weekday</v>
      </c>
      <c r="O482" s="13" t="str">
        <f>IF(tblTransactions[[#This Row],[discount_pct]]=0,"0%",IF(tblTransactions[[#This Row],[discount_pct]]&lt;=10%,"1–
10%",IF(tblTransactions[[#This Row],[discount_pct]]&lt;=20%,"11–20%","&gt;20%")))</f>
        <v>0%</v>
      </c>
      <c r="P482" s="13" t="str">
        <f>_xlfn.XLOOKUP(tblTransactions[[#This Row],[tenant_id]],tblTenants[tenant_id],tblTenants[zone],"NOT FOUND")</f>
        <v>Fashion Avenue</v>
      </c>
      <c r="Q482" s="13" t="str">
        <f>_xlfn.XLOOKUP(tblTransactions[[#This Row],[tenant_id]],tblTenants[tenant_id],tblTenants[category],"NOT FOUND")</f>
        <v>Accessories</v>
      </c>
    </row>
    <row r="483" spans="1:17">
      <c r="A483" t="s">
        <v>527</v>
      </c>
      <c r="B483" s="2">
        <v>45684</v>
      </c>
      <c r="C483">
        <v>14</v>
      </c>
      <c r="D483" t="s">
        <v>61</v>
      </c>
      <c r="E483" t="s">
        <v>12</v>
      </c>
      <c r="F483" s="7">
        <v>1188.46</v>
      </c>
      <c r="G483" s="10">
        <v>0.05</v>
      </c>
      <c r="H483" s="7">
        <v>1129.04</v>
      </c>
      <c r="I483">
        <v>2</v>
      </c>
      <c r="J483" t="s">
        <v>13</v>
      </c>
      <c r="K483" s="13">
        <f>ROUND(tblTransactions[[#This Row],[gross_sales_inr]]*(1-tblTransactions[[#This Row],[discount_pct]]),2)</f>
        <v>1129.04</v>
      </c>
      <c r="L483" t="str">
        <f>IF(ABS(tblTransactions[[#This Row],[net_sales_inr]]-tblTransactions[[#This Row],[Recalc_Net_Sales]])&lt;0.02,"OK","CHECK")</f>
        <v>OK</v>
      </c>
      <c r="M483" s="14">
        <f>DATE(YEAR(tblTransactions[[#This Row],[date]]),MONTH(tblTransactions[[#This Row],[date]]),1)</f>
        <v>45658</v>
      </c>
      <c r="N483" t="str">
        <f>IF(WEEKDAY(tblTransactions[[#This Row],[date]],2)&gt;5,"Weekend","Weekday")</f>
        <v>Weekday</v>
      </c>
      <c r="O48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83" s="13" t="str">
        <f>_xlfn.XLOOKUP(tblTransactions[[#This Row],[tenant_id]],tblTenants[tenant_id],tblTenants[zone],"NOT FOUND")</f>
        <v>Food Court</v>
      </c>
      <c r="Q483" s="13" t="str">
        <f>_xlfn.XLOOKUP(tblTransactions[[#This Row],[tenant_id]],tblTenants[tenant_id],tblTenants[category],"NOT FOUND")</f>
        <v>Quick Service</v>
      </c>
    </row>
    <row r="484" spans="1:17">
      <c r="A484" t="s">
        <v>528</v>
      </c>
      <c r="B484" s="2">
        <v>45827</v>
      </c>
      <c r="C484">
        <v>15</v>
      </c>
      <c r="D484" t="s">
        <v>20</v>
      </c>
      <c r="E484" t="s">
        <v>12</v>
      </c>
      <c r="F484" s="7">
        <v>288.8</v>
      </c>
      <c r="G484" s="10">
        <v>0</v>
      </c>
      <c r="H484" s="7">
        <v>288.8</v>
      </c>
      <c r="I484">
        <v>2</v>
      </c>
      <c r="J484" t="s">
        <v>13</v>
      </c>
      <c r="K484" s="13">
        <f>ROUND(tblTransactions[[#This Row],[gross_sales_inr]]*(1-tblTransactions[[#This Row],[discount_pct]]),2)</f>
        <v>288.8</v>
      </c>
      <c r="L484" t="str">
        <f>IF(ABS(tblTransactions[[#This Row],[net_sales_inr]]-tblTransactions[[#This Row],[Recalc_Net_Sales]])&lt;0.02,"OK","CHECK")</f>
        <v>OK</v>
      </c>
      <c r="M484" s="14">
        <f>DATE(YEAR(tblTransactions[[#This Row],[date]]),MONTH(tblTransactions[[#This Row],[date]]),1)</f>
        <v>45809</v>
      </c>
      <c r="N484" t="str">
        <f>IF(WEEKDAY(tblTransactions[[#This Row],[date]],2)&gt;5,"Weekend","Weekday")</f>
        <v>Weekday</v>
      </c>
      <c r="O484" s="13" t="str">
        <f>IF(tblTransactions[[#This Row],[discount_pct]]=0,"0%",IF(tblTransactions[[#This Row],[discount_pct]]&lt;=10%,"1–
10%",IF(tblTransactions[[#This Row],[discount_pct]]&lt;=20%,"11–20%","&gt;20%")))</f>
        <v>0%</v>
      </c>
      <c r="P484" s="13" t="str">
        <f>_xlfn.XLOOKUP(tblTransactions[[#This Row],[tenant_id]],tblTenants[tenant_id],tblTenants[zone],"NOT FOUND")</f>
        <v>Fashion Avenue</v>
      </c>
      <c r="Q484" s="13" t="str">
        <f>_xlfn.XLOOKUP(tblTransactions[[#This Row],[tenant_id]],tblTenants[tenant_id],tblTenants[category],"NOT FOUND")</f>
        <v>Accessories</v>
      </c>
    </row>
    <row r="485" spans="1:17">
      <c r="A485" t="s">
        <v>529</v>
      </c>
      <c r="B485" s="2">
        <v>45745</v>
      </c>
      <c r="C485">
        <v>12</v>
      </c>
      <c r="D485" t="s">
        <v>87</v>
      </c>
      <c r="E485" t="s">
        <v>12</v>
      </c>
      <c r="F485" s="7">
        <v>712.53</v>
      </c>
      <c r="G485" s="10">
        <v>0</v>
      </c>
      <c r="H485" s="7">
        <v>712.53</v>
      </c>
      <c r="I485">
        <v>5</v>
      </c>
      <c r="J485" t="s">
        <v>13</v>
      </c>
      <c r="K485" s="13">
        <f>ROUND(tblTransactions[[#This Row],[gross_sales_inr]]*(1-tblTransactions[[#This Row],[discount_pct]]),2)</f>
        <v>712.53</v>
      </c>
      <c r="L485" t="str">
        <f>IF(ABS(tblTransactions[[#This Row],[net_sales_inr]]-tblTransactions[[#This Row],[Recalc_Net_Sales]])&lt;0.02,"OK","CHECK")</f>
        <v>OK</v>
      </c>
      <c r="M485" s="14">
        <f>DATE(YEAR(tblTransactions[[#This Row],[date]]),MONTH(tblTransactions[[#This Row],[date]]),1)</f>
        <v>45717</v>
      </c>
      <c r="N485" t="str">
        <f>IF(WEEKDAY(tblTransactions[[#This Row],[date]],2)&gt;5,"Weekend","Weekday")</f>
        <v>Weekend</v>
      </c>
      <c r="O485" s="13" t="str">
        <f>IF(tblTransactions[[#This Row],[discount_pct]]=0,"0%",IF(tblTransactions[[#This Row],[discount_pct]]&lt;=10%,"1–
10%",IF(tblTransactions[[#This Row],[discount_pct]]&lt;=20%,"11–20%","&gt;20%")))</f>
        <v>0%</v>
      </c>
      <c r="P485" s="13" t="str">
        <f>_xlfn.XLOOKUP(tblTransactions[[#This Row],[tenant_id]],tblTenants[tenant_id],tblTenants[zone],"NOT FOUND")</f>
        <v>Fashion Avenue</v>
      </c>
      <c r="Q485" s="13" t="str">
        <f>_xlfn.XLOOKUP(tblTransactions[[#This Row],[tenant_id]],tblTenants[tenant_id],tblTenants[category],"NOT FOUND")</f>
        <v>Footwear</v>
      </c>
    </row>
    <row r="486" spans="1:17">
      <c r="A486" t="s">
        <v>530</v>
      </c>
      <c r="B486" s="2">
        <v>45751</v>
      </c>
      <c r="C486">
        <v>20</v>
      </c>
      <c r="D486" t="s">
        <v>45</v>
      </c>
      <c r="E486" t="s">
        <v>12</v>
      </c>
      <c r="F486" s="7">
        <v>723.32</v>
      </c>
      <c r="G486" s="10">
        <v>0.2</v>
      </c>
      <c r="H486" s="7">
        <v>578.66</v>
      </c>
      <c r="I486">
        <v>3</v>
      </c>
      <c r="J486" t="s">
        <v>16</v>
      </c>
      <c r="K486" s="13">
        <f>ROUND(tblTransactions[[#This Row],[gross_sales_inr]]*(1-tblTransactions[[#This Row],[discount_pct]]),2)</f>
        <v>578.66</v>
      </c>
      <c r="L486" t="str">
        <f>IF(ABS(tblTransactions[[#This Row],[net_sales_inr]]-tblTransactions[[#This Row],[Recalc_Net_Sales]])&lt;0.02,"OK","CHECK")</f>
        <v>OK</v>
      </c>
      <c r="M486" s="14">
        <f>DATE(YEAR(tblTransactions[[#This Row],[date]]),MONTH(tblTransactions[[#This Row],[date]]),1)</f>
        <v>45748</v>
      </c>
      <c r="N486" t="str">
        <f>IF(WEEKDAY(tblTransactions[[#This Row],[date]],2)&gt;5,"Weekend","Weekday")</f>
        <v>Weekday</v>
      </c>
      <c r="O48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86" s="13" t="str">
        <f>_xlfn.XLOOKUP(tblTransactions[[#This Row],[tenant_id]],tblTenants[tenant_id],tblTenants[zone],"NOT FOUND")</f>
        <v>Home &amp; Living</v>
      </c>
      <c r="Q486" s="13" t="str">
        <f>_xlfn.XLOOKUP(tblTransactions[[#This Row],[tenant_id]],tblTenants[tenant_id],tblTenants[category],"NOT FOUND")</f>
        <v>Home Decor</v>
      </c>
    </row>
    <row r="487" spans="1:17">
      <c r="A487" t="s">
        <v>531</v>
      </c>
      <c r="B487" s="2">
        <v>45710</v>
      </c>
      <c r="C487">
        <v>14</v>
      </c>
      <c r="D487" t="s">
        <v>34</v>
      </c>
      <c r="E487" t="s">
        <v>32</v>
      </c>
      <c r="F487" s="7">
        <v>184.89</v>
      </c>
      <c r="G487" s="10">
        <v>0.1</v>
      </c>
      <c r="H487" s="7">
        <v>166.4</v>
      </c>
      <c r="I487">
        <v>3</v>
      </c>
      <c r="J487" t="s">
        <v>13</v>
      </c>
      <c r="K487" s="13">
        <f>ROUND(tblTransactions[[#This Row],[gross_sales_inr]]*(1-tblTransactions[[#This Row],[discount_pct]]),2)</f>
        <v>166.4</v>
      </c>
      <c r="L487" t="str">
        <f>IF(ABS(tblTransactions[[#This Row],[net_sales_inr]]-tblTransactions[[#This Row],[Recalc_Net_Sales]])&lt;0.02,"OK","CHECK")</f>
        <v>OK</v>
      </c>
      <c r="M487" s="14">
        <f>DATE(YEAR(tblTransactions[[#This Row],[date]]),MONTH(tblTransactions[[#This Row],[date]]),1)</f>
        <v>45689</v>
      </c>
      <c r="N487" t="str">
        <f>IF(WEEKDAY(tblTransactions[[#This Row],[date]],2)&gt;5,"Weekend","Weekday")</f>
        <v>Weekend</v>
      </c>
      <c r="O48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87" s="13" t="str">
        <f>_xlfn.XLOOKUP(tblTransactions[[#This Row],[tenant_id]],tblTenants[tenant_id],tblTenants[zone],"NOT FOUND")</f>
        <v>Home &amp; Living</v>
      </c>
      <c r="Q487" s="13" t="str">
        <f>_xlfn.XLOOKUP(tblTransactions[[#This Row],[tenant_id]],tblTenants[tenant_id],tblTenants[category],"NOT FOUND")</f>
        <v>Electronics</v>
      </c>
    </row>
    <row r="488" spans="1:17">
      <c r="A488" t="s">
        <v>532</v>
      </c>
      <c r="B488" s="2">
        <v>45833</v>
      </c>
      <c r="C488">
        <v>18</v>
      </c>
      <c r="D488" t="s">
        <v>87</v>
      </c>
      <c r="E488" t="s">
        <v>32</v>
      </c>
      <c r="F488" s="7">
        <v>594.03</v>
      </c>
      <c r="G488" s="10">
        <v>0</v>
      </c>
      <c r="H488" s="7">
        <v>594.03</v>
      </c>
      <c r="I488">
        <v>4</v>
      </c>
      <c r="J488" t="s">
        <v>13</v>
      </c>
      <c r="K488" s="13">
        <f>ROUND(tblTransactions[[#This Row],[gross_sales_inr]]*(1-tblTransactions[[#This Row],[discount_pct]]),2)</f>
        <v>594.03</v>
      </c>
      <c r="L488" t="str">
        <f>IF(ABS(tblTransactions[[#This Row],[net_sales_inr]]-tblTransactions[[#This Row],[Recalc_Net_Sales]])&lt;0.02,"OK","CHECK")</f>
        <v>OK</v>
      </c>
      <c r="M488" s="14">
        <f>DATE(YEAR(tblTransactions[[#This Row],[date]]),MONTH(tblTransactions[[#This Row],[date]]),1)</f>
        <v>45809</v>
      </c>
      <c r="N488" t="str">
        <f>IF(WEEKDAY(tblTransactions[[#This Row],[date]],2)&gt;5,"Weekend","Weekday")</f>
        <v>Weekday</v>
      </c>
      <c r="O488" s="13" t="str">
        <f>IF(tblTransactions[[#This Row],[discount_pct]]=0,"0%",IF(tblTransactions[[#This Row],[discount_pct]]&lt;=10%,"1–
10%",IF(tblTransactions[[#This Row],[discount_pct]]&lt;=20%,"11–20%","&gt;20%")))</f>
        <v>0%</v>
      </c>
      <c r="P488" s="13" t="str">
        <f>_xlfn.XLOOKUP(tblTransactions[[#This Row],[tenant_id]],tblTenants[tenant_id],tblTenants[zone],"NOT FOUND")</f>
        <v>Fashion Avenue</v>
      </c>
      <c r="Q488" s="13" t="str">
        <f>_xlfn.XLOOKUP(tblTransactions[[#This Row],[tenant_id]],tblTenants[tenant_id],tblTenants[category],"NOT FOUND")</f>
        <v>Footwear</v>
      </c>
    </row>
    <row r="489" spans="1:17">
      <c r="A489" t="s">
        <v>533</v>
      </c>
      <c r="B489" s="2">
        <v>45662</v>
      </c>
      <c r="C489">
        <v>12</v>
      </c>
      <c r="D489" t="s">
        <v>87</v>
      </c>
      <c r="E489" t="s">
        <v>21</v>
      </c>
      <c r="F489" s="7">
        <v>1413.01</v>
      </c>
      <c r="G489" s="10">
        <v>0.05</v>
      </c>
      <c r="H489" s="7">
        <v>1342.36</v>
      </c>
      <c r="I489">
        <v>1</v>
      </c>
      <c r="J489" t="s">
        <v>13</v>
      </c>
      <c r="K489" s="13">
        <f>ROUND(tblTransactions[[#This Row],[gross_sales_inr]]*(1-tblTransactions[[#This Row],[discount_pct]]),2)</f>
        <v>1342.36</v>
      </c>
      <c r="L489" t="str">
        <f>IF(ABS(tblTransactions[[#This Row],[net_sales_inr]]-tblTransactions[[#This Row],[Recalc_Net_Sales]])&lt;0.02,"OK","CHECK")</f>
        <v>OK</v>
      </c>
      <c r="M489" s="14">
        <f>DATE(YEAR(tblTransactions[[#This Row],[date]]),MONTH(tblTransactions[[#This Row],[date]]),1)</f>
        <v>45658</v>
      </c>
      <c r="N489" t="str">
        <f>IF(WEEKDAY(tblTransactions[[#This Row],[date]],2)&gt;5,"Weekend","Weekday")</f>
        <v>Weekend</v>
      </c>
      <c r="O48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89" s="13" t="str">
        <f>_xlfn.XLOOKUP(tblTransactions[[#This Row],[tenant_id]],tblTenants[tenant_id],tblTenants[zone],"NOT FOUND")</f>
        <v>Fashion Avenue</v>
      </c>
      <c r="Q489" s="13" t="str">
        <f>_xlfn.XLOOKUP(tblTransactions[[#This Row],[tenant_id]],tblTenants[tenant_id],tblTenants[category],"NOT FOUND")</f>
        <v>Footwear</v>
      </c>
    </row>
    <row r="490" spans="1:17">
      <c r="A490" t="s">
        <v>534</v>
      </c>
      <c r="B490" s="2">
        <v>45793</v>
      </c>
      <c r="C490">
        <v>10</v>
      </c>
      <c r="D490" t="s">
        <v>63</v>
      </c>
      <c r="E490" t="s">
        <v>32</v>
      </c>
      <c r="F490" s="7">
        <v>654.24</v>
      </c>
      <c r="G490" s="10">
        <v>0</v>
      </c>
      <c r="H490" s="7">
        <v>654.24</v>
      </c>
      <c r="I490">
        <v>3</v>
      </c>
      <c r="J490" t="s">
        <v>16</v>
      </c>
      <c r="K490" s="13">
        <f>ROUND(tblTransactions[[#This Row],[gross_sales_inr]]*(1-tblTransactions[[#This Row],[discount_pct]]),2)</f>
        <v>654.24</v>
      </c>
      <c r="L490" t="str">
        <f>IF(ABS(tblTransactions[[#This Row],[net_sales_inr]]-tblTransactions[[#This Row],[Recalc_Net_Sales]])&lt;0.02,"OK","CHECK")</f>
        <v>OK</v>
      </c>
      <c r="M490" s="14">
        <f>DATE(YEAR(tblTransactions[[#This Row],[date]]),MONTH(tblTransactions[[#This Row],[date]]),1)</f>
        <v>45778</v>
      </c>
      <c r="N490" t="str">
        <f>IF(WEEKDAY(tblTransactions[[#This Row],[date]],2)&gt;5,"Weekend","Weekday")</f>
        <v>Weekday</v>
      </c>
      <c r="O490" s="13" t="str">
        <f>IF(tblTransactions[[#This Row],[discount_pct]]=0,"0%",IF(tblTransactions[[#This Row],[discount_pct]]&lt;=10%,"1–
10%",IF(tblTransactions[[#This Row],[discount_pct]]&lt;=20%,"11–20%","&gt;20%")))</f>
        <v>0%</v>
      </c>
      <c r="P490" s="13" t="str">
        <f>_xlfn.XLOOKUP(tblTransactions[[#This Row],[tenant_id]],tblTenants[tenant_id],tblTenants[zone],"NOT FOUND")</f>
        <v>Entertainment</v>
      </c>
      <c r="Q490" s="13" t="str">
        <f>_xlfn.XLOOKUP(tblTransactions[[#This Row],[tenant_id]],tblTenants[tenant_id],tblTenants[category],"NOT FOUND")</f>
        <v>Family Entertainment</v>
      </c>
    </row>
    <row r="491" spans="1:17">
      <c r="A491" t="s">
        <v>535</v>
      </c>
      <c r="B491" s="2">
        <v>45824</v>
      </c>
      <c r="C491">
        <v>16</v>
      </c>
      <c r="D491" t="s">
        <v>104</v>
      </c>
      <c r="E491" t="s">
        <v>12</v>
      </c>
      <c r="F491" s="7">
        <v>528.33000000000004</v>
      </c>
      <c r="G491" s="10">
        <v>0</v>
      </c>
      <c r="H491" s="7">
        <v>528.33000000000004</v>
      </c>
      <c r="I491">
        <v>2</v>
      </c>
      <c r="J491" t="s">
        <v>13</v>
      </c>
      <c r="K491" s="13">
        <f>ROUND(tblTransactions[[#This Row],[gross_sales_inr]]*(1-tblTransactions[[#This Row],[discount_pct]]),2)</f>
        <v>528.33000000000004</v>
      </c>
      <c r="L491" t="str">
        <f>IF(ABS(tblTransactions[[#This Row],[net_sales_inr]]-tblTransactions[[#This Row],[Recalc_Net_Sales]])&lt;0.02,"OK","CHECK")</f>
        <v>OK</v>
      </c>
      <c r="M491" s="14">
        <f>DATE(YEAR(tblTransactions[[#This Row],[date]]),MONTH(tblTransactions[[#This Row],[date]]),1)</f>
        <v>45809</v>
      </c>
      <c r="N491" t="str">
        <f>IF(WEEKDAY(tblTransactions[[#This Row],[date]],2)&gt;5,"Weekend","Weekday")</f>
        <v>Weekday</v>
      </c>
      <c r="O491" s="13" t="str">
        <f>IF(tblTransactions[[#This Row],[discount_pct]]=0,"0%",IF(tblTransactions[[#This Row],[discount_pct]]&lt;=10%,"1–
10%",IF(tblTransactions[[#This Row],[discount_pct]]&lt;=20%,"11–20%","&gt;20%")))</f>
        <v>0%</v>
      </c>
      <c r="P491" s="13" t="str">
        <f>_xlfn.XLOOKUP(tblTransactions[[#This Row],[tenant_id]],tblTenants[tenant_id],tblTenants[zone],"NOT FOUND")</f>
        <v>Entertainment</v>
      </c>
      <c r="Q491" s="13" t="str">
        <f>_xlfn.XLOOKUP(tblTransactions[[#This Row],[tenant_id]],tblTenants[tenant_id],tblTenants[category],"NOT FOUND")</f>
        <v>Family Entertainment</v>
      </c>
    </row>
    <row r="492" spans="1:17">
      <c r="A492" t="s">
        <v>536</v>
      </c>
      <c r="B492" s="2">
        <v>45762</v>
      </c>
      <c r="C492">
        <v>20</v>
      </c>
      <c r="D492" t="s">
        <v>61</v>
      </c>
      <c r="E492" t="s">
        <v>51</v>
      </c>
      <c r="F492" s="7">
        <v>335.65</v>
      </c>
      <c r="G492" s="10">
        <v>0</v>
      </c>
      <c r="H492" s="7">
        <v>335.65</v>
      </c>
      <c r="I492">
        <v>1</v>
      </c>
      <c r="J492" t="s">
        <v>16</v>
      </c>
      <c r="K492" s="13">
        <f>ROUND(tblTransactions[[#This Row],[gross_sales_inr]]*(1-tblTransactions[[#This Row],[discount_pct]]),2)</f>
        <v>335.65</v>
      </c>
      <c r="L492" t="str">
        <f>IF(ABS(tblTransactions[[#This Row],[net_sales_inr]]-tblTransactions[[#This Row],[Recalc_Net_Sales]])&lt;0.02,"OK","CHECK")</f>
        <v>OK</v>
      </c>
      <c r="M492" s="14">
        <f>DATE(YEAR(tblTransactions[[#This Row],[date]]),MONTH(tblTransactions[[#This Row],[date]]),1)</f>
        <v>45748</v>
      </c>
      <c r="N492" t="str">
        <f>IF(WEEKDAY(tblTransactions[[#This Row],[date]],2)&gt;5,"Weekend","Weekday")</f>
        <v>Weekday</v>
      </c>
      <c r="O492" s="13" t="str">
        <f>IF(tblTransactions[[#This Row],[discount_pct]]=0,"0%",IF(tblTransactions[[#This Row],[discount_pct]]&lt;=10%,"1–
10%",IF(tblTransactions[[#This Row],[discount_pct]]&lt;=20%,"11–20%","&gt;20%")))</f>
        <v>0%</v>
      </c>
      <c r="P492" s="13" t="str">
        <f>_xlfn.XLOOKUP(tblTransactions[[#This Row],[tenant_id]],tblTenants[tenant_id],tblTenants[zone],"NOT FOUND")</f>
        <v>Food Court</v>
      </c>
      <c r="Q492" s="13" t="str">
        <f>_xlfn.XLOOKUP(tblTransactions[[#This Row],[tenant_id]],tblTenants[tenant_id],tblTenants[category],"NOT FOUND")</f>
        <v>Quick Service</v>
      </c>
    </row>
    <row r="493" spans="1:17">
      <c r="A493" t="s">
        <v>537</v>
      </c>
      <c r="B493" s="2">
        <v>45823</v>
      </c>
      <c r="C493">
        <v>12</v>
      </c>
      <c r="D493" t="s">
        <v>25</v>
      </c>
      <c r="E493" t="s">
        <v>32</v>
      </c>
      <c r="F493" s="7">
        <v>438.12</v>
      </c>
      <c r="G493" s="10">
        <v>0.2</v>
      </c>
      <c r="H493" s="7">
        <v>350.5</v>
      </c>
      <c r="I493">
        <v>1</v>
      </c>
      <c r="J493" t="s">
        <v>16</v>
      </c>
      <c r="K493" s="13">
        <f>ROUND(tblTransactions[[#This Row],[gross_sales_inr]]*(1-tblTransactions[[#This Row],[discount_pct]]),2)</f>
        <v>350.5</v>
      </c>
      <c r="L493" t="str">
        <f>IF(ABS(tblTransactions[[#This Row],[net_sales_inr]]-tblTransactions[[#This Row],[Recalc_Net_Sales]])&lt;0.02,"OK","CHECK")</f>
        <v>OK</v>
      </c>
      <c r="M493" s="14">
        <f>DATE(YEAR(tblTransactions[[#This Row],[date]]),MONTH(tblTransactions[[#This Row],[date]]),1)</f>
        <v>45809</v>
      </c>
      <c r="N493" t="str">
        <f>IF(WEEKDAY(tblTransactions[[#This Row],[date]],2)&gt;5,"Weekend","Weekday")</f>
        <v>Weekend</v>
      </c>
      <c r="O49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493" s="13" t="str">
        <f>_xlfn.XLOOKUP(tblTransactions[[#This Row],[tenant_id]],tblTenants[tenant_id],tblTenants[zone],"NOT FOUND")</f>
        <v>Beauty &amp; Wellness</v>
      </c>
      <c r="Q493" s="13" t="str">
        <f>_xlfn.XLOOKUP(tblTransactions[[#This Row],[tenant_id]],tblTenants[tenant_id],tblTenants[category],"NOT FOUND")</f>
        <v>Beauty</v>
      </c>
    </row>
    <row r="494" spans="1:17">
      <c r="A494" t="s">
        <v>538</v>
      </c>
      <c r="B494" s="2">
        <v>45812</v>
      </c>
      <c r="C494">
        <v>10</v>
      </c>
      <c r="D494" t="s">
        <v>43</v>
      </c>
      <c r="E494" t="s">
        <v>12</v>
      </c>
      <c r="F494" s="7">
        <v>677.37</v>
      </c>
      <c r="G494" s="10">
        <v>0.1</v>
      </c>
      <c r="H494" s="7">
        <v>609.63</v>
      </c>
      <c r="I494">
        <v>5</v>
      </c>
      <c r="J494" t="s">
        <v>16</v>
      </c>
      <c r="K494" s="13">
        <f>ROUND(tblTransactions[[#This Row],[gross_sales_inr]]*(1-tblTransactions[[#This Row],[discount_pct]]),2)</f>
        <v>609.63</v>
      </c>
      <c r="L494" t="str">
        <f>IF(ABS(tblTransactions[[#This Row],[net_sales_inr]]-tblTransactions[[#This Row],[Recalc_Net_Sales]])&lt;0.02,"OK","CHECK")</f>
        <v>OK</v>
      </c>
      <c r="M494" s="14">
        <f>DATE(YEAR(tblTransactions[[#This Row],[date]]),MONTH(tblTransactions[[#This Row],[date]]),1)</f>
        <v>45809</v>
      </c>
      <c r="N494" t="str">
        <f>IF(WEEKDAY(tblTransactions[[#This Row],[date]],2)&gt;5,"Weekend","Weekday")</f>
        <v>Weekday</v>
      </c>
      <c r="O49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94" s="13" t="str">
        <f>_xlfn.XLOOKUP(tblTransactions[[#This Row],[tenant_id]],tblTenants[tenant_id],tblTenants[zone],"NOT FOUND")</f>
        <v>Food Court</v>
      </c>
      <c r="Q494" s="13" t="str">
        <f>_xlfn.XLOOKUP(tblTransactions[[#This Row],[tenant_id]],tblTenants[tenant_id],tblTenants[category],"NOT FOUND")</f>
        <v>Casual Dining</v>
      </c>
    </row>
    <row r="495" spans="1:17">
      <c r="A495" t="s">
        <v>539</v>
      </c>
      <c r="B495" s="2">
        <v>45759</v>
      </c>
      <c r="C495">
        <v>20</v>
      </c>
      <c r="D495" t="s">
        <v>27</v>
      </c>
      <c r="E495" t="s">
        <v>21</v>
      </c>
      <c r="F495" s="7">
        <v>831.23</v>
      </c>
      <c r="G495" s="10">
        <v>0.05</v>
      </c>
      <c r="H495" s="7">
        <v>789.67</v>
      </c>
      <c r="I495">
        <v>1</v>
      </c>
      <c r="J495" t="s">
        <v>13</v>
      </c>
      <c r="K495" s="13">
        <f>ROUND(tblTransactions[[#This Row],[gross_sales_inr]]*(1-tblTransactions[[#This Row],[discount_pct]]),2)</f>
        <v>789.67</v>
      </c>
      <c r="L495" t="str">
        <f>IF(ABS(tblTransactions[[#This Row],[net_sales_inr]]-tblTransactions[[#This Row],[Recalc_Net_Sales]])&lt;0.02,"OK","CHECK")</f>
        <v>OK</v>
      </c>
      <c r="M495" s="14">
        <f>DATE(YEAR(tblTransactions[[#This Row],[date]]),MONTH(tblTransactions[[#This Row],[date]]),1)</f>
        <v>45748</v>
      </c>
      <c r="N495" t="str">
        <f>IF(WEEKDAY(tblTransactions[[#This Row],[date]],2)&gt;5,"Weekend","Weekday")</f>
        <v>Weekend</v>
      </c>
      <c r="O49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495" s="13" t="str">
        <f>_xlfn.XLOOKUP(tblTransactions[[#This Row],[tenant_id]],tblTenants[tenant_id],tblTenants[zone],"NOT FOUND")</f>
        <v>Beauty &amp; Wellness</v>
      </c>
      <c r="Q495" s="13" t="str">
        <f>_xlfn.XLOOKUP(tblTransactions[[#This Row],[tenant_id]],tblTenants[tenant_id],tblTenants[category],"NOT FOUND")</f>
        <v>Wellness</v>
      </c>
    </row>
    <row r="496" spans="1:17">
      <c r="A496" t="s">
        <v>540</v>
      </c>
      <c r="B496" s="2">
        <v>45684</v>
      </c>
      <c r="C496">
        <v>11</v>
      </c>
      <c r="D496" t="s">
        <v>23</v>
      </c>
      <c r="E496" t="s">
        <v>12</v>
      </c>
      <c r="F496" s="7">
        <v>2008.64</v>
      </c>
      <c r="G496" s="10">
        <v>0</v>
      </c>
      <c r="H496" s="7">
        <v>2008.64</v>
      </c>
      <c r="I496">
        <v>2</v>
      </c>
      <c r="J496" t="s">
        <v>13</v>
      </c>
      <c r="K496" s="13">
        <f>ROUND(tblTransactions[[#This Row],[gross_sales_inr]]*(1-tblTransactions[[#This Row],[discount_pct]]),2)</f>
        <v>2008.64</v>
      </c>
      <c r="L496" t="str">
        <f>IF(ABS(tblTransactions[[#This Row],[net_sales_inr]]-tblTransactions[[#This Row],[Recalc_Net_Sales]])&lt;0.02,"OK","CHECK")</f>
        <v>OK</v>
      </c>
      <c r="M496" s="14">
        <f>DATE(YEAR(tblTransactions[[#This Row],[date]]),MONTH(tblTransactions[[#This Row],[date]]),1)</f>
        <v>45658</v>
      </c>
      <c r="N496" t="str">
        <f>IF(WEEKDAY(tblTransactions[[#This Row],[date]],2)&gt;5,"Weekend","Weekday")</f>
        <v>Weekday</v>
      </c>
      <c r="O496" s="13" t="str">
        <f>IF(tblTransactions[[#This Row],[discount_pct]]=0,"0%",IF(tblTransactions[[#This Row],[discount_pct]]&lt;=10%,"1–
10%",IF(tblTransactions[[#This Row],[discount_pct]]&lt;=20%,"11–20%","&gt;20%")))</f>
        <v>0%</v>
      </c>
      <c r="P496" s="13" t="str">
        <f>_xlfn.XLOOKUP(tblTransactions[[#This Row],[tenant_id]],tblTenants[tenant_id],tblTenants[zone],"NOT FOUND")</f>
        <v>Entertainment</v>
      </c>
      <c r="Q496" s="13" t="str">
        <f>_xlfn.XLOOKUP(tblTransactions[[#This Row],[tenant_id]],tblTenants[tenant_id],tblTenants[category],"NOT FOUND")</f>
        <v>Cinema</v>
      </c>
    </row>
    <row r="497" spans="1:17">
      <c r="A497" t="s">
        <v>541</v>
      </c>
      <c r="B497" s="2">
        <v>45669</v>
      </c>
      <c r="C497">
        <v>15</v>
      </c>
      <c r="D497" t="s">
        <v>27</v>
      </c>
      <c r="E497" t="s">
        <v>51</v>
      </c>
      <c r="F497" s="7">
        <v>664.31</v>
      </c>
      <c r="G497" s="10">
        <v>0.3</v>
      </c>
      <c r="H497" s="7">
        <v>465.02</v>
      </c>
      <c r="I497">
        <v>1</v>
      </c>
      <c r="J497" t="s">
        <v>13</v>
      </c>
      <c r="K497" s="13">
        <f>ROUND(tblTransactions[[#This Row],[gross_sales_inr]]*(1-tblTransactions[[#This Row],[discount_pct]]),2)</f>
        <v>465.02</v>
      </c>
      <c r="L497" t="str">
        <f>IF(ABS(tblTransactions[[#This Row],[net_sales_inr]]-tblTransactions[[#This Row],[Recalc_Net_Sales]])&lt;0.02,"OK","CHECK")</f>
        <v>OK</v>
      </c>
      <c r="M497" s="14">
        <f>DATE(YEAR(tblTransactions[[#This Row],[date]]),MONTH(tblTransactions[[#This Row],[date]]),1)</f>
        <v>45658</v>
      </c>
      <c r="N497" t="str">
        <f>IF(WEEKDAY(tblTransactions[[#This Row],[date]],2)&gt;5,"Weekend","Weekday")</f>
        <v>Weekend</v>
      </c>
      <c r="O49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497" s="13" t="str">
        <f>_xlfn.XLOOKUP(tblTransactions[[#This Row],[tenant_id]],tblTenants[tenant_id],tblTenants[zone],"NOT FOUND")</f>
        <v>Beauty &amp; Wellness</v>
      </c>
      <c r="Q497" s="13" t="str">
        <f>_xlfn.XLOOKUP(tblTransactions[[#This Row],[tenant_id]],tblTenants[tenant_id],tblTenants[category],"NOT FOUND")</f>
        <v>Wellness</v>
      </c>
    </row>
    <row r="498" spans="1:17">
      <c r="A498" t="s">
        <v>542</v>
      </c>
      <c r="B498" s="2">
        <v>45768</v>
      </c>
      <c r="C498">
        <v>13</v>
      </c>
      <c r="D498" t="s">
        <v>25</v>
      </c>
      <c r="E498" t="s">
        <v>12</v>
      </c>
      <c r="F498" s="7">
        <v>291.39</v>
      </c>
      <c r="G498" s="10">
        <v>0</v>
      </c>
      <c r="H498" s="7">
        <v>291.39</v>
      </c>
      <c r="I498">
        <v>2</v>
      </c>
      <c r="J498" t="s">
        <v>13</v>
      </c>
      <c r="K498" s="13">
        <f>ROUND(tblTransactions[[#This Row],[gross_sales_inr]]*(1-tblTransactions[[#This Row],[discount_pct]]),2)</f>
        <v>291.39</v>
      </c>
      <c r="L498" t="str">
        <f>IF(ABS(tblTransactions[[#This Row],[net_sales_inr]]-tblTransactions[[#This Row],[Recalc_Net_Sales]])&lt;0.02,"OK","CHECK")</f>
        <v>OK</v>
      </c>
      <c r="M498" s="14">
        <f>DATE(YEAR(tblTransactions[[#This Row],[date]]),MONTH(tblTransactions[[#This Row],[date]]),1)</f>
        <v>45748</v>
      </c>
      <c r="N498" t="str">
        <f>IF(WEEKDAY(tblTransactions[[#This Row],[date]],2)&gt;5,"Weekend","Weekday")</f>
        <v>Weekday</v>
      </c>
      <c r="O498" s="13" t="str">
        <f>IF(tblTransactions[[#This Row],[discount_pct]]=0,"0%",IF(tblTransactions[[#This Row],[discount_pct]]&lt;=10%,"1–
10%",IF(tblTransactions[[#This Row],[discount_pct]]&lt;=20%,"11–20%","&gt;20%")))</f>
        <v>0%</v>
      </c>
      <c r="P498" s="13" t="str">
        <f>_xlfn.XLOOKUP(tblTransactions[[#This Row],[tenant_id]],tblTenants[tenant_id],tblTenants[zone],"NOT FOUND")</f>
        <v>Beauty &amp; Wellness</v>
      </c>
      <c r="Q498" s="13" t="str">
        <f>_xlfn.XLOOKUP(tblTransactions[[#This Row],[tenant_id]],tblTenants[tenant_id],tblTenants[category],"NOT FOUND")</f>
        <v>Beauty</v>
      </c>
    </row>
    <row r="499" spans="1:17">
      <c r="A499" t="s">
        <v>543</v>
      </c>
      <c r="B499" s="2">
        <v>45792</v>
      </c>
      <c r="C499">
        <v>18</v>
      </c>
      <c r="D499" t="s">
        <v>87</v>
      </c>
      <c r="E499" t="s">
        <v>12</v>
      </c>
      <c r="F499" s="7">
        <v>1831.11</v>
      </c>
      <c r="G499" s="10">
        <v>0</v>
      </c>
      <c r="H499" s="7">
        <v>1831.11</v>
      </c>
      <c r="I499">
        <v>1</v>
      </c>
      <c r="J499" t="s">
        <v>16</v>
      </c>
      <c r="K499" s="13">
        <f>ROUND(tblTransactions[[#This Row],[gross_sales_inr]]*(1-tblTransactions[[#This Row],[discount_pct]]),2)</f>
        <v>1831.11</v>
      </c>
      <c r="L499" t="str">
        <f>IF(ABS(tblTransactions[[#This Row],[net_sales_inr]]-tblTransactions[[#This Row],[Recalc_Net_Sales]])&lt;0.02,"OK","CHECK")</f>
        <v>OK</v>
      </c>
      <c r="M499" s="14">
        <f>DATE(YEAR(tblTransactions[[#This Row],[date]]),MONTH(tblTransactions[[#This Row],[date]]),1)</f>
        <v>45778</v>
      </c>
      <c r="N499" t="str">
        <f>IF(WEEKDAY(tblTransactions[[#This Row],[date]],2)&gt;5,"Weekend","Weekday")</f>
        <v>Weekday</v>
      </c>
      <c r="O499" s="13" t="str">
        <f>IF(tblTransactions[[#This Row],[discount_pct]]=0,"0%",IF(tblTransactions[[#This Row],[discount_pct]]&lt;=10%,"1–
10%",IF(tblTransactions[[#This Row],[discount_pct]]&lt;=20%,"11–20%","&gt;20%")))</f>
        <v>0%</v>
      </c>
      <c r="P499" s="13" t="str">
        <f>_xlfn.XLOOKUP(tblTransactions[[#This Row],[tenant_id]],tblTenants[tenant_id],tblTenants[zone],"NOT FOUND")</f>
        <v>Fashion Avenue</v>
      </c>
      <c r="Q499" s="13" t="str">
        <f>_xlfn.XLOOKUP(tblTransactions[[#This Row],[tenant_id]],tblTenants[tenant_id],tblTenants[category],"NOT FOUND")</f>
        <v>Footwear</v>
      </c>
    </row>
    <row r="500" spans="1:17">
      <c r="A500" t="s">
        <v>544</v>
      </c>
      <c r="B500" s="2">
        <v>45766</v>
      </c>
      <c r="C500">
        <v>15</v>
      </c>
      <c r="D500" t="s">
        <v>41</v>
      </c>
      <c r="E500" t="s">
        <v>12</v>
      </c>
      <c r="F500" s="7">
        <v>1083.98</v>
      </c>
      <c r="G500" s="10">
        <v>0.05</v>
      </c>
      <c r="H500" s="7">
        <v>1029.78</v>
      </c>
      <c r="I500">
        <v>1</v>
      </c>
      <c r="J500" t="s">
        <v>13</v>
      </c>
      <c r="K500" s="13">
        <f>ROUND(tblTransactions[[#This Row],[gross_sales_inr]]*(1-tblTransactions[[#This Row],[discount_pct]]),2)</f>
        <v>1029.78</v>
      </c>
      <c r="L500" t="str">
        <f>IF(ABS(tblTransactions[[#This Row],[net_sales_inr]]-tblTransactions[[#This Row],[Recalc_Net_Sales]])&lt;0.02,"OK","CHECK")</f>
        <v>OK</v>
      </c>
      <c r="M500" s="14">
        <f>DATE(YEAR(tblTransactions[[#This Row],[date]]),MONTH(tblTransactions[[#This Row],[date]]),1)</f>
        <v>45748</v>
      </c>
      <c r="N500" t="str">
        <f>IF(WEEKDAY(tblTransactions[[#This Row],[date]],2)&gt;5,"Weekend","Weekday")</f>
        <v>Weekend</v>
      </c>
      <c r="O50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00" s="13" t="str">
        <f>_xlfn.XLOOKUP(tblTransactions[[#This Row],[tenant_id]],tblTenants[tenant_id],tblTenants[zone],"NOT FOUND")</f>
        <v>Fashion Avenue</v>
      </c>
      <c r="Q500" s="13" t="str">
        <f>_xlfn.XLOOKUP(tblTransactions[[#This Row],[tenant_id]],tblTenants[tenant_id],tblTenants[category],"NOT FOUND")</f>
        <v>Clothing</v>
      </c>
    </row>
    <row r="501" spans="1:17">
      <c r="A501" t="s">
        <v>545</v>
      </c>
      <c r="B501" s="2">
        <v>45776</v>
      </c>
      <c r="C501">
        <v>10</v>
      </c>
      <c r="D501" t="s">
        <v>59</v>
      </c>
      <c r="E501" t="s">
        <v>32</v>
      </c>
      <c r="F501" s="7">
        <v>500.37</v>
      </c>
      <c r="G501" s="10">
        <v>0</v>
      </c>
      <c r="H501" s="7">
        <v>500.37</v>
      </c>
      <c r="I501">
        <v>5</v>
      </c>
      <c r="J501" t="s">
        <v>13</v>
      </c>
      <c r="K501" s="13">
        <f>ROUND(tblTransactions[[#This Row],[gross_sales_inr]]*(1-tblTransactions[[#This Row],[discount_pct]]),2)</f>
        <v>500.37</v>
      </c>
      <c r="L501" t="str">
        <f>IF(ABS(tblTransactions[[#This Row],[net_sales_inr]]-tblTransactions[[#This Row],[Recalc_Net_Sales]])&lt;0.02,"OK","CHECK")</f>
        <v>OK</v>
      </c>
      <c r="M501" s="14">
        <f>DATE(YEAR(tblTransactions[[#This Row],[date]]),MONTH(tblTransactions[[#This Row],[date]]),1)</f>
        <v>45748</v>
      </c>
      <c r="N501" t="str">
        <f>IF(WEEKDAY(tblTransactions[[#This Row],[date]],2)&gt;5,"Weekend","Weekday")</f>
        <v>Weekday</v>
      </c>
      <c r="O501" s="13" t="str">
        <f>IF(tblTransactions[[#This Row],[discount_pct]]=0,"0%",IF(tblTransactions[[#This Row],[discount_pct]]&lt;=10%,"1–
10%",IF(tblTransactions[[#This Row],[discount_pct]]&lt;=20%,"11–20%","&gt;20%")))</f>
        <v>0%</v>
      </c>
      <c r="P501" s="13" t="str">
        <f>_xlfn.XLOOKUP(tblTransactions[[#This Row],[tenant_id]],tblTenants[tenant_id],tblTenants[zone],"NOT FOUND")</f>
        <v>Fashion Avenue</v>
      </c>
      <c r="Q501" s="13" t="str">
        <f>_xlfn.XLOOKUP(tblTransactions[[#This Row],[tenant_id]],tblTenants[tenant_id],tblTenants[category],"NOT FOUND")</f>
        <v>Footwear</v>
      </c>
    </row>
    <row r="502" spans="1:17">
      <c r="A502" t="s">
        <v>546</v>
      </c>
      <c r="B502" s="2">
        <v>45792</v>
      </c>
      <c r="C502">
        <v>12</v>
      </c>
      <c r="D502" t="s">
        <v>11</v>
      </c>
      <c r="E502" t="s">
        <v>21</v>
      </c>
      <c r="F502" s="7">
        <v>607.87</v>
      </c>
      <c r="G502" s="10">
        <v>0</v>
      </c>
      <c r="H502" s="7">
        <v>607.87</v>
      </c>
      <c r="I502">
        <v>6</v>
      </c>
      <c r="J502" t="s">
        <v>13</v>
      </c>
      <c r="K502" s="13">
        <f>ROUND(tblTransactions[[#This Row],[gross_sales_inr]]*(1-tblTransactions[[#This Row],[discount_pct]]),2)</f>
        <v>607.87</v>
      </c>
      <c r="L502" t="str">
        <f>IF(ABS(tblTransactions[[#This Row],[net_sales_inr]]-tblTransactions[[#This Row],[Recalc_Net_Sales]])&lt;0.02,"OK","CHECK")</f>
        <v>OK</v>
      </c>
      <c r="M502" s="14">
        <f>DATE(YEAR(tblTransactions[[#This Row],[date]]),MONTH(tblTransactions[[#This Row],[date]]),1)</f>
        <v>45778</v>
      </c>
      <c r="N502" t="str">
        <f>IF(WEEKDAY(tblTransactions[[#This Row],[date]],2)&gt;5,"Weekend","Weekday")</f>
        <v>Weekday</v>
      </c>
      <c r="O502" s="13" t="str">
        <f>IF(tblTransactions[[#This Row],[discount_pct]]=0,"0%",IF(tblTransactions[[#This Row],[discount_pct]]&lt;=10%,"1–
10%",IF(tblTransactions[[#This Row],[discount_pct]]&lt;=20%,"11–20%","&gt;20%")))</f>
        <v>0%</v>
      </c>
      <c r="P502" s="13" t="str">
        <f>_xlfn.XLOOKUP(tblTransactions[[#This Row],[tenant_id]],tblTenants[tenant_id],tblTenants[zone],"NOT FOUND")</f>
        <v>Home &amp; Living</v>
      </c>
      <c r="Q502" s="13" t="str">
        <f>_xlfn.XLOOKUP(tblTransactions[[#This Row],[tenant_id]],tblTenants[tenant_id],tblTenants[category],"NOT FOUND")</f>
        <v>Home Decor</v>
      </c>
    </row>
    <row r="503" spans="1:17">
      <c r="A503" t="s">
        <v>547</v>
      </c>
      <c r="B503" s="2">
        <v>45779</v>
      </c>
      <c r="C503">
        <v>14</v>
      </c>
      <c r="D503" t="s">
        <v>36</v>
      </c>
      <c r="E503" t="s">
        <v>12</v>
      </c>
      <c r="F503" s="7">
        <v>968.14</v>
      </c>
      <c r="G503" s="10">
        <v>0.05</v>
      </c>
      <c r="H503" s="7">
        <v>919.73</v>
      </c>
      <c r="I503">
        <v>1</v>
      </c>
      <c r="J503" t="s">
        <v>16</v>
      </c>
      <c r="K503" s="13">
        <f>ROUND(tblTransactions[[#This Row],[gross_sales_inr]]*(1-tblTransactions[[#This Row],[discount_pct]]),2)</f>
        <v>919.73</v>
      </c>
      <c r="L503" t="str">
        <f>IF(ABS(tblTransactions[[#This Row],[net_sales_inr]]-tblTransactions[[#This Row],[Recalc_Net_Sales]])&lt;0.02,"OK","CHECK")</f>
        <v>OK</v>
      </c>
      <c r="M503" s="14">
        <f>DATE(YEAR(tblTransactions[[#This Row],[date]]),MONTH(tblTransactions[[#This Row],[date]]),1)</f>
        <v>45778</v>
      </c>
      <c r="N503" t="str">
        <f>IF(WEEKDAY(tblTransactions[[#This Row],[date]],2)&gt;5,"Weekend","Weekday")</f>
        <v>Weekday</v>
      </c>
      <c r="O50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03" s="13" t="str">
        <f>_xlfn.XLOOKUP(tblTransactions[[#This Row],[tenant_id]],tblTenants[tenant_id],tblTenants[zone],"NOT FOUND")</f>
        <v>Home &amp; Living</v>
      </c>
      <c r="Q503" s="13" t="str">
        <f>_xlfn.XLOOKUP(tblTransactions[[#This Row],[tenant_id]],tblTenants[tenant_id],tblTenants[category],"NOT FOUND")</f>
        <v>Electronics</v>
      </c>
    </row>
    <row r="504" spans="1:17">
      <c r="A504" t="s">
        <v>548</v>
      </c>
      <c r="B504" s="2">
        <v>45711</v>
      </c>
      <c r="C504">
        <v>22</v>
      </c>
      <c r="D504" t="s">
        <v>34</v>
      </c>
      <c r="E504" t="s">
        <v>51</v>
      </c>
      <c r="F504" s="7">
        <v>724.1</v>
      </c>
      <c r="G504" s="10">
        <v>0</v>
      </c>
      <c r="H504" s="7">
        <v>724.1</v>
      </c>
      <c r="I504">
        <v>1</v>
      </c>
      <c r="J504" t="s">
        <v>16</v>
      </c>
      <c r="K504" s="13">
        <f>ROUND(tblTransactions[[#This Row],[gross_sales_inr]]*(1-tblTransactions[[#This Row],[discount_pct]]),2)</f>
        <v>724.1</v>
      </c>
      <c r="L504" t="str">
        <f>IF(ABS(tblTransactions[[#This Row],[net_sales_inr]]-tblTransactions[[#This Row],[Recalc_Net_Sales]])&lt;0.02,"OK","CHECK")</f>
        <v>OK</v>
      </c>
      <c r="M504" s="14">
        <f>DATE(YEAR(tblTransactions[[#This Row],[date]]),MONTH(tblTransactions[[#This Row],[date]]),1)</f>
        <v>45689</v>
      </c>
      <c r="N504" t="str">
        <f>IF(WEEKDAY(tblTransactions[[#This Row],[date]],2)&gt;5,"Weekend","Weekday")</f>
        <v>Weekend</v>
      </c>
      <c r="O504" s="13" t="str">
        <f>IF(tblTransactions[[#This Row],[discount_pct]]=0,"0%",IF(tblTransactions[[#This Row],[discount_pct]]&lt;=10%,"1–
10%",IF(tblTransactions[[#This Row],[discount_pct]]&lt;=20%,"11–20%","&gt;20%")))</f>
        <v>0%</v>
      </c>
      <c r="P504" s="13" t="str">
        <f>_xlfn.XLOOKUP(tblTransactions[[#This Row],[tenant_id]],tblTenants[tenant_id],tblTenants[zone],"NOT FOUND")</f>
        <v>Home &amp; Living</v>
      </c>
      <c r="Q504" s="13" t="str">
        <f>_xlfn.XLOOKUP(tblTransactions[[#This Row],[tenant_id]],tblTenants[tenant_id],tblTenants[category],"NOT FOUND")</f>
        <v>Electronics</v>
      </c>
    </row>
    <row r="505" spans="1:17">
      <c r="A505" t="s">
        <v>549</v>
      </c>
      <c r="B505" s="2">
        <v>45667</v>
      </c>
      <c r="C505">
        <v>15</v>
      </c>
      <c r="D505" t="s">
        <v>70</v>
      </c>
      <c r="E505" t="s">
        <v>21</v>
      </c>
      <c r="F505" s="7">
        <v>371.09</v>
      </c>
      <c r="G505" s="10">
        <v>0.3</v>
      </c>
      <c r="H505" s="7">
        <v>259.76</v>
      </c>
      <c r="I505">
        <v>2</v>
      </c>
      <c r="J505" t="s">
        <v>13</v>
      </c>
      <c r="K505" s="13">
        <f>ROUND(tblTransactions[[#This Row],[gross_sales_inr]]*(1-tblTransactions[[#This Row],[discount_pct]]),2)</f>
        <v>259.76</v>
      </c>
      <c r="L505" t="str">
        <f>IF(ABS(tblTransactions[[#This Row],[net_sales_inr]]-tblTransactions[[#This Row],[Recalc_Net_Sales]])&lt;0.02,"OK","CHECK")</f>
        <v>OK</v>
      </c>
      <c r="M505" s="14">
        <f>DATE(YEAR(tblTransactions[[#This Row],[date]]),MONTH(tblTransactions[[#This Row],[date]]),1)</f>
        <v>45658</v>
      </c>
      <c r="N505" t="str">
        <f>IF(WEEKDAY(tblTransactions[[#This Row],[date]],2)&gt;5,"Weekend","Weekday")</f>
        <v>Weekday</v>
      </c>
      <c r="O505" s="13" t="str">
        <f>IF(tblTransactions[[#This Row],[discount_pct]]=0,"0%",IF(tblTransactions[[#This Row],[discount_pct]]&lt;=10%,"1–
10%",IF(tblTransactions[[#This Row],[discount_pct]]&lt;=20%,"11–20%","&gt;20%")))</f>
        <v>&gt;20%</v>
      </c>
      <c r="P505" s="13" t="str">
        <f>_xlfn.XLOOKUP(tblTransactions[[#This Row],[tenant_id]],tblTenants[tenant_id],tblTenants[zone],"NOT FOUND")</f>
        <v>Food Court</v>
      </c>
      <c r="Q505" s="13" t="str">
        <f>_xlfn.XLOOKUP(tblTransactions[[#This Row],[tenant_id]],tblTenants[tenant_id],tblTenants[category],"NOT FOUND")</f>
        <v>Quick Service</v>
      </c>
    </row>
    <row r="506" spans="1:17">
      <c r="A506" t="s">
        <v>550</v>
      </c>
      <c r="B506" s="2">
        <v>45701</v>
      </c>
      <c r="C506">
        <v>10</v>
      </c>
      <c r="D506" t="s">
        <v>55</v>
      </c>
      <c r="E506" t="s">
        <v>12</v>
      </c>
      <c r="F506" s="7">
        <v>1314.24</v>
      </c>
      <c r="G506" s="10">
        <v>0</v>
      </c>
      <c r="H506" s="7">
        <v>1314.24</v>
      </c>
      <c r="I506">
        <v>2</v>
      </c>
      <c r="J506" t="s">
        <v>16</v>
      </c>
      <c r="K506" s="13">
        <f>ROUND(tblTransactions[[#This Row],[gross_sales_inr]]*(1-tblTransactions[[#This Row],[discount_pct]]),2)</f>
        <v>1314.24</v>
      </c>
      <c r="L506" t="str">
        <f>IF(ABS(tblTransactions[[#This Row],[net_sales_inr]]-tblTransactions[[#This Row],[Recalc_Net_Sales]])&lt;0.02,"OK","CHECK")</f>
        <v>OK</v>
      </c>
      <c r="M506" s="14">
        <f>DATE(YEAR(tblTransactions[[#This Row],[date]]),MONTH(tblTransactions[[#This Row],[date]]),1)</f>
        <v>45689</v>
      </c>
      <c r="N506" t="str">
        <f>IF(WEEKDAY(tblTransactions[[#This Row],[date]],2)&gt;5,"Weekend","Weekday")</f>
        <v>Weekday</v>
      </c>
      <c r="O506" s="13" t="str">
        <f>IF(tblTransactions[[#This Row],[discount_pct]]=0,"0%",IF(tblTransactions[[#This Row],[discount_pct]]&lt;=10%,"1–
10%",IF(tblTransactions[[#This Row],[discount_pct]]&lt;=20%,"11–20%","&gt;20%")))</f>
        <v>0%</v>
      </c>
      <c r="P506" s="13" t="str">
        <f>_xlfn.XLOOKUP(tblTransactions[[#This Row],[tenant_id]],tblTenants[tenant_id],tblTenants[zone],"NOT FOUND")</f>
        <v>Food Court</v>
      </c>
      <c r="Q506" s="13" t="str">
        <f>_xlfn.XLOOKUP(tblTransactions[[#This Row],[tenant_id]],tblTenants[tenant_id],tblTenants[category],"NOT FOUND")</f>
        <v>Quick Service</v>
      </c>
    </row>
    <row r="507" spans="1:17">
      <c r="A507" t="s">
        <v>551</v>
      </c>
      <c r="B507" s="2">
        <v>45680</v>
      </c>
      <c r="C507">
        <v>11</v>
      </c>
      <c r="D507" t="s">
        <v>34</v>
      </c>
      <c r="E507" t="s">
        <v>12</v>
      </c>
      <c r="F507" s="7">
        <v>2681.23</v>
      </c>
      <c r="G507" s="10">
        <v>0</v>
      </c>
      <c r="H507" s="7">
        <v>2681.23</v>
      </c>
      <c r="I507">
        <v>1</v>
      </c>
      <c r="J507" t="s">
        <v>16</v>
      </c>
      <c r="K507" s="13">
        <f>ROUND(tblTransactions[[#This Row],[gross_sales_inr]]*(1-tblTransactions[[#This Row],[discount_pct]]),2)</f>
        <v>2681.23</v>
      </c>
      <c r="L507" t="str">
        <f>IF(ABS(tblTransactions[[#This Row],[net_sales_inr]]-tblTransactions[[#This Row],[Recalc_Net_Sales]])&lt;0.02,"OK","CHECK")</f>
        <v>OK</v>
      </c>
      <c r="M507" s="14">
        <f>DATE(YEAR(tblTransactions[[#This Row],[date]]),MONTH(tblTransactions[[#This Row],[date]]),1)</f>
        <v>45658</v>
      </c>
      <c r="N507" t="str">
        <f>IF(WEEKDAY(tblTransactions[[#This Row],[date]],2)&gt;5,"Weekend","Weekday")</f>
        <v>Weekday</v>
      </c>
      <c r="O507" s="13" t="str">
        <f>IF(tblTransactions[[#This Row],[discount_pct]]=0,"0%",IF(tblTransactions[[#This Row],[discount_pct]]&lt;=10%,"1–
10%",IF(tblTransactions[[#This Row],[discount_pct]]&lt;=20%,"11–20%","&gt;20%")))</f>
        <v>0%</v>
      </c>
      <c r="P507" s="13" t="str">
        <f>_xlfn.XLOOKUP(tblTransactions[[#This Row],[tenant_id]],tblTenants[tenant_id],tblTenants[zone],"NOT FOUND")</f>
        <v>Home &amp; Living</v>
      </c>
      <c r="Q507" s="13" t="str">
        <f>_xlfn.XLOOKUP(tblTransactions[[#This Row],[tenant_id]],tblTenants[tenant_id],tblTenants[category],"NOT FOUND")</f>
        <v>Electronics</v>
      </c>
    </row>
    <row r="508" spans="1:17">
      <c r="A508" t="s">
        <v>552</v>
      </c>
      <c r="B508" s="2">
        <v>45674</v>
      </c>
      <c r="C508">
        <v>12</v>
      </c>
      <c r="D508" t="s">
        <v>31</v>
      </c>
      <c r="E508" t="s">
        <v>12</v>
      </c>
      <c r="F508" s="7">
        <v>737.35</v>
      </c>
      <c r="G508" s="10">
        <v>0.2</v>
      </c>
      <c r="H508" s="7">
        <v>589.88</v>
      </c>
      <c r="I508">
        <v>3</v>
      </c>
      <c r="J508" t="s">
        <v>13</v>
      </c>
      <c r="K508" s="13">
        <f>ROUND(tblTransactions[[#This Row],[gross_sales_inr]]*(1-tblTransactions[[#This Row],[discount_pct]]),2)</f>
        <v>589.88</v>
      </c>
      <c r="L508" t="str">
        <f>IF(ABS(tblTransactions[[#This Row],[net_sales_inr]]-tblTransactions[[#This Row],[Recalc_Net_Sales]])&lt;0.02,"OK","CHECK")</f>
        <v>OK</v>
      </c>
      <c r="M508" s="14">
        <f>DATE(YEAR(tblTransactions[[#This Row],[date]]),MONTH(tblTransactions[[#This Row],[date]]),1)</f>
        <v>45658</v>
      </c>
      <c r="N508" t="str">
        <f>IF(WEEKDAY(tblTransactions[[#This Row],[date]],2)&gt;5,"Weekend","Weekday")</f>
        <v>Weekday</v>
      </c>
      <c r="O50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08" s="13" t="str">
        <f>_xlfn.XLOOKUP(tblTransactions[[#This Row],[tenant_id]],tblTenants[tenant_id],tblTenants[zone],"NOT FOUND")</f>
        <v>Entertainment</v>
      </c>
      <c r="Q508" s="13" t="str">
        <f>_xlfn.XLOOKUP(tblTransactions[[#This Row],[tenant_id]],tblTenants[tenant_id],tblTenants[category],"NOT FOUND")</f>
        <v>Arcade</v>
      </c>
    </row>
    <row r="509" spans="1:17">
      <c r="A509" t="s">
        <v>553</v>
      </c>
      <c r="B509" s="2">
        <v>45731</v>
      </c>
      <c r="C509">
        <v>12</v>
      </c>
      <c r="D509" t="s">
        <v>80</v>
      </c>
      <c r="E509" t="s">
        <v>32</v>
      </c>
      <c r="F509" s="7">
        <v>3197.81</v>
      </c>
      <c r="G509" s="10">
        <v>0</v>
      </c>
      <c r="H509" s="7">
        <v>3197.81</v>
      </c>
      <c r="I509">
        <v>1</v>
      </c>
      <c r="J509" t="s">
        <v>16</v>
      </c>
      <c r="K509" s="13">
        <f>ROUND(tblTransactions[[#This Row],[gross_sales_inr]]*(1-tblTransactions[[#This Row],[discount_pct]]),2)</f>
        <v>3197.81</v>
      </c>
      <c r="L509" t="str">
        <f>IF(ABS(tblTransactions[[#This Row],[net_sales_inr]]-tblTransactions[[#This Row],[Recalc_Net_Sales]])&lt;0.02,"OK","CHECK")</f>
        <v>OK</v>
      </c>
      <c r="M509" s="14">
        <f>DATE(YEAR(tblTransactions[[#This Row],[date]]),MONTH(tblTransactions[[#This Row],[date]]),1)</f>
        <v>45717</v>
      </c>
      <c r="N509" t="str">
        <f>IF(WEEKDAY(tblTransactions[[#This Row],[date]],2)&gt;5,"Weekend","Weekday")</f>
        <v>Weekend</v>
      </c>
      <c r="O509" s="13" t="str">
        <f>IF(tblTransactions[[#This Row],[discount_pct]]=0,"0%",IF(tblTransactions[[#This Row],[discount_pct]]&lt;=10%,"1–
10%",IF(tblTransactions[[#This Row],[discount_pct]]&lt;=20%,"11–20%","&gt;20%")))</f>
        <v>0%</v>
      </c>
      <c r="P509" s="13" t="str">
        <f>_xlfn.XLOOKUP(tblTransactions[[#This Row],[tenant_id]],tblTenants[tenant_id],tblTenants[zone],"NOT FOUND")</f>
        <v>Food Court</v>
      </c>
      <c r="Q509" s="13" t="str">
        <f>_xlfn.XLOOKUP(tblTransactions[[#This Row],[tenant_id]],tblTenants[tenant_id],tblTenants[category],"NOT FOUND")</f>
        <v>Casual Dining</v>
      </c>
    </row>
    <row r="510" spans="1:17">
      <c r="A510" t="s">
        <v>554</v>
      </c>
      <c r="B510" s="2">
        <v>45677</v>
      </c>
      <c r="C510">
        <v>21</v>
      </c>
      <c r="D510" t="s">
        <v>27</v>
      </c>
      <c r="E510" t="s">
        <v>32</v>
      </c>
      <c r="F510" s="7">
        <v>1055.01</v>
      </c>
      <c r="G510" s="10">
        <v>0.05</v>
      </c>
      <c r="H510" s="7">
        <v>1002.26</v>
      </c>
      <c r="I510">
        <v>1</v>
      </c>
      <c r="J510" t="s">
        <v>16</v>
      </c>
      <c r="K510" s="13">
        <f>ROUND(tblTransactions[[#This Row],[gross_sales_inr]]*(1-tblTransactions[[#This Row],[discount_pct]]),2)</f>
        <v>1002.26</v>
      </c>
      <c r="L510" t="str">
        <f>IF(ABS(tblTransactions[[#This Row],[net_sales_inr]]-tblTransactions[[#This Row],[Recalc_Net_Sales]])&lt;0.02,"OK","CHECK")</f>
        <v>OK</v>
      </c>
      <c r="M510" s="14">
        <f>DATE(YEAR(tblTransactions[[#This Row],[date]]),MONTH(tblTransactions[[#This Row],[date]]),1)</f>
        <v>45658</v>
      </c>
      <c r="N510" t="str">
        <f>IF(WEEKDAY(tblTransactions[[#This Row],[date]],2)&gt;5,"Weekend","Weekday")</f>
        <v>Weekday</v>
      </c>
      <c r="O51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10" s="13" t="str">
        <f>_xlfn.XLOOKUP(tblTransactions[[#This Row],[tenant_id]],tblTenants[tenant_id],tblTenants[zone],"NOT FOUND")</f>
        <v>Beauty &amp; Wellness</v>
      </c>
      <c r="Q510" s="13" t="str">
        <f>_xlfn.XLOOKUP(tblTransactions[[#This Row],[tenant_id]],tblTenants[tenant_id],tblTenants[category],"NOT FOUND")</f>
        <v>Wellness</v>
      </c>
    </row>
    <row r="511" spans="1:17">
      <c r="A511" t="s">
        <v>555</v>
      </c>
      <c r="B511" s="2">
        <v>45775</v>
      </c>
      <c r="C511">
        <v>20</v>
      </c>
      <c r="D511" t="s">
        <v>15</v>
      </c>
      <c r="E511" t="s">
        <v>12</v>
      </c>
      <c r="F511" s="7">
        <v>2304.37</v>
      </c>
      <c r="G511" s="10">
        <v>0</v>
      </c>
      <c r="H511" s="7">
        <v>2304.37</v>
      </c>
      <c r="I511">
        <v>4</v>
      </c>
      <c r="J511" t="s">
        <v>13</v>
      </c>
      <c r="K511" s="13">
        <f>ROUND(tblTransactions[[#This Row],[gross_sales_inr]]*(1-tblTransactions[[#This Row],[discount_pct]]),2)</f>
        <v>2304.37</v>
      </c>
      <c r="L511" t="str">
        <f>IF(ABS(tblTransactions[[#This Row],[net_sales_inr]]-tblTransactions[[#This Row],[Recalc_Net_Sales]])&lt;0.02,"OK","CHECK")</f>
        <v>OK</v>
      </c>
      <c r="M511" s="14">
        <f>DATE(YEAR(tblTransactions[[#This Row],[date]]),MONTH(tblTransactions[[#This Row],[date]]),1)</f>
        <v>45748</v>
      </c>
      <c r="N511" t="str">
        <f>IF(WEEKDAY(tblTransactions[[#This Row],[date]],2)&gt;5,"Weekend","Weekday")</f>
        <v>Weekday</v>
      </c>
      <c r="O511" s="13" t="str">
        <f>IF(tblTransactions[[#This Row],[discount_pct]]=0,"0%",IF(tblTransactions[[#This Row],[discount_pct]]&lt;=10%,"1–
10%",IF(tblTransactions[[#This Row],[discount_pct]]&lt;=20%,"11–20%","&gt;20%")))</f>
        <v>0%</v>
      </c>
      <c r="P511" s="13" t="str">
        <f>_xlfn.XLOOKUP(tblTransactions[[#This Row],[tenant_id]],tblTenants[tenant_id],tblTenants[zone],"NOT FOUND")</f>
        <v>Fashion Avenue</v>
      </c>
      <c r="Q511" s="13" t="str">
        <f>_xlfn.XLOOKUP(tblTransactions[[#This Row],[tenant_id]],tblTenants[tenant_id],tblTenants[category],"NOT FOUND")</f>
        <v>Accessories</v>
      </c>
    </row>
    <row r="512" spans="1:17">
      <c r="A512" t="s">
        <v>556</v>
      </c>
      <c r="B512" s="2">
        <v>45763</v>
      </c>
      <c r="C512">
        <v>20</v>
      </c>
      <c r="D512" t="s">
        <v>70</v>
      </c>
      <c r="E512" t="s">
        <v>12</v>
      </c>
      <c r="F512" s="7">
        <v>388.14</v>
      </c>
      <c r="G512" s="10">
        <v>0</v>
      </c>
      <c r="H512" s="7">
        <v>388.14</v>
      </c>
      <c r="I512">
        <v>3</v>
      </c>
      <c r="J512" t="s">
        <v>13</v>
      </c>
      <c r="K512" s="13">
        <f>ROUND(tblTransactions[[#This Row],[gross_sales_inr]]*(1-tblTransactions[[#This Row],[discount_pct]]),2)</f>
        <v>388.14</v>
      </c>
      <c r="L512" t="str">
        <f>IF(ABS(tblTransactions[[#This Row],[net_sales_inr]]-tblTransactions[[#This Row],[Recalc_Net_Sales]])&lt;0.02,"OK","CHECK")</f>
        <v>OK</v>
      </c>
      <c r="M512" s="14">
        <f>DATE(YEAR(tblTransactions[[#This Row],[date]]),MONTH(tblTransactions[[#This Row],[date]]),1)</f>
        <v>45748</v>
      </c>
      <c r="N512" t="str">
        <f>IF(WEEKDAY(tblTransactions[[#This Row],[date]],2)&gt;5,"Weekend","Weekday")</f>
        <v>Weekday</v>
      </c>
      <c r="O512" s="13" t="str">
        <f>IF(tblTransactions[[#This Row],[discount_pct]]=0,"0%",IF(tblTransactions[[#This Row],[discount_pct]]&lt;=10%,"1–
10%",IF(tblTransactions[[#This Row],[discount_pct]]&lt;=20%,"11–20%","&gt;20%")))</f>
        <v>0%</v>
      </c>
      <c r="P512" s="13" t="str">
        <f>_xlfn.XLOOKUP(tblTransactions[[#This Row],[tenant_id]],tblTenants[tenant_id],tblTenants[zone],"NOT FOUND")</f>
        <v>Food Court</v>
      </c>
      <c r="Q512" s="13" t="str">
        <f>_xlfn.XLOOKUP(tblTransactions[[#This Row],[tenant_id]],tblTenants[tenant_id],tblTenants[category],"NOT FOUND")</f>
        <v>Quick Service</v>
      </c>
    </row>
    <row r="513" spans="1:17">
      <c r="A513" t="s">
        <v>557</v>
      </c>
      <c r="B513" s="2">
        <v>45734</v>
      </c>
      <c r="C513">
        <v>12</v>
      </c>
      <c r="D513" t="s">
        <v>104</v>
      </c>
      <c r="E513" t="s">
        <v>12</v>
      </c>
      <c r="F513" s="7">
        <v>838.53</v>
      </c>
      <c r="G513" s="10">
        <v>0</v>
      </c>
      <c r="H513" s="7">
        <v>838.53</v>
      </c>
      <c r="I513">
        <v>2</v>
      </c>
      <c r="J513" t="s">
        <v>13</v>
      </c>
      <c r="K513" s="13">
        <f>ROUND(tblTransactions[[#This Row],[gross_sales_inr]]*(1-tblTransactions[[#This Row],[discount_pct]]),2)</f>
        <v>838.53</v>
      </c>
      <c r="L513" t="str">
        <f>IF(ABS(tblTransactions[[#This Row],[net_sales_inr]]-tblTransactions[[#This Row],[Recalc_Net_Sales]])&lt;0.02,"OK","CHECK")</f>
        <v>OK</v>
      </c>
      <c r="M513" s="14">
        <f>DATE(YEAR(tblTransactions[[#This Row],[date]]),MONTH(tblTransactions[[#This Row],[date]]),1)</f>
        <v>45717</v>
      </c>
      <c r="N513" t="str">
        <f>IF(WEEKDAY(tblTransactions[[#This Row],[date]],2)&gt;5,"Weekend","Weekday")</f>
        <v>Weekday</v>
      </c>
      <c r="O513" s="13" t="str">
        <f>IF(tblTransactions[[#This Row],[discount_pct]]=0,"0%",IF(tblTransactions[[#This Row],[discount_pct]]&lt;=10%,"1–
10%",IF(tblTransactions[[#This Row],[discount_pct]]&lt;=20%,"11–20%","&gt;20%")))</f>
        <v>0%</v>
      </c>
      <c r="P513" s="13" t="str">
        <f>_xlfn.XLOOKUP(tblTransactions[[#This Row],[tenant_id]],tblTenants[tenant_id],tblTenants[zone],"NOT FOUND")</f>
        <v>Entertainment</v>
      </c>
      <c r="Q513" s="13" t="str">
        <f>_xlfn.XLOOKUP(tblTransactions[[#This Row],[tenant_id]],tblTenants[tenant_id],tblTenants[category],"NOT FOUND")</f>
        <v>Family Entertainment</v>
      </c>
    </row>
    <row r="514" spans="1:17">
      <c r="A514" t="s">
        <v>558</v>
      </c>
      <c r="B514" s="2">
        <v>45681</v>
      </c>
      <c r="C514">
        <v>18</v>
      </c>
      <c r="D514" t="s">
        <v>72</v>
      </c>
      <c r="E514" t="s">
        <v>21</v>
      </c>
      <c r="F514" s="7">
        <v>2644.98</v>
      </c>
      <c r="G514" s="10">
        <v>0.3</v>
      </c>
      <c r="H514" s="7">
        <v>1851.49</v>
      </c>
      <c r="I514">
        <v>4</v>
      </c>
      <c r="J514" t="s">
        <v>13</v>
      </c>
      <c r="K514" s="13">
        <f>ROUND(tblTransactions[[#This Row],[gross_sales_inr]]*(1-tblTransactions[[#This Row],[discount_pct]]),2)</f>
        <v>1851.49</v>
      </c>
      <c r="L514" t="str">
        <f>IF(ABS(tblTransactions[[#This Row],[net_sales_inr]]-tblTransactions[[#This Row],[Recalc_Net_Sales]])&lt;0.02,"OK","CHECK")</f>
        <v>OK</v>
      </c>
      <c r="M514" s="14">
        <f>DATE(YEAR(tblTransactions[[#This Row],[date]]),MONTH(tblTransactions[[#This Row],[date]]),1)</f>
        <v>45658</v>
      </c>
      <c r="N514" t="str">
        <f>IF(WEEKDAY(tblTransactions[[#This Row],[date]],2)&gt;5,"Weekend","Weekday")</f>
        <v>Weekday</v>
      </c>
      <c r="O51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514" s="13" t="str">
        <f>_xlfn.XLOOKUP(tblTransactions[[#This Row],[tenant_id]],tblTenants[tenant_id],tblTenants[zone],"NOT FOUND")</f>
        <v>Entertainment</v>
      </c>
      <c r="Q514" s="13" t="str">
        <f>_xlfn.XLOOKUP(tblTransactions[[#This Row],[tenant_id]],tblTenants[tenant_id],tblTenants[category],"NOT FOUND")</f>
        <v>Arcade</v>
      </c>
    </row>
    <row r="515" spans="1:17">
      <c r="A515" t="s">
        <v>559</v>
      </c>
      <c r="B515" s="2">
        <v>45815</v>
      </c>
      <c r="C515">
        <v>19</v>
      </c>
      <c r="D515" t="s">
        <v>53</v>
      </c>
      <c r="E515" t="s">
        <v>12</v>
      </c>
      <c r="F515" s="7">
        <v>2644.65</v>
      </c>
      <c r="G515" s="10">
        <v>0.1</v>
      </c>
      <c r="H515" s="7">
        <v>2380.1799999999998</v>
      </c>
      <c r="I515">
        <v>3</v>
      </c>
      <c r="J515" t="s">
        <v>13</v>
      </c>
      <c r="K515" s="13">
        <f>ROUND(tblTransactions[[#This Row],[gross_sales_inr]]*(1-tblTransactions[[#This Row],[discount_pct]]),2)</f>
        <v>2380.19</v>
      </c>
      <c r="L515" t="str">
        <f>IF(ABS(tblTransactions[[#This Row],[net_sales_inr]]-tblTransactions[[#This Row],[Recalc_Net_Sales]])&lt;0.02,"OK","CHECK")</f>
        <v>OK</v>
      </c>
      <c r="M515" s="14">
        <f>DATE(YEAR(tblTransactions[[#This Row],[date]]),MONTH(tblTransactions[[#This Row],[date]]),1)</f>
        <v>45809</v>
      </c>
      <c r="N515" t="str">
        <f>IF(WEEKDAY(tblTransactions[[#This Row],[date]],2)&gt;5,"Weekend","Weekday")</f>
        <v>Weekend</v>
      </c>
      <c r="O51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15" s="13" t="str">
        <f>_xlfn.XLOOKUP(tblTransactions[[#This Row],[tenant_id]],tblTenants[tenant_id],tblTenants[zone],"NOT FOUND")</f>
        <v>Beauty &amp; Wellness</v>
      </c>
      <c r="Q515" s="13" t="str">
        <f>_xlfn.XLOOKUP(tblTransactions[[#This Row],[tenant_id]],tblTenants[tenant_id],tblTenants[category],"NOT FOUND")</f>
        <v>Beauty</v>
      </c>
    </row>
    <row r="516" spans="1:17">
      <c r="A516" t="s">
        <v>560</v>
      </c>
      <c r="B516" s="2">
        <v>45716</v>
      </c>
      <c r="C516">
        <v>22</v>
      </c>
      <c r="D516" t="s">
        <v>27</v>
      </c>
      <c r="E516" t="s">
        <v>12</v>
      </c>
      <c r="F516" s="7">
        <v>238.36</v>
      </c>
      <c r="G516" s="10">
        <v>0</v>
      </c>
      <c r="H516" s="7">
        <v>238.36</v>
      </c>
      <c r="I516">
        <v>4</v>
      </c>
      <c r="J516" t="s">
        <v>13</v>
      </c>
      <c r="K516" s="13">
        <f>ROUND(tblTransactions[[#This Row],[gross_sales_inr]]*(1-tblTransactions[[#This Row],[discount_pct]]),2)</f>
        <v>238.36</v>
      </c>
      <c r="L516" t="str">
        <f>IF(ABS(tblTransactions[[#This Row],[net_sales_inr]]-tblTransactions[[#This Row],[Recalc_Net_Sales]])&lt;0.02,"OK","CHECK")</f>
        <v>OK</v>
      </c>
      <c r="M516" s="14">
        <f>DATE(YEAR(tblTransactions[[#This Row],[date]]),MONTH(tblTransactions[[#This Row],[date]]),1)</f>
        <v>45689</v>
      </c>
      <c r="N516" t="str">
        <f>IF(WEEKDAY(tblTransactions[[#This Row],[date]],2)&gt;5,"Weekend","Weekday")</f>
        <v>Weekday</v>
      </c>
      <c r="O516" s="13" t="str">
        <f>IF(tblTransactions[[#This Row],[discount_pct]]=0,"0%",IF(tblTransactions[[#This Row],[discount_pct]]&lt;=10%,"1–
10%",IF(tblTransactions[[#This Row],[discount_pct]]&lt;=20%,"11–20%","&gt;20%")))</f>
        <v>0%</v>
      </c>
      <c r="P516" s="13" t="str">
        <f>_xlfn.XLOOKUP(tblTransactions[[#This Row],[tenant_id]],tblTenants[tenant_id],tblTenants[zone],"NOT FOUND")</f>
        <v>Beauty &amp; Wellness</v>
      </c>
      <c r="Q516" s="13" t="str">
        <f>_xlfn.XLOOKUP(tblTransactions[[#This Row],[tenant_id]],tblTenants[tenant_id],tblTenants[category],"NOT FOUND")</f>
        <v>Wellness</v>
      </c>
    </row>
    <row r="517" spans="1:17">
      <c r="A517" t="s">
        <v>561</v>
      </c>
      <c r="B517" s="2">
        <v>45693</v>
      </c>
      <c r="C517">
        <v>13</v>
      </c>
      <c r="D517" t="s">
        <v>87</v>
      </c>
      <c r="E517" t="s">
        <v>12</v>
      </c>
      <c r="F517" s="7">
        <v>276.41000000000003</v>
      </c>
      <c r="G517" s="10">
        <v>0</v>
      </c>
      <c r="H517" s="7">
        <v>276.41000000000003</v>
      </c>
      <c r="I517">
        <v>4</v>
      </c>
      <c r="J517" t="s">
        <v>13</v>
      </c>
      <c r="K517" s="13">
        <f>ROUND(tblTransactions[[#This Row],[gross_sales_inr]]*(1-tblTransactions[[#This Row],[discount_pct]]),2)</f>
        <v>276.41000000000003</v>
      </c>
      <c r="L517" t="str">
        <f>IF(ABS(tblTransactions[[#This Row],[net_sales_inr]]-tblTransactions[[#This Row],[Recalc_Net_Sales]])&lt;0.02,"OK","CHECK")</f>
        <v>OK</v>
      </c>
      <c r="M517" s="14">
        <f>DATE(YEAR(tblTransactions[[#This Row],[date]]),MONTH(tblTransactions[[#This Row],[date]]),1)</f>
        <v>45689</v>
      </c>
      <c r="N517" t="str">
        <f>IF(WEEKDAY(tblTransactions[[#This Row],[date]],2)&gt;5,"Weekend","Weekday")</f>
        <v>Weekday</v>
      </c>
      <c r="O517" s="13" t="str">
        <f>IF(tblTransactions[[#This Row],[discount_pct]]=0,"0%",IF(tblTransactions[[#This Row],[discount_pct]]&lt;=10%,"1–
10%",IF(tblTransactions[[#This Row],[discount_pct]]&lt;=20%,"11–20%","&gt;20%")))</f>
        <v>0%</v>
      </c>
      <c r="P517" s="13" t="str">
        <f>_xlfn.XLOOKUP(tblTransactions[[#This Row],[tenant_id]],tblTenants[tenant_id],tblTenants[zone],"NOT FOUND")</f>
        <v>Fashion Avenue</v>
      </c>
      <c r="Q517" s="13" t="str">
        <f>_xlfn.XLOOKUP(tblTransactions[[#This Row],[tenant_id]],tblTenants[tenant_id],tblTenants[category],"NOT FOUND")</f>
        <v>Footwear</v>
      </c>
    </row>
    <row r="518" spans="1:17">
      <c r="A518" t="s">
        <v>562</v>
      </c>
      <c r="B518" s="2">
        <v>45827</v>
      </c>
      <c r="C518">
        <v>18</v>
      </c>
      <c r="D518" t="s">
        <v>63</v>
      </c>
      <c r="E518" t="s">
        <v>12</v>
      </c>
      <c r="F518" s="7">
        <v>712.82</v>
      </c>
      <c r="G518" s="10">
        <v>0.3</v>
      </c>
      <c r="H518" s="7">
        <v>498.97</v>
      </c>
      <c r="I518">
        <v>1</v>
      </c>
      <c r="J518" t="s">
        <v>13</v>
      </c>
      <c r="K518" s="13">
        <f>ROUND(tblTransactions[[#This Row],[gross_sales_inr]]*(1-tblTransactions[[#This Row],[discount_pct]]),2)</f>
        <v>498.97</v>
      </c>
      <c r="L518" t="str">
        <f>IF(ABS(tblTransactions[[#This Row],[net_sales_inr]]-tblTransactions[[#This Row],[Recalc_Net_Sales]])&lt;0.02,"OK","CHECK")</f>
        <v>OK</v>
      </c>
      <c r="M518" s="14">
        <f>DATE(YEAR(tblTransactions[[#This Row],[date]]),MONTH(tblTransactions[[#This Row],[date]]),1)</f>
        <v>45809</v>
      </c>
      <c r="N518" t="str">
        <f>IF(WEEKDAY(tblTransactions[[#This Row],[date]],2)&gt;5,"Weekend","Weekday")</f>
        <v>Weekday</v>
      </c>
      <c r="O518" s="13" t="str">
        <f>IF(tblTransactions[[#This Row],[discount_pct]]=0,"0%",IF(tblTransactions[[#This Row],[discount_pct]]&lt;=10%,"1–
10%",IF(tblTransactions[[#This Row],[discount_pct]]&lt;=20%,"11–20%","&gt;20%")))</f>
        <v>&gt;20%</v>
      </c>
      <c r="P518" s="13" t="str">
        <f>_xlfn.XLOOKUP(tblTransactions[[#This Row],[tenant_id]],tblTenants[tenant_id],tblTenants[zone],"NOT FOUND")</f>
        <v>Entertainment</v>
      </c>
      <c r="Q518" s="13" t="str">
        <f>_xlfn.XLOOKUP(tblTransactions[[#This Row],[tenant_id]],tblTenants[tenant_id],tblTenants[category],"NOT FOUND")</f>
        <v>Family Entertainment</v>
      </c>
    </row>
    <row r="519" spans="1:17">
      <c r="A519" t="s">
        <v>563</v>
      </c>
      <c r="B519" s="2">
        <v>45701</v>
      </c>
      <c r="C519">
        <v>17</v>
      </c>
      <c r="D519" t="s">
        <v>23</v>
      </c>
      <c r="E519" t="s">
        <v>12</v>
      </c>
      <c r="F519" s="7">
        <v>612.24</v>
      </c>
      <c r="G519" s="10">
        <v>0</v>
      </c>
      <c r="H519" s="7">
        <v>612.24</v>
      </c>
      <c r="I519">
        <v>3</v>
      </c>
      <c r="J519" t="s">
        <v>13</v>
      </c>
      <c r="K519" s="13">
        <f>ROUND(tblTransactions[[#This Row],[gross_sales_inr]]*(1-tblTransactions[[#This Row],[discount_pct]]),2)</f>
        <v>612.24</v>
      </c>
      <c r="L519" t="str">
        <f>IF(ABS(tblTransactions[[#This Row],[net_sales_inr]]-tblTransactions[[#This Row],[Recalc_Net_Sales]])&lt;0.02,"OK","CHECK")</f>
        <v>OK</v>
      </c>
      <c r="M519" s="14">
        <f>DATE(YEAR(tblTransactions[[#This Row],[date]]),MONTH(tblTransactions[[#This Row],[date]]),1)</f>
        <v>45689</v>
      </c>
      <c r="N519" t="str">
        <f>IF(WEEKDAY(tblTransactions[[#This Row],[date]],2)&gt;5,"Weekend","Weekday")</f>
        <v>Weekday</v>
      </c>
      <c r="O519" s="13" t="str">
        <f>IF(tblTransactions[[#This Row],[discount_pct]]=0,"0%",IF(tblTransactions[[#This Row],[discount_pct]]&lt;=10%,"1–
10%",IF(tblTransactions[[#This Row],[discount_pct]]&lt;=20%,"11–20%","&gt;20%")))</f>
        <v>0%</v>
      </c>
      <c r="P519" s="13" t="str">
        <f>_xlfn.XLOOKUP(tblTransactions[[#This Row],[tenant_id]],tblTenants[tenant_id],tblTenants[zone],"NOT FOUND")</f>
        <v>Entertainment</v>
      </c>
      <c r="Q519" s="13" t="str">
        <f>_xlfn.XLOOKUP(tblTransactions[[#This Row],[tenant_id]],tblTenants[tenant_id],tblTenants[category],"NOT FOUND")</f>
        <v>Cinema</v>
      </c>
    </row>
    <row r="520" spans="1:17">
      <c r="A520" t="s">
        <v>564</v>
      </c>
      <c r="B520" s="2">
        <v>45763</v>
      </c>
      <c r="C520">
        <v>14</v>
      </c>
      <c r="D520" t="s">
        <v>36</v>
      </c>
      <c r="E520" t="s">
        <v>12</v>
      </c>
      <c r="F520" s="7">
        <v>468.62</v>
      </c>
      <c r="G520" s="10">
        <v>0</v>
      </c>
      <c r="H520" s="7">
        <v>468.62</v>
      </c>
      <c r="I520">
        <v>2</v>
      </c>
      <c r="J520" t="s">
        <v>13</v>
      </c>
      <c r="K520" s="13">
        <f>ROUND(tblTransactions[[#This Row],[gross_sales_inr]]*(1-tblTransactions[[#This Row],[discount_pct]]),2)</f>
        <v>468.62</v>
      </c>
      <c r="L520" t="str">
        <f>IF(ABS(tblTransactions[[#This Row],[net_sales_inr]]-tblTransactions[[#This Row],[Recalc_Net_Sales]])&lt;0.02,"OK","CHECK")</f>
        <v>OK</v>
      </c>
      <c r="M520" s="14">
        <f>DATE(YEAR(tblTransactions[[#This Row],[date]]),MONTH(tblTransactions[[#This Row],[date]]),1)</f>
        <v>45748</v>
      </c>
      <c r="N520" t="str">
        <f>IF(WEEKDAY(tblTransactions[[#This Row],[date]],2)&gt;5,"Weekend","Weekday")</f>
        <v>Weekday</v>
      </c>
      <c r="O520" s="13" t="str">
        <f>IF(tblTransactions[[#This Row],[discount_pct]]=0,"0%",IF(tblTransactions[[#This Row],[discount_pct]]&lt;=10%,"1–
10%",IF(tblTransactions[[#This Row],[discount_pct]]&lt;=20%,"11–20%","&gt;20%")))</f>
        <v>0%</v>
      </c>
      <c r="P520" s="13" t="str">
        <f>_xlfn.XLOOKUP(tblTransactions[[#This Row],[tenant_id]],tblTenants[tenant_id],tblTenants[zone],"NOT FOUND")</f>
        <v>Home &amp; Living</v>
      </c>
      <c r="Q520" s="13" t="str">
        <f>_xlfn.XLOOKUP(tblTransactions[[#This Row],[tenant_id]],tblTenants[tenant_id],tblTenants[category],"NOT FOUND")</f>
        <v>Electronics</v>
      </c>
    </row>
    <row r="521" spans="1:17">
      <c r="A521" t="s">
        <v>565</v>
      </c>
      <c r="B521" s="2">
        <v>45734</v>
      </c>
      <c r="C521">
        <v>14</v>
      </c>
      <c r="D521" t="s">
        <v>15</v>
      </c>
      <c r="E521" t="s">
        <v>21</v>
      </c>
      <c r="F521" s="7">
        <v>1011.53</v>
      </c>
      <c r="G521" s="10">
        <v>0</v>
      </c>
      <c r="H521" s="7">
        <v>1011.53</v>
      </c>
      <c r="I521">
        <v>2</v>
      </c>
      <c r="J521" t="s">
        <v>16</v>
      </c>
      <c r="K521" s="13">
        <f>ROUND(tblTransactions[[#This Row],[gross_sales_inr]]*(1-tblTransactions[[#This Row],[discount_pct]]),2)</f>
        <v>1011.53</v>
      </c>
      <c r="L521" t="str">
        <f>IF(ABS(tblTransactions[[#This Row],[net_sales_inr]]-tblTransactions[[#This Row],[Recalc_Net_Sales]])&lt;0.02,"OK","CHECK")</f>
        <v>OK</v>
      </c>
      <c r="M521" s="14">
        <f>DATE(YEAR(tblTransactions[[#This Row],[date]]),MONTH(tblTransactions[[#This Row],[date]]),1)</f>
        <v>45717</v>
      </c>
      <c r="N521" t="str">
        <f>IF(WEEKDAY(tblTransactions[[#This Row],[date]],2)&gt;5,"Weekend","Weekday")</f>
        <v>Weekday</v>
      </c>
      <c r="O521" s="13" t="str">
        <f>IF(tblTransactions[[#This Row],[discount_pct]]=0,"0%",IF(tblTransactions[[#This Row],[discount_pct]]&lt;=10%,"1–
10%",IF(tblTransactions[[#This Row],[discount_pct]]&lt;=20%,"11–20%","&gt;20%")))</f>
        <v>0%</v>
      </c>
      <c r="P521" s="13" t="str">
        <f>_xlfn.XLOOKUP(tblTransactions[[#This Row],[tenant_id]],tblTenants[tenant_id],tblTenants[zone],"NOT FOUND")</f>
        <v>Fashion Avenue</v>
      </c>
      <c r="Q521" s="13" t="str">
        <f>_xlfn.XLOOKUP(tblTransactions[[#This Row],[tenant_id]],tblTenants[tenant_id],tblTenants[category],"NOT FOUND")</f>
        <v>Accessories</v>
      </c>
    </row>
    <row r="522" spans="1:17">
      <c r="A522" t="s">
        <v>566</v>
      </c>
      <c r="B522" s="2">
        <v>45747</v>
      </c>
      <c r="C522">
        <v>14</v>
      </c>
      <c r="D522" t="s">
        <v>23</v>
      </c>
      <c r="E522" t="s">
        <v>12</v>
      </c>
      <c r="F522" s="7">
        <v>988.65</v>
      </c>
      <c r="G522" s="10">
        <v>0.2</v>
      </c>
      <c r="H522" s="7">
        <v>790.92</v>
      </c>
      <c r="I522">
        <v>1</v>
      </c>
      <c r="J522" t="s">
        <v>13</v>
      </c>
      <c r="K522" s="13">
        <f>ROUND(tblTransactions[[#This Row],[gross_sales_inr]]*(1-tblTransactions[[#This Row],[discount_pct]]),2)</f>
        <v>790.92</v>
      </c>
      <c r="L522" t="str">
        <f>IF(ABS(tblTransactions[[#This Row],[net_sales_inr]]-tblTransactions[[#This Row],[Recalc_Net_Sales]])&lt;0.02,"OK","CHECK")</f>
        <v>OK</v>
      </c>
      <c r="M522" s="14">
        <f>DATE(YEAR(tblTransactions[[#This Row],[date]]),MONTH(tblTransactions[[#This Row],[date]]),1)</f>
        <v>45717</v>
      </c>
      <c r="N522" t="str">
        <f>IF(WEEKDAY(tblTransactions[[#This Row],[date]],2)&gt;5,"Weekend","Weekday")</f>
        <v>Weekday</v>
      </c>
      <c r="O52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22" s="13" t="str">
        <f>_xlfn.XLOOKUP(tblTransactions[[#This Row],[tenant_id]],tblTenants[tenant_id],tblTenants[zone],"NOT FOUND")</f>
        <v>Entertainment</v>
      </c>
      <c r="Q522" s="13" t="str">
        <f>_xlfn.XLOOKUP(tblTransactions[[#This Row],[tenant_id]],tblTenants[tenant_id],tblTenants[category],"NOT FOUND")</f>
        <v>Cinema</v>
      </c>
    </row>
    <row r="523" spans="1:17">
      <c r="A523" t="s">
        <v>567</v>
      </c>
      <c r="B523" s="2">
        <v>45665</v>
      </c>
      <c r="C523">
        <v>21</v>
      </c>
      <c r="D523" t="s">
        <v>31</v>
      </c>
      <c r="E523" t="s">
        <v>32</v>
      </c>
      <c r="F523" s="7">
        <v>436.01</v>
      </c>
      <c r="G523" s="10">
        <v>0</v>
      </c>
      <c r="H523" s="7">
        <v>436.01</v>
      </c>
      <c r="I523">
        <v>3</v>
      </c>
      <c r="J523" t="s">
        <v>16</v>
      </c>
      <c r="K523" s="13">
        <f>ROUND(tblTransactions[[#This Row],[gross_sales_inr]]*(1-tblTransactions[[#This Row],[discount_pct]]),2)</f>
        <v>436.01</v>
      </c>
      <c r="L523" t="str">
        <f>IF(ABS(tblTransactions[[#This Row],[net_sales_inr]]-tblTransactions[[#This Row],[Recalc_Net_Sales]])&lt;0.02,"OK","CHECK")</f>
        <v>OK</v>
      </c>
      <c r="M523" s="14">
        <f>DATE(YEAR(tblTransactions[[#This Row],[date]]),MONTH(tblTransactions[[#This Row],[date]]),1)</f>
        <v>45658</v>
      </c>
      <c r="N523" t="str">
        <f>IF(WEEKDAY(tblTransactions[[#This Row],[date]],2)&gt;5,"Weekend","Weekday")</f>
        <v>Weekday</v>
      </c>
      <c r="O523" s="13" t="str">
        <f>IF(tblTransactions[[#This Row],[discount_pct]]=0,"0%",IF(tblTransactions[[#This Row],[discount_pct]]&lt;=10%,"1–
10%",IF(tblTransactions[[#This Row],[discount_pct]]&lt;=20%,"11–20%","&gt;20%")))</f>
        <v>0%</v>
      </c>
      <c r="P523" s="13" t="str">
        <f>_xlfn.XLOOKUP(tblTransactions[[#This Row],[tenant_id]],tblTenants[tenant_id],tblTenants[zone],"NOT FOUND")</f>
        <v>Entertainment</v>
      </c>
      <c r="Q523" s="13" t="str">
        <f>_xlfn.XLOOKUP(tblTransactions[[#This Row],[tenant_id]],tblTenants[tenant_id],tblTenants[category],"NOT FOUND")</f>
        <v>Arcade</v>
      </c>
    </row>
    <row r="524" spans="1:17">
      <c r="A524" t="s">
        <v>568</v>
      </c>
      <c r="B524" s="2">
        <v>45738</v>
      </c>
      <c r="C524">
        <v>14</v>
      </c>
      <c r="D524" t="s">
        <v>48</v>
      </c>
      <c r="E524" t="s">
        <v>32</v>
      </c>
      <c r="F524" s="7">
        <v>460.2</v>
      </c>
      <c r="G524" s="10">
        <v>0.15</v>
      </c>
      <c r="H524" s="7">
        <v>391.17</v>
      </c>
      <c r="I524">
        <v>4</v>
      </c>
      <c r="J524" t="s">
        <v>16</v>
      </c>
      <c r="K524" s="13">
        <f>ROUND(tblTransactions[[#This Row],[gross_sales_inr]]*(1-tblTransactions[[#This Row],[discount_pct]]),2)</f>
        <v>391.17</v>
      </c>
      <c r="L524" t="str">
        <f>IF(ABS(tblTransactions[[#This Row],[net_sales_inr]]-tblTransactions[[#This Row],[Recalc_Net_Sales]])&lt;0.02,"OK","CHECK")</f>
        <v>OK</v>
      </c>
      <c r="M524" s="14">
        <f>DATE(YEAR(tblTransactions[[#This Row],[date]]),MONTH(tblTransactions[[#This Row],[date]]),1)</f>
        <v>45717</v>
      </c>
      <c r="N524" t="str">
        <f>IF(WEEKDAY(tblTransactions[[#This Row],[date]],2)&gt;5,"Weekend","Weekday")</f>
        <v>Weekend</v>
      </c>
      <c r="O52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24" s="13" t="str">
        <f>_xlfn.XLOOKUP(tblTransactions[[#This Row],[tenant_id]],tblTenants[tenant_id],tblTenants[zone],"NOT FOUND")</f>
        <v>Beauty &amp; Wellness</v>
      </c>
      <c r="Q524" s="13" t="str">
        <f>_xlfn.XLOOKUP(tblTransactions[[#This Row],[tenant_id]],tblTenants[tenant_id],tblTenants[category],"NOT FOUND")</f>
        <v>Wellness</v>
      </c>
    </row>
    <row r="525" spans="1:17">
      <c r="A525" t="s">
        <v>569</v>
      </c>
      <c r="B525" s="2">
        <v>45783</v>
      </c>
      <c r="C525">
        <v>14</v>
      </c>
      <c r="D525" t="s">
        <v>70</v>
      </c>
      <c r="E525" t="s">
        <v>32</v>
      </c>
      <c r="F525" s="7">
        <v>567.49</v>
      </c>
      <c r="G525" s="10">
        <v>0.2</v>
      </c>
      <c r="H525" s="7">
        <v>453.99</v>
      </c>
      <c r="I525">
        <v>1</v>
      </c>
      <c r="J525" t="s">
        <v>16</v>
      </c>
      <c r="K525" s="13">
        <f>ROUND(tblTransactions[[#This Row],[gross_sales_inr]]*(1-tblTransactions[[#This Row],[discount_pct]]),2)</f>
        <v>453.99</v>
      </c>
      <c r="L525" t="str">
        <f>IF(ABS(tblTransactions[[#This Row],[net_sales_inr]]-tblTransactions[[#This Row],[Recalc_Net_Sales]])&lt;0.02,"OK","CHECK")</f>
        <v>OK</v>
      </c>
      <c r="M525" s="14">
        <f>DATE(YEAR(tblTransactions[[#This Row],[date]]),MONTH(tblTransactions[[#This Row],[date]]),1)</f>
        <v>45778</v>
      </c>
      <c r="N525" t="str">
        <f>IF(WEEKDAY(tblTransactions[[#This Row],[date]],2)&gt;5,"Weekend","Weekday")</f>
        <v>Weekday</v>
      </c>
      <c r="O52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25" s="13" t="str">
        <f>_xlfn.XLOOKUP(tblTransactions[[#This Row],[tenant_id]],tblTenants[tenant_id],tblTenants[zone],"NOT FOUND")</f>
        <v>Food Court</v>
      </c>
      <c r="Q525" s="13" t="str">
        <f>_xlfn.XLOOKUP(tblTransactions[[#This Row],[tenant_id]],tblTenants[tenant_id],tblTenants[category],"NOT FOUND")</f>
        <v>Quick Service</v>
      </c>
    </row>
    <row r="526" spans="1:17">
      <c r="A526" t="s">
        <v>570</v>
      </c>
      <c r="B526" s="2">
        <v>45783</v>
      </c>
      <c r="C526">
        <v>19</v>
      </c>
      <c r="D526" t="s">
        <v>80</v>
      </c>
      <c r="E526" t="s">
        <v>21</v>
      </c>
      <c r="F526" s="7">
        <v>2275.59</v>
      </c>
      <c r="G526" s="10">
        <v>0.1</v>
      </c>
      <c r="H526" s="7">
        <v>2048.0300000000002</v>
      </c>
      <c r="I526">
        <v>3</v>
      </c>
      <c r="J526" t="s">
        <v>13</v>
      </c>
      <c r="K526" s="13">
        <f>ROUND(tblTransactions[[#This Row],[gross_sales_inr]]*(1-tblTransactions[[#This Row],[discount_pct]]),2)</f>
        <v>2048.0300000000002</v>
      </c>
      <c r="L526" t="str">
        <f>IF(ABS(tblTransactions[[#This Row],[net_sales_inr]]-tblTransactions[[#This Row],[Recalc_Net_Sales]])&lt;0.02,"OK","CHECK")</f>
        <v>OK</v>
      </c>
      <c r="M526" s="14">
        <f>DATE(YEAR(tblTransactions[[#This Row],[date]]),MONTH(tblTransactions[[#This Row],[date]]),1)</f>
        <v>45778</v>
      </c>
      <c r="N526" t="str">
        <f>IF(WEEKDAY(tblTransactions[[#This Row],[date]],2)&gt;5,"Weekend","Weekday")</f>
        <v>Weekday</v>
      </c>
      <c r="O52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26" s="13" t="str">
        <f>_xlfn.XLOOKUP(tblTransactions[[#This Row],[tenant_id]],tblTenants[tenant_id],tblTenants[zone],"NOT FOUND")</f>
        <v>Food Court</v>
      </c>
      <c r="Q526" s="13" t="str">
        <f>_xlfn.XLOOKUP(tblTransactions[[#This Row],[tenant_id]],tblTenants[tenant_id],tblTenants[category],"NOT FOUND")</f>
        <v>Casual Dining</v>
      </c>
    </row>
    <row r="527" spans="1:17">
      <c r="A527" t="s">
        <v>571</v>
      </c>
      <c r="B527" s="2">
        <v>45694</v>
      </c>
      <c r="C527">
        <v>18</v>
      </c>
      <c r="D527" t="s">
        <v>11</v>
      </c>
      <c r="E527" t="s">
        <v>32</v>
      </c>
      <c r="F527" s="7">
        <v>770.75</v>
      </c>
      <c r="G527" s="10">
        <v>0.2</v>
      </c>
      <c r="H527" s="7">
        <v>616.6</v>
      </c>
      <c r="I527">
        <v>2</v>
      </c>
      <c r="J527" t="s">
        <v>16</v>
      </c>
      <c r="K527" s="13">
        <f>ROUND(tblTransactions[[#This Row],[gross_sales_inr]]*(1-tblTransactions[[#This Row],[discount_pct]]),2)</f>
        <v>616.6</v>
      </c>
      <c r="L527" t="str">
        <f>IF(ABS(tblTransactions[[#This Row],[net_sales_inr]]-tblTransactions[[#This Row],[Recalc_Net_Sales]])&lt;0.02,"OK","CHECK")</f>
        <v>OK</v>
      </c>
      <c r="M527" s="14">
        <f>DATE(YEAR(tblTransactions[[#This Row],[date]]),MONTH(tblTransactions[[#This Row],[date]]),1)</f>
        <v>45689</v>
      </c>
      <c r="N527" t="str">
        <f>IF(WEEKDAY(tblTransactions[[#This Row],[date]],2)&gt;5,"Weekend","Weekday")</f>
        <v>Weekday</v>
      </c>
      <c r="O52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27" s="13" t="str">
        <f>_xlfn.XLOOKUP(tblTransactions[[#This Row],[tenant_id]],tblTenants[tenant_id],tblTenants[zone],"NOT FOUND")</f>
        <v>Home &amp; Living</v>
      </c>
      <c r="Q527" s="13" t="str">
        <f>_xlfn.XLOOKUP(tblTransactions[[#This Row],[tenant_id]],tblTenants[tenant_id],tblTenants[category],"NOT FOUND")</f>
        <v>Home Decor</v>
      </c>
    </row>
    <row r="528" spans="1:17">
      <c r="A528" t="s">
        <v>572</v>
      </c>
      <c r="B528" s="2">
        <v>45709</v>
      </c>
      <c r="C528">
        <v>21</v>
      </c>
      <c r="D528" t="s">
        <v>18</v>
      </c>
      <c r="E528" t="s">
        <v>21</v>
      </c>
      <c r="F528" s="7">
        <v>808.24</v>
      </c>
      <c r="G528" s="10">
        <v>0</v>
      </c>
      <c r="H528" s="7">
        <v>808.24</v>
      </c>
      <c r="I528">
        <v>4</v>
      </c>
      <c r="J528" t="s">
        <v>13</v>
      </c>
      <c r="K528" s="13">
        <f>ROUND(tblTransactions[[#This Row],[gross_sales_inr]]*(1-tblTransactions[[#This Row],[discount_pct]]),2)</f>
        <v>808.24</v>
      </c>
      <c r="L528" t="str">
        <f>IF(ABS(tblTransactions[[#This Row],[net_sales_inr]]-tblTransactions[[#This Row],[Recalc_Net_Sales]])&lt;0.02,"OK","CHECK")</f>
        <v>OK</v>
      </c>
      <c r="M528" s="14">
        <f>DATE(YEAR(tblTransactions[[#This Row],[date]]),MONTH(tblTransactions[[#This Row],[date]]),1)</f>
        <v>45689</v>
      </c>
      <c r="N528" t="str">
        <f>IF(WEEKDAY(tblTransactions[[#This Row],[date]],2)&gt;5,"Weekend","Weekday")</f>
        <v>Weekday</v>
      </c>
      <c r="O528" s="13" t="str">
        <f>IF(tblTransactions[[#This Row],[discount_pct]]=0,"0%",IF(tblTransactions[[#This Row],[discount_pct]]&lt;=10%,"1–
10%",IF(tblTransactions[[#This Row],[discount_pct]]&lt;=20%,"11–20%","&gt;20%")))</f>
        <v>0%</v>
      </c>
      <c r="P528" s="13" t="str">
        <f>_xlfn.XLOOKUP(tblTransactions[[#This Row],[tenant_id]],tblTenants[tenant_id],tblTenants[zone],"NOT FOUND")</f>
        <v>Beauty &amp; Wellness</v>
      </c>
      <c r="Q528" s="13" t="str">
        <f>_xlfn.XLOOKUP(tblTransactions[[#This Row],[tenant_id]],tblTenants[tenant_id],tblTenants[category],"NOT FOUND")</f>
        <v>Beauty</v>
      </c>
    </row>
    <row r="529" spans="1:17">
      <c r="A529" t="s">
        <v>573</v>
      </c>
      <c r="B529" s="2">
        <v>45683</v>
      </c>
      <c r="C529">
        <v>15</v>
      </c>
      <c r="D529" t="s">
        <v>31</v>
      </c>
      <c r="E529" t="s">
        <v>12</v>
      </c>
      <c r="F529" s="7">
        <v>1830.96</v>
      </c>
      <c r="G529" s="10">
        <v>0.15</v>
      </c>
      <c r="H529" s="7">
        <v>1556.32</v>
      </c>
      <c r="I529">
        <v>1</v>
      </c>
      <c r="J529" t="s">
        <v>13</v>
      </c>
      <c r="K529" s="13">
        <f>ROUND(tblTransactions[[#This Row],[gross_sales_inr]]*(1-tblTransactions[[#This Row],[discount_pct]]),2)</f>
        <v>1556.32</v>
      </c>
      <c r="L529" t="str">
        <f>IF(ABS(tblTransactions[[#This Row],[net_sales_inr]]-tblTransactions[[#This Row],[Recalc_Net_Sales]])&lt;0.02,"OK","CHECK")</f>
        <v>OK</v>
      </c>
      <c r="M529" s="14">
        <f>DATE(YEAR(tblTransactions[[#This Row],[date]]),MONTH(tblTransactions[[#This Row],[date]]),1)</f>
        <v>45658</v>
      </c>
      <c r="N529" t="str">
        <f>IF(WEEKDAY(tblTransactions[[#This Row],[date]],2)&gt;5,"Weekend","Weekday")</f>
        <v>Weekend</v>
      </c>
      <c r="O52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29" s="13" t="str">
        <f>_xlfn.XLOOKUP(tblTransactions[[#This Row],[tenant_id]],tblTenants[tenant_id],tblTenants[zone],"NOT FOUND")</f>
        <v>Entertainment</v>
      </c>
      <c r="Q529" s="13" t="str">
        <f>_xlfn.XLOOKUP(tblTransactions[[#This Row],[tenant_id]],tblTenants[tenant_id],tblTenants[category],"NOT FOUND")</f>
        <v>Arcade</v>
      </c>
    </row>
    <row r="530" spans="1:17">
      <c r="A530" t="s">
        <v>574</v>
      </c>
      <c r="B530" s="2">
        <v>45806</v>
      </c>
      <c r="C530">
        <v>16</v>
      </c>
      <c r="D530" t="s">
        <v>41</v>
      </c>
      <c r="E530" t="s">
        <v>12</v>
      </c>
      <c r="F530" s="7">
        <v>1873.28</v>
      </c>
      <c r="G530" s="10">
        <v>0.1</v>
      </c>
      <c r="H530" s="7">
        <v>1685.95</v>
      </c>
      <c r="I530">
        <v>3</v>
      </c>
      <c r="J530" t="s">
        <v>16</v>
      </c>
      <c r="K530" s="13">
        <f>ROUND(tblTransactions[[#This Row],[gross_sales_inr]]*(1-tblTransactions[[#This Row],[discount_pct]]),2)</f>
        <v>1685.95</v>
      </c>
      <c r="L530" t="str">
        <f>IF(ABS(tblTransactions[[#This Row],[net_sales_inr]]-tblTransactions[[#This Row],[Recalc_Net_Sales]])&lt;0.02,"OK","CHECK")</f>
        <v>OK</v>
      </c>
      <c r="M530" s="14">
        <f>DATE(YEAR(tblTransactions[[#This Row],[date]]),MONTH(tblTransactions[[#This Row],[date]]),1)</f>
        <v>45778</v>
      </c>
      <c r="N530" t="str">
        <f>IF(WEEKDAY(tblTransactions[[#This Row],[date]],2)&gt;5,"Weekend","Weekday")</f>
        <v>Weekday</v>
      </c>
      <c r="O53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30" s="13" t="str">
        <f>_xlfn.XLOOKUP(tblTransactions[[#This Row],[tenant_id]],tblTenants[tenant_id],tblTenants[zone],"NOT FOUND")</f>
        <v>Fashion Avenue</v>
      </c>
      <c r="Q530" s="13" t="str">
        <f>_xlfn.XLOOKUP(tblTransactions[[#This Row],[tenant_id]],tblTenants[tenant_id],tblTenants[category],"NOT FOUND")</f>
        <v>Clothing</v>
      </c>
    </row>
    <row r="531" spans="1:17">
      <c r="A531" t="s">
        <v>575</v>
      </c>
      <c r="B531" s="2">
        <v>45780</v>
      </c>
      <c r="C531">
        <v>20</v>
      </c>
      <c r="D531" t="s">
        <v>29</v>
      </c>
      <c r="E531" t="s">
        <v>32</v>
      </c>
      <c r="F531" s="7">
        <v>1826.9</v>
      </c>
      <c r="G531" s="10">
        <v>0.1</v>
      </c>
      <c r="H531" s="7">
        <v>1644.21</v>
      </c>
      <c r="I531">
        <v>1</v>
      </c>
      <c r="J531" t="s">
        <v>16</v>
      </c>
      <c r="K531" s="13">
        <f>ROUND(tblTransactions[[#This Row],[gross_sales_inr]]*(1-tblTransactions[[#This Row],[discount_pct]]),2)</f>
        <v>1644.21</v>
      </c>
      <c r="L531" t="str">
        <f>IF(ABS(tblTransactions[[#This Row],[net_sales_inr]]-tblTransactions[[#This Row],[Recalc_Net_Sales]])&lt;0.02,"OK","CHECK")</f>
        <v>OK</v>
      </c>
      <c r="M531" s="14">
        <f>DATE(YEAR(tblTransactions[[#This Row],[date]]),MONTH(tblTransactions[[#This Row],[date]]),1)</f>
        <v>45778</v>
      </c>
      <c r="N531" t="str">
        <f>IF(WEEKDAY(tblTransactions[[#This Row],[date]],2)&gt;5,"Weekend","Weekday")</f>
        <v>Weekend</v>
      </c>
      <c r="O53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31" s="13" t="str">
        <f>_xlfn.XLOOKUP(tblTransactions[[#This Row],[tenant_id]],tblTenants[tenant_id],tblTenants[zone],"NOT FOUND")</f>
        <v>Entertainment</v>
      </c>
      <c r="Q531" s="13" t="str">
        <f>_xlfn.XLOOKUP(tblTransactions[[#This Row],[tenant_id]],tblTenants[tenant_id],tblTenants[category],"NOT FOUND")</f>
        <v>Cinema</v>
      </c>
    </row>
    <row r="532" spans="1:17">
      <c r="A532" t="s">
        <v>576</v>
      </c>
      <c r="B532" s="2">
        <v>45667</v>
      </c>
      <c r="C532">
        <v>15</v>
      </c>
      <c r="D532" t="s">
        <v>45</v>
      </c>
      <c r="E532" t="s">
        <v>51</v>
      </c>
      <c r="F532" s="7">
        <v>1326.21</v>
      </c>
      <c r="G532" s="10">
        <v>0</v>
      </c>
      <c r="H532" s="7">
        <v>1326.21</v>
      </c>
      <c r="I532">
        <v>2</v>
      </c>
      <c r="J532" t="s">
        <v>13</v>
      </c>
      <c r="K532" s="13">
        <f>ROUND(tblTransactions[[#This Row],[gross_sales_inr]]*(1-tblTransactions[[#This Row],[discount_pct]]),2)</f>
        <v>1326.21</v>
      </c>
      <c r="L532" t="str">
        <f>IF(ABS(tblTransactions[[#This Row],[net_sales_inr]]-tblTransactions[[#This Row],[Recalc_Net_Sales]])&lt;0.02,"OK","CHECK")</f>
        <v>OK</v>
      </c>
      <c r="M532" s="14">
        <f>DATE(YEAR(tblTransactions[[#This Row],[date]]),MONTH(tblTransactions[[#This Row],[date]]),1)</f>
        <v>45658</v>
      </c>
      <c r="N532" t="str">
        <f>IF(WEEKDAY(tblTransactions[[#This Row],[date]],2)&gt;5,"Weekend","Weekday")</f>
        <v>Weekday</v>
      </c>
      <c r="O532" s="13" t="str">
        <f>IF(tblTransactions[[#This Row],[discount_pct]]=0,"0%",IF(tblTransactions[[#This Row],[discount_pct]]&lt;=10%,"1–
10%",IF(tblTransactions[[#This Row],[discount_pct]]&lt;=20%,"11–20%","&gt;20%")))</f>
        <v>0%</v>
      </c>
      <c r="P532" s="13" t="str">
        <f>_xlfn.XLOOKUP(tblTransactions[[#This Row],[tenant_id]],tblTenants[tenant_id],tblTenants[zone],"NOT FOUND")</f>
        <v>Home &amp; Living</v>
      </c>
      <c r="Q532" s="13" t="str">
        <f>_xlfn.XLOOKUP(tblTransactions[[#This Row],[tenant_id]],tblTenants[tenant_id],tblTenants[category],"NOT FOUND")</f>
        <v>Home Decor</v>
      </c>
    </row>
    <row r="533" spans="1:17">
      <c r="A533" t="s">
        <v>577</v>
      </c>
      <c r="B533" s="2">
        <v>45739</v>
      </c>
      <c r="C533">
        <v>22</v>
      </c>
      <c r="D533" t="s">
        <v>18</v>
      </c>
      <c r="E533" t="s">
        <v>12</v>
      </c>
      <c r="F533" s="7">
        <v>298.20999999999998</v>
      </c>
      <c r="G533" s="10">
        <v>0</v>
      </c>
      <c r="H533" s="7">
        <v>298.20999999999998</v>
      </c>
      <c r="I533">
        <v>1</v>
      </c>
      <c r="J533" t="s">
        <v>16</v>
      </c>
      <c r="K533" s="13">
        <f>ROUND(tblTransactions[[#This Row],[gross_sales_inr]]*(1-tblTransactions[[#This Row],[discount_pct]]),2)</f>
        <v>298.20999999999998</v>
      </c>
      <c r="L533" t="str">
        <f>IF(ABS(tblTransactions[[#This Row],[net_sales_inr]]-tblTransactions[[#This Row],[Recalc_Net_Sales]])&lt;0.02,"OK","CHECK")</f>
        <v>OK</v>
      </c>
      <c r="M533" s="14">
        <f>DATE(YEAR(tblTransactions[[#This Row],[date]]),MONTH(tblTransactions[[#This Row],[date]]),1)</f>
        <v>45717</v>
      </c>
      <c r="N533" t="str">
        <f>IF(WEEKDAY(tblTransactions[[#This Row],[date]],2)&gt;5,"Weekend","Weekday")</f>
        <v>Weekend</v>
      </c>
      <c r="O533" s="13" t="str">
        <f>IF(tblTransactions[[#This Row],[discount_pct]]=0,"0%",IF(tblTransactions[[#This Row],[discount_pct]]&lt;=10%,"1–
10%",IF(tblTransactions[[#This Row],[discount_pct]]&lt;=20%,"11–20%","&gt;20%")))</f>
        <v>0%</v>
      </c>
      <c r="P533" s="13" t="str">
        <f>_xlfn.XLOOKUP(tblTransactions[[#This Row],[tenant_id]],tblTenants[tenant_id],tblTenants[zone],"NOT FOUND")</f>
        <v>Beauty &amp; Wellness</v>
      </c>
      <c r="Q533" s="13" t="str">
        <f>_xlfn.XLOOKUP(tblTransactions[[#This Row],[tenant_id]],tblTenants[tenant_id],tblTenants[category],"NOT FOUND")</f>
        <v>Beauty</v>
      </c>
    </row>
    <row r="534" spans="1:17">
      <c r="A534" t="s">
        <v>578</v>
      </c>
      <c r="B534" s="2">
        <v>45725</v>
      </c>
      <c r="C534">
        <v>13</v>
      </c>
      <c r="D534" t="s">
        <v>15</v>
      </c>
      <c r="E534" t="s">
        <v>12</v>
      </c>
      <c r="F534" s="7">
        <v>1609.54</v>
      </c>
      <c r="G534" s="10">
        <v>0.1</v>
      </c>
      <c r="H534" s="7">
        <v>1448.59</v>
      </c>
      <c r="I534">
        <v>1</v>
      </c>
      <c r="J534" t="s">
        <v>13</v>
      </c>
      <c r="K534" s="13">
        <f>ROUND(tblTransactions[[#This Row],[gross_sales_inr]]*(1-tblTransactions[[#This Row],[discount_pct]]),2)</f>
        <v>1448.59</v>
      </c>
      <c r="L534" t="str">
        <f>IF(ABS(tblTransactions[[#This Row],[net_sales_inr]]-tblTransactions[[#This Row],[Recalc_Net_Sales]])&lt;0.02,"OK","CHECK")</f>
        <v>OK</v>
      </c>
      <c r="M534" s="14">
        <f>DATE(YEAR(tblTransactions[[#This Row],[date]]),MONTH(tblTransactions[[#This Row],[date]]),1)</f>
        <v>45717</v>
      </c>
      <c r="N534" t="str">
        <f>IF(WEEKDAY(tblTransactions[[#This Row],[date]],2)&gt;5,"Weekend","Weekday")</f>
        <v>Weekend</v>
      </c>
      <c r="O53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34" s="13" t="str">
        <f>_xlfn.XLOOKUP(tblTransactions[[#This Row],[tenant_id]],tblTenants[tenant_id],tblTenants[zone],"NOT FOUND")</f>
        <v>Fashion Avenue</v>
      </c>
      <c r="Q534" s="13" t="str">
        <f>_xlfn.XLOOKUP(tblTransactions[[#This Row],[tenant_id]],tblTenants[tenant_id],tblTenants[category],"NOT FOUND")</f>
        <v>Accessories</v>
      </c>
    </row>
    <row r="535" spans="1:17">
      <c r="A535" t="s">
        <v>579</v>
      </c>
      <c r="B535" s="2">
        <v>45694</v>
      </c>
      <c r="C535">
        <v>19</v>
      </c>
      <c r="D535" t="s">
        <v>55</v>
      </c>
      <c r="E535" t="s">
        <v>12</v>
      </c>
      <c r="F535" s="7">
        <v>350.09</v>
      </c>
      <c r="G535" s="10">
        <v>0</v>
      </c>
      <c r="H535" s="7">
        <v>350.09</v>
      </c>
      <c r="I535">
        <v>4</v>
      </c>
      <c r="J535" t="s">
        <v>16</v>
      </c>
      <c r="K535" s="13">
        <f>ROUND(tblTransactions[[#This Row],[gross_sales_inr]]*(1-tblTransactions[[#This Row],[discount_pct]]),2)</f>
        <v>350.09</v>
      </c>
      <c r="L535" t="str">
        <f>IF(ABS(tblTransactions[[#This Row],[net_sales_inr]]-tblTransactions[[#This Row],[Recalc_Net_Sales]])&lt;0.02,"OK","CHECK")</f>
        <v>OK</v>
      </c>
      <c r="M535" s="14">
        <f>DATE(YEAR(tblTransactions[[#This Row],[date]]),MONTH(tblTransactions[[#This Row],[date]]),1)</f>
        <v>45689</v>
      </c>
      <c r="N535" t="str">
        <f>IF(WEEKDAY(tblTransactions[[#This Row],[date]],2)&gt;5,"Weekend","Weekday")</f>
        <v>Weekday</v>
      </c>
      <c r="O535" s="13" t="str">
        <f>IF(tblTransactions[[#This Row],[discount_pct]]=0,"0%",IF(tblTransactions[[#This Row],[discount_pct]]&lt;=10%,"1–
10%",IF(tblTransactions[[#This Row],[discount_pct]]&lt;=20%,"11–20%","&gt;20%")))</f>
        <v>0%</v>
      </c>
      <c r="P535" s="13" t="str">
        <f>_xlfn.XLOOKUP(tblTransactions[[#This Row],[tenant_id]],tblTenants[tenant_id],tblTenants[zone],"NOT FOUND")</f>
        <v>Food Court</v>
      </c>
      <c r="Q535" s="13" t="str">
        <f>_xlfn.XLOOKUP(tblTransactions[[#This Row],[tenant_id]],tblTenants[tenant_id],tblTenants[category],"NOT FOUND")</f>
        <v>Quick Service</v>
      </c>
    </row>
    <row r="536" spans="1:17">
      <c r="A536" t="s">
        <v>580</v>
      </c>
      <c r="B536" s="2">
        <v>45677</v>
      </c>
      <c r="C536">
        <v>19</v>
      </c>
      <c r="D536" t="s">
        <v>45</v>
      </c>
      <c r="E536" t="s">
        <v>12</v>
      </c>
      <c r="F536" s="7">
        <v>510.72</v>
      </c>
      <c r="G536" s="10">
        <v>0</v>
      </c>
      <c r="H536" s="7">
        <v>510.72</v>
      </c>
      <c r="I536">
        <v>1</v>
      </c>
      <c r="J536" t="s">
        <v>13</v>
      </c>
      <c r="K536" s="13">
        <f>ROUND(tblTransactions[[#This Row],[gross_sales_inr]]*(1-tblTransactions[[#This Row],[discount_pct]]),2)</f>
        <v>510.72</v>
      </c>
      <c r="L536" t="str">
        <f>IF(ABS(tblTransactions[[#This Row],[net_sales_inr]]-tblTransactions[[#This Row],[Recalc_Net_Sales]])&lt;0.02,"OK","CHECK")</f>
        <v>OK</v>
      </c>
      <c r="M536" s="14">
        <f>DATE(YEAR(tblTransactions[[#This Row],[date]]),MONTH(tblTransactions[[#This Row],[date]]),1)</f>
        <v>45658</v>
      </c>
      <c r="N536" t="str">
        <f>IF(WEEKDAY(tblTransactions[[#This Row],[date]],2)&gt;5,"Weekend","Weekday")</f>
        <v>Weekday</v>
      </c>
      <c r="O536" s="13" t="str">
        <f>IF(tblTransactions[[#This Row],[discount_pct]]=0,"0%",IF(tblTransactions[[#This Row],[discount_pct]]&lt;=10%,"1–
10%",IF(tblTransactions[[#This Row],[discount_pct]]&lt;=20%,"11–20%","&gt;20%")))</f>
        <v>0%</v>
      </c>
      <c r="P536" s="13" t="str">
        <f>_xlfn.XLOOKUP(tblTransactions[[#This Row],[tenant_id]],tblTenants[tenant_id],tblTenants[zone],"NOT FOUND")</f>
        <v>Home &amp; Living</v>
      </c>
      <c r="Q536" s="13" t="str">
        <f>_xlfn.XLOOKUP(tblTransactions[[#This Row],[tenant_id]],tblTenants[tenant_id],tblTenants[category],"NOT FOUND")</f>
        <v>Home Decor</v>
      </c>
    </row>
    <row r="537" spans="1:17">
      <c r="A537" t="s">
        <v>581</v>
      </c>
      <c r="B537" s="2">
        <v>45788</v>
      </c>
      <c r="C537">
        <v>11</v>
      </c>
      <c r="D537" t="s">
        <v>34</v>
      </c>
      <c r="E537" t="s">
        <v>32</v>
      </c>
      <c r="F537" s="7">
        <v>5312.71</v>
      </c>
      <c r="G537" s="10">
        <v>0</v>
      </c>
      <c r="H537" s="7">
        <v>5312.71</v>
      </c>
      <c r="I537">
        <v>4</v>
      </c>
      <c r="J537" t="s">
        <v>16</v>
      </c>
      <c r="K537" s="13">
        <f>ROUND(tblTransactions[[#This Row],[gross_sales_inr]]*(1-tblTransactions[[#This Row],[discount_pct]]),2)</f>
        <v>5312.71</v>
      </c>
      <c r="L537" t="str">
        <f>IF(ABS(tblTransactions[[#This Row],[net_sales_inr]]-tblTransactions[[#This Row],[Recalc_Net_Sales]])&lt;0.02,"OK","CHECK")</f>
        <v>OK</v>
      </c>
      <c r="M537" s="14">
        <f>DATE(YEAR(tblTransactions[[#This Row],[date]]),MONTH(tblTransactions[[#This Row],[date]]),1)</f>
        <v>45778</v>
      </c>
      <c r="N537" t="str">
        <f>IF(WEEKDAY(tblTransactions[[#This Row],[date]],2)&gt;5,"Weekend","Weekday")</f>
        <v>Weekend</v>
      </c>
      <c r="O537" s="13" t="str">
        <f>IF(tblTransactions[[#This Row],[discount_pct]]=0,"0%",IF(tblTransactions[[#This Row],[discount_pct]]&lt;=10%,"1–
10%",IF(tblTransactions[[#This Row],[discount_pct]]&lt;=20%,"11–20%","&gt;20%")))</f>
        <v>0%</v>
      </c>
      <c r="P537" s="13" t="str">
        <f>_xlfn.XLOOKUP(tblTransactions[[#This Row],[tenant_id]],tblTenants[tenant_id],tblTenants[zone],"NOT FOUND")</f>
        <v>Home &amp; Living</v>
      </c>
      <c r="Q537" s="13" t="str">
        <f>_xlfn.XLOOKUP(tblTransactions[[#This Row],[tenant_id]],tblTenants[tenant_id],tblTenants[category],"NOT FOUND")</f>
        <v>Electronics</v>
      </c>
    </row>
    <row r="538" spans="1:17">
      <c r="A538" t="s">
        <v>582</v>
      </c>
      <c r="B538" s="2">
        <v>45824</v>
      </c>
      <c r="C538">
        <v>13</v>
      </c>
      <c r="D538" t="s">
        <v>72</v>
      </c>
      <c r="E538" t="s">
        <v>51</v>
      </c>
      <c r="F538" s="7">
        <v>1222.02</v>
      </c>
      <c r="G538" s="10">
        <v>0.3</v>
      </c>
      <c r="H538" s="7">
        <v>855.41</v>
      </c>
      <c r="I538">
        <v>3</v>
      </c>
      <c r="J538" t="s">
        <v>16</v>
      </c>
      <c r="K538" s="13">
        <f>ROUND(tblTransactions[[#This Row],[gross_sales_inr]]*(1-tblTransactions[[#This Row],[discount_pct]]),2)</f>
        <v>855.41</v>
      </c>
      <c r="L538" t="str">
        <f>IF(ABS(tblTransactions[[#This Row],[net_sales_inr]]-tblTransactions[[#This Row],[Recalc_Net_Sales]])&lt;0.02,"OK","CHECK")</f>
        <v>OK</v>
      </c>
      <c r="M538" s="14">
        <f>DATE(YEAR(tblTransactions[[#This Row],[date]]),MONTH(tblTransactions[[#This Row],[date]]),1)</f>
        <v>45809</v>
      </c>
      <c r="N538" t="str">
        <f>IF(WEEKDAY(tblTransactions[[#This Row],[date]],2)&gt;5,"Weekend","Weekday")</f>
        <v>Weekday</v>
      </c>
      <c r="O538" s="13" t="str">
        <f>IF(tblTransactions[[#This Row],[discount_pct]]=0,"0%",IF(tblTransactions[[#This Row],[discount_pct]]&lt;=10%,"1–
10%",IF(tblTransactions[[#This Row],[discount_pct]]&lt;=20%,"11–20%","&gt;20%")))</f>
        <v>&gt;20%</v>
      </c>
      <c r="P538" s="13" t="str">
        <f>_xlfn.XLOOKUP(tblTransactions[[#This Row],[tenant_id]],tblTenants[tenant_id],tblTenants[zone],"NOT FOUND")</f>
        <v>Entertainment</v>
      </c>
      <c r="Q538" s="13" t="str">
        <f>_xlfn.XLOOKUP(tblTransactions[[#This Row],[tenant_id]],tblTenants[tenant_id],tblTenants[category],"NOT FOUND")</f>
        <v>Arcade</v>
      </c>
    </row>
    <row r="539" spans="1:17">
      <c r="A539" t="s">
        <v>583</v>
      </c>
      <c r="B539" s="2">
        <v>45805</v>
      </c>
      <c r="C539">
        <v>15</v>
      </c>
      <c r="D539" t="s">
        <v>41</v>
      </c>
      <c r="E539" t="s">
        <v>32</v>
      </c>
      <c r="F539" s="7">
        <v>1030.19</v>
      </c>
      <c r="G539" s="10">
        <v>0</v>
      </c>
      <c r="H539" s="7">
        <v>1030.19</v>
      </c>
      <c r="I539">
        <v>1</v>
      </c>
      <c r="J539" t="s">
        <v>13</v>
      </c>
      <c r="K539" s="13">
        <f>ROUND(tblTransactions[[#This Row],[gross_sales_inr]]*(1-tblTransactions[[#This Row],[discount_pct]]),2)</f>
        <v>1030.19</v>
      </c>
      <c r="L539" t="str">
        <f>IF(ABS(tblTransactions[[#This Row],[net_sales_inr]]-tblTransactions[[#This Row],[Recalc_Net_Sales]])&lt;0.02,"OK","CHECK")</f>
        <v>OK</v>
      </c>
      <c r="M539" s="14">
        <f>DATE(YEAR(tblTransactions[[#This Row],[date]]),MONTH(tblTransactions[[#This Row],[date]]),1)</f>
        <v>45778</v>
      </c>
      <c r="N539" t="str">
        <f>IF(WEEKDAY(tblTransactions[[#This Row],[date]],2)&gt;5,"Weekend","Weekday")</f>
        <v>Weekday</v>
      </c>
      <c r="O539" s="13" t="str">
        <f>IF(tblTransactions[[#This Row],[discount_pct]]=0,"0%",IF(tblTransactions[[#This Row],[discount_pct]]&lt;=10%,"1–
10%",IF(tblTransactions[[#This Row],[discount_pct]]&lt;=20%,"11–20%","&gt;20%")))</f>
        <v>0%</v>
      </c>
      <c r="P539" s="13" t="str">
        <f>_xlfn.XLOOKUP(tblTransactions[[#This Row],[tenant_id]],tblTenants[tenant_id],tblTenants[zone],"NOT FOUND")</f>
        <v>Fashion Avenue</v>
      </c>
      <c r="Q539" s="13" t="str">
        <f>_xlfn.XLOOKUP(tblTransactions[[#This Row],[tenant_id]],tblTenants[tenant_id],tblTenants[category],"NOT FOUND")</f>
        <v>Clothing</v>
      </c>
    </row>
    <row r="540" spans="1:17">
      <c r="A540" t="s">
        <v>584</v>
      </c>
      <c r="B540" s="2">
        <v>45743</v>
      </c>
      <c r="C540">
        <v>10</v>
      </c>
      <c r="D540" t="s">
        <v>43</v>
      </c>
      <c r="E540" t="s">
        <v>21</v>
      </c>
      <c r="F540" s="7">
        <v>1299.53</v>
      </c>
      <c r="G540" s="10">
        <v>0</v>
      </c>
      <c r="H540" s="7">
        <v>1299.53</v>
      </c>
      <c r="I540">
        <v>4</v>
      </c>
      <c r="J540" t="s">
        <v>13</v>
      </c>
      <c r="K540" s="13">
        <f>ROUND(tblTransactions[[#This Row],[gross_sales_inr]]*(1-tblTransactions[[#This Row],[discount_pct]]),2)</f>
        <v>1299.53</v>
      </c>
      <c r="L540" t="str">
        <f>IF(ABS(tblTransactions[[#This Row],[net_sales_inr]]-tblTransactions[[#This Row],[Recalc_Net_Sales]])&lt;0.02,"OK","CHECK")</f>
        <v>OK</v>
      </c>
      <c r="M540" s="14">
        <f>DATE(YEAR(tblTransactions[[#This Row],[date]]),MONTH(tblTransactions[[#This Row],[date]]),1)</f>
        <v>45717</v>
      </c>
      <c r="N540" t="str">
        <f>IF(WEEKDAY(tblTransactions[[#This Row],[date]],2)&gt;5,"Weekend","Weekday")</f>
        <v>Weekday</v>
      </c>
      <c r="O540" s="13" t="str">
        <f>IF(tblTransactions[[#This Row],[discount_pct]]=0,"0%",IF(tblTransactions[[#This Row],[discount_pct]]&lt;=10%,"1–
10%",IF(tblTransactions[[#This Row],[discount_pct]]&lt;=20%,"11–20%","&gt;20%")))</f>
        <v>0%</v>
      </c>
      <c r="P540" s="13" t="str">
        <f>_xlfn.XLOOKUP(tblTransactions[[#This Row],[tenant_id]],tblTenants[tenant_id],tblTenants[zone],"NOT FOUND")</f>
        <v>Food Court</v>
      </c>
      <c r="Q540" s="13" t="str">
        <f>_xlfn.XLOOKUP(tblTransactions[[#This Row],[tenant_id]],tblTenants[tenant_id],tblTenants[category],"NOT FOUND")</f>
        <v>Casual Dining</v>
      </c>
    </row>
    <row r="541" spans="1:17">
      <c r="A541" t="s">
        <v>585</v>
      </c>
      <c r="B541" s="2">
        <v>45681</v>
      </c>
      <c r="C541">
        <v>22</v>
      </c>
      <c r="D541" t="s">
        <v>36</v>
      </c>
      <c r="E541" t="s">
        <v>12</v>
      </c>
      <c r="F541" s="7">
        <v>1112.8800000000001</v>
      </c>
      <c r="G541" s="10">
        <v>0.15</v>
      </c>
      <c r="H541" s="7">
        <v>945.95</v>
      </c>
      <c r="I541">
        <v>2</v>
      </c>
      <c r="J541" t="s">
        <v>13</v>
      </c>
      <c r="K541" s="13">
        <f>ROUND(tblTransactions[[#This Row],[gross_sales_inr]]*(1-tblTransactions[[#This Row],[discount_pct]]),2)</f>
        <v>945.95</v>
      </c>
      <c r="L541" t="str">
        <f>IF(ABS(tblTransactions[[#This Row],[net_sales_inr]]-tblTransactions[[#This Row],[Recalc_Net_Sales]])&lt;0.02,"OK","CHECK")</f>
        <v>OK</v>
      </c>
      <c r="M541" s="14">
        <f>DATE(YEAR(tblTransactions[[#This Row],[date]]),MONTH(tblTransactions[[#This Row],[date]]),1)</f>
        <v>45658</v>
      </c>
      <c r="N541" t="str">
        <f>IF(WEEKDAY(tblTransactions[[#This Row],[date]],2)&gt;5,"Weekend","Weekday")</f>
        <v>Weekday</v>
      </c>
      <c r="O54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41" s="13" t="str">
        <f>_xlfn.XLOOKUP(tblTransactions[[#This Row],[tenant_id]],tblTenants[tenant_id],tblTenants[zone],"NOT FOUND")</f>
        <v>Home &amp; Living</v>
      </c>
      <c r="Q541" s="13" t="str">
        <f>_xlfn.XLOOKUP(tblTransactions[[#This Row],[tenant_id]],tblTenants[tenant_id],tblTenants[category],"NOT FOUND")</f>
        <v>Electronics</v>
      </c>
    </row>
    <row r="542" spans="1:17">
      <c r="A542" t="s">
        <v>586</v>
      </c>
      <c r="B542" s="2">
        <v>45669</v>
      </c>
      <c r="C542">
        <v>21</v>
      </c>
      <c r="D542" t="s">
        <v>41</v>
      </c>
      <c r="E542" t="s">
        <v>51</v>
      </c>
      <c r="F542" s="7">
        <v>3159.3</v>
      </c>
      <c r="G542" s="10">
        <v>0.15</v>
      </c>
      <c r="H542" s="7">
        <v>2685.41</v>
      </c>
      <c r="I542">
        <v>2</v>
      </c>
      <c r="J542" t="s">
        <v>16</v>
      </c>
      <c r="K542" s="13">
        <f>ROUND(tblTransactions[[#This Row],[gross_sales_inr]]*(1-tblTransactions[[#This Row],[discount_pct]]),2)</f>
        <v>2685.41</v>
      </c>
      <c r="L542" t="str">
        <f>IF(ABS(tblTransactions[[#This Row],[net_sales_inr]]-tblTransactions[[#This Row],[Recalc_Net_Sales]])&lt;0.02,"OK","CHECK")</f>
        <v>OK</v>
      </c>
      <c r="M542" s="14">
        <f>DATE(YEAR(tblTransactions[[#This Row],[date]]),MONTH(tblTransactions[[#This Row],[date]]),1)</f>
        <v>45658</v>
      </c>
      <c r="N542" t="str">
        <f>IF(WEEKDAY(tblTransactions[[#This Row],[date]],2)&gt;5,"Weekend","Weekday")</f>
        <v>Weekend</v>
      </c>
      <c r="O54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42" s="13" t="str">
        <f>_xlfn.XLOOKUP(tblTransactions[[#This Row],[tenant_id]],tblTenants[tenant_id],tblTenants[zone],"NOT FOUND")</f>
        <v>Fashion Avenue</v>
      </c>
      <c r="Q542" s="13" t="str">
        <f>_xlfn.XLOOKUP(tblTransactions[[#This Row],[tenant_id]],tblTenants[tenant_id],tblTenants[category],"NOT FOUND")</f>
        <v>Clothing</v>
      </c>
    </row>
    <row r="543" spans="1:17">
      <c r="A543" t="s">
        <v>587</v>
      </c>
      <c r="B543" s="2">
        <v>45689</v>
      </c>
      <c r="C543">
        <v>18</v>
      </c>
      <c r="D543" t="s">
        <v>41</v>
      </c>
      <c r="E543" t="s">
        <v>32</v>
      </c>
      <c r="F543" s="7">
        <v>1336</v>
      </c>
      <c r="G543" s="10">
        <v>0</v>
      </c>
      <c r="H543" s="7">
        <v>1336</v>
      </c>
      <c r="I543">
        <v>1</v>
      </c>
      <c r="J543" t="s">
        <v>16</v>
      </c>
      <c r="K543" s="13">
        <f>ROUND(tblTransactions[[#This Row],[gross_sales_inr]]*(1-tblTransactions[[#This Row],[discount_pct]]),2)</f>
        <v>1336</v>
      </c>
      <c r="L543" t="str">
        <f>IF(ABS(tblTransactions[[#This Row],[net_sales_inr]]-tblTransactions[[#This Row],[Recalc_Net_Sales]])&lt;0.02,"OK","CHECK")</f>
        <v>OK</v>
      </c>
      <c r="M543" s="14">
        <f>DATE(YEAR(tblTransactions[[#This Row],[date]]),MONTH(tblTransactions[[#This Row],[date]]),1)</f>
        <v>45689</v>
      </c>
      <c r="N543" t="str">
        <f>IF(WEEKDAY(tblTransactions[[#This Row],[date]],2)&gt;5,"Weekend","Weekday")</f>
        <v>Weekend</v>
      </c>
      <c r="O543" s="13" t="str">
        <f>IF(tblTransactions[[#This Row],[discount_pct]]=0,"0%",IF(tblTransactions[[#This Row],[discount_pct]]&lt;=10%,"1–
10%",IF(tblTransactions[[#This Row],[discount_pct]]&lt;=20%,"11–20%","&gt;20%")))</f>
        <v>0%</v>
      </c>
      <c r="P543" s="13" t="str">
        <f>_xlfn.XLOOKUP(tblTransactions[[#This Row],[tenant_id]],tblTenants[tenant_id],tblTenants[zone],"NOT FOUND")</f>
        <v>Fashion Avenue</v>
      </c>
      <c r="Q543" s="13" t="str">
        <f>_xlfn.XLOOKUP(tblTransactions[[#This Row],[tenant_id]],tblTenants[tenant_id],tblTenants[category],"NOT FOUND")</f>
        <v>Clothing</v>
      </c>
    </row>
    <row r="544" spans="1:17">
      <c r="A544" t="s">
        <v>588</v>
      </c>
      <c r="B544" s="2">
        <v>45793</v>
      </c>
      <c r="C544">
        <v>11</v>
      </c>
      <c r="D544" t="s">
        <v>63</v>
      </c>
      <c r="E544" t="s">
        <v>12</v>
      </c>
      <c r="F544" s="7">
        <v>1158.32</v>
      </c>
      <c r="G544" s="10">
        <v>0.15</v>
      </c>
      <c r="H544" s="7">
        <v>984.57</v>
      </c>
      <c r="I544">
        <v>2</v>
      </c>
      <c r="J544" t="s">
        <v>16</v>
      </c>
      <c r="K544" s="13">
        <f>ROUND(tblTransactions[[#This Row],[gross_sales_inr]]*(1-tblTransactions[[#This Row],[discount_pct]]),2)</f>
        <v>984.57</v>
      </c>
      <c r="L544" t="str">
        <f>IF(ABS(tblTransactions[[#This Row],[net_sales_inr]]-tblTransactions[[#This Row],[Recalc_Net_Sales]])&lt;0.02,"OK","CHECK")</f>
        <v>OK</v>
      </c>
      <c r="M544" s="14">
        <f>DATE(YEAR(tblTransactions[[#This Row],[date]]),MONTH(tblTransactions[[#This Row],[date]]),1)</f>
        <v>45778</v>
      </c>
      <c r="N544" t="str">
        <f>IF(WEEKDAY(tblTransactions[[#This Row],[date]],2)&gt;5,"Weekend","Weekday")</f>
        <v>Weekday</v>
      </c>
      <c r="O54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44" s="13" t="str">
        <f>_xlfn.XLOOKUP(tblTransactions[[#This Row],[tenant_id]],tblTenants[tenant_id],tblTenants[zone],"NOT FOUND")</f>
        <v>Entertainment</v>
      </c>
      <c r="Q544" s="13" t="str">
        <f>_xlfn.XLOOKUP(tblTransactions[[#This Row],[tenant_id]],tblTenants[tenant_id],tblTenants[category],"NOT FOUND")</f>
        <v>Family Entertainment</v>
      </c>
    </row>
    <row r="545" spans="1:17">
      <c r="A545" t="s">
        <v>589</v>
      </c>
      <c r="B545" s="2">
        <v>45801</v>
      </c>
      <c r="C545">
        <v>18</v>
      </c>
      <c r="D545" t="s">
        <v>55</v>
      </c>
      <c r="E545" t="s">
        <v>12</v>
      </c>
      <c r="F545" s="7">
        <v>710.26</v>
      </c>
      <c r="G545" s="10">
        <v>0.2</v>
      </c>
      <c r="H545" s="7">
        <v>568.21</v>
      </c>
      <c r="I545">
        <v>3</v>
      </c>
      <c r="J545" t="s">
        <v>16</v>
      </c>
      <c r="K545" s="13">
        <f>ROUND(tblTransactions[[#This Row],[gross_sales_inr]]*(1-tblTransactions[[#This Row],[discount_pct]]),2)</f>
        <v>568.21</v>
      </c>
      <c r="L545" t="str">
        <f>IF(ABS(tblTransactions[[#This Row],[net_sales_inr]]-tblTransactions[[#This Row],[Recalc_Net_Sales]])&lt;0.02,"OK","CHECK")</f>
        <v>OK</v>
      </c>
      <c r="M545" s="14">
        <f>DATE(YEAR(tblTransactions[[#This Row],[date]]),MONTH(tblTransactions[[#This Row],[date]]),1)</f>
        <v>45778</v>
      </c>
      <c r="N545" t="str">
        <f>IF(WEEKDAY(tblTransactions[[#This Row],[date]],2)&gt;5,"Weekend","Weekday")</f>
        <v>Weekend</v>
      </c>
      <c r="O54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45" s="13" t="str">
        <f>_xlfn.XLOOKUP(tblTransactions[[#This Row],[tenant_id]],tblTenants[tenant_id],tblTenants[zone],"NOT FOUND")</f>
        <v>Food Court</v>
      </c>
      <c r="Q545" s="13" t="str">
        <f>_xlfn.XLOOKUP(tblTransactions[[#This Row],[tenant_id]],tblTenants[tenant_id],tblTenants[category],"NOT FOUND")</f>
        <v>Quick Service</v>
      </c>
    </row>
    <row r="546" spans="1:17">
      <c r="A546" t="s">
        <v>590</v>
      </c>
      <c r="B546" s="2">
        <v>45823</v>
      </c>
      <c r="C546">
        <v>18</v>
      </c>
      <c r="D546" t="s">
        <v>43</v>
      </c>
      <c r="E546" t="s">
        <v>12</v>
      </c>
      <c r="F546" s="7">
        <v>1329.44</v>
      </c>
      <c r="G546" s="10">
        <v>0.1</v>
      </c>
      <c r="H546" s="7">
        <v>1196.5</v>
      </c>
      <c r="I546">
        <v>1</v>
      </c>
      <c r="J546" t="s">
        <v>16</v>
      </c>
      <c r="K546" s="13">
        <f>ROUND(tblTransactions[[#This Row],[gross_sales_inr]]*(1-tblTransactions[[#This Row],[discount_pct]]),2)</f>
        <v>1196.5</v>
      </c>
      <c r="L546" t="str">
        <f>IF(ABS(tblTransactions[[#This Row],[net_sales_inr]]-tblTransactions[[#This Row],[Recalc_Net_Sales]])&lt;0.02,"OK","CHECK")</f>
        <v>OK</v>
      </c>
      <c r="M546" s="14">
        <f>DATE(YEAR(tblTransactions[[#This Row],[date]]),MONTH(tblTransactions[[#This Row],[date]]),1)</f>
        <v>45809</v>
      </c>
      <c r="N546" t="str">
        <f>IF(WEEKDAY(tblTransactions[[#This Row],[date]],2)&gt;5,"Weekend","Weekday")</f>
        <v>Weekend</v>
      </c>
      <c r="O54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46" s="13" t="str">
        <f>_xlfn.XLOOKUP(tblTransactions[[#This Row],[tenant_id]],tblTenants[tenant_id],tblTenants[zone],"NOT FOUND")</f>
        <v>Food Court</v>
      </c>
      <c r="Q546" s="13" t="str">
        <f>_xlfn.XLOOKUP(tblTransactions[[#This Row],[tenant_id]],tblTenants[tenant_id],tblTenants[category],"NOT FOUND")</f>
        <v>Casual Dining</v>
      </c>
    </row>
    <row r="547" spans="1:17">
      <c r="A547" t="s">
        <v>591</v>
      </c>
      <c r="B547" s="2">
        <v>45837</v>
      </c>
      <c r="C547">
        <v>14</v>
      </c>
      <c r="D547" t="s">
        <v>85</v>
      </c>
      <c r="E547" t="s">
        <v>21</v>
      </c>
      <c r="F547" s="7">
        <v>1056.3599999999999</v>
      </c>
      <c r="G547" s="10">
        <v>0.2</v>
      </c>
      <c r="H547" s="7">
        <v>845.09</v>
      </c>
      <c r="I547">
        <v>1</v>
      </c>
      <c r="J547" t="s">
        <v>13</v>
      </c>
      <c r="K547" s="13">
        <f>ROUND(tblTransactions[[#This Row],[gross_sales_inr]]*(1-tblTransactions[[#This Row],[discount_pct]]),2)</f>
        <v>845.09</v>
      </c>
      <c r="L547" t="str">
        <f>IF(ABS(tblTransactions[[#This Row],[net_sales_inr]]-tblTransactions[[#This Row],[Recalc_Net_Sales]])&lt;0.02,"OK","CHECK")</f>
        <v>OK</v>
      </c>
      <c r="M547" s="14">
        <f>DATE(YEAR(tblTransactions[[#This Row],[date]]),MONTH(tblTransactions[[#This Row],[date]]),1)</f>
        <v>45809</v>
      </c>
      <c r="N547" t="str">
        <f>IF(WEEKDAY(tblTransactions[[#This Row],[date]],2)&gt;5,"Weekend","Weekday")</f>
        <v>Weekend</v>
      </c>
      <c r="O54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47" s="13" t="str">
        <f>_xlfn.XLOOKUP(tblTransactions[[#This Row],[tenant_id]],tblTenants[tenant_id],tblTenants[zone],"NOT FOUND")</f>
        <v>Home &amp; Living</v>
      </c>
      <c r="Q547" s="13" t="str">
        <f>_xlfn.XLOOKUP(tblTransactions[[#This Row],[tenant_id]],tblTenants[tenant_id],tblTenants[category],"NOT FOUND")</f>
        <v>Electronics</v>
      </c>
    </row>
    <row r="548" spans="1:17">
      <c r="A548" t="s">
        <v>592</v>
      </c>
      <c r="B548" s="2">
        <v>45771</v>
      </c>
      <c r="C548">
        <v>21</v>
      </c>
      <c r="D548" t="s">
        <v>63</v>
      </c>
      <c r="E548" t="s">
        <v>12</v>
      </c>
      <c r="F548" s="7">
        <v>764.67</v>
      </c>
      <c r="G548" s="10">
        <v>0.1</v>
      </c>
      <c r="H548" s="7">
        <v>688.2</v>
      </c>
      <c r="I548">
        <v>4</v>
      </c>
      <c r="J548" t="s">
        <v>16</v>
      </c>
      <c r="K548" s="13">
        <f>ROUND(tblTransactions[[#This Row],[gross_sales_inr]]*(1-tblTransactions[[#This Row],[discount_pct]]),2)</f>
        <v>688.2</v>
      </c>
      <c r="L548" t="str">
        <f>IF(ABS(tblTransactions[[#This Row],[net_sales_inr]]-tblTransactions[[#This Row],[Recalc_Net_Sales]])&lt;0.02,"OK","CHECK")</f>
        <v>OK</v>
      </c>
      <c r="M548" s="14">
        <f>DATE(YEAR(tblTransactions[[#This Row],[date]]),MONTH(tblTransactions[[#This Row],[date]]),1)</f>
        <v>45748</v>
      </c>
      <c r="N548" t="str">
        <f>IF(WEEKDAY(tblTransactions[[#This Row],[date]],2)&gt;5,"Weekend","Weekday")</f>
        <v>Weekday</v>
      </c>
      <c r="O54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48" s="13" t="str">
        <f>_xlfn.XLOOKUP(tblTransactions[[#This Row],[tenant_id]],tblTenants[tenant_id],tblTenants[zone],"NOT FOUND")</f>
        <v>Entertainment</v>
      </c>
      <c r="Q548" s="13" t="str">
        <f>_xlfn.XLOOKUP(tblTransactions[[#This Row],[tenant_id]],tblTenants[tenant_id],tblTenants[category],"NOT FOUND")</f>
        <v>Family Entertainment</v>
      </c>
    </row>
    <row r="549" spans="1:17">
      <c r="A549" t="s">
        <v>593</v>
      </c>
      <c r="B549" s="2">
        <v>45700</v>
      </c>
      <c r="C549">
        <v>22</v>
      </c>
      <c r="D549" t="s">
        <v>72</v>
      </c>
      <c r="E549" t="s">
        <v>12</v>
      </c>
      <c r="F549" s="7">
        <v>1537.07</v>
      </c>
      <c r="G549" s="10">
        <v>0</v>
      </c>
      <c r="H549" s="7">
        <v>1537.07</v>
      </c>
      <c r="I549">
        <v>1</v>
      </c>
      <c r="J549" t="s">
        <v>13</v>
      </c>
      <c r="K549" s="13">
        <f>ROUND(tblTransactions[[#This Row],[gross_sales_inr]]*(1-tblTransactions[[#This Row],[discount_pct]]),2)</f>
        <v>1537.07</v>
      </c>
      <c r="L549" t="str">
        <f>IF(ABS(tblTransactions[[#This Row],[net_sales_inr]]-tblTransactions[[#This Row],[Recalc_Net_Sales]])&lt;0.02,"OK","CHECK")</f>
        <v>OK</v>
      </c>
      <c r="M549" s="14">
        <f>DATE(YEAR(tblTransactions[[#This Row],[date]]),MONTH(tblTransactions[[#This Row],[date]]),1)</f>
        <v>45689</v>
      </c>
      <c r="N549" t="str">
        <f>IF(WEEKDAY(tblTransactions[[#This Row],[date]],2)&gt;5,"Weekend","Weekday")</f>
        <v>Weekday</v>
      </c>
      <c r="O549" s="13" t="str">
        <f>IF(tblTransactions[[#This Row],[discount_pct]]=0,"0%",IF(tblTransactions[[#This Row],[discount_pct]]&lt;=10%,"1–
10%",IF(tblTransactions[[#This Row],[discount_pct]]&lt;=20%,"11–20%","&gt;20%")))</f>
        <v>0%</v>
      </c>
      <c r="P549" s="13" t="str">
        <f>_xlfn.XLOOKUP(tblTransactions[[#This Row],[tenant_id]],tblTenants[tenant_id],tblTenants[zone],"NOT FOUND")</f>
        <v>Entertainment</v>
      </c>
      <c r="Q549" s="13" t="str">
        <f>_xlfn.XLOOKUP(tblTransactions[[#This Row],[tenant_id]],tblTenants[tenant_id],tblTenants[category],"NOT FOUND")</f>
        <v>Arcade</v>
      </c>
    </row>
    <row r="550" spans="1:17">
      <c r="A550" t="s">
        <v>594</v>
      </c>
      <c r="B550" s="2">
        <v>45768</v>
      </c>
      <c r="C550">
        <v>16</v>
      </c>
      <c r="D550" t="s">
        <v>204</v>
      </c>
      <c r="E550" t="s">
        <v>12</v>
      </c>
      <c r="F550" s="7">
        <v>935.87</v>
      </c>
      <c r="G550" s="10">
        <v>0.2</v>
      </c>
      <c r="H550" s="7">
        <v>748.7</v>
      </c>
      <c r="I550">
        <v>2</v>
      </c>
      <c r="J550" t="s">
        <v>13</v>
      </c>
      <c r="K550" s="13">
        <f>ROUND(tblTransactions[[#This Row],[gross_sales_inr]]*(1-tblTransactions[[#This Row],[discount_pct]]),2)</f>
        <v>748.7</v>
      </c>
      <c r="L550" t="str">
        <f>IF(ABS(tblTransactions[[#This Row],[net_sales_inr]]-tblTransactions[[#This Row],[Recalc_Net_Sales]])&lt;0.02,"OK","CHECK")</f>
        <v>OK</v>
      </c>
      <c r="M550" s="14">
        <f>DATE(YEAR(tblTransactions[[#This Row],[date]]),MONTH(tblTransactions[[#This Row],[date]]),1)</f>
        <v>45748</v>
      </c>
      <c r="N550" t="str">
        <f>IF(WEEKDAY(tblTransactions[[#This Row],[date]],2)&gt;5,"Weekend","Weekday")</f>
        <v>Weekday</v>
      </c>
      <c r="O55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50" s="13" t="str">
        <f>_xlfn.XLOOKUP(tblTransactions[[#This Row],[tenant_id]],tblTenants[tenant_id],tblTenants[zone],"NOT FOUND")</f>
        <v>Home &amp; Living</v>
      </c>
      <c r="Q550" s="13" t="str">
        <f>_xlfn.XLOOKUP(tblTransactions[[#This Row],[tenant_id]],tblTenants[tenant_id],tblTenants[category],"NOT FOUND")</f>
        <v>Home Decor</v>
      </c>
    </row>
    <row r="551" spans="1:17">
      <c r="A551" t="s">
        <v>595</v>
      </c>
      <c r="B551" s="2">
        <v>45723</v>
      </c>
      <c r="C551">
        <v>17</v>
      </c>
      <c r="D551" t="s">
        <v>48</v>
      </c>
      <c r="E551" t="s">
        <v>12</v>
      </c>
      <c r="F551" s="7">
        <v>611.77</v>
      </c>
      <c r="G551" s="10">
        <v>0.05</v>
      </c>
      <c r="H551" s="7">
        <v>581.17999999999995</v>
      </c>
      <c r="I551">
        <v>2</v>
      </c>
      <c r="J551" t="s">
        <v>16</v>
      </c>
      <c r="K551" s="13">
        <f>ROUND(tblTransactions[[#This Row],[gross_sales_inr]]*(1-tblTransactions[[#This Row],[discount_pct]]),2)</f>
        <v>581.17999999999995</v>
      </c>
      <c r="L551" t="str">
        <f>IF(ABS(tblTransactions[[#This Row],[net_sales_inr]]-tblTransactions[[#This Row],[Recalc_Net_Sales]])&lt;0.02,"OK","CHECK")</f>
        <v>OK</v>
      </c>
      <c r="M551" s="14">
        <f>DATE(YEAR(tblTransactions[[#This Row],[date]]),MONTH(tblTransactions[[#This Row],[date]]),1)</f>
        <v>45717</v>
      </c>
      <c r="N551" t="str">
        <f>IF(WEEKDAY(tblTransactions[[#This Row],[date]],2)&gt;5,"Weekend","Weekday")</f>
        <v>Weekday</v>
      </c>
      <c r="O55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51" s="13" t="str">
        <f>_xlfn.XLOOKUP(tblTransactions[[#This Row],[tenant_id]],tblTenants[tenant_id],tblTenants[zone],"NOT FOUND")</f>
        <v>Beauty &amp; Wellness</v>
      </c>
      <c r="Q551" s="13" t="str">
        <f>_xlfn.XLOOKUP(tblTransactions[[#This Row],[tenant_id]],tblTenants[tenant_id],tblTenants[category],"NOT FOUND")</f>
        <v>Wellness</v>
      </c>
    </row>
    <row r="552" spans="1:17">
      <c r="A552" t="s">
        <v>596</v>
      </c>
      <c r="B552" s="2">
        <v>45694</v>
      </c>
      <c r="C552">
        <v>15</v>
      </c>
      <c r="D552" t="s">
        <v>53</v>
      </c>
      <c r="E552" t="s">
        <v>32</v>
      </c>
      <c r="F552" s="7">
        <v>795.01</v>
      </c>
      <c r="G552" s="10">
        <v>0</v>
      </c>
      <c r="H552" s="7">
        <v>795.01</v>
      </c>
      <c r="I552">
        <v>2</v>
      </c>
      <c r="J552" t="s">
        <v>16</v>
      </c>
      <c r="K552" s="13">
        <f>ROUND(tblTransactions[[#This Row],[gross_sales_inr]]*(1-tblTransactions[[#This Row],[discount_pct]]),2)</f>
        <v>795.01</v>
      </c>
      <c r="L552" t="str">
        <f>IF(ABS(tblTransactions[[#This Row],[net_sales_inr]]-tblTransactions[[#This Row],[Recalc_Net_Sales]])&lt;0.02,"OK","CHECK")</f>
        <v>OK</v>
      </c>
      <c r="M552" s="14">
        <f>DATE(YEAR(tblTransactions[[#This Row],[date]]),MONTH(tblTransactions[[#This Row],[date]]),1)</f>
        <v>45689</v>
      </c>
      <c r="N552" t="str">
        <f>IF(WEEKDAY(tblTransactions[[#This Row],[date]],2)&gt;5,"Weekend","Weekday")</f>
        <v>Weekday</v>
      </c>
      <c r="O552" s="13" t="str">
        <f>IF(tblTransactions[[#This Row],[discount_pct]]=0,"0%",IF(tblTransactions[[#This Row],[discount_pct]]&lt;=10%,"1–
10%",IF(tblTransactions[[#This Row],[discount_pct]]&lt;=20%,"11–20%","&gt;20%")))</f>
        <v>0%</v>
      </c>
      <c r="P552" s="13" t="str">
        <f>_xlfn.XLOOKUP(tblTransactions[[#This Row],[tenant_id]],tblTenants[tenant_id],tblTenants[zone],"NOT FOUND")</f>
        <v>Beauty &amp; Wellness</v>
      </c>
      <c r="Q552" s="13" t="str">
        <f>_xlfn.XLOOKUP(tblTransactions[[#This Row],[tenant_id]],tblTenants[tenant_id],tblTenants[category],"NOT FOUND")</f>
        <v>Beauty</v>
      </c>
    </row>
    <row r="553" spans="1:17">
      <c r="A553" t="s">
        <v>597</v>
      </c>
      <c r="B553" s="2">
        <v>45684</v>
      </c>
      <c r="C553">
        <v>15</v>
      </c>
      <c r="D553" t="s">
        <v>43</v>
      </c>
      <c r="E553" t="s">
        <v>21</v>
      </c>
      <c r="F553" s="7">
        <v>550.84</v>
      </c>
      <c r="G553" s="10">
        <v>0</v>
      </c>
      <c r="H553" s="7">
        <v>550.84</v>
      </c>
      <c r="I553">
        <v>1</v>
      </c>
      <c r="J553" t="s">
        <v>16</v>
      </c>
      <c r="K553" s="13">
        <f>ROUND(tblTransactions[[#This Row],[gross_sales_inr]]*(1-tblTransactions[[#This Row],[discount_pct]]),2)</f>
        <v>550.84</v>
      </c>
      <c r="L553" t="str">
        <f>IF(ABS(tblTransactions[[#This Row],[net_sales_inr]]-tblTransactions[[#This Row],[Recalc_Net_Sales]])&lt;0.02,"OK","CHECK")</f>
        <v>OK</v>
      </c>
      <c r="M553" s="14">
        <f>DATE(YEAR(tblTransactions[[#This Row],[date]]),MONTH(tblTransactions[[#This Row],[date]]),1)</f>
        <v>45658</v>
      </c>
      <c r="N553" t="str">
        <f>IF(WEEKDAY(tblTransactions[[#This Row],[date]],2)&gt;5,"Weekend","Weekday")</f>
        <v>Weekday</v>
      </c>
      <c r="O553" s="13" t="str">
        <f>IF(tblTransactions[[#This Row],[discount_pct]]=0,"0%",IF(tblTransactions[[#This Row],[discount_pct]]&lt;=10%,"1–
10%",IF(tblTransactions[[#This Row],[discount_pct]]&lt;=20%,"11–20%","&gt;20%")))</f>
        <v>0%</v>
      </c>
      <c r="P553" s="13" t="str">
        <f>_xlfn.XLOOKUP(tblTransactions[[#This Row],[tenant_id]],tblTenants[tenant_id],tblTenants[zone],"NOT FOUND")</f>
        <v>Food Court</v>
      </c>
      <c r="Q553" s="13" t="str">
        <f>_xlfn.XLOOKUP(tblTransactions[[#This Row],[tenant_id]],tblTenants[tenant_id],tblTenants[category],"NOT FOUND")</f>
        <v>Casual Dining</v>
      </c>
    </row>
    <row r="554" spans="1:17">
      <c r="A554" t="s">
        <v>598</v>
      </c>
      <c r="B554" s="2">
        <v>45681</v>
      </c>
      <c r="C554">
        <v>16</v>
      </c>
      <c r="D554" t="s">
        <v>85</v>
      </c>
      <c r="E554" t="s">
        <v>32</v>
      </c>
      <c r="F554" s="7">
        <v>2026.76</v>
      </c>
      <c r="G554" s="10">
        <v>0</v>
      </c>
      <c r="H554" s="7">
        <v>2026.76</v>
      </c>
      <c r="I554">
        <v>2</v>
      </c>
      <c r="J554" t="s">
        <v>13</v>
      </c>
      <c r="K554" s="13">
        <f>ROUND(tblTransactions[[#This Row],[gross_sales_inr]]*(1-tblTransactions[[#This Row],[discount_pct]]),2)</f>
        <v>2026.76</v>
      </c>
      <c r="L554" t="str">
        <f>IF(ABS(tblTransactions[[#This Row],[net_sales_inr]]-tblTransactions[[#This Row],[Recalc_Net_Sales]])&lt;0.02,"OK","CHECK")</f>
        <v>OK</v>
      </c>
      <c r="M554" s="14">
        <f>DATE(YEAR(tblTransactions[[#This Row],[date]]),MONTH(tblTransactions[[#This Row],[date]]),1)</f>
        <v>45658</v>
      </c>
      <c r="N554" t="str">
        <f>IF(WEEKDAY(tblTransactions[[#This Row],[date]],2)&gt;5,"Weekend","Weekday")</f>
        <v>Weekday</v>
      </c>
      <c r="O554" s="13" t="str">
        <f>IF(tblTransactions[[#This Row],[discount_pct]]=0,"0%",IF(tblTransactions[[#This Row],[discount_pct]]&lt;=10%,"1–
10%",IF(tblTransactions[[#This Row],[discount_pct]]&lt;=20%,"11–20%","&gt;20%")))</f>
        <v>0%</v>
      </c>
      <c r="P554" s="13" t="str">
        <f>_xlfn.XLOOKUP(tblTransactions[[#This Row],[tenant_id]],tblTenants[tenant_id],tblTenants[zone],"NOT FOUND")</f>
        <v>Home &amp; Living</v>
      </c>
      <c r="Q554" s="13" t="str">
        <f>_xlfn.XLOOKUP(tblTransactions[[#This Row],[tenant_id]],tblTenants[tenant_id],tblTenants[category],"NOT FOUND")</f>
        <v>Electronics</v>
      </c>
    </row>
    <row r="555" spans="1:17">
      <c r="A555" t="s">
        <v>599</v>
      </c>
      <c r="B555" s="2">
        <v>45809</v>
      </c>
      <c r="C555">
        <v>19</v>
      </c>
      <c r="D555" t="s">
        <v>55</v>
      </c>
      <c r="E555" t="s">
        <v>12</v>
      </c>
      <c r="F555" s="7">
        <v>1278.67</v>
      </c>
      <c r="G555" s="10">
        <v>0.1</v>
      </c>
      <c r="H555" s="7">
        <v>1150.8</v>
      </c>
      <c r="I555">
        <v>1</v>
      </c>
      <c r="J555" t="s">
        <v>13</v>
      </c>
      <c r="K555" s="13">
        <f>ROUND(tblTransactions[[#This Row],[gross_sales_inr]]*(1-tblTransactions[[#This Row],[discount_pct]]),2)</f>
        <v>1150.8</v>
      </c>
      <c r="L555" t="str">
        <f>IF(ABS(tblTransactions[[#This Row],[net_sales_inr]]-tblTransactions[[#This Row],[Recalc_Net_Sales]])&lt;0.02,"OK","CHECK")</f>
        <v>OK</v>
      </c>
      <c r="M555" s="14">
        <f>DATE(YEAR(tblTransactions[[#This Row],[date]]),MONTH(tblTransactions[[#This Row],[date]]),1)</f>
        <v>45809</v>
      </c>
      <c r="N555" t="str">
        <f>IF(WEEKDAY(tblTransactions[[#This Row],[date]],2)&gt;5,"Weekend","Weekday")</f>
        <v>Weekend</v>
      </c>
      <c r="O55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55" s="13" t="str">
        <f>_xlfn.XLOOKUP(tblTransactions[[#This Row],[tenant_id]],tblTenants[tenant_id],tblTenants[zone],"NOT FOUND")</f>
        <v>Food Court</v>
      </c>
      <c r="Q555" s="13" t="str">
        <f>_xlfn.XLOOKUP(tblTransactions[[#This Row],[tenant_id]],tblTenants[tenant_id],tblTenants[category],"NOT FOUND")</f>
        <v>Quick Service</v>
      </c>
    </row>
    <row r="556" spans="1:17">
      <c r="A556" t="s">
        <v>600</v>
      </c>
      <c r="B556" s="2">
        <v>45777</v>
      </c>
      <c r="C556">
        <v>10</v>
      </c>
      <c r="D556" t="s">
        <v>57</v>
      </c>
      <c r="E556" t="s">
        <v>12</v>
      </c>
      <c r="F556" s="7">
        <v>1564.3</v>
      </c>
      <c r="G556" s="10">
        <v>0.1</v>
      </c>
      <c r="H556" s="7">
        <v>1407.87</v>
      </c>
      <c r="I556">
        <v>6</v>
      </c>
      <c r="J556" t="s">
        <v>13</v>
      </c>
      <c r="K556" s="13">
        <f>ROUND(tblTransactions[[#This Row],[gross_sales_inr]]*(1-tblTransactions[[#This Row],[discount_pct]]),2)</f>
        <v>1407.87</v>
      </c>
      <c r="L556" t="str">
        <f>IF(ABS(tblTransactions[[#This Row],[net_sales_inr]]-tblTransactions[[#This Row],[Recalc_Net_Sales]])&lt;0.02,"OK","CHECK")</f>
        <v>OK</v>
      </c>
      <c r="M556" s="14">
        <f>DATE(YEAR(tblTransactions[[#This Row],[date]]),MONTH(tblTransactions[[#This Row],[date]]),1)</f>
        <v>45748</v>
      </c>
      <c r="N556" t="str">
        <f>IF(WEEKDAY(tblTransactions[[#This Row],[date]],2)&gt;5,"Weekend","Weekday")</f>
        <v>Weekday</v>
      </c>
      <c r="O55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56" s="13" t="str">
        <f>_xlfn.XLOOKUP(tblTransactions[[#This Row],[tenant_id]],tblTenants[tenant_id],tblTenants[zone],"NOT FOUND")</f>
        <v>Food Court</v>
      </c>
      <c r="Q556" s="13" t="str">
        <f>_xlfn.XLOOKUP(tblTransactions[[#This Row],[tenant_id]],tblTenants[tenant_id],tblTenants[category],"NOT FOUND")</f>
        <v>Casual Dining</v>
      </c>
    </row>
    <row r="557" spans="1:17">
      <c r="A557" t="s">
        <v>601</v>
      </c>
      <c r="B557" s="2">
        <v>45757</v>
      </c>
      <c r="C557">
        <v>18</v>
      </c>
      <c r="D557" t="s">
        <v>45</v>
      </c>
      <c r="E557" t="s">
        <v>12</v>
      </c>
      <c r="F557" s="7">
        <v>1759.94</v>
      </c>
      <c r="G557" s="10">
        <v>0</v>
      </c>
      <c r="H557" s="7">
        <v>1759.94</v>
      </c>
      <c r="I557">
        <v>2</v>
      </c>
      <c r="J557" t="s">
        <v>16</v>
      </c>
      <c r="K557" s="13">
        <f>ROUND(tblTransactions[[#This Row],[gross_sales_inr]]*(1-tblTransactions[[#This Row],[discount_pct]]),2)</f>
        <v>1759.94</v>
      </c>
      <c r="L557" t="str">
        <f>IF(ABS(tblTransactions[[#This Row],[net_sales_inr]]-tblTransactions[[#This Row],[Recalc_Net_Sales]])&lt;0.02,"OK","CHECK")</f>
        <v>OK</v>
      </c>
      <c r="M557" s="14">
        <f>DATE(YEAR(tblTransactions[[#This Row],[date]]),MONTH(tblTransactions[[#This Row],[date]]),1)</f>
        <v>45748</v>
      </c>
      <c r="N557" t="str">
        <f>IF(WEEKDAY(tblTransactions[[#This Row],[date]],2)&gt;5,"Weekend","Weekday")</f>
        <v>Weekday</v>
      </c>
      <c r="O557" s="13" t="str">
        <f>IF(tblTransactions[[#This Row],[discount_pct]]=0,"0%",IF(tblTransactions[[#This Row],[discount_pct]]&lt;=10%,"1–
10%",IF(tblTransactions[[#This Row],[discount_pct]]&lt;=20%,"11–20%","&gt;20%")))</f>
        <v>0%</v>
      </c>
      <c r="P557" s="13" t="str">
        <f>_xlfn.XLOOKUP(tblTransactions[[#This Row],[tenant_id]],tblTenants[tenant_id],tblTenants[zone],"NOT FOUND")</f>
        <v>Home &amp; Living</v>
      </c>
      <c r="Q557" s="13" t="str">
        <f>_xlfn.XLOOKUP(tblTransactions[[#This Row],[tenant_id]],tblTenants[tenant_id],tblTenants[category],"NOT FOUND")</f>
        <v>Home Decor</v>
      </c>
    </row>
    <row r="558" spans="1:17">
      <c r="A558" t="s">
        <v>602</v>
      </c>
      <c r="B558" s="2">
        <v>45699</v>
      </c>
      <c r="C558">
        <v>17</v>
      </c>
      <c r="D558" t="s">
        <v>25</v>
      </c>
      <c r="E558" t="s">
        <v>32</v>
      </c>
      <c r="F558" s="7">
        <v>919.58</v>
      </c>
      <c r="G558" s="10">
        <v>0</v>
      </c>
      <c r="H558" s="7">
        <v>919.58</v>
      </c>
      <c r="I558">
        <v>1</v>
      </c>
      <c r="J558" t="s">
        <v>13</v>
      </c>
      <c r="K558" s="13">
        <f>ROUND(tblTransactions[[#This Row],[gross_sales_inr]]*(1-tblTransactions[[#This Row],[discount_pct]]),2)</f>
        <v>919.58</v>
      </c>
      <c r="L558" t="str">
        <f>IF(ABS(tblTransactions[[#This Row],[net_sales_inr]]-tblTransactions[[#This Row],[Recalc_Net_Sales]])&lt;0.02,"OK","CHECK")</f>
        <v>OK</v>
      </c>
      <c r="M558" s="14">
        <f>DATE(YEAR(tblTransactions[[#This Row],[date]]),MONTH(tblTransactions[[#This Row],[date]]),1)</f>
        <v>45689</v>
      </c>
      <c r="N558" t="str">
        <f>IF(WEEKDAY(tblTransactions[[#This Row],[date]],2)&gt;5,"Weekend","Weekday")</f>
        <v>Weekday</v>
      </c>
      <c r="O558" s="13" t="str">
        <f>IF(tblTransactions[[#This Row],[discount_pct]]=0,"0%",IF(tblTransactions[[#This Row],[discount_pct]]&lt;=10%,"1–
10%",IF(tblTransactions[[#This Row],[discount_pct]]&lt;=20%,"11–20%","&gt;20%")))</f>
        <v>0%</v>
      </c>
      <c r="P558" s="13" t="str">
        <f>_xlfn.XLOOKUP(tblTransactions[[#This Row],[tenant_id]],tblTenants[tenant_id],tblTenants[zone],"NOT FOUND")</f>
        <v>Beauty &amp; Wellness</v>
      </c>
      <c r="Q558" s="13" t="str">
        <f>_xlfn.XLOOKUP(tblTransactions[[#This Row],[tenant_id]],tblTenants[tenant_id],tblTenants[category],"NOT FOUND")</f>
        <v>Beauty</v>
      </c>
    </row>
    <row r="559" spans="1:17">
      <c r="A559" t="s">
        <v>603</v>
      </c>
      <c r="B559" s="2">
        <v>45717</v>
      </c>
      <c r="C559">
        <v>14</v>
      </c>
      <c r="D559" t="s">
        <v>31</v>
      </c>
      <c r="E559" t="s">
        <v>51</v>
      </c>
      <c r="F559" s="7">
        <v>411.64</v>
      </c>
      <c r="G559" s="10">
        <v>0</v>
      </c>
      <c r="H559" s="7">
        <v>411.64</v>
      </c>
      <c r="I559">
        <v>1</v>
      </c>
      <c r="J559" t="s">
        <v>13</v>
      </c>
      <c r="K559" s="13">
        <f>ROUND(tblTransactions[[#This Row],[gross_sales_inr]]*(1-tblTransactions[[#This Row],[discount_pct]]),2)</f>
        <v>411.64</v>
      </c>
      <c r="L559" t="str">
        <f>IF(ABS(tblTransactions[[#This Row],[net_sales_inr]]-tblTransactions[[#This Row],[Recalc_Net_Sales]])&lt;0.02,"OK","CHECK")</f>
        <v>OK</v>
      </c>
      <c r="M559" s="14">
        <f>DATE(YEAR(tblTransactions[[#This Row],[date]]),MONTH(tblTransactions[[#This Row],[date]]),1)</f>
        <v>45717</v>
      </c>
      <c r="N559" t="str">
        <f>IF(WEEKDAY(tblTransactions[[#This Row],[date]],2)&gt;5,"Weekend","Weekday")</f>
        <v>Weekend</v>
      </c>
      <c r="O559" s="13" t="str">
        <f>IF(tblTransactions[[#This Row],[discount_pct]]=0,"0%",IF(tblTransactions[[#This Row],[discount_pct]]&lt;=10%,"1–
10%",IF(tblTransactions[[#This Row],[discount_pct]]&lt;=20%,"11–20%","&gt;20%")))</f>
        <v>0%</v>
      </c>
      <c r="P559" s="13" t="str">
        <f>_xlfn.XLOOKUP(tblTransactions[[#This Row],[tenant_id]],tblTenants[tenant_id],tblTenants[zone],"NOT FOUND")</f>
        <v>Entertainment</v>
      </c>
      <c r="Q559" s="13" t="str">
        <f>_xlfn.XLOOKUP(tblTransactions[[#This Row],[tenant_id]],tblTenants[tenant_id],tblTenants[category],"NOT FOUND")</f>
        <v>Arcade</v>
      </c>
    </row>
    <row r="560" spans="1:17">
      <c r="A560" t="s">
        <v>604</v>
      </c>
      <c r="B560" s="2">
        <v>45814</v>
      </c>
      <c r="C560">
        <v>10</v>
      </c>
      <c r="D560" t="s">
        <v>48</v>
      </c>
      <c r="E560" t="s">
        <v>12</v>
      </c>
      <c r="F560" s="7">
        <v>643.53</v>
      </c>
      <c r="G560" s="10">
        <v>0.2</v>
      </c>
      <c r="H560" s="7">
        <v>514.82000000000005</v>
      </c>
      <c r="I560">
        <v>2</v>
      </c>
      <c r="J560" t="s">
        <v>13</v>
      </c>
      <c r="K560" s="13">
        <f>ROUND(tblTransactions[[#This Row],[gross_sales_inr]]*(1-tblTransactions[[#This Row],[discount_pct]]),2)</f>
        <v>514.82000000000005</v>
      </c>
      <c r="L560" t="str">
        <f>IF(ABS(tblTransactions[[#This Row],[net_sales_inr]]-tblTransactions[[#This Row],[Recalc_Net_Sales]])&lt;0.02,"OK","CHECK")</f>
        <v>OK</v>
      </c>
      <c r="M560" s="14">
        <f>DATE(YEAR(tblTransactions[[#This Row],[date]]),MONTH(tblTransactions[[#This Row],[date]]),1)</f>
        <v>45809</v>
      </c>
      <c r="N560" t="str">
        <f>IF(WEEKDAY(tblTransactions[[#This Row],[date]],2)&gt;5,"Weekend","Weekday")</f>
        <v>Weekday</v>
      </c>
      <c r="O56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60" s="13" t="str">
        <f>_xlfn.XLOOKUP(tblTransactions[[#This Row],[tenant_id]],tblTenants[tenant_id],tblTenants[zone],"NOT FOUND")</f>
        <v>Beauty &amp; Wellness</v>
      </c>
      <c r="Q560" s="13" t="str">
        <f>_xlfn.XLOOKUP(tblTransactions[[#This Row],[tenant_id]],tblTenants[tenant_id],tblTenants[category],"NOT FOUND")</f>
        <v>Wellness</v>
      </c>
    </row>
    <row r="561" spans="1:17">
      <c r="A561" t="s">
        <v>605</v>
      </c>
      <c r="B561" s="2">
        <v>45684</v>
      </c>
      <c r="C561">
        <v>14</v>
      </c>
      <c r="D561" t="s">
        <v>87</v>
      </c>
      <c r="E561" t="s">
        <v>32</v>
      </c>
      <c r="F561" s="7">
        <v>911.94</v>
      </c>
      <c r="G561" s="10">
        <v>0.3</v>
      </c>
      <c r="H561" s="7">
        <v>638.36</v>
      </c>
      <c r="I561">
        <v>4</v>
      </c>
      <c r="J561" t="s">
        <v>13</v>
      </c>
      <c r="K561" s="13">
        <f>ROUND(tblTransactions[[#This Row],[gross_sales_inr]]*(1-tblTransactions[[#This Row],[discount_pct]]),2)</f>
        <v>638.36</v>
      </c>
      <c r="L561" t="str">
        <f>IF(ABS(tblTransactions[[#This Row],[net_sales_inr]]-tblTransactions[[#This Row],[Recalc_Net_Sales]])&lt;0.02,"OK","CHECK")</f>
        <v>OK</v>
      </c>
      <c r="M561" s="14">
        <f>DATE(YEAR(tblTransactions[[#This Row],[date]]),MONTH(tblTransactions[[#This Row],[date]]),1)</f>
        <v>45658</v>
      </c>
      <c r="N561" t="str">
        <f>IF(WEEKDAY(tblTransactions[[#This Row],[date]],2)&gt;5,"Weekend","Weekday")</f>
        <v>Weekday</v>
      </c>
      <c r="O561" s="13" t="str">
        <f>IF(tblTransactions[[#This Row],[discount_pct]]=0,"0%",IF(tblTransactions[[#This Row],[discount_pct]]&lt;=10%,"1–
10%",IF(tblTransactions[[#This Row],[discount_pct]]&lt;=20%,"11–20%","&gt;20%")))</f>
        <v>&gt;20%</v>
      </c>
      <c r="P561" s="13" t="str">
        <f>_xlfn.XLOOKUP(tblTransactions[[#This Row],[tenant_id]],tblTenants[tenant_id],tblTenants[zone],"NOT FOUND")</f>
        <v>Fashion Avenue</v>
      </c>
      <c r="Q561" s="13" t="str">
        <f>_xlfn.XLOOKUP(tblTransactions[[#This Row],[tenant_id]],tblTenants[tenant_id],tblTenants[category],"NOT FOUND")</f>
        <v>Footwear</v>
      </c>
    </row>
    <row r="562" spans="1:17">
      <c r="A562" t="s">
        <v>606</v>
      </c>
      <c r="B562" s="2">
        <v>45742</v>
      </c>
      <c r="C562">
        <v>22</v>
      </c>
      <c r="D562" t="s">
        <v>15</v>
      </c>
      <c r="E562" t="s">
        <v>32</v>
      </c>
      <c r="F562" s="7">
        <v>1047.97</v>
      </c>
      <c r="G562" s="10">
        <v>0</v>
      </c>
      <c r="H562" s="7">
        <v>1047.97</v>
      </c>
      <c r="I562">
        <v>5</v>
      </c>
      <c r="J562" t="s">
        <v>13</v>
      </c>
      <c r="K562" s="13">
        <f>ROUND(tblTransactions[[#This Row],[gross_sales_inr]]*(1-tblTransactions[[#This Row],[discount_pct]]),2)</f>
        <v>1047.97</v>
      </c>
      <c r="L562" t="str">
        <f>IF(ABS(tblTransactions[[#This Row],[net_sales_inr]]-tblTransactions[[#This Row],[Recalc_Net_Sales]])&lt;0.02,"OK","CHECK")</f>
        <v>OK</v>
      </c>
      <c r="M562" s="14">
        <f>DATE(YEAR(tblTransactions[[#This Row],[date]]),MONTH(tblTransactions[[#This Row],[date]]),1)</f>
        <v>45717</v>
      </c>
      <c r="N562" t="str">
        <f>IF(WEEKDAY(tblTransactions[[#This Row],[date]],2)&gt;5,"Weekend","Weekday")</f>
        <v>Weekday</v>
      </c>
      <c r="O562" s="13" t="str">
        <f>IF(tblTransactions[[#This Row],[discount_pct]]=0,"0%",IF(tblTransactions[[#This Row],[discount_pct]]&lt;=10%,"1–
10%",IF(tblTransactions[[#This Row],[discount_pct]]&lt;=20%,"11–20%","&gt;20%")))</f>
        <v>0%</v>
      </c>
      <c r="P562" s="13" t="str">
        <f>_xlfn.XLOOKUP(tblTransactions[[#This Row],[tenant_id]],tblTenants[tenant_id],tblTenants[zone],"NOT FOUND")</f>
        <v>Fashion Avenue</v>
      </c>
      <c r="Q562" s="13" t="str">
        <f>_xlfn.XLOOKUP(tblTransactions[[#This Row],[tenant_id]],tblTenants[tenant_id],tblTenants[category],"NOT FOUND")</f>
        <v>Accessories</v>
      </c>
    </row>
    <row r="563" spans="1:17">
      <c r="A563" t="s">
        <v>607</v>
      </c>
      <c r="B563" s="2">
        <v>45787</v>
      </c>
      <c r="C563">
        <v>13</v>
      </c>
      <c r="D563" t="s">
        <v>23</v>
      </c>
      <c r="E563" t="s">
        <v>12</v>
      </c>
      <c r="F563" s="7">
        <v>328.19</v>
      </c>
      <c r="G563" s="10">
        <v>0.1</v>
      </c>
      <c r="H563" s="7">
        <v>295.37</v>
      </c>
      <c r="I563">
        <v>4</v>
      </c>
      <c r="J563" t="s">
        <v>13</v>
      </c>
      <c r="K563" s="13">
        <f>ROUND(tblTransactions[[#This Row],[gross_sales_inr]]*(1-tblTransactions[[#This Row],[discount_pct]]),2)</f>
        <v>295.37</v>
      </c>
      <c r="L563" t="str">
        <f>IF(ABS(tblTransactions[[#This Row],[net_sales_inr]]-tblTransactions[[#This Row],[Recalc_Net_Sales]])&lt;0.02,"OK","CHECK")</f>
        <v>OK</v>
      </c>
      <c r="M563" s="14">
        <f>DATE(YEAR(tblTransactions[[#This Row],[date]]),MONTH(tblTransactions[[#This Row],[date]]),1)</f>
        <v>45778</v>
      </c>
      <c r="N563" t="str">
        <f>IF(WEEKDAY(tblTransactions[[#This Row],[date]],2)&gt;5,"Weekend","Weekday")</f>
        <v>Weekend</v>
      </c>
      <c r="O56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63" s="13" t="str">
        <f>_xlfn.XLOOKUP(tblTransactions[[#This Row],[tenant_id]],tblTenants[tenant_id],tblTenants[zone],"NOT FOUND")</f>
        <v>Entertainment</v>
      </c>
      <c r="Q563" s="13" t="str">
        <f>_xlfn.XLOOKUP(tblTransactions[[#This Row],[tenant_id]],tblTenants[tenant_id],tblTenants[category],"NOT FOUND")</f>
        <v>Cinema</v>
      </c>
    </row>
    <row r="564" spans="1:17">
      <c r="A564" t="s">
        <v>608</v>
      </c>
      <c r="B564" s="2">
        <v>45761</v>
      </c>
      <c r="C564">
        <v>18</v>
      </c>
      <c r="D564" t="s">
        <v>41</v>
      </c>
      <c r="E564" t="s">
        <v>12</v>
      </c>
      <c r="F564" s="7">
        <v>472.93</v>
      </c>
      <c r="G564" s="10">
        <v>0.1</v>
      </c>
      <c r="H564" s="7">
        <v>425.64</v>
      </c>
      <c r="I564">
        <v>2</v>
      </c>
      <c r="J564" t="s">
        <v>13</v>
      </c>
      <c r="K564" s="13">
        <f>ROUND(tblTransactions[[#This Row],[gross_sales_inr]]*(1-tblTransactions[[#This Row],[discount_pct]]),2)</f>
        <v>425.64</v>
      </c>
      <c r="L564" t="str">
        <f>IF(ABS(tblTransactions[[#This Row],[net_sales_inr]]-tblTransactions[[#This Row],[Recalc_Net_Sales]])&lt;0.02,"OK","CHECK")</f>
        <v>OK</v>
      </c>
      <c r="M564" s="14">
        <f>DATE(YEAR(tblTransactions[[#This Row],[date]]),MONTH(tblTransactions[[#This Row],[date]]),1)</f>
        <v>45748</v>
      </c>
      <c r="N564" t="str">
        <f>IF(WEEKDAY(tblTransactions[[#This Row],[date]],2)&gt;5,"Weekend","Weekday")</f>
        <v>Weekday</v>
      </c>
      <c r="O56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64" s="13" t="str">
        <f>_xlfn.XLOOKUP(tblTransactions[[#This Row],[tenant_id]],tblTenants[tenant_id],tblTenants[zone],"NOT FOUND")</f>
        <v>Fashion Avenue</v>
      </c>
      <c r="Q564" s="13" t="str">
        <f>_xlfn.XLOOKUP(tblTransactions[[#This Row],[tenant_id]],tblTenants[tenant_id],tblTenants[category],"NOT FOUND")</f>
        <v>Clothing</v>
      </c>
    </row>
    <row r="565" spans="1:17">
      <c r="A565" t="s">
        <v>609</v>
      </c>
      <c r="B565" s="2">
        <v>45822</v>
      </c>
      <c r="C565">
        <v>16</v>
      </c>
      <c r="D565" t="s">
        <v>53</v>
      </c>
      <c r="E565" t="s">
        <v>21</v>
      </c>
      <c r="F565" s="7">
        <v>2000.14</v>
      </c>
      <c r="G565" s="10">
        <v>0.2</v>
      </c>
      <c r="H565" s="7">
        <v>1600.11</v>
      </c>
      <c r="I565">
        <v>2</v>
      </c>
      <c r="J565" t="s">
        <v>13</v>
      </c>
      <c r="K565" s="13">
        <f>ROUND(tblTransactions[[#This Row],[gross_sales_inr]]*(1-tblTransactions[[#This Row],[discount_pct]]),2)</f>
        <v>1600.11</v>
      </c>
      <c r="L565" t="str">
        <f>IF(ABS(tblTransactions[[#This Row],[net_sales_inr]]-tblTransactions[[#This Row],[Recalc_Net_Sales]])&lt;0.02,"OK","CHECK")</f>
        <v>OK</v>
      </c>
      <c r="M565" s="14">
        <f>DATE(YEAR(tblTransactions[[#This Row],[date]]),MONTH(tblTransactions[[#This Row],[date]]),1)</f>
        <v>45809</v>
      </c>
      <c r="N565" t="str">
        <f>IF(WEEKDAY(tblTransactions[[#This Row],[date]],2)&gt;5,"Weekend","Weekday")</f>
        <v>Weekend</v>
      </c>
      <c r="O56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65" s="13" t="str">
        <f>_xlfn.XLOOKUP(tblTransactions[[#This Row],[tenant_id]],tblTenants[tenant_id],tblTenants[zone],"NOT FOUND")</f>
        <v>Beauty &amp; Wellness</v>
      </c>
      <c r="Q565" s="13" t="str">
        <f>_xlfn.XLOOKUP(tblTransactions[[#This Row],[tenant_id]],tblTenants[tenant_id],tblTenants[category],"NOT FOUND")</f>
        <v>Beauty</v>
      </c>
    </row>
    <row r="566" spans="1:17">
      <c r="A566" t="s">
        <v>610</v>
      </c>
      <c r="B566" s="2">
        <v>45670</v>
      </c>
      <c r="C566">
        <v>13</v>
      </c>
      <c r="D566" t="s">
        <v>61</v>
      </c>
      <c r="E566" t="s">
        <v>12</v>
      </c>
      <c r="F566" s="7">
        <v>473.53</v>
      </c>
      <c r="G566" s="10">
        <v>0</v>
      </c>
      <c r="H566" s="7">
        <v>473.53</v>
      </c>
      <c r="I566">
        <v>3</v>
      </c>
      <c r="J566" t="s">
        <v>16</v>
      </c>
      <c r="K566" s="13">
        <f>ROUND(tblTransactions[[#This Row],[gross_sales_inr]]*(1-tblTransactions[[#This Row],[discount_pct]]),2)</f>
        <v>473.53</v>
      </c>
      <c r="L566" t="str">
        <f>IF(ABS(tblTransactions[[#This Row],[net_sales_inr]]-tblTransactions[[#This Row],[Recalc_Net_Sales]])&lt;0.02,"OK","CHECK")</f>
        <v>OK</v>
      </c>
      <c r="M566" s="14">
        <f>DATE(YEAR(tblTransactions[[#This Row],[date]]),MONTH(tblTransactions[[#This Row],[date]]),1)</f>
        <v>45658</v>
      </c>
      <c r="N566" t="str">
        <f>IF(WEEKDAY(tblTransactions[[#This Row],[date]],2)&gt;5,"Weekend","Weekday")</f>
        <v>Weekday</v>
      </c>
      <c r="O566" s="13" t="str">
        <f>IF(tblTransactions[[#This Row],[discount_pct]]=0,"0%",IF(tblTransactions[[#This Row],[discount_pct]]&lt;=10%,"1–
10%",IF(tblTransactions[[#This Row],[discount_pct]]&lt;=20%,"11–20%","&gt;20%")))</f>
        <v>0%</v>
      </c>
      <c r="P566" s="13" t="str">
        <f>_xlfn.XLOOKUP(tblTransactions[[#This Row],[tenant_id]],tblTenants[tenant_id],tblTenants[zone],"NOT FOUND")</f>
        <v>Food Court</v>
      </c>
      <c r="Q566" s="13" t="str">
        <f>_xlfn.XLOOKUP(tblTransactions[[#This Row],[tenant_id]],tblTenants[tenant_id],tblTenants[category],"NOT FOUND")</f>
        <v>Quick Service</v>
      </c>
    </row>
    <row r="567" spans="1:17">
      <c r="A567" t="s">
        <v>611</v>
      </c>
      <c r="B567" s="2">
        <v>45785</v>
      </c>
      <c r="C567">
        <v>18</v>
      </c>
      <c r="D567" t="s">
        <v>72</v>
      </c>
      <c r="E567" t="s">
        <v>12</v>
      </c>
      <c r="F567" s="7">
        <v>954.06</v>
      </c>
      <c r="G567" s="10">
        <v>0</v>
      </c>
      <c r="H567" s="7">
        <v>954.06</v>
      </c>
      <c r="I567">
        <v>4</v>
      </c>
      <c r="J567" t="s">
        <v>13</v>
      </c>
      <c r="K567" s="13">
        <f>ROUND(tblTransactions[[#This Row],[gross_sales_inr]]*(1-tblTransactions[[#This Row],[discount_pct]]),2)</f>
        <v>954.06</v>
      </c>
      <c r="L567" t="str">
        <f>IF(ABS(tblTransactions[[#This Row],[net_sales_inr]]-tblTransactions[[#This Row],[Recalc_Net_Sales]])&lt;0.02,"OK","CHECK")</f>
        <v>OK</v>
      </c>
      <c r="M567" s="14">
        <f>DATE(YEAR(tblTransactions[[#This Row],[date]]),MONTH(tblTransactions[[#This Row],[date]]),1)</f>
        <v>45778</v>
      </c>
      <c r="N567" t="str">
        <f>IF(WEEKDAY(tblTransactions[[#This Row],[date]],2)&gt;5,"Weekend","Weekday")</f>
        <v>Weekday</v>
      </c>
      <c r="O567" s="13" t="str">
        <f>IF(tblTransactions[[#This Row],[discount_pct]]=0,"0%",IF(tblTransactions[[#This Row],[discount_pct]]&lt;=10%,"1–
10%",IF(tblTransactions[[#This Row],[discount_pct]]&lt;=20%,"11–20%","&gt;20%")))</f>
        <v>0%</v>
      </c>
      <c r="P567" s="13" t="str">
        <f>_xlfn.XLOOKUP(tblTransactions[[#This Row],[tenant_id]],tblTenants[tenant_id],tblTenants[zone],"NOT FOUND")</f>
        <v>Entertainment</v>
      </c>
      <c r="Q567" s="13" t="str">
        <f>_xlfn.XLOOKUP(tblTransactions[[#This Row],[tenant_id]],tblTenants[tenant_id],tblTenants[category],"NOT FOUND")</f>
        <v>Arcade</v>
      </c>
    </row>
    <row r="568" spans="1:17">
      <c r="A568" t="s">
        <v>612</v>
      </c>
      <c r="B568" s="2">
        <v>45834</v>
      </c>
      <c r="C568">
        <v>17</v>
      </c>
      <c r="D568" t="s">
        <v>23</v>
      </c>
      <c r="E568" t="s">
        <v>32</v>
      </c>
      <c r="F568" s="7">
        <v>497.29</v>
      </c>
      <c r="G568" s="10">
        <v>0</v>
      </c>
      <c r="H568" s="7">
        <v>497.29</v>
      </c>
      <c r="I568">
        <v>1</v>
      </c>
      <c r="J568" t="s">
        <v>13</v>
      </c>
      <c r="K568" s="13">
        <f>ROUND(tblTransactions[[#This Row],[gross_sales_inr]]*(1-tblTransactions[[#This Row],[discount_pct]]),2)</f>
        <v>497.29</v>
      </c>
      <c r="L568" t="str">
        <f>IF(ABS(tblTransactions[[#This Row],[net_sales_inr]]-tblTransactions[[#This Row],[Recalc_Net_Sales]])&lt;0.02,"OK","CHECK")</f>
        <v>OK</v>
      </c>
      <c r="M568" s="14">
        <f>DATE(YEAR(tblTransactions[[#This Row],[date]]),MONTH(tblTransactions[[#This Row],[date]]),1)</f>
        <v>45809</v>
      </c>
      <c r="N568" t="str">
        <f>IF(WEEKDAY(tblTransactions[[#This Row],[date]],2)&gt;5,"Weekend","Weekday")</f>
        <v>Weekday</v>
      </c>
      <c r="O568" s="13" t="str">
        <f>IF(tblTransactions[[#This Row],[discount_pct]]=0,"0%",IF(tblTransactions[[#This Row],[discount_pct]]&lt;=10%,"1–
10%",IF(tblTransactions[[#This Row],[discount_pct]]&lt;=20%,"11–20%","&gt;20%")))</f>
        <v>0%</v>
      </c>
      <c r="P568" s="13" t="str">
        <f>_xlfn.XLOOKUP(tblTransactions[[#This Row],[tenant_id]],tblTenants[tenant_id],tblTenants[zone],"NOT FOUND")</f>
        <v>Entertainment</v>
      </c>
      <c r="Q568" s="13" t="str">
        <f>_xlfn.XLOOKUP(tblTransactions[[#This Row],[tenant_id]],tblTenants[tenant_id],tblTenants[category],"NOT FOUND")</f>
        <v>Cinema</v>
      </c>
    </row>
    <row r="569" spans="1:17">
      <c r="A569" t="s">
        <v>613</v>
      </c>
      <c r="B569" s="2">
        <v>45773</v>
      </c>
      <c r="C569">
        <v>19</v>
      </c>
      <c r="D569" t="s">
        <v>59</v>
      </c>
      <c r="E569" t="s">
        <v>12</v>
      </c>
      <c r="F569" s="7">
        <v>1378.94</v>
      </c>
      <c r="G569" s="10">
        <v>0</v>
      </c>
      <c r="H569" s="7">
        <v>1378.94</v>
      </c>
      <c r="I569">
        <v>2</v>
      </c>
      <c r="J569" t="s">
        <v>16</v>
      </c>
      <c r="K569" s="13">
        <f>ROUND(tblTransactions[[#This Row],[gross_sales_inr]]*(1-tblTransactions[[#This Row],[discount_pct]]),2)</f>
        <v>1378.94</v>
      </c>
      <c r="L569" t="str">
        <f>IF(ABS(tblTransactions[[#This Row],[net_sales_inr]]-tblTransactions[[#This Row],[Recalc_Net_Sales]])&lt;0.02,"OK","CHECK")</f>
        <v>OK</v>
      </c>
      <c r="M569" s="14">
        <f>DATE(YEAR(tblTransactions[[#This Row],[date]]),MONTH(tblTransactions[[#This Row],[date]]),1)</f>
        <v>45748</v>
      </c>
      <c r="N569" t="str">
        <f>IF(WEEKDAY(tblTransactions[[#This Row],[date]],2)&gt;5,"Weekend","Weekday")</f>
        <v>Weekend</v>
      </c>
      <c r="O569" s="13" t="str">
        <f>IF(tblTransactions[[#This Row],[discount_pct]]=0,"0%",IF(tblTransactions[[#This Row],[discount_pct]]&lt;=10%,"1–
10%",IF(tblTransactions[[#This Row],[discount_pct]]&lt;=20%,"11–20%","&gt;20%")))</f>
        <v>0%</v>
      </c>
      <c r="P569" s="13" t="str">
        <f>_xlfn.XLOOKUP(tblTransactions[[#This Row],[tenant_id]],tblTenants[tenant_id],tblTenants[zone],"NOT FOUND")</f>
        <v>Fashion Avenue</v>
      </c>
      <c r="Q569" s="13" t="str">
        <f>_xlfn.XLOOKUP(tblTransactions[[#This Row],[tenant_id]],tblTenants[tenant_id],tblTenants[category],"NOT FOUND")</f>
        <v>Footwear</v>
      </c>
    </row>
    <row r="570" spans="1:17">
      <c r="A570" t="s">
        <v>614</v>
      </c>
      <c r="B570" s="2">
        <v>45833</v>
      </c>
      <c r="C570">
        <v>15</v>
      </c>
      <c r="D570" t="s">
        <v>104</v>
      </c>
      <c r="E570" t="s">
        <v>12</v>
      </c>
      <c r="F570" s="7">
        <v>222.19</v>
      </c>
      <c r="G570" s="10">
        <v>0</v>
      </c>
      <c r="H570" s="7">
        <v>222.19</v>
      </c>
      <c r="I570">
        <v>3</v>
      </c>
      <c r="J570" t="s">
        <v>16</v>
      </c>
      <c r="K570" s="13">
        <f>ROUND(tblTransactions[[#This Row],[gross_sales_inr]]*(1-tblTransactions[[#This Row],[discount_pct]]),2)</f>
        <v>222.19</v>
      </c>
      <c r="L570" t="str">
        <f>IF(ABS(tblTransactions[[#This Row],[net_sales_inr]]-tblTransactions[[#This Row],[Recalc_Net_Sales]])&lt;0.02,"OK","CHECK")</f>
        <v>OK</v>
      </c>
      <c r="M570" s="14">
        <f>DATE(YEAR(tblTransactions[[#This Row],[date]]),MONTH(tblTransactions[[#This Row],[date]]),1)</f>
        <v>45809</v>
      </c>
      <c r="N570" t="str">
        <f>IF(WEEKDAY(tblTransactions[[#This Row],[date]],2)&gt;5,"Weekend","Weekday")</f>
        <v>Weekday</v>
      </c>
      <c r="O570" s="13" t="str">
        <f>IF(tblTransactions[[#This Row],[discount_pct]]=0,"0%",IF(tblTransactions[[#This Row],[discount_pct]]&lt;=10%,"1–
10%",IF(tblTransactions[[#This Row],[discount_pct]]&lt;=20%,"11–20%","&gt;20%")))</f>
        <v>0%</v>
      </c>
      <c r="P570" s="13" t="str">
        <f>_xlfn.XLOOKUP(tblTransactions[[#This Row],[tenant_id]],tblTenants[tenant_id],tblTenants[zone],"NOT FOUND")</f>
        <v>Entertainment</v>
      </c>
      <c r="Q570" s="13" t="str">
        <f>_xlfn.XLOOKUP(tblTransactions[[#This Row],[tenant_id]],tblTenants[tenant_id],tblTenants[category],"NOT FOUND")</f>
        <v>Family Entertainment</v>
      </c>
    </row>
    <row r="571" spans="1:17">
      <c r="A571" t="s">
        <v>615</v>
      </c>
      <c r="B571" s="2">
        <v>45778</v>
      </c>
      <c r="C571">
        <v>17</v>
      </c>
      <c r="D571" t="s">
        <v>98</v>
      </c>
      <c r="E571" t="s">
        <v>32</v>
      </c>
      <c r="F571" s="7">
        <v>1054.92</v>
      </c>
      <c r="G571" s="10">
        <v>0.15</v>
      </c>
      <c r="H571" s="7">
        <v>896.68</v>
      </c>
      <c r="I571">
        <v>2</v>
      </c>
      <c r="J571" t="s">
        <v>13</v>
      </c>
      <c r="K571" s="13">
        <f>ROUND(tblTransactions[[#This Row],[gross_sales_inr]]*(1-tblTransactions[[#This Row],[discount_pct]]),2)</f>
        <v>896.68</v>
      </c>
      <c r="L571" t="str">
        <f>IF(ABS(tblTransactions[[#This Row],[net_sales_inr]]-tblTransactions[[#This Row],[Recalc_Net_Sales]])&lt;0.02,"OK","CHECK")</f>
        <v>OK</v>
      </c>
      <c r="M571" s="14">
        <f>DATE(YEAR(tblTransactions[[#This Row],[date]]),MONTH(tblTransactions[[#This Row],[date]]),1)</f>
        <v>45778</v>
      </c>
      <c r="N571" t="str">
        <f>IF(WEEKDAY(tblTransactions[[#This Row],[date]],2)&gt;5,"Weekend","Weekday")</f>
        <v>Weekday</v>
      </c>
      <c r="O57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71" s="13" t="str">
        <f>_xlfn.XLOOKUP(tblTransactions[[#This Row],[tenant_id]],tblTenants[tenant_id],tblTenants[zone],"NOT FOUND")</f>
        <v>Fashion Avenue</v>
      </c>
      <c r="Q571" s="13" t="str">
        <f>_xlfn.XLOOKUP(tblTransactions[[#This Row],[tenant_id]],tblTenants[tenant_id],tblTenants[category],"NOT FOUND")</f>
        <v>Accessories</v>
      </c>
    </row>
    <row r="572" spans="1:17">
      <c r="A572" t="s">
        <v>616</v>
      </c>
      <c r="B572" s="2">
        <v>45805</v>
      </c>
      <c r="C572">
        <v>22</v>
      </c>
      <c r="D572" t="s">
        <v>43</v>
      </c>
      <c r="E572" t="s">
        <v>12</v>
      </c>
      <c r="F572" s="7">
        <v>346.65</v>
      </c>
      <c r="G572" s="10">
        <v>0</v>
      </c>
      <c r="H572" s="7">
        <v>346.65</v>
      </c>
      <c r="I572">
        <v>4</v>
      </c>
      <c r="J572" t="s">
        <v>13</v>
      </c>
      <c r="K572" s="13">
        <f>ROUND(tblTransactions[[#This Row],[gross_sales_inr]]*(1-tblTransactions[[#This Row],[discount_pct]]),2)</f>
        <v>346.65</v>
      </c>
      <c r="L572" t="str">
        <f>IF(ABS(tblTransactions[[#This Row],[net_sales_inr]]-tblTransactions[[#This Row],[Recalc_Net_Sales]])&lt;0.02,"OK","CHECK")</f>
        <v>OK</v>
      </c>
      <c r="M572" s="14">
        <f>DATE(YEAR(tblTransactions[[#This Row],[date]]),MONTH(tblTransactions[[#This Row],[date]]),1)</f>
        <v>45778</v>
      </c>
      <c r="N572" t="str">
        <f>IF(WEEKDAY(tblTransactions[[#This Row],[date]],2)&gt;5,"Weekend","Weekday")</f>
        <v>Weekday</v>
      </c>
      <c r="O572" s="13" t="str">
        <f>IF(tblTransactions[[#This Row],[discount_pct]]=0,"0%",IF(tblTransactions[[#This Row],[discount_pct]]&lt;=10%,"1–
10%",IF(tblTransactions[[#This Row],[discount_pct]]&lt;=20%,"11–20%","&gt;20%")))</f>
        <v>0%</v>
      </c>
      <c r="P572" s="13" t="str">
        <f>_xlfn.XLOOKUP(tblTransactions[[#This Row],[tenant_id]],tblTenants[tenant_id],tblTenants[zone],"NOT FOUND")</f>
        <v>Food Court</v>
      </c>
      <c r="Q572" s="13" t="str">
        <f>_xlfn.XLOOKUP(tblTransactions[[#This Row],[tenant_id]],tblTenants[tenant_id],tblTenants[category],"NOT FOUND")</f>
        <v>Casual Dining</v>
      </c>
    </row>
    <row r="573" spans="1:17">
      <c r="A573" t="s">
        <v>617</v>
      </c>
      <c r="B573" s="2">
        <v>45736</v>
      </c>
      <c r="C573">
        <v>17</v>
      </c>
      <c r="D573" t="s">
        <v>63</v>
      </c>
      <c r="E573" t="s">
        <v>12</v>
      </c>
      <c r="F573" s="7">
        <v>496.76</v>
      </c>
      <c r="G573" s="10">
        <v>0</v>
      </c>
      <c r="H573" s="7">
        <v>496.76</v>
      </c>
      <c r="I573">
        <v>5</v>
      </c>
      <c r="J573" t="s">
        <v>13</v>
      </c>
      <c r="K573" s="13">
        <f>ROUND(tblTransactions[[#This Row],[gross_sales_inr]]*(1-tblTransactions[[#This Row],[discount_pct]]),2)</f>
        <v>496.76</v>
      </c>
      <c r="L573" t="str">
        <f>IF(ABS(tblTransactions[[#This Row],[net_sales_inr]]-tblTransactions[[#This Row],[Recalc_Net_Sales]])&lt;0.02,"OK","CHECK")</f>
        <v>OK</v>
      </c>
      <c r="M573" s="14">
        <f>DATE(YEAR(tblTransactions[[#This Row],[date]]),MONTH(tblTransactions[[#This Row],[date]]),1)</f>
        <v>45717</v>
      </c>
      <c r="N573" t="str">
        <f>IF(WEEKDAY(tblTransactions[[#This Row],[date]],2)&gt;5,"Weekend","Weekday")</f>
        <v>Weekday</v>
      </c>
      <c r="O573" s="13" t="str">
        <f>IF(tblTransactions[[#This Row],[discount_pct]]=0,"0%",IF(tblTransactions[[#This Row],[discount_pct]]&lt;=10%,"1–
10%",IF(tblTransactions[[#This Row],[discount_pct]]&lt;=20%,"11–20%","&gt;20%")))</f>
        <v>0%</v>
      </c>
      <c r="P573" s="13" t="str">
        <f>_xlfn.XLOOKUP(tblTransactions[[#This Row],[tenant_id]],tblTenants[tenant_id],tblTenants[zone],"NOT FOUND")</f>
        <v>Entertainment</v>
      </c>
      <c r="Q573" s="13" t="str">
        <f>_xlfn.XLOOKUP(tblTransactions[[#This Row],[tenant_id]],tblTenants[tenant_id],tblTenants[category],"NOT FOUND")</f>
        <v>Family Entertainment</v>
      </c>
    </row>
    <row r="574" spans="1:17">
      <c r="A574" t="s">
        <v>618</v>
      </c>
      <c r="B574" s="2">
        <v>45686</v>
      </c>
      <c r="C574">
        <v>16</v>
      </c>
      <c r="D574" t="s">
        <v>204</v>
      </c>
      <c r="E574" t="s">
        <v>32</v>
      </c>
      <c r="F574" s="7">
        <v>377.48</v>
      </c>
      <c r="G574" s="10">
        <v>0</v>
      </c>
      <c r="H574" s="7">
        <v>377.48</v>
      </c>
      <c r="I574">
        <v>1</v>
      </c>
      <c r="J574" t="s">
        <v>16</v>
      </c>
      <c r="K574" s="13">
        <f>ROUND(tblTransactions[[#This Row],[gross_sales_inr]]*(1-tblTransactions[[#This Row],[discount_pct]]),2)</f>
        <v>377.48</v>
      </c>
      <c r="L574" t="str">
        <f>IF(ABS(tblTransactions[[#This Row],[net_sales_inr]]-tblTransactions[[#This Row],[Recalc_Net_Sales]])&lt;0.02,"OK","CHECK")</f>
        <v>OK</v>
      </c>
      <c r="M574" s="14">
        <f>DATE(YEAR(tblTransactions[[#This Row],[date]]),MONTH(tblTransactions[[#This Row],[date]]),1)</f>
        <v>45658</v>
      </c>
      <c r="N574" t="str">
        <f>IF(WEEKDAY(tblTransactions[[#This Row],[date]],2)&gt;5,"Weekend","Weekday")</f>
        <v>Weekday</v>
      </c>
      <c r="O574" s="13" t="str">
        <f>IF(tblTransactions[[#This Row],[discount_pct]]=0,"0%",IF(tblTransactions[[#This Row],[discount_pct]]&lt;=10%,"1–
10%",IF(tblTransactions[[#This Row],[discount_pct]]&lt;=20%,"11–20%","&gt;20%")))</f>
        <v>0%</v>
      </c>
      <c r="P574" s="13" t="str">
        <f>_xlfn.XLOOKUP(tblTransactions[[#This Row],[tenant_id]],tblTenants[tenant_id],tblTenants[zone],"NOT FOUND")</f>
        <v>Home &amp; Living</v>
      </c>
      <c r="Q574" s="13" t="str">
        <f>_xlfn.XLOOKUP(tblTransactions[[#This Row],[tenant_id]],tblTenants[tenant_id],tblTenants[category],"NOT FOUND")</f>
        <v>Home Decor</v>
      </c>
    </row>
    <row r="575" spans="1:17">
      <c r="A575" t="s">
        <v>619</v>
      </c>
      <c r="B575" s="2">
        <v>45660</v>
      </c>
      <c r="C575">
        <v>19</v>
      </c>
      <c r="D575" t="s">
        <v>53</v>
      </c>
      <c r="E575" t="s">
        <v>32</v>
      </c>
      <c r="F575" s="7">
        <v>917.6</v>
      </c>
      <c r="G575" s="10">
        <v>0.2</v>
      </c>
      <c r="H575" s="7">
        <v>734.08</v>
      </c>
      <c r="I575">
        <v>4</v>
      </c>
      <c r="J575" t="s">
        <v>13</v>
      </c>
      <c r="K575" s="13">
        <f>ROUND(tblTransactions[[#This Row],[gross_sales_inr]]*(1-tblTransactions[[#This Row],[discount_pct]]),2)</f>
        <v>734.08</v>
      </c>
      <c r="L575" t="str">
        <f>IF(ABS(tblTransactions[[#This Row],[net_sales_inr]]-tblTransactions[[#This Row],[Recalc_Net_Sales]])&lt;0.02,"OK","CHECK")</f>
        <v>OK</v>
      </c>
      <c r="M575" s="14">
        <f>DATE(YEAR(tblTransactions[[#This Row],[date]]),MONTH(tblTransactions[[#This Row],[date]]),1)</f>
        <v>45658</v>
      </c>
      <c r="N575" t="str">
        <f>IF(WEEKDAY(tblTransactions[[#This Row],[date]],2)&gt;5,"Weekend","Weekday")</f>
        <v>Weekday</v>
      </c>
      <c r="O57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75" s="13" t="str">
        <f>_xlfn.XLOOKUP(tblTransactions[[#This Row],[tenant_id]],tblTenants[tenant_id],tblTenants[zone],"NOT FOUND")</f>
        <v>Beauty &amp; Wellness</v>
      </c>
      <c r="Q575" s="13" t="str">
        <f>_xlfn.XLOOKUP(tblTransactions[[#This Row],[tenant_id]],tblTenants[tenant_id],tblTenants[category],"NOT FOUND")</f>
        <v>Beauty</v>
      </c>
    </row>
    <row r="576" spans="1:17">
      <c r="A576" t="s">
        <v>620</v>
      </c>
      <c r="B576" s="2">
        <v>45762</v>
      </c>
      <c r="C576">
        <v>12</v>
      </c>
      <c r="D576" t="s">
        <v>70</v>
      </c>
      <c r="E576" t="s">
        <v>21</v>
      </c>
      <c r="F576" s="7">
        <v>1362.51</v>
      </c>
      <c r="G576" s="10">
        <v>0.05</v>
      </c>
      <c r="H576" s="7">
        <v>1294.3800000000001</v>
      </c>
      <c r="I576">
        <v>1</v>
      </c>
      <c r="J576" t="s">
        <v>13</v>
      </c>
      <c r="K576" s="13">
        <f>ROUND(tblTransactions[[#This Row],[gross_sales_inr]]*(1-tblTransactions[[#This Row],[discount_pct]]),2)</f>
        <v>1294.3800000000001</v>
      </c>
      <c r="L576" t="str">
        <f>IF(ABS(tblTransactions[[#This Row],[net_sales_inr]]-tblTransactions[[#This Row],[Recalc_Net_Sales]])&lt;0.02,"OK","CHECK")</f>
        <v>OK</v>
      </c>
      <c r="M576" s="14">
        <f>DATE(YEAR(tblTransactions[[#This Row],[date]]),MONTH(tblTransactions[[#This Row],[date]]),1)</f>
        <v>45748</v>
      </c>
      <c r="N576" t="str">
        <f>IF(WEEKDAY(tblTransactions[[#This Row],[date]],2)&gt;5,"Weekend","Weekday")</f>
        <v>Weekday</v>
      </c>
      <c r="O57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76" s="13" t="str">
        <f>_xlfn.XLOOKUP(tblTransactions[[#This Row],[tenant_id]],tblTenants[tenant_id],tblTenants[zone],"NOT FOUND")</f>
        <v>Food Court</v>
      </c>
      <c r="Q576" s="13" t="str">
        <f>_xlfn.XLOOKUP(tblTransactions[[#This Row],[tenant_id]],tblTenants[tenant_id],tblTenants[category],"NOT FOUND")</f>
        <v>Quick Service</v>
      </c>
    </row>
    <row r="577" spans="1:17">
      <c r="A577" t="s">
        <v>621</v>
      </c>
      <c r="B577" s="2">
        <v>45750</v>
      </c>
      <c r="C577">
        <v>19</v>
      </c>
      <c r="D577" t="s">
        <v>36</v>
      </c>
      <c r="E577" t="s">
        <v>12</v>
      </c>
      <c r="F577" s="7">
        <v>2795.27</v>
      </c>
      <c r="G577" s="10">
        <v>0.2</v>
      </c>
      <c r="H577" s="7">
        <v>2236.2199999999998</v>
      </c>
      <c r="I577">
        <v>1</v>
      </c>
      <c r="J577" t="s">
        <v>13</v>
      </c>
      <c r="K577" s="13">
        <f>ROUND(tblTransactions[[#This Row],[gross_sales_inr]]*(1-tblTransactions[[#This Row],[discount_pct]]),2)</f>
        <v>2236.2199999999998</v>
      </c>
      <c r="L577" t="str">
        <f>IF(ABS(tblTransactions[[#This Row],[net_sales_inr]]-tblTransactions[[#This Row],[Recalc_Net_Sales]])&lt;0.02,"OK","CHECK")</f>
        <v>OK</v>
      </c>
      <c r="M577" s="14">
        <f>DATE(YEAR(tblTransactions[[#This Row],[date]]),MONTH(tblTransactions[[#This Row],[date]]),1)</f>
        <v>45748</v>
      </c>
      <c r="N577" t="str">
        <f>IF(WEEKDAY(tblTransactions[[#This Row],[date]],2)&gt;5,"Weekend","Weekday")</f>
        <v>Weekday</v>
      </c>
      <c r="O57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77" s="13" t="str">
        <f>_xlfn.XLOOKUP(tblTransactions[[#This Row],[tenant_id]],tblTenants[tenant_id],tblTenants[zone],"NOT FOUND")</f>
        <v>Home &amp; Living</v>
      </c>
      <c r="Q577" s="13" t="str">
        <f>_xlfn.XLOOKUP(tblTransactions[[#This Row],[tenant_id]],tblTenants[tenant_id],tblTenants[category],"NOT FOUND")</f>
        <v>Electronics</v>
      </c>
    </row>
    <row r="578" spans="1:17">
      <c r="A578" t="s">
        <v>622</v>
      </c>
      <c r="B578" s="2">
        <v>45811</v>
      </c>
      <c r="C578">
        <v>18</v>
      </c>
      <c r="D578" t="s">
        <v>104</v>
      </c>
      <c r="E578" t="s">
        <v>32</v>
      </c>
      <c r="F578" s="7">
        <v>851.74</v>
      </c>
      <c r="G578" s="10">
        <v>0</v>
      </c>
      <c r="H578" s="7">
        <v>851.74</v>
      </c>
      <c r="I578">
        <v>5</v>
      </c>
      <c r="J578" t="s">
        <v>13</v>
      </c>
      <c r="K578" s="13">
        <f>ROUND(tblTransactions[[#This Row],[gross_sales_inr]]*(1-tblTransactions[[#This Row],[discount_pct]]),2)</f>
        <v>851.74</v>
      </c>
      <c r="L578" t="str">
        <f>IF(ABS(tblTransactions[[#This Row],[net_sales_inr]]-tblTransactions[[#This Row],[Recalc_Net_Sales]])&lt;0.02,"OK","CHECK")</f>
        <v>OK</v>
      </c>
      <c r="M578" s="14">
        <f>DATE(YEAR(tblTransactions[[#This Row],[date]]),MONTH(tblTransactions[[#This Row],[date]]),1)</f>
        <v>45809</v>
      </c>
      <c r="N578" t="str">
        <f>IF(WEEKDAY(tblTransactions[[#This Row],[date]],2)&gt;5,"Weekend","Weekday")</f>
        <v>Weekday</v>
      </c>
      <c r="O578" s="13" t="str">
        <f>IF(tblTransactions[[#This Row],[discount_pct]]=0,"0%",IF(tblTransactions[[#This Row],[discount_pct]]&lt;=10%,"1–
10%",IF(tblTransactions[[#This Row],[discount_pct]]&lt;=20%,"11–20%","&gt;20%")))</f>
        <v>0%</v>
      </c>
      <c r="P578" s="13" t="str">
        <f>_xlfn.XLOOKUP(tblTransactions[[#This Row],[tenant_id]],tblTenants[tenant_id],tblTenants[zone],"NOT FOUND")</f>
        <v>Entertainment</v>
      </c>
      <c r="Q578" s="13" t="str">
        <f>_xlfn.XLOOKUP(tblTransactions[[#This Row],[tenant_id]],tblTenants[tenant_id],tblTenants[category],"NOT FOUND")</f>
        <v>Family Entertainment</v>
      </c>
    </row>
    <row r="579" spans="1:17">
      <c r="A579" t="s">
        <v>623</v>
      </c>
      <c r="B579" s="2">
        <v>45693</v>
      </c>
      <c r="C579">
        <v>11</v>
      </c>
      <c r="D579" t="s">
        <v>23</v>
      </c>
      <c r="E579" t="s">
        <v>32</v>
      </c>
      <c r="F579" s="7">
        <v>647.76</v>
      </c>
      <c r="G579" s="10">
        <v>0.2</v>
      </c>
      <c r="H579" s="7">
        <v>518.21</v>
      </c>
      <c r="I579">
        <v>1</v>
      </c>
      <c r="J579" t="s">
        <v>16</v>
      </c>
      <c r="K579" s="13">
        <f>ROUND(tblTransactions[[#This Row],[gross_sales_inr]]*(1-tblTransactions[[#This Row],[discount_pct]]),2)</f>
        <v>518.21</v>
      </c>
      <c r="L579" t="str">
        <f>IF(ABS(tblTransactions[[#This Row],[net_sales_inr]]-tblTransactions[[#This Row],[Recalc_Net_Sales]])&lt;0.02,"OK","CHECK")</f>
        <v>OK</v>
      </c>
      <c r="M579" s="14">
        <f>DATE(YEAR(tblTransactions[[#This Row],[date]]),MONTH(tblTransactions[[#This Row],[date]]),1)</f>
        <v>45689</v>
      </c>
      <c r="N579" t="str">
        <f>IF(WEEKDAY(tblTransactions[[#This Row],[date]],2)&gt;5,"Weekend","Weekday")</f>
        <v>Weekday</v>
      </c>
      <c r="O57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79" s="13" t="str">
        <f>_xlfn.XLOOKUP(tblTransactions[[#This Row],[tenant_id]],tblTenants[tenant_id],tblTenants[zone],"NOT FOUND")</f>
        <v>Entertainment</v>
      </c>
      <c r="Q579" s="13" t="str">
        <f>_xlfn.XLOOKUP(tblTransactions[[#This Row],[tenant_id]],tblTenants[tenant_id],tblTenants[category],"NOT FOUND")</f>
        <v>Cinema</v>
      </c>
    </row>
    <row r="580" spans="1:17">
      <c r="A580" t="s">
        <v>624</v>
      </c>
      <c r="B580" s="2">
        <v>45763</v>
      </c>
      <c r="C580">
        <v>14</v>
      </c>
      <c r="D580" t="s">
        <v>72</v>
      </c>
      <c r="E580" t="s">
        <v>12</v>
      </c>
      <c r="F580" s="7">
        <v>399.18</v>
      </c>
      <c r="G580" s="10">
        <v>0</v>
      </c>
      <c r="H580" s="7">
        <v>399.18</v>
      </c>
      <c r="I580">
        <v>1</v>
      </c>
      <c r="J580" t="s">
        <v>13</v>
      </c>
      <c r="K580" s="13">
        <f>ROUND(tblTransactions[[#This Row],[gross_sales_inr]]*(1-tblTransactions[[#This Row],[discount_pct]]),2)</f>
        <v>399.18</v>
      </c>
      <c r="L580" t="str">
        <f>IF(ABS(tblTransactions[[#This Row],[net_sales_inr]]-tblTransactions[[#This Row],[Recalc_Net_Sales]])&lt;0.02,"OK","CHECK")</f>
        <v>OK</v>
      </c>
      <c r="M580" s="14">
        <f>DATE(YEAR(tblTransactions[[#This Row],[date]]),MONTH(tblTransactions[[#This Row],[date]]),1)</f>
        <v>45748</v>
      </c>
      <c r="N580" t="str">
        <f>IF(WEEKDAY(tblTransactions[[#This Row],[date]],2)&gt;5,"Weekend","Weekday")</f>
        <v>Weekday</v>
      </c>
      <c r="O580" s="13" t="str">
        <f>IF(tblTransactions[[#This Row],[discount_pct]]=0,"0%",IF(tblTransactions[[#This Row],[discount_pct]]&lt;=10%,"1–
10%",IF(tblTransactions[[#This Row],[discount_pct]]&lt;=20%,"11–20%","&gt;20%")))</f>
        <v>0%</v>
      </c>
      <c r="P580" s="13" t="str">
        <f>_xlfn.XLOOKUP(tblTransactions[[#This Row],[tenant_id]],tblTenants[tenant_id],tblTenants[zone],"NOT FOUND")</f>
        <v>Entertainment</v>
      </c>
      <c r="Q580" s="13" t="str">
        <f>_xlfn.XLOOKUP(tblTransactions[[#This Row],[tenant_id]],tblTenants[tenant_id],tblTenants[category],"NOT FOUND")</f>
        <v>Arcade</v>
      </c>
    </row>
    <row r="581" spans="1:17">
      <c r="A581" t="s">
        <v>625</v>
      </c>
      <c r="B581" s="2">
        <v>45806</v>
      </c>
      <c r="C581">
        <v>16</v>
      </c>
      <c r="D581" t="s">
        <v>25</v>
      </c>
      <c r="E581" t="s">
        <v>21</v>
      </c>
      <c r="F581" s="7">
        <v>1655.69</v>
      </c>
      <c r="G581" s="10">
        <v>0.2</v>
      </c>
      <c r="H581" s="7">
        <v>1324.55</v>
      </c>
      <c r="I581">
        <v>1</v>
      </c>
      <c r="J581" t="s">
        <v>13</v>
      </c>
      <c r="K581" s="13">
        <f>ROUND(tblTransactions[[#This Row],[gross_sales_inr]]*(1-tblTransactions[[#This Row],[discount_pct]]),2)</f>
        <v>1324.55</v>
      </c>
      <c r="L581" t="str">
        <f>IF(ABS(tblTransactions[[#This Row],[net_sales_inr]]-tblTransactions[[#This Row],[Recalc_Net_Sales]])&lt;0.02,"OK","CHECK")</f>
        <v>OK</v>
      </c>
      <c r="M581" s="14">
        <f>DATE(YEAR(tblTransactions[[#This Row],[date]]),MONTH(tblTransactions[[#This Row],[date]]),1)</f>
        <v>45778</v>
      </c>
      <c r="N581" t="str">
        <f>IF(WEEKDAY(tblTransactions[[#This Row],[date]],2)&gt;5,"Weekend","Weekday")</f>
        <v>Weekday</v>
      </c>
      <c r="O58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81" s="13" t="str">
        <f>_xlfn.XLOOKUP(tblTransactions[[#This Row],[tenant_id]],tblTenants[tenant_id],tblTenants[zone],"NOT FOUND")</f>
        <v>Beauty &amp; Wellness</v>
      </c>
      <c r="Q581" s="13" t="str">
        <f>_xlfn.XLOOKUP(tblTransactions[[#This Row],[tenant_id]],tblTenants[tenant_id],tblTenants[category],"NOT FOUND")</f>
        <v>Beauty</v>
      </c>
    </row>
    <row r="582" spans="1:17">
      <c r="A582" t="s">
        <v>626</v>
      </c>
      <c r="B582" s="2">
        <v>45755</v>
      </c>
      <c r="C582">
        <v>22</v>
      </c>
      <c r="D582" t="s">
        <v>45</v>
      </c>
      <c r="E582" t="s">
        <v>12</v>
      </c>
      <c r="F582" s="7">
        <v>1228.32</v>
      </c>
      <c r="G582" s="10">
        <v>0.3</v>
      </c>
      <c r="H582" s="7">
        <v>859.82</v>
      </c>
      <c r="I582">
        <v>1</v>
      </c>
      <c r="J582" t="s">
        <v>13</v>
      </c>
      <c r="K582" s="13">
        <f>ROUND(tblTransactions[[#This Row],[gross_sales_inr]]*(1-tblTransactions[[#This Row],[discount_pct]]),2)</f>
        <v>859.82</v>
      </c>
      <c r="L582" t="str">
        <f>IF(ABS(tblTransactions[[#This Row],[net_sales_inr]]-tblTransactions[[#This Row],[Recalc_Net_Sales]])&lt;0.02,"OK","CHECK")</f>
        <v>OK</v>
      </c>
      <c r="M582" s="14">
        <f>DATE(YEAR(tblTransactions[[#This Row],[date]]),MONTH(tblTransactions[[#This Row],[date]]),1)</f>
        <v>45748</v>
      </c>
      <c r="N582" t="str">
        <f>IF(WEEKDAY(tblTransactions[[#This Row],[date]],2)&gt;5,"Weekend","Weekday")</f>
        <v>Weekday</v>
      </c>
      <c r="O582" s="13" t="str">
        <f>IF(tblTransactions[[#This Row],[discount_pct]]=0,"0%",IF(tblTransactions[[#This Row],[discount_pct]]&lt;=10%,"1–
10%",IF(tblTransactions[[#This Row],[discount_pct]]&lt;=20%,"11–20%","&gt;20%")))</f>
        <v>&gt;20%</v>
      </c>
      <c r="P582" s="13" t="str">
        <f>_xlfn.XLOOKUP(tblTransactions[[#This Row],[tenant_id]],tblTenants[tenant_id],tblTenants[zone],"NOT FOUND")</f>
        <v>Home &amp; Living</v>
      </c>
      <c r="Q582" s="13" t="str">
        <f>_xlfn.XLOOKUP(tblTransactions[[#This Row],[tenant_id]],tblTenants[tenant_id],tblTenants[category],"NOT FOUND")</f>
        <v>Home Decor</v>
      </c>
    </row>
    <row r="583" spans="1:17">
      <c r="A583" t="s">
        <v>627</v>
      </c>
      <c r="B583" s="2">
        <v>45781</v>
      </c>
      <c r="C583">
        <v>22</v>
      </c>
      <c r="D583" t="s">
        <v>43</v>
      </c>
      <c r="E583" t="s">
        <v>32</v>
      </c>
      <c r="F583" s="7">
        <v>552.44000000000005</v>
      </c>
      <c r="G583" s="10">
        <v>0</v>
      </c>
      <c r="H583" s="7">
        <v>552.44000000000005</v>
      </c>
      <c r="I583">
        <v>1</v>
      </c>
      <c r="J583" t="s">
        <v>16</v>
      </c>
      <c r="K583" s="13">
        <f>ROUND(tblTransactions[[#This Row],[gross_sales_inr]]*(1-tblTransactions[[#This Row],[discount_pct]]),2)</f>
        <v>552.44000000000005</v>
      </c>
      <c r="L583" t="str">
        <f>IF(ABS(tblTransactions[[#This Row],[net_sales_inr]]-tblTransactions[[#This Row],[Recalc_Net_Sales]])&lt;0.02,"OK","CHECK")</f>
        <v>OK</v>
      </c>
      <c r="M583" s="14">
        <f>DATE(YEAR(tblTransactions[[#This Row],[date]]),MONTH(tblTransactions[[#This Row],[date]]),1)</f>
        <v>45778</v>
      </c>
      <c r="N583" t="str">
        <f>IF(WEEKDAY(tblTransactions[[#This Row],[date]],2)&gt;5,"Weekend","Weekday")</f>
        <v>Weekend</v>
      </c>
      <c r="O583" s="13" t="str">
        <f>IF(tblTransactions[[#This Row],[discount_pct]]=0,"0%",IF(tblTransactions[[#This Row],[discount_pct]]&lt;=10%,"1–
10%",IF(tblTransactions[[#This Row],[discount_pct]]&lt;=20%,"11–20%","&gt;20%")))</f>
        <v>0%</v>
      </c>
      <c r="P583" s="13" t="str">
        <f>_xlfn.XLOOKUP(tblTransactions[[#This Row],[tenant_id]],tblTenants[tenant_id],tblTenants[zone],"NOT FOUND")</f>
        <v>Food Court</v>
      </c>
      <c r="Q583" s="13" t="str">
        <f>_xlfn.XLOOKUP(tblTransactions[[#This Row],[tenant_id]],tblTenants[tenant_id],tblTenants[category],"NOT FOUND")</f>
        <v>Casual Dining</v>
      </c>
    </row>
    <row r="584" spans="1:17">
      <c r="A584" t="s">
        <v>628</v>
      </c>
      <c r="B584" s="2">
        <v>45779</v>
      </c>
      <c r="C584">
        <v>20</v>
      </c>
      <c r="D584" t="s">
        <v>70</v>
      </c>
      <c r="E584" t="s">
        <v>12</v>
      </c>
      <c r="F584" s="7">
        <v>495.15</v>
      </c>
      <c r="G584" s="10">
        <v>0.2</v>
      </c>
      <c r="H584" s="7">
        <v>396.12</v>
      </c>
      <c r="I584">
        <v>5</v>
      </c>
      <c r="J584" t="s">
        <v>16</v>
      </c>
      <c r="K584" s="13">
        <f>ROUND(tblTransactions[[#This Row],[gross_sales_inr]]*(1-tblTransactions[[#This Row],[discount_pct]]),2)</f>
        <v>396.12</v>
      </c>
      <c r="L584" t="str">
        <f>IF(ABS(tblTransactions[[#This Row],[net_sales_inr]]-tblTransactions[[#This Row],[Recalc_Net_Sales]])&lt;0.02,"OK","CHECK")</f>
        <v>OK</v>
      </c>
      <c r="M584" s="14">
        <f>DATE(YEAR(tblTransactions[[#This Row],[date]]),MONTH(tblTransactions[[#This Row],[date]]),1)</f>
        <v>45778</v>
      </c>
      <c r="N584" t="str">
        <f>IF(WEEKDAY(tblTransactions[[#This Row],[date]],2)&gt;5,"Weekend","Weekday")</f>
        <v>Weekday</v>
      </c>
      <c r="O58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84" s="13" t="str">
        <f>_xlfn.XLOOKUP(tblTransactions[[#This Row],[tenant_id]],tblTenants[tenant_id],tblTenants[zone],"NOT FOUND")</f>
        <v>Food Court</v>
      </c>
      <c r="Q584" s="13" t="str">
        <f>_xlfn.XLOOKUP(tblTransactions[[#This Row],[tenant_id]],tblTenants[tenant_id],tblTenants[category],"NOT FOUND")</f>
        <v>Quick Service</v>
      </c>
    </row>
    <row r="585" spans="1:17">
      <c r="A585" t="s">
        <v>629</v>
      </c>
      <c r="B585" s="2">
        <v>45775</v>
      </c>
      <c r="C585">
        <v>13</v>
      </c>
      <c r="D585" t="s">
        <v>48</v>
      </c>
      <c r="E585" t="s">
        <v>21</v>
      </c>
      <c r="F585" s="7">
        <v>835.19</v>
      </c>
      <c r="G585" s="10">
        <v>0.1</v>
      </c>
      <c r="H585" s="7">
        <v>751.67</v>
      </c>
      <c r="I585">
        <v>1</v>
      </c>
      <c r="J585" t="s">
        <v>13</v>
      </c>
      <c r="K585" s="13">
        <f>ROUND(tblTransactions[[#This Row],[gross_sales_inr]]*(1-tblTransactions[[#This Row],[discount_pct]]),2)</f>
        <v>751.67</v>
      </c>
      <c r="L585" t="str">
        <f>IF(ABS(tblTransactions[[#This Row],[net_sales_inr]]-tblTransactions[[#This Row],[Recalc_Net_Sales]])&lt;0.02,"OK","CHECK")</f>
        <v>OK</v>
      </c>
      <c r="M585" s="14">
        <f>DATE(YEAR(tblTransactions[[#This Row],[date]]),MONTH(tblTransactions[[#This Row],[date]]),1)</f>
        <v>45748</v>
      </c>
      <c r="N585" t="str">
        <f>IF(WEEKDAY(tblTransactions[[#This Row],[date]],2)&gt;5,"Weekend","Weekday")</f>
        <v>Weekday</v>
      </c>
      <c r="O58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85" s="13" t="str">
        <f>_xlfn.XLOOKUP(tblTransactions[[#This Row],[tenant_id]],tblTenants[tenant_id],tblTenants[zone],"NOT FOUND")</f>
        <v>Beauty &amp; Wellness</v>
      </c>
      <c r="Q585" s="13" t="str">
        <f>_xlfn.XLOOKUP(tblTransactions[[#This Row],[tenant_id]],tblTenants[tenant_id],tblTenants[category],"NOT FOUND")</f>
        <v>Wellness</v>
      </c>
    </row>
    <row r="586" spans="1:17">
      <c r="A586" t="s">
        <v>630</v>
      </c>
      <c r="B586" s="2">
        <v>45821</v>
      </c>
      <c r="C586">
        <v>12</v>
      </c>
      <c r="D586" t="s">
        <v>11</v>
      </c>
      <c r="E586" t="s">
        <v>32</v>
      </c>
      <c r="F586" s="7">
        <v>1424.17</v>
      </c>
      <c r="G586" s="10">
        <v>0.2</v>
      </c>
      <c r="H586" s="7">
        <v>1139.3399999999999</v>
      </c>
      <c r="I586">
        <v>3</v>
      </c>
      <c r="J586" t="s">
        <v>13</v>
      </c>
      <c r="K586" s="13">
        <f>ROUND(tblTransactions[[#This Row],[gross_sales_inr]]*(1-tblTransactions[[#This Row],[discount_pct]]),2)</f>
        <v>1139.3399999999999</v>
      </c>
      <c r="L586" t="str">
        <f>IF(ABS(tblTransactions[[#This Row],[net_sales_inr]]-tblTransactions[[#This Row],[Recalc_Net_Sales]])&lt;0.02,"OK","CHECK")</f>
        <v>OK</v>
      </c>
      <c r="M586" s="14">
        <f>DATE(YEAR(tblTransactions[[#This Row],[date]]),MONTH(tblTransactions[[#This Row],[date]]),1)</f>
        <v>45809</v>
      </c>
      <c r="N586" t="str">
        <f>IF(WEEKDAY(tblTransactions[[#This Row],[date]],2)&gt;5,"Weekend","Weekday")</f>
        <v>Weekday</v>
      </c>
      <c r="O58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86" s="13" t="str">
        <f>_xlfn.XLOOKUP(tblTransactions[[#This Row],[tenant_id]],tblTenants[tenant_id],tblTenants[zone],"NOT FOUND")</f>
        <v>Home &amp; Living</v>
      </c>
      <c r="Q586" s="13" t="str">
        <f>_xlfn.XLOOKUP(tblTransactions[[#This Row],[tenant_id]],tblTenants[tenant_id],tblTenants[category],"NOT FOUND")</f>
        <v>Home Decor</v>
      </c>
    </row>
    <row r="587" spans="1:17">
      <c r="A587" t="s">
        <v>631</v>
      </c>
      <c r="B587" s="2">
        <v>45726</v>
      </c>
      <c r="C587">
        <v>21</v>
      </c>
      <c r="D587" t="s">
        <v>27</v>
      </c>
      <c r="E587" t="s">
        <v>12</v>
      </c>
      <c r="F587" s="7">
        <v>1280.75</v>
      </c>
      <c r="G587" s="10">
        <v>0</v>
      </c>
      <c r="H587" s="7">
        <v>1280.75</v>
      </c>
      <c r="I587">
        <v>5</v>
      </c>
      <c r="J587" t="s">
        <v>13</v>
      </c>
      <c r="K587" s="13">
        <f>ROUND(tblTransactions[[#This Row],[gross_sales_inr]]*(1-tblTransactions[[#This Row],[discount_pct]]),2)</f>
        <v>1280.75</v>
      </c>
      <c r="L587" t="str">
        <f>IF(ABS(tblTransactions[[#This Row],[net_sales_inr]]-tblTransactions[[#This Row],[Recalc_Net_Sales]])&lt;0.02,"OK","CHECK")</f>
        <v>OK</v>
      </c>
      <c r="M587" s="14">
        <f>DATE(YEAR(tblTransactions[[#This Row],[date]]),MONTH(tblTransactions[[#This Row],[date]]),1)</f>
        <v>45717</v>
      </c>
      <c r="N587" t="str">
        <f>IF(WEEKDAY(tblTransactions[[#This Row],[date]],2)&gt;5,"Weekend","Weekday")</f>
        <v>Weekday</v>
      </c>
      <c r="O587" s="13" t="str">
        <f>IF(tblTransactions[[#This Row],[discount_pct]]=0,"0%",IF(tblTransactions[[#This Row],[discount_pct]]&lt;=10%,"1–
10%",IF(tblTransactions[[#This Row],[discount_pct]]&lt;=20%,"11–20%","&gt;20%")))</f>
        <v>0%</v>
      </c>
      <c r="P587" s="13" t="str">
        <f>_xlfn.XLOOKUP(tblTransactions[[#This Row],[tenant_id]],tblTenants[tenant_id],tblTenants[zone],"NOT FOUND")</f>
        <v>Beauty &amp; Wellness</v>
      </c>
      <c r="Q587" s="13" t="str">
        <f>_xlfn.XLOOKUP(tblTransactions[[#This Row],[tenant_id]],tblTenants[tenant_id],tblTenants[category],"NOT FOUND")</f>
        <v>Wellness</v>
      </c>
    </row>
    <row r="588" spans="1:17">
      <c r="A588" t="s">
        <v>632</v>
      </c>
      <c r="B588" s="2">
        <v>45666</v>
      </c>
      <c r="C588">
        <v>13</v>
      </c>
      <c r="D588" t="s">
        <v>53</v>
      </c>
      <c r="E588" t="s">
        <v>32</v>
      </c>
      <c r="F588" s="7">
        <v>732.16</v>
      </c>
      <c r="G588" s="10">
        <v>0</v>
      </c>
      <c r="H588" s="7">
        <v>732.16</v>
      </c>
      <c r="I588">
        <v>1</v>
      </c>
      <c r="J588" t="s">
        <v>13</v>
      </c>
      <c r="K588" s="13">
        <f>ROUND(tblTransactions[[#This Row],[gross_sales_inr]]*(1-tblTransactions[[#This Row],[discount_pct]]),2)</f>
        <v>732.16</v>
      </c>
      <c r="L588" t="str">
        <f>IF(ABS(tblTransactions[[#This Row],[net_sales_inr]]-tblTransactions[[#This Row],[Recalc_Net_Sales]])&lt;0.02,"OK","CHECK")</f>
        <v>OK</v>
      </c>
      <c r="M588" s="14">
        <f>DATE(YEAR(tblTransactions[[#This Row],[date]]),MONTH(tblTransactions[[#This Row],[date]]),1)</f>
        <v>45658</v>
      </c>
      <c r="N588" t="str">
        <f>IF(WEEKDAY(tblTransactions[[#This Row],[date]],2)&gt;5,"Weekend","Weekday")</f>
        <v>Weekday</v>
      </c>
      <c r="O588" s="13" t="str">
        <f>IF(tblTransactions[[#This Row],[discount_pct]]=0,"0%",IF(tblTransactions[[#This Row],[discount_pct]]&lt;=10%,"1–
10%",IF(tblTransactions[[#This Row],[discount_pct]]&lt;=20%,"11–20%","&gt;20%")))</f>
        <v>0%</v>
      </c>
      <c r="P588" s="13" t="str">
        <f>_xlfn.XLOOKUP(tblTransactions[[#This Row],[tenant_id]],tblTenants[tenant_id],tblTenants[zone],"NOT FOUND")</f>
        <v>Beauty &amp; Wellness</v>
      </c>
      <c r="Q588" s="13" t="str">
        <f>_xlfn.XLOOKUP(tblTransactions[[#This Row],[tenant_id]],tblTenants[tenant_id],tblTenants[category],"NOT FOUND")</f>
        <v>Beauty</v>
      </c>
    </row>
    <row r="589" spans="1:17">
      <c r="A589" t="s">
        <v>633</v>
      </c>
      <c r="B589" s="2">
        <v>45794</v>
      </c>
      <c r="C589">
        <v>11</v>
      </c>
      <c r="D589" t="s">
        <v>43</v>
      </c>
      <c r="E589" t="s">
        <v>12</v>
      </c>
      <c r="F589" s="7">
        <v>1686.97</v>
      </c>
      <c r="G589" s="10">
        <v>0</v>
      </c>
      <c r="H589" s="7">
        <v>1686.97</v>
      </c>
      <c r="I589">
        <v>1</v>
      </c>
      <c r="J589" t="s">
        <v>13</v>
      </c>
      <c r="K589" s="13">
        <f>ROUND(tblTransactions[[#This Row],[gross_sales_inr]]*(1-tblTransactions[[#This Row],[discount_pct]]),2)</f>
        <v>1686.97</v>
      </c>
      <c r="L589" t="str">
        <f>IF(ABS(tblTransactions[[#This Row],[net_sales_inr]]-tblTransactions[[#This Row],[Recalc_Net_Sales]])&lt;0.02,"OK","CHECK")</f>
        <v>OK</v>
      </c>
      <c r="M589" s="14">
        <f>DATE(YEAR(tblTransactions[[#This Row],[date]]),MONTH(tblTransactions[[#This Row],[date]]),1)</f>
        <v>45778</v>
      </c>
      <c r="N589" t="str">
        <f>IF(WEEKDAY(tblTransactions[[#This Row],[date]],2)&gt;5,"Weekend","Weekday")</f>
        <v>Weekend</v>
      </c>
      <c r="O589" s="13" t="str">
        <f>IF(tblTransactions[[#This Row],[discount_pct]]=0,"0%",IF(tblTransactions[[#This Row],[discount_pct]]&lt;=10%,"1–
10%",IF(tblTransactions[[#This Row],[discount_pct]]&lt;=20%,"11–20%","&gt;20%")))</f>
        <v>0%</v>
      </c>
      <c r="P589" s="13" t="str">
        <f>_xlfn.XLOOKUP(tblTransactions[[#This Row],[tenant_id]],tblTenants[tenant_id],tblTenants[zone],"NOT FOUND")</f>
        <v>Food Court</v>
      </c>
      <c r="Q589" s="13" t="str">
        <f>_xlfn.XLOOKUP(tblTransactions[[#This Row],[tenant_id]],tblTenants[tenant_id],tblTenants[category],"NOT FOUND")</f>
        <v>Casual Dining</v>
      </c>
    </row>
    <row r="590" spans="1:17">
      <c r="A590" t="s">
        <v>634</v>
      </c>
      <c r="B590" s="2">
        <v>45719</v>
      </c>
      <c r="C590">
        <v>18</v>
      </c>
      <c r="D590" t="s">
        <v>63</v>
      </c>
      <c r="E590" t="s">
        <v>12</v>
      </c>
      <c r="F590" s="7">
        <v>1779.06</v>
      </c>
      <c r="G590" s="10">
        <v>0.05</v>
      </c>
      <c r="H590" s="7">
        <v>1690.11</v>
      </c>
      <c r="I590">
        <v>3</v>
      </c>
      <c r="J590" t="s">
        <v>16</v>
      </c>
      <c r="K590" s="13">
        <f>ROUND(tblTransactions[[#This Row],[gross_sales_inr]]*(1-tblTransactions[[#This Row],[discount_pct]]),2)</f>
        <v>1690.11</v>
      </c>
      <c r="L590" t="str">
        <f>IF(ABS(tblTransactions[[#This Row],[net_sales_inr]]-tblTransactions[[#This Row],[Recalc_Net_Sales]])&lt;0.02,"OK","CHECK")</f>
        <v>OK</v>
      </c>
      <c r="M590" s="14">
        <f>DATE(YEAR(tblTransactions[[#This Row],[date]]),MONTH(tblTransactions[[#This Row],[date]]),1)</f>
        <v>45717</v>
      </c>
      <c r="N590" t="str">
        <f>IF(WEEKDAY(tblTransactions[[#This Row],[date]],2)&gt;5,"Weekend","Weekday")</f>
        <v>Weekday</v>
      </c>
      <c r="O59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90" s="13" t="str">
        <f>_xlfn.XLOOKUP(tblTransactions[[#This Row],[tenant_id]],tblTenants[tenant_id],tblTenants[zone],"NOT FOUND")</f>
        <v>Entertainment</v>
      </c>
      <c r="Q590" s="13" t="str">
        <f>_xlfn.XLOOKUP(tblTransactions[[#This Row],[tenant_id]],tblTenants[tenant_id],tblTenants[category],"NOT FOUND")</f>
        <v>Family Entertainment</v>
      </c>
    </row>
    <row r="591" spans="1:17">
      <c r="A591" t="s">
        <v>635</v>
      </c>
      <c r="B591" s="2">
        <v>45732</v>
      </c>
      <c r="C591">
        <v>19</v>
      </c>
      <c r="D591" t="s">
        <v>18</v>
      </c>
      <c r="E591" t="s">
        <v>12</v>
      </c>
      <c r="F591" s="7">
        <v>2017.67</v>
      </c>
      <c r="G591" s="10">
        <v>0.2</v>
      </c>
      <c r="H591" s="7">
        <v>1614.14</v>
      </c>
      <c r="I591">
        <v>2</v>
      </c>
      <c r="J591" t="s">
        <v>16</v>
      </c>
      <c r="K591" s="13">
        <f>ROUND(tblTransactions[[#This Row],[gross_sales_inr]]*(1-tblTransactions[[#This Row],[discount_pct]]),2)</f>
        <v>1614.14</v>
      </c>
      <c r="L591" t="str">
        <f>IF(ABS(tblTransactions[[#This Row],[net_sales_inr]]-tblTransactions[[#This Row],[Recalc_Net_Sales]])&lt;0.02,"OK","CHECK")</f>
        <v>OK</v>
      </c>
      <c r="M591" s="14">
        <f>DATE(YEAR(tblTransactions[[#This Row],[date]]),MONTH(tblTransactions[[#This Row],[date]]),1)</f>
        <v>45717</v>
      </c>
      <c r="N591" t="str">
        <f>IF(WEEKDAY(tblTransactions[[#This Row],[date]],2)&gt;5,"Weekend","Weekday")</f>
        <v>Weekend</v>
      </c>
      <c r="O59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91" s="13" t="str">
        <f>_xlfn.XLOOKUP(tblTransactions[[#This Row],[tenant_id]],tblTenants[tenant_id],tblTenants[zone],"NOT FOUND")</f>
        <v>Beauty &amp; Wellness</v>
      </c>
      <c r="Q591" s="13" t="str">
        <f>_xlfn.XLOOKUP(tblTransactions[[#This Row],[tenant_id]],tblTenants[tenant_id],tblTenants[category],"NOT FOUND")</f>
        <v>Beauty</v>
      </c>
    </row>
    <row r="592" spans="1:17">
      <c r="A592" t="s">
        <v>636</v>
      </c>
      <c r="B592" s="2">
        <v>45723</v>
      </c>
      <c r="C592">
        <v>14</v>
      </c>
      <c r="D592" t="s">
        <v>61</v>
      </c>
      <c r="E592" t="s">
        <v>12</v>
      </c>
      <c r="F592" s="7">
        <v>1380.41</v>
      </c>
      <c r="G592" s="10">
        <v>0.05</v>
      </c>
      <c r="H592" s="7">
        <v>1311.39</v>
      </c>
      <c r="I592">
        <v>6</v>
      </c>
      <c r="J592" t="s">
        <v>13</v>
      </c>
      <c r="K592" s="13">
        <f>ROUND(tblTransactions[[#This Row],[gross_sales_inr]]*(1-tblTransactions[[#This Row],[discount_pct]]),2)</f>
        <v>1311.39</v>
      </c>
      <c r="L592" t="str">
        <f>IF(ABS(tblTransactions[[#This Row],[net_sales_inr]]-tblTransactions[[#This Row],[Recalc_Net_Sales]])&lt;0.02,"OK","CHECK")</f>
        <v>OK</v>
      </c>
      <c r="M592" s="14">
        <f>DATE(YEAR(tblTransactions[[#This Row],[date]]),MONTH(tblTransactions[[#This Row],[date]]),1)</f>
        <v>45717</v>
      </c>
      <c r="N592" t="str">
        <f>IF(WEEKDAY(tblTransactions[[#This Row],[date]],2)&gt;5,"Weekend","Weekday")</f>
        <v>Weekday</v>
      </c>
      <c r="O59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92" s="13" t="str">
        <f>_xlfn.XLOOKUP(tblTransactions[[#This Row],[tenant_id]],tblTenants[tenant_id],tblTenants[zone],"NOT FOUND")</f>
        <v>Food Court</v>
      </c>
      <c r="Q592" s="13" t="str">
        <f>_xlfn.XLOOKUP(tblTransactions[[#This Row],[tenant_id]],tblTenants[tenant_id],tblTenants[category],"NOT FOUND")</f>
        <v>Quick Service</v>
      </c>
    </row>
    <row r="593" spans="1:17">
      <c r="A593" t="s">
        <v>637</v>
      </c>
      <c r="B593" s="2">
        <v>45788</v>
      </c>
      <c r="C593">
        <v>16</v>
      </c>
      <c r="D593" t="s">
        <v>98</v>
      </c>
      <c r="E593" t="s">
        <v>32</v>
      </c>
      <c r="F593" s="7">
        <v>409.66</v>
      </c>
      <c r="G593" s="10">
        <v>0</v>
      </c>
      <c r="H593" s="7">
        <v>409.66</v>
      </c>
      <c r="I593">
        <v>4</v>
      </c>
      <c r="J593" t="s">
        <v>13</v>
      </c>
      <c r="K593" s="13">
        <f>ROUND(tblTransactions[[#This Row],[gross_sales_inr]]*(1-tblTransactions[[#This Row],[discount_pct]]),2)</f>
        <v>409.66</v>
      </c>
      <c r="L593" t="str">
        <f>IF(ABS(tblTransactions[[#This Row],[net_sales_inr]]-tblTransactions[[#This Row],[Recalc_Net_Sales]])&lt;0.02,"OK","CHECK")</f>
        <v>OK</v>
      </c>
      <c r="M593" s="14">
        <f>DATE(YEAR(tblTransactions[[#This Row],[date]]),MONTH(tblTransactions[[#This Row],[date]]),1)</f>
        <v>45778</v>
      </c>
      <c r="N593" t="str">
        <f>IF(WEEKDAY(tblTransactions[[#This Row],[date]],2)&gt;5,"Weekend","Weekday")</f>
        <v>Weekend</v>
      </c>
      <c r="O593" s="13" t="str">
        <f>IF(tblTransactions[[#This Row],[discount_pct]]=0,"0%",IF(tblTransactions[[#This Row],[discount_pct]]&lt;=10%,"1–
10%",IF(tblTransactions[[#This Row],[discount_pct]]&lt;=20%,"11–20%","&gt;20%")))</f>
        <v>0%</v>
      </c>
      <c r="P593" s="13" t="str">
        <f>_xlfn.XLOOKUP(tblTransactions[[#This Row],[tenant_id]],tblTenants[tenant_id],tblTenants[zone],"NOT FOUND")</f>
        <v>Fashion Avenue</v>
      </c>
      <c r="Q593" s="13" t="str">
        <f>_xlfn.XLOOKUP(tblTransactions[[#This Row],[tenant_id]],tblTenants[tenant_id],tblTenants[category],"NOT FOUND")</f>
        <v>Accessories</v>
      </c>
    </row>
    <row r="594" spans="1:17">
      <c r="A594" t="s">
        <v>638</v>
      </c>
      <c r="B594" s="2">
        <v>45799</v>
      </c>
      <c r="C594">
        <v>11</v>
      </c>
      <c r="D594" t="s">
        <v>18</v>
      </c>
      <c r="E594" t="s">
        <v>12</v>
      </c>
      <c r="F594" s="7">
        <v>1564.21</v>
      </c>
      <c r="G594" s="10">
        <v>0.15</v>
      </c>
      <c r="H594" s="7">
        <v>1329.58</v>
      </c>
      <c r="I594">
        <v>1</v>
      </c>
      <c r="J594" t="s">
        <v>13</v>
      </c>
      <c r="K594" s="13">
        <f>ROUND(tblTransactions[[#This Row],[gross_sales_inr]]*(1-tblTransactions[[#This Row],[discount_pct]]),2)</f>
        <v>1329.58</v>
      </c>
      <c r="L594" t="str">
        <f>IF(ABS(tblTransactions[[#This Row],[net_sales_inr]]-tblTransactions[[#This Row],[Recalc_Net_Sales]])&lt;0.02,"OK","CHECK")</f>
        <v>OK</v>
      </c>
      <c r="M594" s="14">
        <f>DATE(YEAR(tblTransactions[[#This Row],[date]]),MONTH(tblTransactions[[#This Row],[date]]),1)</f>
        <v>45778</v>
      </c>
      <c r="N594" t="str">
        <f>IF(WEEKDAY(tblTransactions[[#This Row],[date]],2)&gt;5,"Weekend","Weekday")</f>
        <v>Weekday</v>
      </c>
      <c r="O59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94" s="13" t="str">
        <f>_xlfn.XLOOKUP(tblTransactions[[#This Row],[tenant_id]],tblTenants[tenant_id],tblTenants[zone],"NOT FOUND")</f>
        <v>Beauty &amp; Wellness</v>
      </c>
      <c r="Q594" s="13" t="str">
        <f>_xlfn.XLOOKUP(tblTransactions[[#This Row],[tenant_id]],tblTenants[tenant_id],tblTenants[category],"NOT FOUND")</f>
        <v>Beauty</v>
      </c>
    </row>
    <row r="595" spans="1:17">
      <c r="A595" t="s">
        <v>639</v>
      </c>
      <c r="B595" s="2">
        <v>45782</v>
      </c>
      <c r="C595">
        <v>18</v>
      </c>
      <c r="D595" t="s">
        <v>204</v>
      </c>
      <c r="E595" t="s">
        <v>32</v>
      </c>
      <c r="F595" s="7">
        <v>1053.3</v>
      </c>
      <c r="G595" s="10">
        <v>0.2</v>
      </c>
      <c r="H595" s="7">
        <v>842.64</v>
      </c>
      <c r="I595">
        <v>2</v>
      </c>
      <c r="J595" t="s">
        <v>13</v>
      </c>
      <c r="K595" s="13">
        <f>ROUND(tblTransactions[[#This Row],[gross_sales_inr]]*(1-tblTransactions[[#This Row],[discount_pct]]),2)</f>
        <v>842.64</v>
      </c>
      <c r="L595" t="str">
        <f>IF(ABS(tblTransactions[[#This Row],[net_sales_inr]]-tblTransactions[[#This Row],[Recalc_Net_Sales]])&lt;0.02,"OK","CHECK")</f>
        <v>OK</v>
      </c>
      <c r="M595" s="14">
        <f>DATE(YEAR(tblTransactions[[#This Row],[date]]),MONTH(tblTransactions[[#This Row],[date]]),1)</f>
        <v>45778</v>
      </c>
      <c r="N595" t="str">
        <f>IF(WEEKDAY(tblTransactions[[#This Row],[date]],2)&gt;5,"Weekend","Weekday")</f>
        <v>Weekday</v>
      </c>
      <c r="O59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595" s="13" t="str">
        <f>_xlfn.XLOOKUP(tblTransactions[[#This Row],[tenant_id]],tblTenants[tenant_id],tblTenants[zone],"NOT FOUND")</f>
        <v>Home &amp; Living</v>
      </c>
      <c r="Q595" s="13" t="str">
        <f>_xlfn.XLOOKUP(tblTransactions[[#This Row],[tenant_id]],tblTenants[tenant_id],tblTenants[category],"NOT FOUND")</f>
        <v>Home Decor</v>
      </c>
    </row>
    <row r="596" spans="1:17">
      <c r="A596" t="s">
        <v>640</v>
      </c>
      <c r="B596" s="2">
        <v>45801</v>
      </c>
      <c r="C596">
        <v>18</v>
      </c>
      <c r="D596" t="s">
        <v>11</v>
      </c>
      <c r="E596" t="s">
        <v>32</v>
      </c>
      <c r="F596" s="7">
        <v>1030.6300000000001</v>
      </c>
      <c r="G596" s="10">
        <v>0.1</v>
      </c>
      <c r="H596" s="7">
        <v>927.57</v>
      </c>
      <c r="I596">
        <v>3</v>
      </c>
      <c r="J596" t="s">
        <v>13</v>
      </c>
      <c r="K596" s="13">
        <f>ROUND(tblTransactions[[#This Row],[gross_sales_inr]]*(1-tblTransactions[[#This Row],[discount_pct]]),2)</f>
        <v>927.57</v>
      </c>
      <c r="L596" t="str">
        <f>IF(ABS(tblTransactions[[#This Row],[net_sales_inr]]-tblTransactions[[#This Row],[Recalc_Net_Sales]])&lt;0.02,"OK","CHECK")</f>
        <v>OK</v>
      </c>
      <c r="M596" s="14">
        <f>DATE(YEAR(tblTransactions[[#This Row],[date]]),MONTH(tblTransactions[[#This Row],[date]]),1)</f>
        <v>45778</v>
      </c>
      <c r="N596" t="str">
        <f>IF(WEEKDAY(tblTransactions[[#This Row],[date]],2)&gt;5,"Weekend","Weekday")</f>
        <v>Weekend</v>
      </c>
      <c r="O59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96" s="13" t="str">
        <f>_xlfn.XLOOKUP(tblTransactions[[#This Row],[tenant_id]],tblTenants[tenant_id],tblTenants[zone],"NOT FOUND")</f>
        <v>Home &amp; Living</v>
      </c>
      <c r="Q596" s="13" t="str">
        <f>_xlfn.XLOOKUP(tblTransactions[[#This Row],[tenant_id]],tblTenants[tenant_id],tblTenants[category],"NOT FOUND")</f>
        <v>Home Decor</v>
      </c>
    </row>
    <row r="597" spans="1:17">
      <c r="A597" t="s">
        <v>641</v>
      </c>
      <c r="B597" s="2">
        <v>45749</v>
      </c>
      <c r="C597">
        <v>10</v>
      </c>
      <c r="D597" t="s">
        <v>55</v>
      </c>
      <c r="E597" t="s">
        <v>12</v>
      </c>
      <c r="F597" s="7">
        <v>961.38</v>
      </c>
      <c r="G597" s="10">
        <v>0.05</v>
      </c>
      <c r="H597" s="7">
        <v>913.31</v>
      </c>
      <c r="I597">
        <v>3</v>
      </c>
      <c r="J597" t="s">
        <v>13</v>
      </c>
      <c r="K597" s="13">
        <f>ROUND(tblTransactions[[#This Row],[gross_sales_inr]]*(1-tblTransactions[[#This Row],[discount_pct]]),2)</f>
        <v>913.31</v>
      </c>
      <c r="L597" t="str">
        <f>IF(ABS(tblTransactions[[#This Row],[net_sales_inr]]-tblTransactions[[#This Row],[Recalc_Net_Sales]])&lt;0.02,"OK","CHECK")</f>
        <v>OK</v>
      </c>
      <c r="M597" s="14">
        <f>DATE(YEAR(tblTransactions[[#This Row],[date]]),MONTH(tblTransactions[[#This Row],[date]]),1)</f>
        <v>45748</v>
      </c>
      <c r="N597" t="str">
        <f>IF(WEEKDAY(tblTransactions[[#This Row],[date]],2)&gt;5,"Weekend","Weekday")</f>
        <v>Weekday</v>
      </c>
      <c r="O59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597" s="13" t="str">
        <f>_xlfn.XLOOKUP(tblTransactions[[#This Row],[tenant_id]],tblTenants[tenant_id],tblTenants[zone],"NOT FOUND")</f>
        <v>Food Court</v>
      </c>
      <c r="Q597" s="13" t="str">
        <f>_xlfn.XLOOKUP(tblTransactions[[#This Row],[tenant_id]],tblTenants[tenant_id],tblTenants[category],"NOT FOUND")</f>
        <v>Quick Service</v>
      </c>
    </row>
    <row r="598" spans="1:17">
      <c r="A598" t="s">
        <v>642</v>
      </c>
      <c r="B598" s="2">
        <v>45746</v>
      </c>
      <c r="C598">
        <v>15</v>
      </c>
      <c r="D598" t="s">
        <v>20</v>
      </c>
      <c r="E598" t="s">
        <v>12</v>
      </c>
      <c r="F598" s="7">
        <v>1274.75</v>
      </c>
      <c r="G598" s="10">
        <v>0</v>
      </c>
      <c r="H598" s="7">
        <v>1274.75</v>
      </c>
      <c r="I598">
        <v>2</v>
      </c>
      <c r="J598" t="s">
        <v>13</v>
      </c>
      <c r="K598" s="13">
        <f>ROUND(tblTransactions[[#This Row],[gross_sales_inr]]*(1-tblTransactions[[#This Row],[discount_pct]]),2)</f>
        <v>1274.75</v>
      </c>
      <c r="L598" t="str">
        <f>IF(ABS(tblTransactions[[#This Row],[net_sales_inr]]-tblTransactions[[#This Row],[Recalc_Net_Sales]])&lt;0.02,"OK","CHECK")</f>
        <v>OK</v>
      </c>
      <c r="M598" s="14">
        <f>DATE(YEAR(tblTransactions[[#This Row],[date]]),MONTH(tblTransactions[[#This Row],[date]]),1)</f>
        <v>45717</v>
      </c>
      <c r="N598" t="str">
        <f>IF(WEEKDAY(tblTransactions[[#This Row],[date]],2)&gt;5,"Weekend","Weekday")</f>
        <v>Weekend</v>
      </c>
      <c r="O598" s="13" t="str">
        <f>IF(tblTransactions[[#This Row],[discount_pct]]=0,"0%",IF(tblTransactions[[#This Row],[discount_pct]]&lt;=10%,"1–
10%",IF(tblTransactions[[#This Row],[discount_pct]]&lt;=20%,"11–20%","&gt;20%")))</f>
        <v>0%</v>
      </c>
      <c r="P598" s="13" t="str">
        <f>_xlfn.XLOOKUP(tblTransactions[[#This Row],[tenant_id]],tblTenants[tenant_id],tblTenants[zone],"NOT FOUND")</f>
        <v>Fashion Avenue</v>
      </c>
      <c r="Q598" s="13" t="str">
        <f>_xlfn.XLOOKUP(tblTransactions[[#This Row],[tenant_id]],tblTenants[tenant_id],tblTenants[category],"NOT FOUND")</f>
        <v>Accessories</v>
      </c>
    </row>
    <row r="599" spans="1:17">
      <c r="A599" t="s">
        <v>643</v>
      </c>
      <c r="B599" s="2">
        <v>45694</v>
      </c>
      <c r="C599">
        <v>20</v>
      </c>
      <c r="D599" t="s">
        <v>27</v>
      </c>
      <c r="E599" t="s">
        <v>12</v>
      </c>
      <c r="F599" s="7">
        <v>305.81</v>
      </c>
      <c r="G599" s="10">
        <v>0</v>
      </c>
      <c r="H599" s="7">
        <v>305.81</v>
      </c>
      <c r="I599">
        <v>1</v>
      </c>
      <c r="J599" t="s">
        <v>13</v>
      </c>
      <c r="K599" s="13">
        <f>ROUND(tblTransactions[[#This Row],[gross_sales_inr]]*(1-tblTransactions[[#This Row],[discount_pct]]),2)</f>
        <v>305.81</v>
      </c>
      <c r="L599" t="str">
        <f>IF(ABS(tblTransactions[[#This Row],[net_sales_inr]]-tblTransactions[[#This Row],[Recalc_Net_Sales]])&lt;0.02,"OK","CHECK")</f>
        <v>OK</v>
      </c>
      <c r="M599" s="14">
        <f>DATE(YEAR(tblTransactions[[#This Row],[date]]),MONTH(tblTransactions[[#This Row],[date]]),1)</f>
        <v>45689</v>
      </c>
      <c r="N599" t="str">
        <f>IF(WEEKDAY(tblTransactions[[#This Row],[date]],2)&gt;5,"Weekend","Weekday")</f>
        <v>Weekday</v>
      </c>
      <c r="O599" s="13" t="str">
        <f>IF(tblTransactions[[#This Row],[discount_pct]]=0,"0%",IF(tblTransactions[[#This Row],[discount_pct]]&lt;=10%,"1–
10%",IF(tblTransactions[[#This Row],[discount_pct]]&lt;=20%,"11–20%","&gt;20%")))</f>
        <v>0%</v>
      </c>
      <c r="P599" s="13" t="str">
        <f>_xlfn.XLOOKUP(tblTransactions[[#This Row],[tenant_id]],tblTenants[tenant_id],tblTenants[zone],"NOT FOUND")</f>
        <v>Beauty &amp; Wellness</v>
      </c>
      <c r="Q599" s="13" t="str">
        <f>_xlfn.XLOOKUP(tblTransactions[[#This Row],[tenant_id]],tblTenants[tenant_id],tblTenants[category],"NOT FOUND")</f>
        <v>Wellness</v>
      </c>
    </row>
    <row r="600" spans="1:17">
      <c r="A600" t="s">
        <v>644</v>
      </c>
      <c r="B600" s="2">
        <v>45789</v>
      </c>
      <c r="C600">
        <v>15</v>
      </c>
      <c r="D600" t="s">
        <v>31</v>
      </c>
      <c r="E600" t="s">
        <v>12</v>
      </c>
      <c r="F600" s="7">
        <v>750.98</v>
      </c>
      <c r="G600" s="10">
        <v>0.15</v>
      </c>
      <c r="H600" s="7">
        <v>638.33000000000004</v>
      </c>
      <c r="I600">
        <v>2</v>
      </c>
      <c r="J600" t="s">
        <v>13</v>
      </c>
      <c r="K600" s="13">
        <f>ROUND(tblTransactions[[#This Row],[gross_sales_inr]]*(1-tblTransactions[[#This Row],[discount_pct]]),2)</f>
        <v>638.33000000000004</v>
      </c>
      <c r="L600" t="str">
        <f>IF(ABS(tblTransactions[[#This Row],[net_sales_inr]]-tblTransactions[[#This Row],[Recalc_Net_Sales]])&lt;0.02,"OK","CHECK")</f>
        <v>OK</v>
      </c>
      <c r="M600" s="14">
        <f>DATE(YEAR(tblTransactions[[#This Row],[date]]),MONTH(tblTransactions[[#This Row],[date]]),1)</f>
        <v>45778</v>
      </c>
      <c r="N600" t="str">
        <f>IF(WEEKDAY(tblTransactions[[#This Row],[date]],2)&gt;5,"Weekend","Weekday")</f>
        <v>Weekday</v>
      </c>
      <c r="O60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00" s="13" t="str">
        <f>_xlfn.XLOOKUP(tblTransactions[[#This Row],[tenant_id]],tblTenants[tenant_id],tblTenants[zone],"NOT FOUND")</f>
        <v>Entertainment</v>
      </c>
      <c r="Q600" s="13" t="str">
        <f>_xlfn.XLOOKUP(tblTransactions[[#This Row],[tenant_id]],tblTenants[tenant_id],tblTenants[category],"NOT FOUND")</f>
        <v>Arcade</v>
      </c>
    </row>
    <row r="601" spans="1:17">
      <c r="A601" t="s">
        <v>645</v>
      </c>
      <c r="B601" s="2">
        <v>45778</v>
      </c>
      <c r="C601">
        <v>17</v>
      </c>
      <c r="D601" t="s">
        <v>11</v>
      </c>
      <c r="E601" t="s">
        <v>32</v>
      </c>
      <c r="F601" s="7">
        <v>634.17999999999995</v>
      </c>
      <c r="G601" s="10">
        <v>0.2</v>
      </c>
      <c r="H601" s="7">
        <v>507.34</v>
      </c>
      <c r="I601">
        <v>2</v>
      </c>
      <c r="J601" t="s">
        <v>16</v>
      </c>
      <c r="K601" s="13">
        <f>ROUND(tblTransactions[[#This Row],[gross_sales_inr]]*(1-tblTransactions[[#This Row],[discount_pct]]),2)</f>
        <v>507.34</v>
      </c>
      <c r="L601" t="str">
        <f>IF(ABS(tblTransactions[[#This Row],[net_sales_inr]]-tblTransactions[[#This Row],[Recalc_Net_Sales]])&lt;0.02,"OK","CHECK")</f>
        <v>OK</v>
      </c>
      <c r="M601" s="14">
        <f>DATE(YEAR(tblTransactions[[#This Row],[date]]),MONTH(tblTransactions[[#This Row],[date]]),1)</f>
        <v>45778</v>
      </c>
      <c r="N601" t="str">
        <f>IF(WEEKDAY(tblTransactions[[#This Row],[date]],2)&gt;5,"Weekend","Weekday")</f>
        <v>Weekday</v>
      </c>
      <c r="O60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01" s="13" t="str">
        <f>_xlfn.XLOOKUP(tblTransactions[[#This Row],[tenant_id]],tblTenants[tenant_id],tblTenants[zone],"NOT FOUND")</f>
        <v>Home &amp; Living</v>
      </c>
      <c r="Q601" s="13" t="str">
        <f>_xlfn.XLOOKUP(tblTransactions[[#This Row],[tenant_id]],tblTenants[tenant_id],tblTenants[category],"NOT FOUND")</f>
        <v>Home Decor</v>
      </c>
    </row>
    <row r="602" spans="1:17">
      <c r="A602" t="s">
        <v>646</v>
      </c>
      <c r="B602" s="2">
        <v>45707</v>
      </c>
      <c r="C602">
        <v>18</v>
      </c>
      <c r="D602" t="s">
        <v>55</v>
      </c>
      <c r="E602" t="s">
        <v>12</v>
      </c>
      <c r="F602" s="7">
        <v>494.37</v>
      </c>
      <c r="G602" s="10">
        <v>0</v>
      </c>
      <c r="H602" s="7">
        <v>494.37</v>
      </c>
      <c r="I602">
        <v>4</v>
      </c>
      <c r="J602" t="s">
        <v>13</v>
      </c>
      <c r="K602" s="13">
        <f>ROUND(tblTransactions[[#This Row],[gross_sales_inr]]*(1-tblTransactions[[#This Row],[discount_pct]]),2)</f>
        <v>494.37</v>
      </c>
      <c r="L602" t="str">
        <f>IF(ABS(tblTransactions[[#This Row],[net_sales_inr]]-tblTransactions[[#This Row],[Recalc_Net_Sales]])&lt;0.02,"OK","CHECK")</f>
        <v>OK</v>
      </c>
      <c r="M602" s="14">
        <f>DATE(YEAR(tblTransactions[[#This Row],[date]]),MONTH(tblTransactions[[#This Row],[date]]),1)</f>
        <v>45689</v>
      </c>
      <c r="N602" t="str">
        <f>IF(WEEKDAY(tblTransactions[[#This Row],[date]],2)&gt;5,"Weekend","Weekday")</f>
        <v>Weekday</v>
      </c>
      <c r="O602" s="13" t="str">
        <f>IF(tblTransactions[[#This Row],[discount_pct]]=0,"0%",IF(tblTransactions[[#This Row],[discount_pct]]&lt;=10%,"1–
10%",IF(tblTransactions[[#This Row],[discount_pct]]&lt;=20%,"11–20%","&gt;20%")))</f>
        <v>0%</v>
      </c>
      <c r="P602" s="13" t="str">
        <f>_xlfn.XLOOKUP(tblTransactions[[#This Row],[tenant_id]],tblTenants[tenant_id],tblTenants[zone],"NOT FOUND")</f>
        <v>Food Court</v>
      </c>
      <c r="Q602" s="13" t="str">
        <f>_xlfn.XLOOKUP(tblTransactions[[#This Row],[tenant_id]],tblTenants[tenant_id],tblTenants[category],"NOT FOUND")</f>
        <v>Quick Service</v>
      </c>
    </row>
    <row r="603" spans="1:17">
      <c r="A603" t="s">
        <v>647</v>
      </c>
      <c r="B603" s="2">
        <v>45760</v>
      </c>
      <c r="C603">
        <v>12</v>
      </c>
      <c r="D603" t="s">
        <v>70</v>
      </c>
      <c r="E603" t="s">
        <v>51</v>
      </c>
      <c r="F603" s="7">
        <v>143.19999999999999</v>
      </c>
      <c r="G603" s="10">
        <v>0.15</v>
      </c>
      <c r="H603" s="7">
        <v>121.72</v>
      </c>
      <c r="I603">
        <v>4</v>
      </c>
      <c r="J603" t="s">
        <v>16</v>
      </c>
      <c r="K603" s="13">
        <f>ROUND(tblTransactions[[#This Row],[gross_sales_inr]]*(1-tblTransactions[[#This Row],[discount_pct]]),2)</f>
        <v>121.72</v>
      </c>
      <c r="L603" t="str">
        <f>IF(ABS(tblTransactions[[#This Row],[net_sales_inr]]-tblTransactions[[#This Row],[Recalc_Net_Sales]])&lt;0.02,"OK","CHECK")</f>
        <v>OK</v>
      </c>
      <c r="M603" s="14">
        <f>DATE(YEAR(tblTransactions[[#This Row],[date]]),MONTH(tblTransactions[[#This Row],[date]]),1)</f>
        <v>45748</v>
      </c>
      <c r="N603" t="str">
        <f>IF(WEEKDAY(tblTransactions[[#This Row],[date]],2)&gt;5,"Weekend","Weekday")</f>
        <v>Weekend</v>
      </c>
      <c r="O60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03" s="13" t="str">
        <f>_xlfn.XLOOKUP(tblTransactions[[#This Row],[tenant_id]],tblTenants[tenant_id],tblTenants[zone],"NOT FOUND")</f>
        <v>Food Court</v>
      </c>
      <c r="Q603" s="13" t="str">
        <f>_xlfn.XLOOKUP(tblTransactions[[#This Row],[tenant_id]],tblTenants[tenant_id],tblTenants[category],"NOT FOUND")</f>
        <v>Quick Service</v>
      </c>
    </row>
    <row r="604" spans="1:17">
      <c r="A604" t="s">
        <v>648</v>
      </c>
      <c r="B604" s="2">
        <v>45830</v>
      </c>
      <c r="C604">
        <v>20</v>
      </c>
      <c r="D604" t="s">
        <v>31</v>
      </c>
      <c r="E604" t="s">
        <v>32</v>
      </c>
      <c r="F604" s="7">
        <v>811.85</v>
      </c>
      <c r="G604" s="10">
        <v>0.15</v>
      </c>
      <c r="H604" s="7">
        <v>690.07</v>
      </c>
      <c r="I604">
        <v>2</v>
      </c>
      <c r="J604" t="s">
        <v>16</v>
      </c>
      <c r="K604" s="13">
        <f>ROUND(tblTransactions[[#This Row],[gross_sales_inr]]*(1-tblTransactions[[#This Row],[discount_pct]]),2)</f>
        <v>690.07</v>
      </c>
      <c r="L604" t="str">
        <f>IF(ABS(tblTransactions[[#This Row],[net_sales_inr]]-tblTransactions[[#This Row],[Recalc_Net_Sales]])&lt;0.02,"OK","CHECK")</f>
        <v>OK</v>
      </c>
      <c r="M604" s="14">
        <f>DATE(YEAR(tblTransactions[[#This Row],[date]]),MONTH(tblTransactions[[#This Row],[date]]),1)</f>
        <v>45809</v>
      </c>
      <c r="N604" t="str">
        <f>IF(WEEKDAY(tblTransactions[[#This Row],[date]],2)&gt;5,"Weekend","Weekday")</f>
        <v>Weekend</v>
      </c>
      <c r="O60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04" s="13" t="str">
        <f>_xlfn.XLOOKUP(tblTransactions[[#This Row],[tenant_id]],tblTenants[tenant_id],tblTenants[zone],"NOT FOUND")</f>
        <v>Entertainment</v>
      </c>
      <c r="Q604" s="13" t="str">
        <f>_xlfn.XLOOKUP(tblTransactions[[#This Row],[tenant_id]],tblTenants[tenant_id],tblTenants[category],"NOT FOUND")</f>
        <v>Arcade</v>
      </c>
    </row>
    <row r="605" spans="1:17">
      <c r="A605" t="s">
        <v>649</v>
      </c>
      <c r="B605" s="2">
        <v>45762</v>
      </c>
      <c r="C605">
        <v>17</v>
      </c>
      <c r="D605" t="s">
        <v>122</v>
      </c>
      <c r="E605" t="s">
        <v>32</v>
      </c>
      <c r="F605" s="7">
        <v>1041.46</v>
      </c>
      <c r="G605" s="10">
        <v>0.1</v>
      </c>
      <c r="H605" s="7">
        <v>937.31</v>
      </c>
      <c r="I605">
        <v>3</v>
      </c>
      <c r="J605" t="s">
        <v>16</v>
      </c>
      <c r="K605" s="13">
        <f>ROUND(tblTransactions[[#This Row],[gross_sales_inr]]*(1-tblTransactions[[#This Row],[discount_pct]]),2)</f>
        <v>937.31</v>
      </c>
      <c r="L605" t="str">
        <f>IF(ABS(tblTransactions[[#This Row],[net_sales_inr]]-tblTransactions[[#This Row],[Recalc_Net_Sales]])&lt;0.02,"OK","CHECK")</f>
        <v>OK</v>
      </c>
      <c r="M605" s="14">
        <f>DATE(YEAR(tblTransactions[[#This Row],[date]]),MONTH(tblTransactions[[#This Row],[date]]),1)</f>
        <v>45748</v>
      </c>
      <c r="N605" t="str">
        <f>IF(WEEKDAY(tblTransactions[[#This Row],[date]],2)&gt;5,"Weekend","Weekday")</f>
        <v>Weekday</v>
      </c>
      <c r="O60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05" s="13" t="str">
        <f>_xlfn.XLOOKUP(tblTransactions[[#This Row],[tenant_id]],tblTenants[tenant_id],tblTenants[zone],"NOT FOUND")</f>
        <v>Beauty &amp; Wellness</v>
      </c>
      <c r="Q605" s="13" t="str">
        <f>_xlfn.XLOOKUP(tblTransactions[[#This Row],[tenant_id]],tblTenants[tenant_id],tblTenants[category],"NOT FOUND")</f>
        <v>Wellness</v>
      </c>
    </row>
    <row r="606" spans="1:17">
      <c r="A606" t="s">
        <v>650</v>
      </c>
      <c r="B606" s="2">
        <v>45724</v>
      </c>
      <c r="C606">
        <v>12</v>
      </c>
      <c r="D606" t="s">
        <v>18</v>
      </c>
      <c r="E606" t="s">
        <v>32</v>
      </c>
      <c r="F606" s="7">
        <v>269.77</v>
      </c>
      <c r="G606" s="10">
        <v>0</v>
      </c>
      <c r="H606" s="7">
        <v>269.77</v>
      </c>
      <c r="I606">
        <v>1</v>
      </c>
      <c r="J606" t="s">
        <v>16</v>
      </c>
      <c r="K606" s="13">
        <f>ROUND(tblTransactions[[#This Row],[gross_sales_inr]]*(1-tblTransactions[[#This Row],[discount_pct]]),2)</f>
        <v>269.77</v>
      </c>
      <c r="L606" t="str">
        <f>IF(ABS(tblTransactions[[#This Row],[net_sales_inr]]-tblTransactions[[#This Row],[Recalc_Net_Sales]])&lt;0.02,"OK","CHECK")</f>
        <v>OK</v>
      </c>
      <c r="M606" s="14">
        <f>DATE(YEAR(tblTransactions[[#This Row],[date]]),MONTH(tblTransactions[[#This Row],[date]]),1)</f>
        <v>45717</v>
      </c>
      <c r="N606" t="str">
        <f>IF(WEEKDAY(tblTransactions[[#This Row],[date]],2)&gt;5,"Weekend","Weekday")</f>
        <v>Weekend</v>
      </c>
      <c r="O606" s="13" t="str">
        <f>IF(tblTransactions[[#This Row],[discount_pct]]=0,"0%",IF(tblTransactions[[#This Row],[discount_pct]]&lt;=10%,"1–
10%",IF(tblTransactions[[#This Row],[discount_pct]]&lt;=20%,"11–20%","&gt;20%")))</f>
        <v>0%</v>
      </c>
      <c r="P606" s="13" t="str">
        <f>_xlfn.XLOOKUP(tblTransactions[[#This Row],[tenant_id]],tblTenants[tenant_id],tblTenants[zone],"NOT FOUND")</f>
        <v>Beauty &amp; Wellness</v>
      </c>
      <c r="Q606" s="13" t="str">
        <f>_xlfn.XLOOKUP(tblTransactions[[#This Row],[tenant_id]],tblTenants[tenant_id],tblTenants[category],"NOT FOUND")</f>
        <v>Beauty</v>
      </c>
    </row>
    <row r="607" spans="1:17">
      <c r="A607" t="s">
        <v>651</v>
      </c>
      <c r="B607" s="2">
        <v>45693</v>
      </c>
      <c r="C607">
        <v>12</v>
      </c>
      <c r="D607" t="s">
        <v>122</v>
      </c>
      <c r="E607" t="s">
        <v>32</v>
      </c>
      <c r="F607" s="7">
        <v>1450.74</v>
      </c>
      <c r="G607" s="10">
        <v>0.05</v>
      </c>
      <c r="H607" s="7">
        <v>1378.2</v>
      </c>
      <c r="I607">
        <v>1</v>
      </c>
      <c r="J607" t="s">
        <v>13</v>
      </c>
      <c r="K607" s="13">
        <f>ROUND(tblTransactions[[#This Row],[gross_sales_inr]]*(1-tblTransactions[[#This Row],[discount_pct]]),2)</f>
        <v>1378.2</v>
      </c>
      <c r="L607" t="str">
        <f>IF(ABS(tblTransactions[[#This Row],[net_sales_inr]]-tblTransactions[[#This Row],[Recalc_Net_Sales]])&lt;0.02,"OK","CHECK")</f>
        <v>OK</v>
      </c>
      <c r="M607" s="14">
        <f>DATE(YEAR(tblTransactions[[#This Row],[date]]),MONTH(tblTransactions[[#This Row],[date]]),1)</f>
        <v>45689</v>
      </c>
      <c r="N607" t="str">
        <f>IF(WEEKDAY(tblTransactions[[#This Row],[date]],2)&gt;5,"Weekend","Weekday")</f>
        <v>Weekday</v>
      </c>
      <c r="O60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07" s="13" t="str">
        <f>_xlfn.XLOOKUP(tblTransactions[[#This Row],[tenant_id]],tblTenants[tenant_id],tblTenants[zone],"NOT FOUND")</f>
        <v>Beauty &amp; Wellness</v>
      </c>
      <c r="Q607" s="13" t="str">
        <f>_xlfn.XLOOKUP(tblTransactions[[#This Row],[tenant_id]],tblTenants[tenant_id],tblTenants[category],"NOT FOUND")</f>
        <v>Wellness</v>
      </c>
    </row>
    <row r="608" spans="1:17">
      <c r="A608" t="s">
        <v>652</v>
      </c>
      <c r="B608" s="2">
        <v>45834</v>
      </c>
      <c r="C608">
        <v>16</v>
      </c>
      <c r="D608" t="s">
        <v>36</v>
      </c>
      <c r="E608" t="s">
        <v>51</v>
      </c>
      <c r="F608" s="7">
        <v>1443.6</v>
      </c>
      <c r="G608" s="10">
        <v>0</v>
      </c>
      <c r="H608" s="7">
        <v>1443.6</v>
      </c>
      <c r="I608">
        <v>2</v>
      </c>
      <c r="J608" t="s">
        <v>16</v>
      </c>
      <c r="K608" s="13">
        <f>ROUND(tblTransactions[[#This Row],[gross_sales_inr]]*(1-tblTransactions[[#This Row],[discount_pct]]),2)</f>
        <v>1443.6</v>
      </c>
      <c r="L608" t="str">
        <f>IF(ABS(tblTransactions[[#This Row],[net_sales_inr]]-tblTransactions[[#This Row],[Recalc_Net_Sales]])&lt;0.02,"OK","CHECK")</f>
        <v>OK</v>
      </c>
      <c r="M608" s="14">
        <f>DATE(YEAR(tblTransactions[[#This Row],[date]]),MONTH(tblTransactions[[#This Row],[date]]),1)</f>
        <v>45809</v>
      </c>
      <c r="N608" t="str">
        <f>IF(WEEKDAY(tblTransactions[[#This Row],[date]],2)&gt;5,"Weekend","Weekday")</f>
        <v>Weekday</v>
      </c>
      <c r="O608" s="13" t="str">
        <f>IF(tblTransactions[[#This Row],[discount_pct]]=0,"0%",IF(tblTransactions[[#This Row],[discount_pct]]&lt;=10%,"1–
10%",IF(tblTransactions[[#This Row],[discount_pct]]&lt;=20%,"11–20%","&gt;20%")))</f>
        <v>0%</v>
      </c>
      <c r="P608" s="13" t="str">
        <f>_xlfn.XLOOKUP(tblTransactions[[#This Row],[tenant_id]],tblTenants[tenant_id],tblTenants[zone],"NOT FOUND")</f>
        <v>Home &amp; Living</v>
      </c>
      <c r="Q608" s="13" t="str">
        <f>_xlfn.XLOOKUP(tblTransactions[[#This Row],[tenant_id]],tblTenants[tenant_id],tblTenants[category],"NOT FOUND")</f>
        <v>Electronics</v>
      </c>
    </row>
    <row r="609" spans="1:17">
      <c r="A609" t="s">
        <v>653</v>
      </c>
      <c r="B609" s="2">
        <v>45799</v>
      </c>
      <c r="C609">
        <v>13</v>
      </c>
      <c r="D609" t="s">
        <v>55</v>
      </c>
      <c r="E609" t="s">
        <v>12</v>
      </c>
      <c r="F609" s="7">
        <v>1214.74</v>
      </c>
      <c r="G609" s="10">
        <v>0.15</v>
      </c>
      <c r="H609" s="7">
        <v>1032.53</v>
      </c>
      <c r="I609">
        <v>6</v>
      </c>
      <c r="J609" t="s">
        <v>13</v>
      </c>
      <c r="K609" s="13">
        <f>ROUND(tblTransactions[[#This Row],[gross_sales_inr]]*(1-tblTransactions[[#This Row],[discount_pct]]),2)</f>
        <v>1032.53</v>
      </c>
      <c r="L609" t="str">
        <f>IF(ABS(tblTransactions[[#This Row],[net_sales_inr]]-tblTransactions[[#This Row],[Recalc_Net_Sales]])&lt;0.02,"OK","CHECK")</f>
        <v>OK</v>
      </c>
      <c r="M609" s="14">
        <f>DATE(YEAR(tblTransactions[[#This Row],[date]]),MONTH(tblTransactions[[#This Row],[date]]),1)</f>
        <v>45778</v>
      </c>
      <c r="N609" t="str">
        <f>IF(WEEKDAY(tblTransactions[[#This Row],[date]],2)&gt;5,"Weekend","Weekday")</f>
        <v>Weekday</v>
      </c>
      <c r="O60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09" s="13" t="str">
        <f>_xlfn.XLOOKUP(tblTransactions[[#This Row],[tenant_id]],tblTenants[tenant_id],tblTenants[zone],"NOT FOUND")</f>
        <v>Food Court</v>
      </c>
      <c r="Q609" s="13" t="str">
        <f>_xlfn.XLOOKUP(tblTransactions[[#This Row],[tenant_id]],tblTenants[tenant_id],tblTenants[category],"NOT FOUND")</f>
        <v>Quick Service</v>
      </c>
    </row>
    <row r="610" spans="1:17">
      <c r="A610" t="s">
        <v>654</v>
      </c>
      <c r="B610" s="2">
        <v>45715</v>
      </c>
      <c r="C610">
        <v>19</v>
      </c>
      <c r="D610" t="s">
        <v>20</v>
      </c>
      <c r="E610" t="s">
        <v>12</v>
      </c>
      <c r="F610" s="7">
        <v>543.98</v>
      </c>
      <c r="G610" s="10">
        <v>0</v>
      </c>
      <c r="H610" s="7">
        <v>543.98</v>
      </c>
      <c r="I610">
        <v>4</v>
      </c>
      <c r="J610" t="s">
        <v>13</v>
      </c>
      <c r="K610" s="13">
        <f>ROUND(tblTransactions[[#This Row],[gross_sales_inr]]*(1-tblTransactions[[#This Row],[discount_pct]]),2)</f>
        <v>543.98</v>
      </c>
      <c r="L610" t="str">
        <f>IF(ABS(tblTransactions[[#This Row],[net_sales_inr]]-tblTransactions[[#This Row],[Recalc_Net_Sales]])&lt;0.02,"OK","CHECK")</f>
        <v>OK</v>
      </c>
      <c r="M610" s="14">
        <f>DATE(YEAR(tblTransactions[[#This Row],[date]]),MONTH(tblTransactions[[#This Row],[date]]),1)</f>
        <v>45689</v>
      </c>
      <c r="N610" t="str">
        <f>IF(WEEKDAY(tblTransactions[[#This Row],[date]],2)&gt;5,"Weekend","Weekday")</f>
        <v>Weekday</v>
      </c>
      <c r="O610" s="13" t="str">
        <f>IF(tblTransactions[[#This Row],[discount_pct]]=0,"0%",IF(tblTransactions[[#This Row],[discount_pct]]&lt;=10%,"1–
10%",IF(tblTransactions[[#This Row],[discount_pct]]&lt;=20%,"11–20%","&gt;20%")))</f>
        <v>0%</v>
      </c>
      <c r="P610" s="13" t="str">
        <f>_xlfn.XLOOKUP(tblTransactions[[#This Row],[tenant_id]],tblTenants[tenant_id],tblTenants[zone],"NOT FOUND")</f>
        <v>Fashion Avenue</v>
      </c>
      <c r="Q610" s="13" t="str">
        <f>_xlfn.XLOOKUP(tblTransactions[[#This Row],[tenant_id]],tblTenants[tenant_id],tblTenants[category],"NOT FOUND")</f>
        <v>Accessories</v>
      </c>
    </row>
    <row r="611" spans="1:17">
      <c r="A611" t="s">
        <v>655</v>
      </c>
      <c r="B611" s="2">
        <v>45797</v>
      </c>
      <c r="C611">
        <v>10</v>
      </c>
      <c r="D611" t="s">
        <v>85</v>
      </c>
      <c r="E611" t="s">
        <v>12</v>
      </c>
      <c r="F611" s="7">
        <v>3303.67</v>
      </c>
      <c r="G611" s="10">
        <v>0</v>
      </c>
      <c r="H611" s="7">
        <v>3303.67</v>
      </c>
      <c r="I611">
        <v>4</v>
      </c>
      <c r="J611" t="s">
        <v>13</v>
      </c>
      <c r="K611" s="13">
        <f>ROUND(tblTransactions[[#This Row],[gross_sales_inr]]*(1-tblTransactions[[#This Row],[discount_pct]]),2)</f>
        <v>3303.67</v>
      </c>
      <c r="L611" t="str">
        <f>IF(ABS(tblTransactions[[#This Row],[net_sales_inr]]-tblTransactions[[#This Row],[Recalc_Net_Sales]])&lt;0.02,"OK","CHECK")</f>
        <v>OK</v>
      </c>
      <c r="M611" s="14">
        <f>DATE(YEAR(tblTransactions[[#This Row],[date]]),MONTH(tblTransactions[[#This Row],[date]]),1)</f>
        <v>45778</v>
      </c>
      <c r="N611" t="str">
        <f>IF(WEEKDAY(tblTransactions[[#This Row],[date]],2)&gt;5,"Weekend","Weekday")</f>
        <v>Weekday</v>
      </c>
      <c r="O611" s="13" t="str">
        <f>IF(tblTransactions[[#This Row],[discount_pct]]=0,"0%",IF(tblTransactions[[#This Row],[discount_pct]]&lt;=10%,"1–
10%",IF(tblTransactions[[#This Row],[discount_pct]]&lt;=20%,"11–20%","&gt;20%")))</f>
        <v>0%</v>
      </c>
      <c r="P611" s="13" t="str">
        <f>_xlfn.XLOOKUP(tblTransactions[[#This Row],[tenant_id]],tblTenants[tenant_id],tblTenants[zone],"NOT FOUND")</f>
        <v>Home &amp; Living</v>
      </c>
      <c r="Q611" s="13" t="str">
        <f>_xlfn.XLOOKUP(tblTransactions[[#This Row],[tenant_id]],tblTenants[tenant_id],tblTenants[category],"NOT FOUND")</f>
        <v>Electronics</v>
      </c>
    </row>
    <row r="612" spans="1:17">
      <c r="A612" t="s">
        <v>656</v>
      </c>
      <c r="B612" s="2">
        <v>45706</v>
      </c>
      <c r="C612">
        <v>17</v>
      </c>
      <c r="D612" t="s">
        <v>70</v>
      </c>
      <c r="E612" t="s">
        <v>12</v>
      </c>
      <c r="F612" s="7">
        <v>1040.2</v>
      </c>
      <c r="G612" s="10">
        <v>0.1</v>
      </c>
      <c r="H612" s="7">
        <v>936.18</v>
      </c>
      <c r="I612">
        <v>6</v>
      </c>
      <c r="J612" t="s">
        <v>16</v>
      </c>
      <c r="K612" s="13">
        <f>ROUND(tblTransactions[[#This Row],[gross_sales_inr]]*(1-tblTransactions[[#This Row],[discount_pct]]),2)</f>
        <v>936.18</v>
      </c>
      <c r="L612" t="str">
        <f>IF(ABS(tblTransactions[[#This Row],[net_sales_inr]]-tblTransactions[[#This Row],[Recalc_Net_Sales]])&lt;0.02,"OK","CHECK")</f>
        <v>OK</v>
      </c>
      <c r="M612" s="14">
        <f>DATE(YEAR(tblTransactions[[#This Row],[date]]),MONTH(tblTransactions[[#This Row],[date]]),1)</f>
        <v>45689</v>
      </c>
      <c r="N612" t="str">
        <f>IF(WEEKDAY(tblTransactions[[#This Row],[date]],2)&gt;5,"Weekend","Weekday")</f>
        <v>Weekday</v>
      </c>
      <c r="O61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12" s="13" t="str">
        <f>_xlfn.XLOOKUP(tblTransactions[[#This Row],[tenant_id]],tblTenants[tenant_id],tblTenants[zone],"NOT FOUND")</f>
        <v>Food Court</v>
      </c>
      <c r="Q612" s="13" t="str">
        <f>_xlfn.XLOOKUP(tblTransactions[[#This Row],[tenant_id]],tblTenants[tenant_id],tblTenants[category],"NOT FOUND")</f>
        <v>Quick Service</v>
      </c>
    </row>
    <row r="613" spans="1:17">
      <c r="A613" t="s">
        <v>657</v>
      </c>
      <c r="B613" s="2">
        <v>45710</v>
      </c>
      <c r="C613">
        <v>16</v>
      </c>
      <c r="D613" t="s">
        <v>57</v>
      </c>
      <c r="E613" t="s">
        <v>32</v>
      </c>
      <c r="F613" s="7">
        <v>1183.0999999999999</v>
      </c>
      <c r="G613" s="10">
        <v>0</v>
      </c>
      <c r="H613" s="7">
        <v>1183.0999999999999</v>
      </c>
      <c r="I613">
        <v>4</v>
      </c>
      <c r="J613" t="s">
        <v>13</v>
      </c>
      <c r="K613" s="13">
        <f>ROUND(tblTransactions[[#This Row],[gross_sales_inr]]*(1-tblTransactions[[#This Row],[discount_pct]]),2)</f>
        <v>1183.0999999999999</v>
      </c>
      <c r="L613" t="str">
        <f>IF(ABS(tblTransactions[[#This Row],[net_sales_inr]]-tblTransactions[[#This Row],[Recalc_Net_Sales]])&lt;0.02,"OK","CHECK")</f>
        <v>OK</v>
      </c>
      <c r="M613" s="14">
        <f>DATE(YEAR(tblTransactions[[#This Row],[date]]),MONTH(tblTransactions[[#This Row],[date]]),1)</f>
        <v>45689</v>
      </c>
      <c r="N613" t="str">
        <f>IF(WEEKDAY(tblTransactions[[#This Row],[date]],2)&gt;5,"Weekend","Weekday")</f>
        <v>Weekend</v>
      </c>
      <c r="O613" s="13" t="str">
        <f>IF(tblTransactions[[#This Row],[discount_pct]]=0,"0%",IF(tblTransactions[[#This Row],[discount_pct]]&lt;=10%,"1–
10%",IF(tblTransactions[[#This Row],[discount_pct]]&lt;=20%,"11–20%","&gt;20%")))</f>
        <v>0%</v>
      </c>
      <c r="P613" s="13" t="str">
        <f>_xlfn.XLOOKUP(tblTransactions[[#This Row],[tenant_id]],tblTenants[tenant_id],tblTenants[zone],"NOT FOUND")</f>
        <v>Food Court</v>
      </c>
      <c r="Q613" s="13" t="str">
        <f>_xlfn.XLOOKUP(tblTransactions[[#This Row],[tenant_id]],tblTenants[tenant_id],tblTenants[category],"NOT FOUND")</f>
        <v>Casual Dining</v>
      </c>
    </row>
    <row r="614" spans="1:17">
      <c r="A614" t="s">
        <v>658</v>
      </c>
      <c r="B614" s="2">
        <v>45801</v>
      </c>
      <c r="C614">
        <v>19</v>
      </c>
      <c r="D614" t="s">
        <v>70</v>
      </c>
      <c r="E614" t="s">
        <v>32</v>
      </c>
      <c r="F614" s="7">
        <v>508</v>
      </c>
      <c r="G614" s="10">
        <v>0.05</v>
      </c>
      <c r="H614" s="7">
        <v>482.6</v>
      </c>
      <c r="I614">
        <v>1</v>
      </c>
      <c r="J614" t="s">
        <v>13</v>
      </c>
      <c r="K614" s="13">
        <f>ROUND(tblTransactions[[#This Row],[gross_sales_inr]]*(1-tblTransactions[[#This Row],[discount_pct]]),2)</f>
        <v>482.6</v>
      </c>
      <c r="L614" t="str">
        <f>IF(ABS(tblTransactions[[#This Row],[net_sales_inr]]-tblTransactions[[#This Row],[Recalc_Net_Sales]])&lt;0.02,"OK","CHECK")</f>
        <v>OK</v>
      </c>
      <c r="M614" s="14">
        <f>DATE(YEAR(tblTransactions[[#This Row],[date]]),MONTH(tblTransactions[[#This Row],[date]]),1)</f>
        <v>45778</v>
      </c>
      <c r="N614" t="str">
        <f>IF(WEEKDAY(tblTransactions[[#This Row],[date]],2)&gt;5,"Weekend","Weekday")</f>
        <v>Weekend</v>
      </c>
      <c r="O61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14" s="13" t="str">
        <f>_xlfn.XLOOKUP(tblTransactions[[#This Row],[tenant_id]],tblTenants[tenant_id],tblTenants[zone],"NOT FOUND")</f>
        <v>Food Court</v>
      </c>
      <c r="Q614" s="13" t="str">
        <f>_xlfn.XLOOKUP(tblTransactions[[#This Row],[tenant_id]],tblTenants[tenant_id],tblTenants[category],"NOT FOUND")</f>
        <v>Quick Service</v>
      </c>
    </row>
    <row r="615" spans="1:17">
      <c r="A615" t="s">
        <v>659</v>
      </c>
      <c r="B615" s="2">
        <v>45659</v>
      </c>
      <c r="C615">
        <v>12</v>
      </c>
      <c r="D615" t="s">
        <v>122</v>
      </c>
      <c r="E615" t="s">
        <v>21</v>
      </c>
      <c r="F615" s="7">
        <v>2306.73</v>
      </c>
      <c r="G615" s="10">
        <v>0.15</v>
      </c>
      <c r="H615" s="7">
        <v>1960.72</v>
      </c>
      <c r="I615">
        <v>1</v>
      </c>
      <c r="J615" t="s">
        <v>13</v>
      </c>
      <c r="K615" s="13">
        <f>ROUND(tblTransactions[[#This Row],[gross_sales_inr]]*(1-tblTransactions[[#This Row],[discount_pct]]),2)</f>
        <v>1960.72</v>
      </c>
      <c r="L615" t="str">
        <f>IF(ABS(tblTransactions[[#This Row],[net_sales_inr]]-tblTransactions[[#This Row],[Recalc_Net_Sales]])&lt;0.02,"OK","CHECK")</f>
        <v>OK</v>
      </c>
      <c r="M615" s="14">
        <f>DATE(YEAR(tblTransactions[[#This Row],[date]]),MONTH(tblTransactions[[#This Row],[date]]),1)</f>
        <v>45658</v>
      </c>
      <c r="N615" t="str">
        <f>IF(WEEKDAY(tblTransactions[[#This Row],[date]],2)&gt;5,"Weekend","Weekday")</f>
        <v>Weekday</v>
      </c>
      <c r="O61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15" s="13" t="str">
        <f>_xlfn.XLOOKUP(tblTransactions[[#This Row],[tenant_id]],tblTenants[tenant_id],tblTenants[zone],"NOT FOUND")</f>
        <v>Beauty &amp; Wellness</v>
      </c>
      <c r="Q615" s="13" t="str">
        <f>_xlfn.XLOOKUP(tblTransactions[[#This Row],[tenant_id]],tblTenants[tenant_id],tblTenants[category],"NOT FOUND")</f>
        <v>Wellness</v>
      </c>
    </row>
    <row r="616" spans="1:17">
      <c r="A616" t="s">
        <v>660</v>
      </c>
      <c r="B616" s="2">
        <v>45773</v>
      </c>
      <c r="C616">
        <v>11</v>
      </c>
      <c r="D616" t="s">
        <v>31</v>
      </c>
      <c r="E616" t="s">
        <v>32</v>
      </c>
      <c r="F616" s="7">
        <v>1414.91</v>
      </c>
      <c r="G616" s="10">
        <v>0</v>
      </c>
      <c r="H616" s="7">
        <v>1414.91</v>
      </c>
      <c r="I616">
        <v>1</v>
      </c>
      <c r="J616" t="s">
        <v>13</v>
      </c>
      <c r="K616" s="13">
        <f>ROUND(tblTransactions[[#This Row],[gross_sales_inr]]*(1-tblTransactions[[#This Row],[discount_pct]]),2)</f>
        <v>1414.91</v>
      </c>
      <c r="L616" t="str">
        <f>IF(ABS(tblTransactions[[#This Row],[net_sales_inr]]-tblTransactions[[#This Row],[Recalc_Net_Sales]])&lt;0.02,"OK","CHECK")</f>
        <v>OK</v>
      </c>
      <c r="M616" s="14">
        <f>DATE(YEAR(tblTransactions[[#This Row],[date]]),MONTH(tblTransactions[[#This Row],[date]]),1)</f>
        <v>45748</v>
      </c>
      <c r="N616" t="str">
        <f>IF(WEEKDAY(tblTransactions[[#This Row],[date]],2)&gt;5,"Weekend","Weekday")</f>
        <v>Weekend</v>
      </c>
      <c r="O616" s="13" t="str">
        <f>IF(tblTransactions[[#This Row],[discount_pct]]=0,"0%",IF(tblTransactions[[#This Row],[discount_pct]]&lt;=10%,"1–
10%",IF(tblTransactions[[#This Row],[discount_pct]]&lt;=20%,"11–20%","&gt;20%")))</f>
        <v>0%</v>
      </c>
      <c r="P616" s="13" t="str">
        <f>_xlfn.XLOOKUP(tblTransactions[[#This Row],[tenant_id]],tblTenants[tenant_id],tblTenants[zone],"NOT FOUND")</f>
        <v>Entertainment</v>
      </c>
      <c r="Q616" s="13" t="str">
        <f>_xlfn.XLOOKUP(tblTransactions[[#This Row],[tenant_id]],tblTenants[tenant_id],tblTenants[category],"NOT FOUND")</f>
        <v>Arcade</v>
      </c>
    </row>
    <row r="617" spans="1:17">
      <c r="A617" t="s">
        <v>661</v>
      </c>
      <c r="B617" s="2">
        <v>45706</v>
      </c>
      <c r="C617">
        <v>18</v>
      </c>
      <c r="D617" t="s">
        <v>25</v>
      </c>
      <c r="E617" t="s">
        <v>32</v>
      </c>
      <c r="F617" s="7">
        <v>381.39</v>
      </c>
      <c r="G617" s="10">
        <v>0.1</v>
      </c>
      <c r="H617" s="7">
        <v>343.25</v>
      </c>
      <c r="I617">
        <v>1</v>
      </c>
      <c r="J617" t="s">
        <v>13</v>
      </c>
      <c r="K617" s="13">
        <f>ROUND(tblTransactions[[#This Row],[gross_sales_inr]]*(1-tblTransactions[[#This Row],[discount_pct]]),2)</f>
        <v>343.25</v>
      </c>
      <c r="L617" t="str">
        <f>IF(ABS(tblTransactions[[#This Row],[net_sales_inr]]-tblTransactions[[#This Row],[Recalc_Net_Sales]])&lt;0.02,"OK","CHECK")</f>
        <v>OK</v>
      </c>
      <c r="M617" s="14">
        <f>DATE(YEAR(tblTransactions[[#This Row],[date]]),MONTH(tblTransactions[[#This Row],[date]]),1)</f>
        <v>45689</v>
      </c>
      <c r="N617" t="str">
        <f>IF(WEEKDAY(tblTransactions[[#This Row],[date]],2)&gt;5,"Weekend","Weekday")</f>
        <v>Weekday</v>
      </c>
      <c r="O61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17" s="13" t="str">
        <f>_xlfn.XLOOKUP(tblTransactions[[#This Row],[tenant_id]],tblTenants[tenant_id],tblTenants[zone],"NOT FOUND")</f>
        <v>Beauty &amp; Wellness</v>
      </c>
      <c r="Q617" s="13" t="str">
        <f>_xlfn.XLOOKUP(tblTransactions[[#This Row],[tenant_id]],tblTenants[tenant_id],tblTenants[category],"NOT FOUND")</f>
        <v>Beauty</v>
      </c>
    </row>
    <row r="618" spans="1:17">
      <c r="A618" t="s">
        <v>662</v>
      </c>
      <c r="B618" s="2">
        <v>45818</v>
      </c>
      <c r="C618">
        <v>16</v>
      </c>
      <c r="D618" t="s">
        <v>61</v>
      </c>
      <c r="E618" t="s">
        <v>12</v>
      </c>
      <c r="F618" s="7">
        <v>856.23</v>
      </c>
      <c r="G618" s="10">
        <v>0</v>
      </c>
      <c r="H618" s="7">
        <v>856.23</v>
      </c>
      <c r="I618">
        <v>3</v>
      </c>
      <c r="J618" t="s">
        <v>16</v>
      </c>
      <c r="K618" s="13">
        <f>ROUND(tblTransactions[[#This Row],[gross_sales_inr]]*(1-tblTransactions[[#This Row],[discount_pct]]),2)</f>
        <v>856.23</v>
      </c>
      <c r="L618" t="str">
        <f>IF(ABS(tblTransactions[[#This Row],[net_sales_inr]]-tblTransactions[[#This Row],[Recalc_Net_Sales]])&lt;0.02,"OK","CHECK")</f>
        <v>OK</v>
      </c>
      <c r="M618" s="14">
        <f>DATE(YEAR(tblTransactions[[#This Row],[date]]),MONTH(tblTransactions[[#This Row],[date]]),1)</f>
        <v>45809</v>
      </c>
      <c r="N618" t="str">
        <f>IF(WEEKDAY(tblTransactions[[#This Row],[date]],2)&gt;5,"Weekend","Weekday")</f>
        <v>Weekday</v>
      </c>
      <c r="O618" s="13" t="str">
        <f>IF(tblTransactions[[#This Row],[discount_pct]]=0,"0%",IF(tblTransactions[[#This Row],[discount_pct]]&lt;=10%,"1–
10%",IF(tblTransactions[[#This Row],[discount_pct]]&lt;=20%,"11–20%","&gt;20%")))</f>
        <v>0%</v>
      </c>
      <c r="P618" s="13" t="str">
        <f>_xlfn.XLOOKUP(tblTransactions[[#This Row],[tenant_id]],tblTenants[tenant_id],tblTenants[zone],"NOT FOUND")</f>
        <v>Food Court</v>
      </c>
      <c r="Q618" s="13" t="str">
        <f>_xlfn.XLOOKUP(tblTransactions[[#This Row],[tenant_id]],tblTenants[tenant_id],tblTenants[category],"NOT FOUND")</f>
        <v>Quick Service</v>
      </c>
    </row>
    <row r="619" spans="1:17">
      <c r="A619" t="s">
        <v>663</v>
      </c>
      <c r="B619" s="2">
        <v>45778</v>
      </c>
      <c r="C619">
        <v>15</v>
      </c>
      <c r="D619" t="s">
        <v>31</v>
      </c>
      <c r="E619" t="s">
        <v>12</v>
      </c>
      <c r="F619" s="7">
        <v>1558.02</v>
      </c>
      <c r="G619" s="10">
        <v>0</v>
      </c>
      <c r="H619" s="7">
        <v>1558.02</v>
      </c>
      <c r="I619">
        <v>3</v>
      </c>
      <c r="J619" t="s">
        <v>13</v>
      </c>
      <c r="K619" s="13">
        <f>ROUND(tblTransactions[[#This Row],[gross_sales_inr]]*(1-tblTransactions[[#This Row],[discount_pct]]),2)</f>
        <v>1558.02</v>
      </c>
      <c r="L619" t="str">
        <f>IF(ABS(tblTransactions[[#This Row],[net_sales_inr]]-tblTransactions[[#This Row],[Recalc_Net_Sales]])&lt;0.02,"OK","CHECK")</f>
        <v>OK</v>
      </c>
      <c r="M619" s="14">
        <f>DATE(YEAR(tblTransactions[[#This Row],[date]]),MONTH(tblTransactions[[#This Row],[date]]),1)</f>
        <v>45778</v>
      </c>
      <c r="N619" t="str">
        <f>IF(WEEKDAY(tblTransactions[[#This Row],[date]],2)&gt;5,"Weekend","Weekday")</f>
        <v>Weekday</v>
      </c>
      <c r="O619" s="13" t="str">
        <f>IF(tblTransactions[[#This Row],[discount_pct]]=0,"0%",IF(tblTransactions[[#This Row],[discount_pct]]&lt;=10%,"1–
10%",IF(tblTransactions[[#This Row],[discount_pct]]&lt;=20%,"11–20%","&gt;20%")))</f>
        <v>0%</v>
      </c>
      <c r="P619" s="13" t="str">
        <f>_xlfn.XLOOKUP(tblTransactions[[#This Row],[tenant_id]],tblTenants[tenant_id],tblTenants[zone],"NOT FOUND")</f>
        <v>Entertainment</v>
      </c>
      <c r="Q619" s="13" t="str">
        <f>_xlfn.XLOOKUP(tblTransactions[[#This Row],[tenant_id]],tblTenants[tenant_id],tblTenants[category],"NOT FOUND")</f>
        <v>Arcade</v>
      </c>
    </row>
    <row r="620" spans="1:17">
      <c r="A620" t="s">
        <v>664</v>
      </c>
      <c r="B620" s="2">
        <v>45673</v>
      </c>
      <c r="C620">
        <v>21</v>
      </c>
      <c r="D620" t="s">
        <v>23</v>
      </c>
      <c r="E620" t="s">
        <v>12</v>
      </c>
      <c r="F620" s="7">
        <v>736.03</v>
      </c>
      <c r="G620" s="10">
        <v>0</v>
      </c>
      <c r="H620" s="7">
        <v>736.03</v>
      </c>
      <c r="I620">
        <v>2</v>
      </c>
      <c r="J620" t="s">
        <v>16</v>
      </c>
      <c r="K620" s="13">
        <f>ROUND(tblTransactions[[#This Row],[gross_sales_inr]]*(1-tblTransactions[[#This Row],[discount_pct]]),2)</f>
        <v>736.03</v>
      </c>
      <c r="L620" t="str">
        <f>IF(ABS(tblTransactions[[#This Row],[net_sales_inr]]-tblTransactions[[#This Row],[Recalc_Net_Sales]])&lt;0.02,"OK","CHECK")</f>
        <v>OK</v>
      </c>
      <c r="M620" s="14">
        <f>DATE(YEAR(tblTransactions[[#This Row],[date]]),MONTH(tblTransactions[[#This Row],[date]]),1)</f>
        <v>45658</v>
      </c>
      <c r="N620" t="str">
        <f>IF(WEEKDAY(tblTransactions[[#This Row],[date]],2)&gt;5,"Weekend","Weekday")</f>
        <v>Weekday</v>
      </c>
      <c r="O620" s="13" t="str">
        <f>IF(tblTransactions[[#This Row],[discount_pct]]=0,"0%",IF(tblTransactions[[#This Row],[discount_pct]]&lt;=10%,"1–
10%",IF(tblTransactions[[#This Row],[discount_pct]]&lt;=20%,"11–20%","&gt;20%")))</f>
        <v>0%</v>
      </c>
      <c r="P620" s="13" t="str">
        <f>_xlfn.XLOOKUP(tblTransactions[[#This Row],[tenant_id]],tblTenants[tenant_id],tblTenants[zone],"NOT FOUND")</f>
        <v>Entertainment</v>
      </c>
      <c r="Q620" s="13" t="str">
        <f>_xlfn.XLOOKUP(tblTransactions[[#This Row],[tenant_id]],tblTenants[tenant_id],tblTenants[category],"NOT FOUND")</f>
        <v>Cinema</v>
      </c>
    </row>
    <row r="621" spans="1:17">
      <c r="A621" t="s">
        <v>665</v>
      </c>
      <c r="B621" s="2">
        <v>45660</v>
      </c>
      <c r="C621">
        <v>19</v>
      </c>
      <c r="D621" t="s">
        <v>53</v>
      </c>
      <c r="E621" t="s">
        <v>12</v>
      </c>
      <c r="F621" s="7">
        <v>4882.59</v>
      </c>
      <c r="G621" s="10">
        <v>0.15</v>
      </c>
      <c r="H621" s="7">
        <v>4150.2</v>
      </c>
      <c r="I621">
        <v>3</v>
      </c>
      <c r="J621" t="s">
        <v>13</v>
      </c>
      <c r="K621" s="13">
        <f>ROUND(tblTransactions[[#This Row],[gross_sales_inr]]*(1-tblTransactions[[#This Row],[discount_pct]]),2)</f>
        <v>4150.2</v>
      </c>
      <c r="L621" t="str">
        <f>IF(ABS(tblTransactions[[#This Row],[net_sales_inr]]-tblTransactions[[#This Row],[Recalc_Net_Sales]])&lt;0.02,"OK","CHECK")</f>
        <v>OK</v>
      </c>
      <c r="M621" s="14">
        <f>DATE(YEAR(tblTransactions[[#This Row],[date]]),MONTH(tblTransactions[[#This Row],[date]]),1)</f>
        <v>45658</v>
      </c>
      <c r="N621" t="str">
        <f>IF(WEEKDAY(tblTransactions[[#This Row],[date]],2)&gt;5,"Weekend","Weekday")</f>
        <v>Weekday</v>
      </c>
      <c r="O62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21" s="13" t="str">
        <f>_xlfn.XLOOKUP(tblTransactions[[#This Row],[tenant_id]],tblTenants[tenant_id],tblTenants[zone],"NOT FOUND")</f>
        <v>Beauty &amp; Wellness</v>
      </c>
      <c r="Q621" s="13" t="str">
        <f>_xlfn.XLOOKUP(tblTransactions[[#This Row],[tenant_id]],tblTenants[tenant_id],tblTenants[category],"NOT FOUND")</f>
        <v>Beauty</v>
      </c>
    </row>
    <row r="622" spans="1:17">
      <c r="A622" t="s">
        <v>666</v>
      </c>
      <c r="B622" s="2">
        <v>45711</v>
      </c>
      <c r="C622">
        <v>16</v>
      </c>
      <c r="D622" t="s">
        <v>55</v>
      </c>
      <c r="E622" t="s">
        <v>51</v>
      </c>
      <c r="F622" s="7">
        <v>647.20000000000005</v>
      </c>
      <c r="G622" s="10">
        <v>0.05</v>
      </c>
      <c r="H622" s="7">
        <v>614.84</v>
      </c>
      <c r="I622">
        <v>1</v>
      </c>
      <c r="J622" t="s">
        <v>13</v>
      </c>
      <c r="K622" s="13">
        <f>ROUND(tblTransactions[[#This Row],[gross_sales_inr]]*(1-tblTransactions[[#This Row],[discount_pct]]),2)</f>
        <v>614.84</v>
      </c>
      <c r="L622" t="str">
        <f>IF(ABS(tblTransactions[[#This Row],[net_sales_inr]]-tblTransactions[[#This Row],[Recalc_Net_Sales]])&lt;0.02,"OK","CHECK")</f>
        <v>OK</v>
      </c>
      <c r="M622" s="14">
        <f>DATE(YEAR(tblTransactions[[#This Row],[date]]),MONTH(tblTransactions[[#This Row],[date]]),1)</f>
        <v>45689</v>
      </c>
      <c r="N622" t="str">
        <f>IF(WEEKDAY(tblTransactions[[#This Row],[date]],2)&gt;5,"Weekend","Weekday")</f>
        <v>Weekend</v>
      </c>
      <c r="O62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22" s="13" t="str">
        <f>_xlfn.XLOOKUP(tblTransactions[[#This Row],[tenant_id]],tblTenants[tenant_id],tblTenants[zone],"NOT FOUND")</f>
        <v>Food Court</v>
      </c>
      <c r="Q622" s="13" t="str">
        <f>_xlfn.XLOOKUP(tblTransactions[[#This Row],[tenant_id]],tblTenants[tenant_id],tblTenants[category],"NOT FOUND")</f>
        <v>Quick Service</v>
      </c>
    </row>
    <row r="623" spans="1:17">
      <c r="A623" t="s">
        <v>667</v>
      </c>
      <c r="B623" s="2">
        <v>45837</v>
      </c>
      <c r="C623">
        <v>14</v>
      </c>
      <c r="D623" t="s">
        <v>59</v>
      </c>
      <c r="E623" t="s">
        <v>32</v>
      </c>
      <c r="F623" s="7">
        <v>751.05</v>
      </c>
      <c r="G623" s="10">
        <v>0.1</v>
      </c>
      <c r="H623" s="7">
        <v>675.94</v>
      </c>
      <c r="I623">
        <v>2</v>
      </c>
      <c r="J623" t="s">
        <v>13</v>
      </c>
      <c r="K623" s="13">
        <f>ROUND(tblTransactions[[#This Row],[gross_sales_inr]]*(1-tblTransactions[[#This Row],[discount_pct]]),2)</f>
        <v>675.95</v>
      </c>
      <c r="L623" t="str">
        <f>IF(ABS(tblTransactions[[#This Row],[net_sales_inr]]-tblTransactions[[#This Row],[Recalc_Net_Sales]])&lt;0.02,"OK","CHECK")</f>
        <v>OK</v>
      </c>
      <c r="M623" s="14">
        <f>DATE(YEAR(tblTransactions[[#This Row],[date]]),MONTH(tblTransactions[[#This Row],[date]]),1)</f>
        <v>45809</v>
      </c>
      <c r="N623" t="str">
        <f>IF(WEEKDAY(tblTransactions[[#This Row],[date]],2)&gt;5,"Weekend","Weekday")</f>
        <v>Weekend</v>
      </c>
      <c r="O62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23" s="13" t="str">
        <f>_xlfn.XLOOKUP(tblTransactions[[#This Row],[tenant_id]],tblTenants[tenant_id],tblTenants[zone],"NOT FOUND")</f>
        <v>Fashion Avenue</v>
      </c>
      <c r="Q623" s="13" t="str">
        <f>_xlfn.XLOOKUP(tblTransactions[[#This Row],[tenant_id]],tblTenants[tenant_id],tblTenants[category],"NOT FOUND")</f>
        <v>Footwear</v>
      </c>
    </row>
    <row r="624" spans="1:17">
      <c r="A624" t="s">
        <v>668</v>
      </c>
      <c r="B624" s="2">
        <v>45768</v>
      </c>
      <c r="C624">
        <v>17</v>
      </c>
      <c r="D624" t="s">
        <v>59</v>
      </c>
      <c r="E624" t="s">
        <v>12</v>
      </c>
      <c r="F624" s="7">
        <v>1764.12</v>
      </c>
      <c r="G624" s="10">
        <v>0</v>
      </c>
      <c r="H624" s="7">
        <v>1764.12</v>
      </c>
      <c r="I624">
        <v>5</v>
      </c>
      <c r="J624" t="s">
        <v>13</v>
      </c>
      <c r="K624" s="13">
        <f>ROUND(tblTransactions[[#This Row],[gross_sales_inr]]*(1-tblTransactions[[#This Row],[discount_pct]]),2)</f>
        <v>1764.12</v>
      </c>
      <c r="L624" t="str">
        <f>IF(ABS(tblTransactions[[#This Row],[net_sales_inr]]-tblTransactions[[#This Row],[Recalc_Net_Sales]])&lt;0.02,"OK","CHECK")</f>
        <v>OK</v>
      </c>
      <c r="M624" s="14">
        <f>DATE(YEAR(tblTransactions[[#This Row],[date]]),MONTH(tblTransactions[[#This Row],[date]]),1)</f>
        <v>45748</v>
      </c>
      <c r="N624" t="str">
        <f>IF(WEEKDAY(tblTransactions[[#This Row],[date]],2)&gt;5,"Weekend","Weekday")</f>
        <v>Weekday</v>
      </c>
      <c r="O624" s="13" t="str">
        <f>IF(tblTransactions[[#This Row],[discount_pct]]=0,"0%",IF(tblTransactions[[#This Row],[discount_pct]]&lt;=10%,"1–
10%",IF(tblTransactions[[#This Row],[discount_pct]]&lt;=20%,"11–20%","&gt;20%")))</f>
        <v>0%</v>
      </c>
      <c r="P624" s="13" t="str">
        <f>_xlfn.XLOOKUP(tblTransactions[[#This Row],[tenant_id]],tblTenants[tenant_id],tblTenants[zone],"NOT FOUND")</f>
        <v>Fashion Avenue</v>
      </c>
      <c r="Q624" s="13" t="str">
        <f>_xlfn.XLOOKUP(tblTransactions[[#This Row],[tenant_id]],tblTenants[tenant_id],tblTenants[category],"NOT FOUND")</f>
        <v>Footwear</v>
      </c>
    </row>
    <row r="625" spans="1:17">
      <c r="A625" t="s">
        <v>669</v>
      </c>
      <c r="B625" s="2">
        <v>45665</v>
      </c>
      <c r="C625">
        <v>11</v>
      </c>
      <c r="D625" t="s">
        <v>25</v>
      </c>
      <c r="E625" t="s">
        <v>21</v>
      </c>
      <c r="F625" s="7">
        <v>366.68</v>
      </c>
      <c r="G625" s="10">
        <v>0.3</v>
      </c>
      <c r="H625" s="7">
        <v>256.68</v>
      </c>
      <c r="I625">
        <v>2</v>
      </c>
      <c r="J625" t="s">
        <v>16</v>
      </c>
      <c r="K625" s="13">
        <f>ROUND(tblTransactions[[#This Row],[gross_sales_inr]]*(1-tblTransactions[[#This Row],[discount_pct]]),2)</f>
        <v>256.68</v>
      </c>
      <c r="L625" t="str">
        <f>IF(ABS(tblTransactions[[#This Row],[net_sales_inr]]-tblTransactions[[#This Row],[Recalc_Net_Sales]])&lt;0.02,"OK","CHECK")</f>
        <v>OK</v>
      </c>
      <c r="M625" s="14">
        <f>DATE(YEAR(tblTransactions[[#This Row],[date]]),MONTH(tblTransactions[[#This Row],[date]]),1)</f>
        <v>45658</v>
      </c>
      <c r="N625" t="str">
        <f>IF(WEEKDAY(tblTransactions[[#This Row],[date]],2)&gt;5,"Weekend","Weekday")</f>
        <v>Weekday</v>
      </c>
      <c r="O625" s="13" t="str">
        <f>IF(tblTransactions[[#This Row],[discount_pct]]=0,"0%",IF(tblTransactions[[#This Row],[discount_pct]]&lt;=10%,"1–
10%",IF(tblTransactions[[#This Row],[discount_pct]]&lt;=20%,"11–20%","&gt;20%")))</f>
        <v>&gt;20%</v>
      </c>
      <c r="P625" s="13" t="str">
        <f>_xlfn.XLOOKUP(tblTransactions[[#This Row],[tenant_id]],tblTenants[tenant_id],tblTenants[zone],"NOT FOUND")</f>
        <v>Beauty &amp; Wellness</v>
      </c>
      <c r="Q625" s="13" t="str">
        <f>_xlfn.XLOOKUP(tblTransactions[[#This Row],[tenant_id]],tblTenants[tenant_id],tblTenants[category],"NOT FOUND")</f>
        <v>Beauty</v>
      </c>
    </row>
    <row r="626" spans="1:17">
      <c r="A626" t="s">
        <v>670</v>
      </c>
      <c r="B626" s="2">
        <v>45795</v>
      </c>
      <c r="C626">
        <v>14</v>
      </c>
      <c r="D626" t="s">
        <v>29</v>
      </c>
      <c r="E626" t="s">
        <v>12</v>
      </c>
      <c r="F626" s="7">
        <v>2578.35</v>
      </c>
      <c r="G626" s="10">
        <v>0.2</v>
      </c>
      <c r="H626" s="7">
        <v>2062.6799999999998</v>
      </c>
      <c r="I626">
        <v>1</v>
      </c>
      <c r="J626" t="s">
        <v>13</v>
      </c>
      <c r="K626" s="13">
        <f>ROUND(tblTransactions[[#This Row],[gross_sales_inr]]*(1-tblTransactions[[#This Row],[discount_pct]]),2)</f>
        <v>2062.6799999999998</v>
      </c>
      <c r="L626" t="str">
        <f>IF(ABS(tblTransactions[[#This Row],[net_sales_inr]]-tblTransactions[[#This Row],[Recalc_Net_Sales]])&lt;0.02,"OK","CHECK")</f>
        <v>OK</v>
      </c>
      <c r="M626" s="14">
        <f>DATE(YEAR(tblTransactions[[#This Row],[date]]),MONTH(tblTransactions[[#This Row],[date]]),1)</f>
        <v>45778</v>
      </c>
      <c r="N626" t="str">
        <f>IF(WEEKDAY(tblTransactions[[#This Row],[date]],2)&gt;5,"Weekend","Weekday")</f>
        <v>Weekend</v>
      </c>
      <c r="O62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26" s="13" t="str">
        <f>_xlfn.XLOOKUP(tblTransactions[[#This Row],[tenant_id]],tblTenants[tenant_id],tblTenants[zone],"NOT FOUND")</f>
        <v>Entertainment</v>
      </c>
      <c r="Q626" s="13" t="str">
        <f>_xlfn.XLOOKUP(tblTransactions[[#This Row],[tenant_id]],tblTenants[tenant_id],tblTenants[category],"NOT FOUND")</f>
        <v>Cinema</v>
      </c>
    </row>
    <row r="627" spans="1:17">
      <c r="A627" t="s">
        <v>671</v>
      </c>
      <c r="B627" s="2">
        <v>45805</v>
      </c>
      <c r="C627">
        <v>12</v>
      </c>
      <c r="D627" t="s">
        <v>57</v>
      </c>
      <c r="E627" t="s">
        <v>32</v>
      </c>
      <c r="F627" s="7">
        <v>635.94000000000005</v>
      </c>
      <c r="G627" s="10">
        <v>0.05</v>
      </c>
      <c r="H627" s="7">
        <v>604.14</v>
      </c>
      <c r="I627">
        <v>4</v>
      </c>
      <c r="J627" t="s">
        <v>13</v>
      </c>
      <c r="K627" s="13">
        <f>ROUND(tblTransactions[[#This Row],[gross_sales_inr]]*(1-tblTransactions[[#This Row],[discount_pct]]),2)</f>
        <v>604.14</v>
      </c>
      <c r="L627" t="str">
        <f>IF(ABS(tblTransactions[[#This Row],[net_sales_inr]]-tblTransactions[[#This Row],[Recalc_Net_Sales]])&lt;0.02,"OK","CHECK")</f>
        <v>OK</v>
      </c>
      <c r="M627" s="14">
        <f>DATE(YEAR(tblTransactions[[#This Row],[date]]),MONTH(tblTransactions[[#This Row],[date]]),1)</f>
        <v>45778</v>
      </c>
      <c r="N627" t="str">
        <f>IF(WEEKDAY(tblTransactions[[#This Row],[date]],2)&gt;5,"Weekend","Weekday")</f>
        <v>Weekday</v>
      </c>
      <c r="O62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27" s="13" t="str">
        <f>_xlfn.XLOOKUP(tblTransactions[[#This Row],[tenant_id]],tblTenants[tenant_id],tblTenants[zone],"NOT FOUND")</f>
        <v>Food Court</v>
      </c>
      <c r="Q627" s="13" t="str">
        <f>_xlfn.XLOOKUP(tblTransactions[[#This Row],[tenant_id]],tblTenants[tenant_id],tblTenants[category],"NOT FOUND")</f>
        <v>Casual Dining</v>
      </c>
    </row>
    <row r="628" spans="1:17">
      <c r="A628" t="s">
        <v>672</v>
      </c>
      <c r="B628" s="2">
        <v>45675</v>
      </c>
      <c r="C628">
        <v>21</v>
      </c>
      <c r="D628" t="s">
        <v>87</v>
      </c>
      <c r="E628" t="s">
        <v>32</v>
      </c>
      <c r="F628" s="7">
        <v>1230.53</v>
      </c>
      <c r="G628" s="10">
        <v>0.1</v>
      </c>
      <c r="H628" s="7">
        <v>1107.48</v>
      </c>
      <c r="I628">
        <v>1</v>
      </c>
      <c r="J628" t="s">
        <v>16</v>
      </c>
      <c r="K628" s="13">
        <f>ROUND(tblTransactions[[#This Row],[gross_sales_inr]]*(1-tblTransactions[[#This Row],[discount_pct]]),2)</f>
        <v>1107.48</v>
      </c>
      <c r="L628" t="str">
        <f>IF(ABS(tblTransactions[[#This Row],[net_sales_inr]]-tblTransactions[[#This Row],[Recalc_Net_Sales]])&lt;0.02,"OK","CHECK")</f>
        <v>OK</v>
      </c>
      <c r="M628" s="14">
        <f>DATE(YEAR(tblTransactions[[#This Row],[date]]),MONTH(tblTransactions[[#This Row],[date]]),1)</f>
        <v>45658</v>
      </c>
      <c r="N628" t="str">
        <f>IF(WEEKDAY(tblTransactions[[#This Row],[date]],2)&gt;5,"Weekend","Weekday")</f>
        <v>Weekend</v>
      </c>
      <c r="O62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28" s="13" t="str">
        <f>_xlfn.XLOOKUP(tblTransactions[[#This Row],[tenant_id]],tblTenants[tenant_id],tblTenants[zone],"NOT FOUND")</f>
        <v>Fashion Avenue</v>
      </c>
      <c r="Q628" s="13" t="str">
        <f>_xlfn.XLOOKUP(tblTransactions[[#This Row],[tenant_id]],tblTenants[tenant_id],tblTenants[category],"NOT FOUND")</f>
        <v>Footwear</v>
      </c>
    </row>
    <row r="629" spans="1:17">
      <c r="A629" t="s">
        <v>673</v>
      </c>
      <c r="B629" s="2">
        <v>45659</v>
      </c>
      <c r="C629">
        <v>12</v>
      </c>
      <c r="D629" t="s">
        <v>53</v>
      </c>
      <c r="E629" t="s">
        <v>51</v>
      </c>
      <c r="F629" s="7">
        <v>619.80999999999995</v>
      </c>
      <c r="G629" s="10">
        <v>0.15</v>
      </c>
      <c r="H629" s="7">
        <v>526.84</v>
      </c>
      <c r="I629">
        <v>6</v>
      </c>
      <c r="J629" t="s">
        <v>13</v>
      </c>
      <c r="K629" s="13">
        <f>ROUND(tblTransactions[[#This Row],[gross_sales_inr]]*(1-tblTransactions[[#This Row],[discount_pct]]),2)</f>
        <v>526.84</v>
      </c>
      <c r="L629" t="str">
        <f>IF(ABS(tblTransactions[[#This Row],[net_sales_inr]]-tblTransactions[[#This Row],[Recalc_Net_Sales]])&lt;0.02,"OK","CHECK")</f>
        <v>OK</v>
      </c>
      <c r="M629" s="14">
        <f>DATE(YEAR(tblTransactions[[#This Row],[date]]),MONTH(tblTransactions[[#This Row],[date]]),1)</f>
        <v>45658</v>
      </c>
      <c r="N629" t="str">
        <f>IF(WEEKDAY(tblTransactions[[#This Row],[date]],2)&gt;5,"Weekend","Weekday")</f>
        <v>Weekday</v>
      </c>
      <c r="O62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29" s="13" t="str">
        <f>_xlfn.XLOOKUP(tblTransactions[[#This Row],[tenant_id]],tblTenants[tenant_id],tblTenants[zone],"NOT FOUND")</f>
        <v>Beauty &amp; Wellness</v>
      </c>
      <c r="Q629" s="13" t="str">
        <f>_xlfn.XLOOKUP(tblTransactions[[#This Row],[tenant_id]],tblTenants[tenant_id],tblTenants[category],"NOT FOUND")</f>
        <v>Beauty</v>
      </c>
    </row>
    <row r="630" spans="1:17">
      <c r="A630" t="s">
        <v>674</v>
      </c>
      <c r="B630" s="2">
        <v>45789</v>
      </c>
      <c r="C630">
        <v>11</v>
      </c>
      <c r="D630" t="s">
        <v>204</v>
      </c>
      <c r="E630" t="s">
        <v>12</v>
      </c>
      <c r="F630" s="7">
        <v>907.86</v>
      </c>
      <c r="G630" s="10">
        <v>0.15</v>
      </c>
      <c r="H630" s="7">
        <v>771.68</v>
      </c>
      <c r="I630">
        <v>1</v>
      </c>
      <c r="J630" t="s">
        <v>13</v>
      </c>
      <c r="K630" s="13">
        <f>ROUND(tblTransactions[[#This Row],[gross_sales_inr]]*(1-tblTransactions[[#This Row],[discount_pct]]),2)</f>
        <v>771.68</v>
      </c>
      <c r="L630" t="str">
        <f>IF(ABS(tblTransactions[[#This Row],[net_sales_inr]]-tblTransactions[[#This Row],[Recalc_Net_Sales]])&lt;0.02,"OK","CHECK")</f>
        <v>OK</v>
      </c>
      <c r="M630" s="14">
        <f>DATE(YEAR(tblTransactions[[#This Row],[date]]),MONTH(tblTransactions[[#This Row],[date]]),1)</f>
        <v>45778</v>
      </c>
      <c r="N630" t="str">
        <f>IF(WEEKDAY(tblTransactions[[#This Row],[date]],2)&gt;5,"Weekend","Weekday")</f>
        <v>Weekday</v>
      </c>
      <c r="O63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30" s="13" t="str">
        <f>_xlfn.XLOOKUP(tblTransactions[[#This Row],[tenant_id]],tblTenants[tenant_id],tblTenants[zone],"NOT FOUND")</f>
        <v>Home &amp; Living</v>
      </c>
      <c r="Q630" s="13" t="str">
        <f>_xlfn.XLOOKUP(tblTransactions[[#This Row],[tenant_id]],tblTenants[tenant_id],tblTenants[category],"NOT FOUND")</f>
        <v>Home Decor</v>
      </c>
    </row>
    <row r="631" spans="1:17">
      <c r="A631" t="s">
        <v>675</v>
      </c>
      <c r="B631" s="2">
        <v>45814</v>
      </c>
      <c r="C631">
        <v>12</v>
      </c>
      <c r="D631" t="s">
        <v>43</v>
      </c>
      <c r="E631" t="s">
        <v>12</v>
      </c>
      <c r="F631" s="7">
        <v>1617.54</v>
      </c>
      <c r="G631" s="10">
        <v>0.05</v>
      </c>
      <c r="H631" s="7">
        <v>1536.66</v>
      </c>
      <c r="I631">
        <v>1</v>
      </c>
      <c r="J631" t="s">
        <v>13</v>
      </c>
      <c r="K631" s="13">
        <f>ROUND(tblTransactions[[#This Row],[gross_sales_inr]]*(1-tblTransactions[[#This Row],[discount_pct]]),2)</f>
        <v>1536.66</v>
      </c>
      <c r="L631" t="str">
        <f>IF(ABS(tblTransactions[[#This Row],[net_sales_inr]]-tblTransactions[[#This Row],[Recalc_Net_Sales]])&lt;0.02,"OK","CHECK")</f>
        <v>OK</v>
      </c>
      <c r="M631" s="14">
        <f>DATE(YEAR(tblTransactions[[#This Row],[date]]),MONTH(tblTransactions[[#This Row],[date]]),1)</f>
        <v>45809</v>
      </c>
      <c r="N631" t="str">
        <f>IF(WEEKDAY(tblTransactions[[#This Row],[date]],2)&gt;5,"Weekend","Weekday")</f>
        <v>Weekday</v>
      </c>
      <c r="O63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31" s="13" t="str">
        <f>_xlfn.XLOOKUP(tblTransactions[[#This Row],[tenant_id]],tblTenants[tenant_id],tblTenants[zone],"NOT FOUND")</f>
        <v>Food Court</v>
      </c>
      <c r="Q631" s="13" t="str">
        <f>_xlfn.XLOOKUP(tblTransactions[[#This Row],[tenant_id]],tblTenants[tenant_id],tblTenants[category],"NOT FOUND")</f>
        <v>Casual Dining</v>
      </c>
    </row>
    <row r="632" spans="1:17">
      <c r="A632" t="s">
        <v>676</v>
      </c>
      <c r="B632" s="2">
        <v>45724</v>
      </c>
      <c r="C632">
        <v>19</v>
      </c>
      <c r="D632" t="s">
        <v>70</v>
      </c>
      <c r="E632" t="s">
        <v>12</v>
      </c>
      <c r="F632" s="7">
        <v>952.56</v>
      </c>
      <c r="G632" s="10">
        <v>0</v>
      </c>
      <c r="H632" s="7">
        <v>952.56</v>
      </c>
      <c r="I632">
        <v>2</v>
      </c>
      <c r="J632" t="s">
        <v>16</v>
      </c>
      <c r="K632" s="13">
        <f>ROUND(tblTransactions[[#This Row],[gross_sales_inr]]*(1-tblTransactions[[#This Row],[discount_pct]]),2)</f>
        <v>952.56</v>
      </c>
      <c r="L632" t="str">
        <f>IF(ABS(tblTransactions[[#This Row],[net_sales_inr]]-tblTransactions[[#This Row],[Recalc_Net_Sales]])&lt;0.02,"OK","CHECK")</f>
        <v>OK</v>
      </c>
      <c r="M632" s="14">
        <f>DATE(YEAR(tblTransactions[[#This Row],[date]]),MONTH(tblTransactions[[#This Row],[date]]),1)</f>
        <v>45717</v>
      </c>
      <c r="N632" t="str">
        <f>IF(WEEKDAY(tblTransactions[[#This Row],[date]],2)&gt;5,"Weekend","Weekday")</f>
        <v>Weekend</v>
      </c>
      <c r="O632" s="13" t="str">
        <f>IF(tblTransactions[[#This Row],[discount_pct]]=0,"0%",IF(tblTransactions[[#This Row],[discount_pct]]&lt;=10%,"1–
10%",IF(tblTransactions[[#This Row],[discount_pct]]&lt;=20%,"11–20%","&gt;20%")))</f>
        <v>0%</v>
      </c>
      <c r="P632" s="13" t="str">
        <f>_xlfn.XLOOKUP(tblTransactions[[#This Row],[tenant_id]],tblTenants[tenant_id],tblTenants[zone],"NOT FOUND")</f>
        <v>Food Court</v>
      </c>
      <c r="Q632" s="13" t="str">
        <f>_xlfn.XLOOKUP(tblTransactions[[#This Row],[tenant_id]],tblTenants[tenant_id],tblTenants[category],"NOT FOUND")</f>
        <v>Quick Service</v>
      </c>
    </row>
    <row r="633" spans="1:17">
      <c r="A633" t="s">
        <v>677</v>
      </c>
      <c r="B633" s="2">
        <v>45697</v>
      </c>
      <c r="C633">
        <v>20</v>
      </c>
      <c r="D633" t="s">
        <v>63</v>
      </c>
      <c r="E633" t="s">
        <v>12</v>
      </c>
      <c r="F633" s="7">
        <v>986.94</v>
      </c>
      <c r="G633" s="10">
        <v>0</v>
      </c>
      <c r="H633" s="7">
        <v>986.94</v>
      </c>
      <c r="I633">
        <v>1</v>
      </c>
      <c r="J633" t="s">
        <v>13</v>
      </c>
      <c r="K633" s="13">
        <f>ROUND(tblTransactions[[#This Row],[gross_sales_inr]]*(1-tblTransactions[[#This Row],[discount_pct]]),2)</f>
        <v>986.94</v>
      </c>
      <c r="L633" t="str">
        <f>IF(ABS(tblTransactions[[#This Row],[net_sales_inr]]-tblTransactions[[#This Row],[Recalc_Net_Sales]])&lt;0.02,"OK","CHECK")</f>
        <v>OK</v>
      </c>
      <c r="M633" s="14">
        <f>DATE(YEAR(tblTransactions[[#This Row],[date]]),MONTH(tblTransactions[[#This Row],[date]]),1)</f>
        <v>45689</v>
      </c>
      <c r="N633" t="str">
        <f>IF(WEEKDAY(tblTransactions[[#This Row],[date]],2)&gt;5,"Weekend","Weekday")</f>
        <v>Weekend</v>
      </c>
      <c r="O633" s="13" t="str">
        <f>IF(tblTransactions[[#This Row],[discount_pct]]=0,"0%",IF(tblTransactions[[#This Row],[discount_pct]]&lt;=10%,"1–
10%",IF(tblTransactions[[#This Row],[discount_pct]]&lt;=20%,"11–20%","&gt;20%")))</f>
        <v>0%</v>
      </c>
      <c r="P633" s="13" t="str">
        <f>_xlfn.XLOOKUP(tblTransactions[[#This Row],[tenant_id]],tblTenants[tenant_id],tblTenants[zone],"NOT FOUND")</f>
        <v>Entertainment</v>
      </c>
      <c r="Q633" s="13" t="str">
        <f>_xlfn.XLOOKUP(tblTransactions[[#This Row],[tenant_id]],tblTenants[tenant_id],tblTenants[category],"NOT FOUND")</f>
        <v>Family Entertainment</v>
      </c>
    </row>
    <row r="634" spans="1:17">
      <c r="A634" t="s">
        <v>678</v>
      </c>
      <c r="B634" s="2">
        <v>45786</v>
      </c>
      <c r="C634">
        <v>20</v>
      </c>
      <c r="D634" t="s">
        <v>104</v>
      </c>
      <c r="E634" t="s">
        <v>12</v>
      </c>
      <c r="F634" s="7">
        <v>1503.89</v>
      </c>
      <c r="G634" s="10">
        <v>0.15</v>
      </c>
      <c r="H634" s="7">
        <v>1278.31</v>
      </c>
      <c r="I634">
        <v>1</v>
      </c>
      <c r="J634" t="s">
        <v>16</v>
      </c>
      <c r="K634" s="13">
        <f>ROUND(tblTransactions[[#This Row],[gross_sales_inr]]*(1-tblTransactions[[#This Row],[discount_pct]]),2)</f>
        <v>1278.31</v>
      </c>
      <c r="L634" t="str">
        <f>IF(ABS(tblTransactions[[#This Row],[net_sales_inr]]-tblTransactions[[#This Row],[Recalc_Net_Sales]])&lt;0.02,"OK","CHECK")</f>
        <v>OK</v>
      </c>
      <c r="M634" s="14">
        <f>DATE(YEAR(tblTransactions[[#This Row],[date]]),MONTH(tblTransactions[[#This Row],[date]]),1)</f>
        <v>45778</v>
      </c>
      <c r="N634" t="str">
        <f>IF(WEEKDAY(tblTransactions[[#This Row],[date]],2)&gt;5,"Weekend","Weekday")</f>
        <v>Weekday</v>
      </c>
      <c r="O63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34" s="13" t="str">
        <f>_xlfn.XLOOKUP(tblTransactions[[#This Row],[tenant_id]],tblTenants[tenant_id],tblTenants[zone],"NOT FOUND")</f>
        <v>Entertainment</v>
      </c>
      <c r="Q634" s="13" t="str">
        <f>_xlfn.XLOOKUP(tblTransactions[[#This Row],[tenant_id]],tblTenants[tenant_id],tblTenants[category],"NOT FOUND")</f>
        <v>Family Entertainment</v>
      </c>
    </row>
    <row r="635" spans="1:17">
      <c r="A635" t="s">
        <v>679</v>
      </c>
      <c r="B635" s="2">
        <v>45698</v>
      </c>
      <c r="C635">
        <v>17</v>
      </c>
      <c r="D635" t="s">
        <v>25</v>
      </c>
      <c r="E635" t="s">
        <v>32</v>
      </c>
      <c r="F635" s="7">
        <v>1157.57</v>
      </c>
      <c r="G635" s="10">
        <v>0.2</v>
      </c>
      <c r="H635" s="7">
        <v>926.06</v>
      </c>
      <c r="I635">
        <v>2</v>
      </c>
      <c r="J635" t="s">
        <v>16</v>
      </c>
      <c r="K635" s="13">
        <f>ROUND(tblTransactions[[#This Row],[gross_sales_inr]]*(1-tblTransactions[[#This Row],[discount_pct]]),2)</f>
        <v>926.06</v>
      </c>
      <c r="L635" t="str">
        <f>IF(ABS(tblTransactions[[#This Row],[net_sales_inr]]-tblTransactions[[#This Row],[Recalc_Net_Sales]])&lt;0.02,"OK","CHECK")</f>
        <v>OK</v>
      </c>
      <c r="M635" s="14">
        <f>DATE(YEAR(tblTransactions[[#This Row],[date]]),MONTH(tblTransactions[[#This Row],[date]]),1)</f>
        <v>45689</v>
      </c>
      <c r="N635" t="str">
        <f>IF(WEEKDAY(tblTransactions[[#This Row],[date]],2)&gt;5,"Weekend","Weekday")</f>
        <v>Weekday</v>
      </c>
      <c r="O63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35" s="13" t="str">
        <f>_xlfn.XLOOKUP(tblTransactions[[#This Row],[tenant_id]],tblTenants[tenant_id],tblTenants[zone],"NOT FOUND")</f>
        <v>Beauty &amp; Wellness</v>
      </c>
      <c r="Q635" s="13" t="str">
        <f>_xlfn.XLOOKUP(tblTransactions[[#This Row],[tenant_id]],tblTenants[tenant_id],tblTenants[category],"NOT FOUND")</f>
        <v>Beauty</v>
      </c>
    </row>
    <row r="636" spans="1:17">
      <c r="A636" t="s">
        <v>680</v>
      </c>
      <c r="B636" s="2">
        <v>45824</v>
      </c>
      <c r="C636">
        <v>14</v>
      </c>
      <c r="D636" t="s">
        <v>104</v>
      </c>
      <c r="E636" t="s">
        <v>12</v>
      </c>
      <c r="F636" s="7">
        <v>2863.46</v>
      </c>
      <c r="G636" s="10">
        <v>0.2</v>
      </c>
      <c r="H636" s="7">
        <v>2290.77</v>
      </c>
      <c r="I636">
        <v>1</v>
      </c>
      <c r="J636" t="s">
        <v>16</v>
      </c>
      <c r="K636" s="13">
        <f>ROUND(tblTransactions[[#This Row],[gross_sales_inr]]*(1-tblTransactions[[#This Row],[discount_pct]]),2)</f>
        <v>2290.77</v>
      </c>
      <c r="L636" t="str">
        <f>IF(ABS(tblTransactions[[#This Row],[net_sales_inr]]-tblTransactions[[#This Row],[Recalc_Net_Sales]])&lt;0.02,"OK","CHECK")</f>
        <v>OK</v>
      </c>
      <c r="M636" s="14">
        <f>DATE(YEAR(tblTransactions[[#This Row],[date]]),MONTH(tblTransactions[[#This Row],[date]]),1)</f>
        <v>45809</v>
      </c>
      <c r="N636" t="str">
        <f>IF(WEEKDAY(tblTransactions[[#This Row],[date]],2)&gt;5,"Weekend","Weekday")</f>
        <v>Weekday</v>
      </c>
      <c r="O63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36" s="13" t="str">
        <f>_xlfn.XLOOKUP(tblTransactions[[#This Row],[tenant_id]],tblTenants[tenant_id],tblTenants[zone],"NOT FOUND")</f>
        <v>Entertainment</v>
      </c>
      <c r="Q636" s="13" t="str">
        <f>_xlfn.XLOOKUP(tblTransactions[[#This Row],[tenant_id]],tblTenants[tenant_id],tblTenants[category],"NOT FOUND")</f>
        <v>Family Entertainment</v>
      </c>
    </row>
    <row r="637" spans="1:17">
      <c r="A637" t="s">
        <v>681</v>
      </c>
      <c r="B637" s="2">
        <v>45745</v>
      </c>
      <c r="C637">
        <v>21</v>
      </c>
      <c r="D637" t="s">
        <v>59</v>
      </c>
      <c r="E637" t="s">
        <v>12</v>
      </c>
      <c r="F637" s="7">
        <v>1610.52</v>
      </c>
      <c r="G637" s="10">
        <v>0</v>
      </c>
      <c r="H637" s="7">
        <v>1610.52</v>
      </c>
      <c r="I637">
        <v>4</v>
      </c>
      <c r="J637" t="s">
        <v>13</v>
      </c>
      <c r="K637" s="13">
        <f>ROUND(tblTransactions[[#This Row],[gross_sales_inr]]*(1-tblTransactions[[#This Row],[discount_pct]]),2)</f>
        <v>1610.52</v>
      </c>
      <c r="L637" t="str">
        <f>IF(ABS(tblTransactions[[#This Row],[net_sales_inr]]-tblTransactions[[#This Row],[Recalc_Net_Sales]])&lt;0.02,"OK","CHECK")</f>
        <v>OK</v>
      </c>
      <c r="M637" s="14">
        <f>DATE(YEAR(tblTransactions[[#This Row],[date]]),MONTH(tblTransactions[[#This Row],[date]]),1)</f>
        <v>45717</v>
      </c>
      <c r="N637" t="str">
        <f>IF(WEEKDAY(tblTransactions[[#This Row],[date]],2)&gt;5,"Weekend","Weekday")</f>
        <v>Weekend</v>
      </c>
      <c r="O637" s="13" t="str">
        <f>IF(tblTransactions[[#This Row],[discount_pct]]=0,"0%",IF(tblTransactions[[#This Row],[discount_pct]]&lt;=10%,"1–
10%",IF(tblTransactions[[#This Row],[discount_pct]]&lt;=20%,"11–20%","&gt;20%")))</f>
        <v>0%</v>
      </c>
      <c r="P637" s="13" t="str">
        <f>_xlfn.XLOOKUP(tblTransactions[[#This Row],[tenant_id]],tblTenants[tenant_id],tblTenants[zone],"NOT FOUND")</f>
        <v>Fashion Avenue</v>
      </c>
      <c r="Q637" s="13" t="str">
        <f>_xlfn.XLOOKUP(tblTransactions[[#This Row],[tenant_id]],tblTenants[tenant_id],tblTenants[category],"NOT FOUND")</f>
        <v>Footwear</v>
      </c>
    </row>
    <row r="638" spans="1:17">
      <c r="A638" t="s">
        <v>682</v>
      </c>
      <c r="B638" s="2">
        <v>45784</v>
      </c>
      <c r="C638">
        <v>11</v>
      </c>
      <c r="D638" t="s">
        <v>11</v>
      </c>
      <c r="E638" t="s">
        <v>12</v>
      </c>
      <c r="F638" s="7">
        <v>337.06</v>
      </c>
      <c r="G638" s="10">
        <v>0</v>
      </c>
      <c r="H638" s="7">
        <v>337.06</v>
      </c>
      <c r="I638">
        <v>1</v>
      </c>
      <c r="J638" t="s">
        <v>13</v>
      </c>
      <c r="K638" s="13">
        <f>ROUND(tblTransactions[[#This Row],[gross_sales_inr]]*(1-tblTransactions[[#This Row],[discount_pct]]),2)</f>
        <v>337.06</v>
      </c>
      <c r="L638" t="str">
        <f>IF(ABS(tblTransactions[[#This Row],[net_sales_inr]]-tblTransactions[[#This Row],[Recalc_Net_Sales]])&lt;0.02,"OK","CHECK")</f>
        <v>OK</v>
      </c>
      <c r="M638" s="14">
        <f>DATE(YEAR(tblTransactions[[#This Row],[date]]),MONTH(tblTransactions[[#This Row],[date]]),1)</f>
        <v>45778</v>
      </c>
      <c r="N638" t="str">
        <f>IF(WEEKDAY(tblTransactions[[#This Row],[date]],2)&gt;5,"Weekend","Weekday")</f>
        <v>Weekday</v>
      </c>
      <c r="O638" s="13" t="str">
        <f>IF(tblTransactions[[#This Row],[discount_pct]]=0,"0%",IF(tblTransactions[[#This Row],[discount_pct]]&lt;=10%,"1–
10%",IF(tblTransactions[[#This Row],[discount_pct]]&lt;=20%,"11–20%","&gt;20%")))</f>
        <v>0%</v>
      </c>
      <c r="P638" s="13" t="str">
        <f>_xlfn.XLOOKUP(tblTransactions[[#This Row],[tenant_id]],tblTenants[tenant_id],tblTenants[zone],"NOT FOUND")</f>
        <v>Home &amp; Living</v>
      </c>
      <c r="Q638" s="13" t="str">
        <f>_xlfn.XLOOKUP(tblTransactions[[#This Row],[tenant_id]],tblTenants[tenant_id],tblTenants[category],"NOT FOUND")</f>
        <v>Home Decor</v>
      </c>
    </row>
    <row r="639" spans="1:17">
      <c r="A639" t="s">
        <v>683</v>
      </c>
      <c r="B639" s="2">
        <v>45812</v>
      </c>
      <c r="C639">
        <v>11</v>
      </c>
      <c r="D639" t="s">
        <v>25</v>
      </c>
      <c r="E639" t="s">
        <v>32</v>
      </c>
      <c r="F639" s="7">
        <v>359.85</v>
      </c>
      <c r="G639" s="10">
        <v>0.15</v>
      </c>
      <c r="H639" s="7">
        <v>305.87</v>
      </c>
      <c r="I639">
        <v>1</v>
      </c>
      <c r="J639" t="s">
        <v>16</v>
      </c>
      <c r="K639" s="13">
        <f>ROUND(tblTransactions[[#This Row],[gross_sales_inr]]*(1-tblTransactions[[#This Row],[discount_pct]]),2)</f>
        <v>305.87</v>
      </c>
      <c r="L639" t="str">
        <f>IF(ABS(tblTransactions[[#This Row],[net_sales_inr]]-tblTransactions[[#This Row],[Recalc_Net_Sales]])&lt;0.02,"OK","CHECK")</f>
        <v>OK</v>
      </c>
      <c r="M639" s="14">
        <f>DATE(YEAR(tblTransactions[[#This Row],[date]]),MONTH(tblTransactions[[#This Row],[date]]),1)</f>
        <v>45809</v>
      </c>
      <c r="N639" t="str">
        <f>IF(WEEKDAY(tblTransactions[[#This Row],[date]],2)&gt;5,"Weekend","Weekday")</f>
        <v>Weekday</v>
      </c>
      <c r="O63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39" s="13" t="str">
        <f>_xlfn.XLOOKUP(tblTransactions[[#This Row],[tenant_id]],tblTenants[tenant_id],tblTenants[zone],"NOT FOUND")</f>
        <v>Beauty &amp; Wellness</v>
      </c>
      <c r="Q639" s="13" t="str">
        <f>_xlfn.XLOOKUP(tblTransactions[[#This Row],[tenant_id]],tblTenants[tenant_id],tblTenants[category],"NOT FOUND")</f>
        <v>Beauty</v>
      </c>
    </row>
    <row r="640" spans="1:17">
      <c r="A640" t="s">
        <v>684</v>
      </c>
      <c r="B640" s="2">
        <v>45664</v>
      </c>
      <c r="C640">
        <v>10</v>
      </c>
      <c r="D640" t="s">
        <v>80</v>
      </c>
      <c r="E640" t="s">
        <v>32</v>
      </c>
      <c r="F640" s="7">
        <v>529.76</v>
      </c>
      <c r="G640" s="10">
        <v>0</v>
      </c>
      <c r="H640" s="7">
        <v>529.76</v>
      </c>
      <c r="I640">
        <v>6</v>
      </c>
      <c r="J640" t="s">
        <v>16</v>
      </c>
      <c r="K640" s="13">
        <f>ROUND(tblTransactions[[#This Row],[gross_sales_inr]]*(1-tblTransactions[[#This Row],[discount_pct]]),2)</f>
        <v>529.76</v>
      </c>
      <c r="L640" t="str">
        <f>IF(ABS(tblTransactions[[#This Row],[net_sales_inr]]-tblTransactions[[#This Row],[Recalc_Net_Sales]])&lt;0.02,"OK","CHECK")</f>
        <v>OK</v>
      </c>
      <c r="M640" s="14">
        <f>DATE(YEAR(tblTransactions[[#This Row],[date]]),MONTH(tblTransactions[[#This Row],[date]]),1)</f>
        <v>45658</v>
      </c>
      <c r="N640" t="str">
        <f>IF(WEEKDAY(tblTransactions[[#This Row],[date]],2)&gt;5,"Weekend","Weekday")</f>
        <v>Weekday</v>
      </c>
      <c r="O640" s="13" t="str">
        <f>IF(tblTransactions[[#This Row],[discount_pct]]=0,"0%",IF(tblTransactions[[#This Row],[discount_pct]]&lt;=10%,"1–
10%",IF(tblTransactions[[#This Row],[discount_pct]]&lt;=20%,"11–20%","&gt;20%")))</f>
        <v>0%</v>
      </c>
      <c r="P640" s="13" t="str">
        <f>_xlfn.XLOOKUP(tblTransactions[[#This Row],[tenant_id]],tblTenants[tenant_id],tblTenants[zone],"NOT FOUND")</f>
        <v>Food Court</v>
      </c>
      <c r="Q640" s="13" t="str">
        <f>_xlfn.XLOOKUP(tblTransactions[[#This Row],[tenant_id]],tblTenants[tenant_id],tblTenants[category],"NOT FOUND")</f>
        <v>Casual Dining</v>
      </c>
    </row>
    <row r="641" spans="1:17">
      <c r="A641" t="s">
        <v>685</v>
      </c>
      <c r="B641" s="2">
        <v>45768</v>
      </c>
      <c r="C641">
        <v>10</v>
      </c>
      <c r="D641" t="s">
        <v>104</v>
      </c>
      <c r="E641" t="s">
        <v>12</v>
      </c>
      <c r="F641" s="7">
        <v>1245.6300000000001</v>
      </c>
      <c r="G641" s="10">
        <v>0.1</v>
      </c>
      <c r="H641" s="7">
        <v>1121.07</v>
      </c>
      <c r="I641">
        <v>2</v>
      </c>
      <c r="J641" t="s">
        <v>16</v>
      </c>
      <c r="K641" s="13">
        <f>ROUND(tblTransactions[[#This Row],[gross_sales_inr]]*(1-tblTransactions[[#This Row],[discount_pct]]),2)</f>
        <v>1121.07</v>
      </c>
      <c r="L641" t="str">
        <f>IF(ABS(tblTransactions[[#This Row],[net_sales_inr]]-tblTransactions[[#This Row],[Recalc_Net_Sales]])&lt;0.02,"OK","CHECK")</f>
        <v>OK</v>
      </c>
      <c r="M641" s="14">
        <f>DATE(YEAR(tblTransactions[[#This Row],[date]]),MONTH(tblTransactions[[#This Row],[date]]),1)</f>
        <v>45748</v>
      </c>
      <c r="N641" t="str">
        <f>IF(WEEKDAY(tblTransactions[[#This Row],[date]],2)&gt;5,"Weekend","Weekday")</f>
        <v>Weekday</v>
      </c>
      <c r="O64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41" s="13" t="str">
        <f>_xlfn.XLOOKUP(tblTransactions[[#This Row],[tenant_id]],tblTenants[tenant_id],tblTenants[zone],"NOT FOUND")</f>
        <v>Entertainment</v>
      </c>
      <c r="Q641" s="13" t="str">
        <f>_xlfn.XLOOKUP(tblTransactions[[#This Row],[tenant_id]],tblTenants[tenant_id],tblTenants[category],"NOT FOUND")</f>
        <v>Family Entertainment</v>
      </c>
    </row>
    <row r="642" spans="1:17">
      <c r="A642" t="s">
        <v>686</v>
      </c>
      <c r="B642" s="2">
        <v>45756</v>
      </c>
      <c r="C642">
        <v>21</v>
      </c>
      <c r="D642" t="s">
        <v>87</v>
      </c>
      <c r="E642" t="s">
        <v>51</v>
      </c>
      <c r="F642" s="7">
        <v>2115.54</v>
      </c>
      <c r="G642" s="10">
        <v>0</v>
      </c>
      <c r="H642" s="7">
        <v>2115.54</v>
      </c>
      <c r="I642">
        <v>1</v>
      </c>
      <c r="J642" t="s">
        <v>16</v>
      </c>
      <c r="K642" s="13">
        <f>ROUND(tblTransactions[[#This Row],[gross_sales_inr]]*(1-tblTransactions[[#This Row],[discount_pct]]),2)</f>
        <v>2115.54</v>
      </c>
      <c r="L642" t="str">
        <f>IF(ABS(tblTransactions[[#This Row],[net_sales_inr]]-tblTransactions[[#This Row],[Recalc_Net_Sales]])&lt;0.02,"OK","CHECK")</f>
        <v>OK</v>
      </c>
      <c r="M642" s="14">
        <f>DATE(YEAR(tblTransactions[[#This Row],[date]]),MONTH(tblTransactions[[#This Row],[date]]),1)</f>
        <v>45748</v>
      </c>
      <c r="N642" t="str">
        <f>IF(WEEKDAY(tblTransactions[[#This Row],[date]],2)&gt;5,"Weekend","Weekday")</f>
        <v>Weekday</v>
      </c>
      <c r="O642" s="13" t="str">
        <f>IF(tblTransactions[[#This Row],[discount_pct]]=0,"0%",IF(tblTransactions[[#This Row],[discount_pct]]&lt;=10%,"1–
10%",IF(tblTransactions[[#This Row],[discount_pct]]&lt;=20%,"11–20%","&gt;20%")))</f>
        <v>0%</v>
      </c>
      <c r="P642" s="13" t="str">
        <f>_xlfn.XLOOKUP(tblTransactions[[#This Row],[tenant_id]],tblTenants[tenant_id],tblTenants[zone],"NOT FOUND")</f>
        <v>Fashion Avenue</v>
      </c>
      <c r="Q642" s="13" t="str">
        <f>_xlfn.XLOOKUP(tblTransactions[[#This Row],[tenant_id]],tblTenants[tenant_id],tblTenants[category],"NOT FOUND")</f>
        <v>Footwear</v>
      </c>
    </row>
    <row r="643" spans="1:17">
      <c r="A643" t="s">
        <v>687</v>
      </c>
      <c r="B643" s="2">
        <v>45832</v>
      </c>
      <c r="C643">
        <v>17</v>
      </c>
      <c r="D643" t="s">
        <v>85</v>
      </c>
      <c r="E643" t="s">
        <v>12</v>
      </c>
      <c r="F643" s="7">
        <v>561.83000000000004</v>
      </c>
      <c r="G643" s="10">
        <v>0</v>
      </c>
      <c r="H643" s="7">
        <v>561.83000000000004</v>
      </c>
      <c r="I643">
        <v>5</v>
      </c>
      <c r="J643" t="s">
        <v>13</v>
      </c>
      <c r="K643" s="13">
        <f>ROUND(tblTransactions[[#This Row],[gross_sales_inr]]*(1-tblTransactions[[#This Row],[discount_pct]]),2)</f>
        <v>561.83000000000004</v>
      </c>
      <c r="L643" t="str">
        <f>IF(ABS(tblTransactions[[#This Row],[net_sales_inr]]-tblTransactions[[#This Row],[Recalc_Net_Sales]])&lt;0.02,"OK","CHECK")</f>
        <v>OK</v>
      </c>
      <c r="M643" s="14">
        <f>DATE(YEAR(tblTransactions[[#This Row],[date]]),MONTH(tblTransactions[[#This Row],[date]]),1)</f>
        <v>45809</v>
      </c>
      <c r="N643" t="str">
        <f>IF(WEEKDAY(tblTransactions[[#This Row],[date]],2)&gt;5,"Weekend","Weekday")</f>
        <v>Weekday</v>
      </c>
      <c r="O643" s="13" t="str">
        <f>IF(tblTransactions[[#This Row],[discount_pct]]=0,"0%",IF(tblTransactions[[#This Row],[discount_pct]]&lt;=10%,"1–
10%",IF(tblTransactions[[#This Row],[discount_pct]]&lt;=20%,"11–20%","&gt;20%")))</f>
        <v>0%</v>
      </c>
      <c r="P643" s="13" t="str">
        <f>_xlfn.XLOOKUP(tblTransactions[[#This Row],[tenant_id]],tblTenants[tenant_id],tblTenants[zone],"NOT FOUND")</f>
        <v>Home &amp; Living</v>
      </c>
      <c r="Q643" s="13" t="str">
        <f>_xlfn.XLOOKUP(tblTransactions[[#This Row],[tenant_id]],tblTenants[tenant_id],tblTenants[category],"NOT FOUND")</f>
        <v>Electronics</v>
      </c>
    </row>
    <row r="644" spans="1:17">
      <c r="A644" t="s">
        <v>688</v>
      </c>
      <c r="B644" s="2">
        <v>45671</v>
      </c>
      <c r="C644">
        <v>16</v>
      </c>
      <c r="D644" t="s">
        <v>63</v>
      </c>
      <c r="E644" t="s">
        <v>12</v>
      </c>
      <c r="F644" s="7">
        <v>828.88</v>
      </c>
      <c r="G644" s="10">
        <v>0</v>
      </c>
      <c r="H644" s="7">
        <v>828.88</v>
      </c>
      <c r="I644">
        <v>1</v>
      </c>
      <c r="J644" t="s">
        <v>16</v>
      </c>
      <c r="K644" s="13">
        <f>ROUND(tblTransactions[[#This Row],[gross_sales_inr]]*(1-tblTransactions[[#This Row],[discount_pct]]),2)</f>
        <v>828.88</v>
      </c>
      <c r="L644" t="str">
        <f>IF(ABS(tblTransactions[[#This Row],[net_sales_inr]]-tblTransactions[[#This Row],[Recalc_Net_Sales]])&lt;0.02,"OK","CHECK")</f>
        <v>OK</v>
      </c>
      <c r="M644" s="14">
        <f>DATE(YEAR(tblTransactions[[#This Row],[date]]),MONTH(tblTransactions[[#This Row],[date]]),1)</f>
        <v>45658</v>
      </c>
      <c r="N644" t="str">
        <f>IF(WEEKDAY(tblTransactions[[#This Row],[date]],2)&gt;5,"Weekend","Weekday")</f>
        <v>Weekday</v>
      </c>
      <c r="O644" s="13" t="str">
        <f>IF(tblTransactions[[#This Row],[discount_pct]]=0,"0%",IF(tblTransactions[[#This Row],[discount_pct]]&lt;=10%,"1–
10%",IF(tblTransactions[[#This Row],[discount_pct]]&lt;=20%,"11–20%","&gt;20%")))</f>
        <v>0%</v>
      </c>
      <c r="P644" s="13" t="str">
        <f>_xlfn.XLOOKUP(tblTransactions[[#This Row],[tenant_id]],tblTenants[tenant_id],tblTenants[zone],"NOT FOUND")</f>
        <v>Entertainment</v>
      </c>
      <c r="Q644" s="13" t="str">
        <f>_xlfn.XLOOKUP(tblTransactions[[#This Row],[tenant_id]],tblTenants[tenant_id],tblTenants[category],"NOT FOUND")</f>
        <v>Family Entertainment</v>
      </c>
    </row>
    <row r="645" spans="1:17">
      <c r="A645" t="s">
        <v>689</v>
      </c>
      <c r="B645" s="2">
        <v>45813</v>
      </c>
      <c r="C645">
        <v>18</v>
      </c>
      <c r="D645" t="s">
        <v>204</v>
      </c>
      <c r="E645" t="s">
        <v>12</v>
      </c>
      <c r="F645" s="7">
        <v>379.42</v>
      </c>
      <c r="G645" s="10">
        <v>0</v>
      </c>
      <c r="H645" s="7">
        <v>379.42</v>
      </c>
      <c r="I645">
        <v>1</v>
      </c>
      <c r="J645" t="s">
        <v>16</v>
      </c>
      <c r="K645" s="13">
        <f>ROUND(tblTransactions[[#This Row],[gross_sales_inr]]*(1-tblTransactions[[#This Row],[discount_pct]]),2)</f>
        <v>379.42</v>
      </c>
      <c r="L645" t="str">
        <f>IF(ABS(tblTransactions[[#This Row],[net_sales_inr]]-tblTransactions[[#This Row],[Recalc_Net_Sales]])&lt;0.02,"OK","CHECK")</f>
        <v>OK</v>
      </c>
      <c r="M645" s="14">
        <f>DATE(YEAR(tblTransactions[[#This Row],[date]]),MONTH(tblTransactions[[#This Row],[date]]),1)</f>
        <v>45809</v>
      </c>
      <c r="N645" t="str">
        <f>IF(WEEKDAY(tblTransactions[[#This Row],[date]],2)&gt;5,"Weekend","Weekday")</f>
        <v>Weekday</v>
      </c>
      <c r="O645" s="13" t="str">
        <f>IF(tblTransactions[[#This Row],[discount_pct]]=0,"0%",IF(tblTransactions[[#This Row],[discount_pct]]&lt;=10%,"1–
10%",IF(tblTransactions[[#This Row],[discount_pct]]&lt;=20%,"11–20%","&gt;20%")))</f>
        <v>0%</v>
      </c>
      <c r="P645" s="13" t="str">
        <f>_xlfn.XLOOKUP(tblTransactions[[#This Row],[tenant_id]],tblTenants[tenant_id],tblTenants[zone],"NOT FOUND")</f>
        <v>Home &amp; Living</v>
      </c>
      <c r="Q645" s="13" t="str">
        <f>_xlfn.XLOOKUP(tblTransactions[[#This Row],[tenant_id]],tblTenants[tenant_id],tblTenants[category],"NOT FOUND")</f>
        <v>Home Decor</v>
      </c>
    </row>
    <row r="646" spans="1:17">
      <c r="A646" t="s">
        <v>690</v>
      </c>
      <c r="B646" s="2">
        <v>45828</v>
      </c>
      <c r="C646">
        <v>14</v>
      </c>
      <c r="D646" t="s">
        <v>57</v>
      </c>
      <c r="E646" t="s">
        <v>32</v>
      </c>
      <c r="F646" s="7">
        <v>188.45</v>
      </c>
      <c r="G646" s="10">
        <v>0</v>
      </c>
      <c r="H646" s="7">
        <v>188.45</v>
      </c>
      <c r="I646">
        <v>1</v>
      </c>
      <c r="J646" t="s">
        <v>16</v>
      </c>
      <c r="K646" s="13">
        <f>ROUND(tblTransactions[[#This Row],[gross_sales_inr]]*(1-tblTransactions[[#This Row],[discount_pct]]),2)</f>
        <v>188.45</v>
      </c>
      <c r="L646" t="str">
        <f>IF(ABS(tblTransactions[[#This Row],[net_sales_inr]]-tblTransactions[[#This Row],[Recalc_Net_Sales]])&lt;0.02,"OK","CHECK")</f>
        <v>OK</v>
      </c>
      <c r="M646" s="14">
        <f>DATE(YEAR(tblTransactions[[#This Row],[date]]),MONTH(tblTransactions[[#This Row],[date]]),1)</f>
        <v>45809</v>
      </c>
      <c r="N646" t="str">
        <f>IF(WEEKDAY(tblTransactions[[#This Row],[date]],2)&gt;5,"Weekend","Weekday")</f>
        <v>Weekday</v>
      </c>
      <c r="O646" s="13" t="str">
        <f>IF(tblTransactions[[#This Row],[discount_pct]]=0,"0%",IF(tblTransactions[[#This Row],[discount_pct]]&lt;=10%,"1–
10%",IF(tblTransactions[[#This Row],[discount_pct]]&lt;=20%,"11–20%","&gt;20%")))</f>
        <v>0%</v>
      </c>
      <c r="P646" s="13" t="str">
        <f>_xlfn.XLOOKUP(tblTransactions[[#This Row],[tenant_id]],tblTenants[tenant_id],tblTenants[zone],"NOT FOUND")</f>
        <v>Food Court</v>
      </c>
      <c r="Q646" s="13" t="str">
        <f>_xlfn.XLOOKUP(tblTransactions[[#This Row],[tenant_id]],tblTenants[tenant_id],tblTenants[category],"NOT FOUND")</f>
        <v>Casual Dining</v>
      </c>
    </row>
    <row r="647" spans="1:17">
      <c r="A647" t="s">
        <v>691</v>
      </c>
      <c r="B647" s="2">
        <v>45773</v>
      </c>
      <c r="C647">
        <v>13</v>
      </c>
      <c r="D647" t="s">
        <v>87</v>
      </c>
      <c r="E647" t="s">
        <v>12</v>
      </c>
      <c r="F647" s="7">
        <v>1997.12</v>
      </c>
      <c r="G647" s="10">
        <v>0</v>
      </c>
      <c r="H647" s="7">
        <v>1997.12</v>
      </c>
      <c r="I647">
        <v>2</v>
      </c>
      <c r="J647" t="s">
        <v>16</v>
      </c>
      <c r="K647" s="13">
        <f>ROUND(tblTransactions[[#This Row],[gross_sales_inr]]*(1-tblTransactions[[#This Row],[discount_pct]]),2)</f>
        <v>1997.12</v>
      </c>
      <c r="L647" t="str">
        <f>IF(ABS(tblTransactions[[#This Row],[net_sales_inr]]-tblTransactions[[#This Row],[Recalc_Net_Sales]])&lt;0.02,"OK","CHECK")</f>
        <v>OK</v>
      </c>
      <c r="M647" s="14">
        <f>DATE(YEAR(tblTransactions[[#This Row],[date]]),MONTH(tblTransactions[[#This Row],[date]]),1)</f>
        <v>45748</v>
      </c>
      <c r="N647" t="str">
        <f>IF(WEEKDAY(tblTransactions[[#This Row],[date]],2)&gt;5,"Weekend","Weekday")</f>
        <v>Weekend</v>
      </c>
      <c r="O647" s="13" t="str">
        <f>IF(tblTransactions[[#This Row],[discount_pct]]=0,"0%",IF(tblTransactions[[#This Row],[discount_pct]]&lt;=10%,"1–
10%",IF(tblTransactions[[#This Row],[discount_pct]]&lt;=20%,"11–20%","&gt;20%")))</f>
        <v>0%</v>
      </c>
      <c r="P647" s="13" t="str">
        <f>_xlfn.XLOOKUP(tblTransactions[[#This Row],[tenant_id]],tblTenants[tenant_id],tblTenants[zone],"NOT FOUND")</f>
        <v>Fashion Avenue</v>
      </c>
      <c r="Q647" s="13" t="str">
        <f>_xlfn.XLOOKUP(tblTransactions[[#This Row],[tenant_id]],tblTenants[tenant_id],tblTenants[category],"NOT FOUND")</f>
        <v>Footwear</v>
      </c>
    </row>
    <row r="648" spans="1:17">
      <c r="A648" t="s">
        <v>692</v>
      </c>
      <c r="B648" s="2">
        <v>45793</v>
      </c>
      <c r="C648">
        <v>13</v>
      </c>
      <c r="D648" t="s">
        <v>48</v>
      </c>
      <c r="E648" t="s">
        <v>32</v>
      </c>
      <c r="F648" s="7">
        <v>2693.88</v>
      </c>
      <c r="G648" s="10">
        <v>0.1</v>
      </c>
      <c r="H648" s="7">
        <v>2424.4899999999998</v>
      </c>
      <c r="I648">
        <v>4</v>
      </c>
      <c r="J648" t="s">
        <v>16</v>
      </c>
      <c r="K648" s="13">
        <f>ROUND(tblTransactions[[#This Row],[gross_sales_inr]]*(1-tblTransactions[[#This Row],[discount_pct]]),2)</f>
        <v>2424.4899999999998</v>
      </c>
      <c r="L648" t="str">
        <f>IF(ABS(tblTransactions[[#This Row],[net_sales_inr]]-tblTransactions[[#This Row],[Recalc_Net_Sales]])&lt;0.02,"OK","CHECK")</f>
        <v>OK</v>
      </c>
      <c r="M648" s="14">
        <f>DATE(YEAR(tblTransactions[[#This Row],[date]]),MONTH(tblTransactions[[#This Row],[date]]),1)</f>
        <v>45778</v>
      </c>
      <c r="N648" t="str">
        <f>IF(WEEKDAY(tblTransactions[[#This Row],[date]],2)&gt;5,"Weekend","Weekday")</f>
        <v>Weekday</v>
      </c>
      <c r="O64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48" s="13" t="str">
        <f>_xlfn.XLOOKUP(tblTransactions[[#This Row],[tenant_id]],tblTenants[tenant_id],tblTenants[zone],"NOT FOUND")</f>
        <v>Beauty &amp; Wellness</v>
      </c>
      <c r="Q648" s="13" t="str">
        <f>_xlfn.XLOOKUP(tblTransactions[[#This Row],[tenant_id]],tblTenants[tenant_id],tblTenants[category],"NOT FOUND")</f>
        <v>Wellness</v>
      </c>
    </row>
    <row r="649" spans="1:17">
      <c r="A649" t="s">
        <v>693</v>
      </c>
      <c r="B649" s="2">
        <v>45768</v>
      </c>
      <c r="C649">
        <v>21</v>
      </c>
      <c r="D649" t="s">
        <v>63</v>
      </c>
      <c r="E649" t="s">
        <v>32</v>
      </c>
      <c r="F649" s="7">
        <v>135.53</v>
      </c>
      <c r="G649" s="10">
        <v>0.15</v>
      </c>
      <c r="H649" s="7">
        <v>115.2</v>
      </c>
      <c r="I649">
        <v>2</v>
      </c>
      <c r="J649" t="s">
        <v>16</v>
      </c>
      <c r="K649" s="13">
        <f>ROUND(tblTransactions[[#This Row],[gross_sales_inr]]*(1-tblTransactions[[#This Row],[discount_pct]]),2)</f>
        <v>115.2</v>
      </c>
      <c r="L649" t="str">
        <f>IF(ABS(tblTransactions[[#This Row],[net_sales_inr]]-tblTransactions[[#This Row],[Recalc_Net_Sales]])&lt;0.02,"OK","CHECK")</f>
        <v>OK</v>
      </c>
      <c r="M649" s="14">
        <f>DATE(YEAR(tblTransactions[[#This Row],[date]]),MONTH(tblTransactions[[#This Row],[date]]),1)</f>
        <v>45748</v>
      </c>
      <c r="N649" t="str">
        <f>IF(WEEKDAY(tblTransactions[[#This Row],[date]],2)&gt;5,"Weekend","Weekday")</f>
        <v>Weekday</v>
      </c>
      <c r="O64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49" s="13" t="str">
        <f>_xlfn.XLOOKUP(tblTransactions[[#This Row],[tenant_id]],tblTenants[tenant_id],tblTenants[zone],"NOT FOUND")</f>
        <v>Entertainment</v>
      </c>
      <c r="Q649" s="13" t="str">
        <f>_xlfn.XLOOKUP(tblTransactions[[#This Row],[tenant_id]],tblTenants[tenant_id],tblTenants[category],"NOT FOUND")</f>
        <v>Family Entertainment</v>
      </c>
    </row>
    <row r="650" spans="1:17">
      <c r="A650" t="s">
        <v>694</v>
      </c>
      <c r="B650" s="2">
        <v>45809</v>
      </c>
      <c r="C650">
        <v>16</v>
      </c>
      <c r="D650" t="s">
        <v>104</v>
      </c>
      <c r="E650" t="s">
        <v>12</v>
      </c>
      <c r="F650" s="7">
        <v>377.48</v>
      </c>
      <c r="G650" s="10">
        <v>0.05</v>
      </c>
      <c r="H650" s="7">
        <v>358.61</v>
      </c>
      <c r="I650">
        <v>5</v>
      </c>
      <c r="J650" t="s">
        <v>13</v>
      </c>
      <c r="K650" s="13">
        <f>ROUND(tblTransactions[[#This Row],[gross_sales_inr]]*(1-tblTransactions[[#This Row],[discount_pct]]),2)</f>
        <v>358.61</v>
      </c>
      <c r="L650" t="str">
        <f>IF(ABS(tblTransactions[[#This Row],[net_sales_inr]]-tblTransactions[[#This Row],[Recalc_Net_Sales]])&lt;0.02,"OK","CHECK")</f>
        <v>OK</v>
      </c>
      <c r="M650" s="14">
        <f>DATE(YEAR(tblTransactions[[#This Row],[date]]),MONTH(tblTransactions[[#This Row],[date]]),1)</f>
        <v>45809</v>
      </c>
      <c r="N650" t="str">
        <f>IF(WEEKDAY(tblTransactions[[#This Row],[date]],2)&gt;5,"Weekend","Weekday")</f>
        <v>Weekend</v>
      </c>
      <c r="O65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50" s="13" t="str">
        <f>_xlfn.XLOOKUP(tblTransactions[[#This Row],[tenant_id]],tblTenants[tenant_id],tblTenants[zone],"NOT FOUND")</f>
        <v>Entertainment</v>
      </c>
      <c r="Q650" s="13" t="str">
        <f>_xlfn.XLOOKUP(tblTransactions[[#This Row],[tenant_id]],tblTenants[tenant_id],tblTenants[category],"NOT FOUND")</f>
        <v>Family Entertainment</v>
      </c>
    </row>
    <row r="651" spans="1:17">
      <c r="A651" t="s">
        <v>695</v>
      </c>
      <c r="B651" s="2">
        <v>45665</v>
      </c>
      <c r="C651">
        <v>17</v>
      </c>
      <c r="D651" t="s">
        <v>41</v>
      </c>
      <c r="E651" t="s">
        <v>21</v>
      </c>
      <c r="F651" s="7">
        <v>353.44</v>
      </c>
      <c r="G651" s="10">
        <v>0.1</v>
      </c>
      <c r="H651" s="7">
        <v>318.10000000000002</v>
      </c>
      <c r="I651">
        <v>3</v>
      </c>
      <c r="J651" t="s">
        <v>13</v>
      </c>
      <c r="K651" s="13">
        <f>ROUND(tblTransactions[[#This Row],[gross_sales_inr]]*(1-tblTransactions[[#This Row],[discount_pct]]),2)</f>
        <v>318.10000000000002</v>
      </c>
      <c r="L651" t="str">
        <f>IF(ABS(tblTransactions[[#This Row],[net_sales_inr]]-tblTransactions[[#This Row],[Recalc_Net_Sales]])&lt;0.02,"OK","CHECK")</f>
        <v>OK</v>
      </c>
      <c r="M651" s="14">
        <f>DATE(YEAR(tblTransactions[[#This Row],[date]]),MONTH(tblTransactions[[#This Row],[date]]),1)</f>
        <v>45658</v>
      </c>
      <c r="N651" t="str">
        <f>IF(WEEKDAY(tblTransactions[[#This Row],[date]],2)&gt;5,"Weekend","Weekday")</f>
        <v>Weekday</v>
      </c>
      <c r="O65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51" s="13" t="str">
        <f>_xlfn.XLOOKUP(tblTransactions[[#This Row],[tenant_id]],tblTenants[tenant_id],tblTenants[zone],"NOT FOUND")</f>
        <v>Fashion Avenue</v>
      </c>
      <c r="Q651" s="13" t="str">
        <f>_xlfn.XLOOKUP(tblTransactions[[#This Row],[tenant_id]],tblTenants[tenant_id],tblTenants[category],"NOT FOUND")</f>
        <v>Clothing</v>
      </c>
    </row>
    <row r="652" spans="1:17">
      <c r="A652" t="s">
        <v>696</v>
      </c>
      <c r="B652" s="2">
        <v>45790</v>
      </c>
      <c r="C652">
        <v>18</v>
      </c>
      <c r="D652" t="s">
        <v>34</v>
      </c>
      <c r="E652" t="s">
        <v>12</v>
      </c>
      <c r="F652" s="7">
        <v>404.53</v>
      </c>
      <c r="G652" s="10">
        <v>0.1</v>
      </c>
      <c r="H652" s="7">
        <v>364.08</v>
      </c>
      <c r="I652">
        <v>2</v>
      </c>
      <c r="J652" t="s">
        <v>13</v>
      </c>
      <c r="K652" s="13">
        <f>ROUND(tblTransactions[[#This Row],[gross_sales_inr]]*(1-tblTransactions[[#This Row],[discount_pct]]),2)</f>
        <v>364.08</v>
      </c>
      <c r="L652" t="str">
        <f>IF(ABS(tblTransactions[[#This Row],[net_sales_inr]]-tblTransactions[[#This Row],[Recalc_Net_Sales]])&lt;0.02,"OK","CHECK")</f>
        <v>OK</v>
      </c>
      <c r="M652" s="14">
        <f>DATE(YEAR(tblTransactions[[#This Row],[date]]),MONTH(tblTransactions[[#This Row],[date]]),1)</f>
        <v>45778</v>
      </c>
      <c r="N652" t="str">
        <f>IF(WEEKDAY(tblTransactions[[#This Row],[date]],2)&gt;5,"Weekend","Weekday")</f>
        <v>Weekday</v>
      </c>
      <c r="O65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52" s="13" t="str">
        <f>_xlfn.XLOOKUP(tblTransactions[[#This Row],[tenant_id]],tblTenants[tenant_id],tblTenants[zone],"NOT FOUND")</f>
        <v>Home &amp; Living</v>
      </c>
      <c r="Q652" s="13" t="str">
        <f>_xlfn.XLOOKUP(tblTransactions[[#This Row],[tenant_id]],tblTenants[tenant_id],tblTenants[category],"NOT FOUND")</f>
        <v>Electronics</v>
      </c>
    </row>
    <row r="653" spans="1:17">
      <c r="A653" t="s">
        <v>697</v>
      </c>
      <c r="B653" s="2">
        <v>45834</v>
      </c>
      <c r="C653">
        <v>15</v>
      </c>
      <c r="D653" t="s">
        <v>45</v>
      </c>
      <c r="E653" t="s">
        <v>12</v>
      </c>
      <c r="F653" s="7">
        <v>225.55</v>
      </c>
      <c r="G653" s="10">
        <v>0.1</v>
      </c>
      <c r="H653" s="7">
        <v>203</v>
      </c>
      <c r="I653">
        <v>2</v>
      </c>
      <c r="J653" t="s">
        <v>13</v>
      </c>
      <c r="K653" s="13">
        <f>ROUND(tblTransactions[[#This Row],[gross_sales_inr]]*(1-tblTransactions[[#This Row],[discount_pct]]),2)</f>
        <v>203</v>
      </c>
      <c r="L653" t="str">
        <f>IF(ABS(tblTransactions[[#This Row],[net_sales_inr]]-tblTransactions[[#This Row],[Recalc_Net_Sales]])&lt;0.02,"OK","CHECK")</f>
        <v>OK</v>
      </c>
      <c r="M653" s="14">
        <f>DATE(YEAR(tblTransactions[[#This Row],[date]]),MONTH(tblTransactions[[#This Row],[date]]),1)</f>
        <v>45809</v>
      </c>
      <c r="N653" t="str">
        <f>IF(WEEKDAY(tblTransactions[[#This Row],[date]],2)&gt;5,"Weekend","Weekday")</f>
        <v>Weekday</v>
      </c>
      <c r="O65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53" s="13" t="str">
        <f>_xlfn.XLOOKUP(tblTransactions[[#This Row],[tenant_id]],tblTenants[tenant_id],tblTenants[zone],"NOT FOUND")</f>
        <v>Home &amp; Living</v>
      </c>
      <c r="Q653" s="13" t="str">
        <f>_xlfn.XLOOKUP(tblTransactions[[#This Row],[tenant_id]],tblTenants[tenant_id],tblTenants[category],"NOT FOUND")</f>
        <v>Home Decor</v>
      </c>
    </row>
    <row r="654" spans="1:17">
      <c r="A654" t="s">
        <v>698</v>
      </c>
      <c r="B654" s="2">
        <v>45662</v>
      </c>
      <c r="C654">
        <v>18</v>
      </c>
      <c r="D654" t="s">
        <v>61</v>
      </c>
      <c r="E654" t="s">
        <v>12</v>
      </c>
      <c r="F654" s="7">
        <v>725.4</v>
      </c>
      <c r="G654" s="10">
        <v>0.15</v>
      </c>
      <c r="H654" s="7">
        <v>616.59</v>
      </c>
      <c r="I654">
        <v>3</v>
      </c>
      <c r="J654" t="s">
        <v>13</v>
      </c>
      <c r="K654" s="13">
        <f>ROUND(tblTransactions[[#This Row],[gross_sales_inr]]*(1-tblTransactions[[#This Row],[discount_pct]]),2)</f>
        <v>616.59</v>
      </c>
      <c r="L654" t="str">
        <f>IF(ABS(tblTransactions[[#This Row],[net_sales_inr]]-tblTransactions[[#This Row],[Recalc_Net_Sales]])&lt;0.02,"OK","CHECK")</f>
        <v>OK</v>
      </c>
      <c r="M654" s="14">
        <f>DATE(YEAR(tblTransactions[[#This Row],[date]]),MONTH(tblTransactions[[#This Row],[date]]),1)</f>
        <v>45658</v>
      </c>
      <c r="N654" t="str">
        <f>IF(WEEKDAY(tblTransactions[[#This Row],[date]],2)&gt;5,"Weekend","Weekday")</f>
        <v>Weekend</v>
      </c>
      <c r="O65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54" s="13" t="str">
        <f>_xlfn.XLOOKUP(tblTransactions[[#This Row],[tenant_id]],tblTenants[tenant_id],tblTenants[zone],"NOT FOUND")</f>
        <v>Food Court</v>
      </c>
      <c r="Q654" s="13" t="str">
        <f>_xlfn.XLOOKUP(tblTransactions[[#This Row],[tenant_id]],tblTenants[tenant_id],tblTenants[category],"NOT FOUND")</f>
        <v>Quick Service</v>
      </c>
    </row>
    <row r="655" spans="1:17">
      <c r="A655" t="s">
        <v>699</v>
      </c>
      <c r="B655" s="2">
        <v>45776</v>
      </c>
      <c r="C655">
        <v>13</v>
      </c>
      <c r="D655" t="s">
        <v>204</v>
      </c>
      <c r="E655" t="s">
        <v>21</v>
      </c>
      <c r="F655" s="7">
        <v>393.92</v>
      </c>
      <c r="G655" s="10">
        <v>0.1</v>
      </c>
      <c r="H655" s="7">
        <v>354.53</v>
      </c>
      <c r="I655">
        <v>1</v>
      </c>
      <c r="J655" t="s">
        <v>16</v>
      </c>
      <c r="K655" s="13">
        <f>ROUND(tblTransactions[[#This Row],[gross_sales_inr]]*(1-tblTransactions[[#This Row],[discount_pct]]),2)</f>
        <v>354.53</v>
      </c>
      <c r="L655" t="str">
        <f>IF(ABS(tblTransactions[[#This Row],[net_sales_inr]]-tblTransactions[[#This Row],[Recalc_Net_Sales]])&lt;0.02,"OK","CHECK")</f>
        <v>OK</v>
      </c>
      <c r="M655" s="14">
        <f>DATE(YEAR(tblTransactions[[#This Row],[date]]),MONTH(tblTransactions[[#This Row],[date]]),1)</f>
        <v>45748</v>
      </c>
      <c r="N655" t="str">
        <f>IF(WEEKDAY(tblTransactions[[#This Row],[date]],2)&gt;5,"Weekend","Weekday")</f>
        <v>Weekday</v>
      </c>
      <c r="O65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55" s="13" t="str">
        <f>_xlfn.XLOOKUP(tblTransactions[[#This Row],[tenant_id]],tblTenants[tenant_id],tblTenants[zone],"NOT FOUND")</f>
        <v>Home &amp; Living</v>
      </c>
      <c r="Q655" s="13" t="str">
        <f>_xlfn.XLOOKUP(tblTransactions[[#This Row],[tenant_id]],tblTenants[tenant_id],tblTenants[category],"NOT FOUND")</f>
        <v>Home Decor</v>
      </c>
    </row>
    <row r="656" spans="1:17">
      <c r="A656" t="s">
        <v>700</v>
      </c>
      <c r="B656" s="2">
        <v>45754</v>
      </c>
      <c r="C656">
        <v>16</v>
      </c>
      <c r="D656" t="s">
        <v>122</v>
      </c>
      <c r="E656" t="s">
        <v>12</v>
      </c>
      <c r="F656" s="7">
        <v>1619.55</v>
      </c>
      <c r="G656" s="10">
        <v>0</v>
      </c>
      <c r="H656" s="7">
        <v>1619.55</v>
      </c>
      <c r="I656">
        <v>2</v>
      </c>
      <c r="J656" t="s">
        <v>13</v>
      </c>
      <c r="K656" s="13">
        <f>ROUND(tblTransactions[[#This Row],[gross_sales_inr]]*(1-tblTransactions[[#This Row],[discount_pct]]),2)</f>
        <v>1619.55</v>
      </c>
      <c r="L656" t="str">
        <f>IF(ABS(tblTransactions[[#This Row],[net_sales_inr]]-tblTransactions[[#This Row],[Recalc_Net_Sales]])&lt;0.02,"OK","CHECK")</f>
        <v>OK</v>
      </c>
      <c r="M656" s="14">
        <f>DATE(YEAR(tblTransactions[[#This Row],[date]]),MONTH(tblTransactions[[#This Row],[date]]),1)</f>
        <v>45748</v>
      </c>
      <c r="N656" t="str">
        <f>IF(WEEKDAY(tblTransactions[[#This Row],[date]],2)&gt;5,"Weekend","Weekday")</f>
        <v>Weekday</v>
      </c>
      <c r="O656" s="13" t="str">
        <f>IF(tblTransactions[[#This Row],[discount_pct]]=0,"0%",IF(tblTransactions[[#This Row],[discount_pct]]&lt;=10%,"1–
10%",IF(tblTransactions[[#This Row],[discount_pct]]&lt;=20%,"11–20%","&gt;20%")))</f>
        <v>0%</v>
      </c>
      <c r="P656" s="13" t="str">
        <f>_xlfn.XLOOKUP(tblTransactions[[#This Row],[tenant_id]],tblTenants[tenant_id],tblTenants[zone],"NOT FOUND")</f>
        <v>Beauty &amp; Wellness</v>
      </c>
      <c r="Q656" s="13" t="str">
        <f>_xlfn.XLOOKUP(tblTransactions[[#This Row],[tenant_id]],tblTenants[tenant_id],tblTenants[category],"NOT FOUND")</f>
        <v>Wellness</v>
      </c>
    </row>
    <row r="657" spans="1:17">
      <c r="A657" t="s">
        <v>701</v>
      </c>
      <c r="B657" s="2">
        <v>45799</v>
      </c>
      <c r="C657">
        <v>16</v>
      </c>
      <c r="D657" t="s">
        <v>61</v>
      </c>
      <c r="E657" t="s">
        <v>32</v>
      </c>
      <c r="F657" s="7">
        <v>1435.02</v>
      </c>
      <c r="G657" s="10">
        <v>0</v>
      </c>
      <c r="H657" s="7">
        <v>1435.02</v>
      </c>
      <c r="I657">
        <v>2</v>
      </c>
      <c r="J657" t="s">
        <v>16</v>
      </c>
      <c r="K657" s="13">
        <f>ROUND(tblTransactions[[#This Row],[gross_sales_inr]]*(1-tblTransactions[[#This Row],[discount_pct]]),2)</f>
        <v>1435.02</v>
      </c>
      <c r="L657" t="str">
        <f>IF(ABS(tblTransactions[[#This Row],[net_sales_inr]]-tblTransactions[[#This Row],[Recalc_Net_Sales]])&lt;0.02,"OK","CHECK")</f>
        <v>OK</v>
      </c>
      <c r="M657" s="14">
        <f>DATE(YEAR(tblTransactions[[#This Row],[date]]),MONTH(tblTransactions[[#This Row],[date]]),1)</f>
        <v>45778</v>
      </c>
      <c r="N657" t="str">
        <f>IF(WEEKDAY(tblTransactions[[#This Row],[date]],2)&gt;5,"Weekend","Weekday")</f>
        <v>Weekday</v>
      </c>
      <c r="O657" s="13" t="str">
        <f>IF(tblTransactions[[#This Row],[discount_pct]]=0,"0%",IF(tblTransactions[[#This Row],[discount_pct]]&lt;=10%,"1–
10%",IF(tblTransactions[[#This Row],[discount_pct]]&lt;=20%,"11–20%","&gt;20%")))</f>
        <v>0%</v>
      </c>
      <c r="P657" s="13" t="str">
        <f>_xlfn.XLOOKUP(tblTransactions[[#This Row],[tenant_id]],tblTenants[tenant_id],tblTenants[zone],"NOT FOUND")</f>
        <v>Food Court</v>
      </c>
      <c r="Q657" s="13" t="str">
        <f>_xlfn.XLOOKUP(tblTransactions[[#This Row],[tenant_id]],tblTenants[tenant_id],tblTenants[category],"NOT FOUND")</f>
        <v>Quick Service</v>
      </c>
    </row>
    <row r="658" spans="1:17">
      <c r="A658" t="s">
        <v>702</v>
      </c>
      <c r="B658" s="2">
        <v>45824</v>
      </c>
      <c r="C658">
        <v>16</v>
      </c>
      <c r="D658" t="s">
        <v>41</v>
      </c>
      <c r="E658" t="s">
        <v>12</v>
      </c>
      <c r="F658" s="7">
        <v>536.01</v>
      </c>
      <c r="G658" s="10">
        <v>0</v>
      </c>
      <c r="H658" s="7">
        <v>536.01</v>
      </c>
      <c r="I658">
        <v>3</v>
      </c>
      <c r="J658" t="s">
        <v>16</v>
      </c>
      <c r="K658" s="13">
        <f>ROUND(tblTransactions[[#This Row],[gross_sales_inr]]*(1-tblTransactions[[#This Row],[discount_pct]]),2)</f>
        <v>536.01</v>
      </c>
      <c r="L658" t="str">
        <f>IF(ABS(tblTransactions[[#This Row],[net_sales_inr]]-tblTransactions[[#This Row],[Recalc_Net_Sales]])&lt;0.02,"OK","CHECK")</f>
        <v>OK</v>
      </c>
      <c r="M658" s="14">
        <f>DATE(YEAR(tblTransactions[[#This Row],[date]]),MONTH(tblTransactions[[#This Row],[date]]),1)</f>
        <v>45809</v>
      </c>
      <c r="N658" t="str">
        <f>IF(WEEKDAY(tblTransactions[[#This Row],[date]],2)&gt;5,"Weekend","Weekday")</f>
        <v>Weekday</v>
      </c>
      <c r="O658" s="13" t="str">
        <f>IF(tblTransactions[[#This Row],[discount_pct]]=0,"0%",IF(tblTransactions[[#This Row],[discount_pct]]&lt;=10%,"1–
10%",IF(tblTransactions[[#This Row],[discount_pct]]&lt;=20%,"11–20%","&gt;20%")))</f>
        <v>0%</v>
      </c>
      <c r="P658" s="13" t="str">
        <f>_xlfn.XLOOKUP(tblTransactions[[#This Row],[tenant_id]],tblTenants[tenant_id],tblTenants[zone],"NOT FOUND")</f>
        <v>Fashion Avenue</v>
      </c>
      <c r="Q658" s="13" t="str">
        <f>_xlfn.XLOOKUP(tblTransactions[[#This Row],[tenant_id]],tblTenants[tenant_id],tblTenants[category],"NOT FOUND")</f>
        <v>Clothing</v>
      </c>
    </row>
    <row r="659" spans="1:17">
      <c r="A659" t="s">
        <v>703</v>
      </c>
      <c r="B659" s="2">
        <v>45792</v>
      </c>
      <c r="C659">
        <v>12</v>
      </c>
      <c r="D659" t="s">
        <v>36</v>
      </c>
      <c r="E659" t="s">
        <v>12</v>
      </c>
      <c r="F659" s="7">
        <v>1434.53</v>
      </c>
      <c r="G659" s="10">
        <v>0.1</v>
      </c>
      <c r="H659" s="7">
        <v>1291.08</v>
      </c>
      <c r="I659">
        <v>2</v>
      </c>
      <c r="J659" t="s">
        <v>13</v>
      </c>
      <c r="K659" s="13">
        <f>ROUND(tblTransactions[[#This Row],[gross_sales_inr]]*(1-tblTransactions[[#This Row],[discount_pct]]),2)</f>
        <v>1291.08</v>
      </c>
      <c r="L659" t="str">
        <f>IF(ABS(tblTransactions[[#This Row],[net_sales_inr]]-tblTransactions[[#This Row],[Recalc_Net_Sales]])&lt;0.02,"OK","CHECK")</f>
        <v>OK</v>
      </c>
      <c r="M659" s="14">
        <f>DATE(YEAR(tblTransactions[[#This Row],[date]]),MONTH(tblTransactions[[#This Row],[date]]),1)</f>
        <v>45778</v>
      </c>
      <c r="N659" t="str">
        <f>IF(WEEKDAY(tblTransactions[[#This Row],[date]],2)&gt;5,"Weekend","Weekday")</f>
        <v>Weekday</v>
      </c>
      <c r="O65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59" s="13" t="str">
        <f>_xlfn.XLOOKUP(tblTransactions[[#This Row],[tenant_id]],tblTenants[tenant_id],tblTenants[zone],"NOT FOUND")</f>
        <v>Home &amp; Living</v>
      </c>
      <c r="Q659" s="13" t="str">
        <f>_xlfn.XLOOKUP(tblTransactions[[#This Row],[tenant_id]],tblTenants[tenant_id],tblTenants[category],"NOT FOUND")</f>
        <v>Electronics</v>
      </c>
    </row>
    <row r="660" spans="1:17">
      <c r="A660" t="s">
        <v>704</v>
      </c>
      <c r="B660" s="2">
        <v>45822</v>
      </c>
      <c r="C660">
        <v>17</v>
      </c>
      <c r="D660" t="s">
        <v>43</v>
      </c>
      <c r="E660" t="s">
        <v>12</v>
      </c>
      <c r="F660" s="7">
        <v>1839.13</v>
      </c>
      <c r="G660" s="10">
        <v>0</v>
      </c>
      <c r="H660" s="7">
        <v>1839.13</v>
      </c>
      <c r="I660">
        <v>2</v>
      </c>
      <c r="J660" t="s">
        <v>16</v>
      </c>
      <c r="K660" s="13">
        <f>ROUND(tblTransactions[[#This Row],[gross_sales_inr]]*(1-tblTransactions[[#This Row],[discount_pct]]),2)</f>
        <v>1839.13</v>
      </c>
      <c r="L660" t="str">
        <f>IF(ABS(tblTransactions[[#This Row],[net_sales_inr]]-tblTransactions[[#This Row],[Recalc_Net_Sales]])&lt;0.02,"OK","CHECK")</f>
        <v>OK</v>
      </c>
      <c r="M660" s="14">
        <f>DATE(YEAR(tblTransactions[[#This Row],[date]]),MONTH(tblTransactions[[#This Row],[date]]),1)</f>
        <v>45809</v>
      </c>
      <c r="N660" t="str">
        <f>IF(WEEKDAY(tblTransactions[[#This Row],[date]],2)&gt;5,"Weekend","Weekday")</f>
        <v>Weekend</v>
      </c>
      <c r="O660" s="13" t="str">
        <f>IF(tblTransactions[[#This Row],[discount_pct]]=0,"0%",IF(tblTransactions[[#This Row],[discount_pct]]&lt;=10%,"1–
10%",IF(tblTransactions[[#This Row],[discount_pct]]&lt;=20%,"11–20%","&gt;20%")))</f>
        <v>0%</v>
      </c>
      <c r="P660" s="13" t="str">
        <f>_xlfn.XLOOKUP(tblTransactions[[#This Row],[tenant_id]],tblTenants[tenant_id],tblTenants[zone],"NOT FOUND")</f>
        <v>Food Court</v>
      </c>
      <c r="Q660" s="13" t="str">
        <f>_xlfn.XLOOKUP(tblTransactions[[#This Row],[tenant_id]],tblTenants[tenant_id],tblTenants[category],"NOT FOUND")</f>
        <v>Casual Dining</v>
      </c>
    </row>
    <row r="661" spans="1:17">
      <c r="A661" t="s">
        <v>705</v>
      </c>
      <c r="B661" s="2">
        <v>45749</v>
      </c>
      <c r="C661">
        <v>15</v>
      </c>
      <c r="D661" t="s">
        <v>43</v>
      </c>
      <c r="E661" t="s">
        <v>32</v>
      </c>
      <c r="F661" s="7">
        <v>367.97</v>
      </c>
      <c r="G661" s="10">
        <v>0.2</v>
      </c>
      <c r="H661" s="7">
        <v>294.38</v>
      </c>
      <c r="I661">
        <v>4</v>
      </c>
      <c r="J661" t="s">
        <v>16</v>
      </c>
      <c r="K661" s="13">
        <f>ROUND(tblTransactions[[#This Row],[gross_sales_inr]]*(1-tblTransactions[[#This Row],[discount_pct]]),2)</f>
        <v>294.38</v>
      </c>
      <c r="L661" t="str">
        <f>IF(ABS(tblTransactions[[#This Row],[net_sales_inr]]-tblTransactions[[#This Row],[Recalc_Net_Sales]])&lt;0.02,"OK","CHECK")</f>
        <v>OK</v>
      </c>
      <c r="M661" s="14">
        <f>DATE(YEAR(tblTransactions[[#This Row],[date]]),MONTH(tblTransactions[[#This Row],[date]]),1)</f>
        <v>45748</v>
      </c>
      <c r="N661" t="str">
        <f>IF(WEEKDAY(tblTransactions[[#This Row],[date]],2)&gt;5,"Weekend","Weekday")</f>
        <v>Weekday</v>
      </c>
      <c r="O66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61" s="13" t="str">
        <f>_xlfn.XLOOKUP(tblTransactions[[#This Row],[tenant_id]],tblTenants[tenant_id],tblTenants[zone],"NOT FOUND")</f>
        <v>Food Court</v>
      </c>
      <c r="Q661" s="13" t="str">
        <f>_xlfn.XLOOKUP(tblTransactions[[#This Row],[tenant_id]],tblTenants[tenant_id],tblTenants[category],"NOT FOUND")</f>
        <v>Casual Dining</v>
      </c>
    </row>
    <row r="662" spans="1:17">
      <c r="A662" t="s">
        <v>706</v>
      </c>
      <c r="B662" s="2">
        <v>45736</v>
      </c>
      <c r="C662">
        <v>20</v>
      </c>
      <c r="D662" t="s">
        <v>59</v>
      </c>
      <c r="E662" t="s">
        <v>21</v>
      </c>
      <c r="F662" s="7">
        <v>386.78</v>
      </c>
      <c r="G662" s="10">
        <v>0</v>
      </c>
      <c r="H662" s="7">
        <v>386.78</v>
      </c>
      <c r="I662">
        <v>2</v>
      </c>
      <c r="J662" t="s">
        <v>13</v>
      </c>
      <c r="K662" s="13">
        <f>ROUND(tblTransactions[[#This Row],[gross_sales_inr]]*(1-tblTransactions[[#This Row],[discount_pct]]),2)</f>
        <v>386.78</v>
      </c>
      <c r="L662" t="str">
        <f>IF(ABS(tblTransactions[[#This Row],[net_sales_inr]]-tblTransactions[[#This Row],[Recalc_Net_Sales]])&lt;0.02,"OK","CHECK")</f>
        <v>OK</v>
      </c>
      <c r="M662" s="14">
        <f>DATE(YEAR(tblTransactions[[#This Row],[date]]),MONTH(tblTransactions[[#This Row],[date]]),1)</f>
        <v>45717</v>
      </c>
      <c r="N662" t="str">
        <f>IF(WEEKDAY(tblTransactions[[#This Row],[date]],2)&gt;5,"Weekend","Weekday")</f>
        <v>Weekday</v>
      </c>
      <c r="O662" s="13" t="str">
        <f>IF(tblTransactions[[#This Row],[discount_pct]]=0,"0%",IF(tblTransactions[[#This Row],[discount_pct]]&lt;=10%,"1–
10%",IF(tblTransactions[[#This Row],[discount_pct]]&lt;=20%,"11–20%","&gt;20%")))</f>
        <v>0%</v>
      </c>
      <c r="P662" s="13" t="str">
        <f>_xlfn.XLOOKUP(tblTransactions[[#This Row],[tenant_id]],tblTenants[tenant_id],tblTenants[zone],"NOT FOUND")</f>
        <v>Fashion Avenue</v>
      </c>
      <c r="Q662" s="13" t="str">
        <f>_xlfn.XLOOKUP(tblTransactions[[#This Row],[tenant_id]],tblTenants[tenant_id],tblTenants[category],"NOT FOUND")</f>
        <v>Footwear</v>
      </c>
    </row>
    <row r="663" spans="1:17">
      <c r="A663" t="s">
        <v>707</v>
      </c>
      <c r="B663" s="2">
        <v>45778</v>
      </c>
      <c r="C663">
        <v>12</v>
      </c>
      <c r="D663" t="s">
        <v>41</v>
      </c>
      <c r="E663" t="s">
        <v>12</v>
      </c>
      <c r="F663" s="7">
        <v>759.17</v>
      </c>
      <c r="G663" s="10">
        <v>0.15</v>
      </c>
      <c r="H663" s="7">
        <v>645.29</v>
      </c>
      <c r="I663">
        <v>1</v>
      </c>
      <c r="J663" t="s">
        <v>13</v>
      </c>
      <c r="K663" s="13">
        <f>ROUND(tblTransactions[[#This Row],[gross_sales_inr]]*(1-tblTransactions[[#This Row],[discount_pct]]),2)</f>
        <v>645.29</v>
      </c>
      <c r="L663" t="str">
        <f>IF(ABS(tblTransactions[[#This Row],[net_sales_inr]]-tblTransactions[[#This Row],[Recalc_Net_Sales]])&lt;0.02,"OK","CHECK")</f>
        <v>OK</v>
      </c>
      <c r="M663" s="14">
        <f>DATE(YEAR(tblTransactions[[#This Row],[date]]),MONTH(tblTransactions[[#This Row],[date]]),1)</f>
        <v>45778</v>
      </c>
      <c r="N663" t="str">
        <f>IF(WEEKDAY(tblTransactions[[#This Row],[date]],2)&gt;5,"Weekend","Weekday")</f>
        <v>Weekday</v>
      </c>
      <c r="O66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63" s="13" t="str">
        <f>_xlfn.XLOOKUP(tblTransactions[[#This Row],[tenant_id]],tblTenants[tenant_id],tblTenants[zone],"NOT FOUND")</f>
        <v>Fashion Avenue</v>
      </c>
      <c r="Q663" s="13" t="str">
        <f>_xlfn.XLOOKUP(tblTransactions[[#This Row],[tenant_id]],tblTenants[tenant_id],tblTenants[category],"NOT FOUND")</f>
        <v>Clothing</v>
      </c>
    </row>
    <row r="664" spans="1:17">
      <c r="A664" t="s">
        <v>708</v>
      </c>
      <c r="B664" s="2">
        <v>45771</v>
      </c>
      <c r="C664">
        <v>12</v>
      </c>
      <c r="D664" t="s">
        <v>85</v>
      </c>
      <c r="E664" t="s">
        <v>12</v>
      </c>
      <c r="F664" s="7">
        <v>1806.24</v>
      </c>
      <c r="G664" s="10">
        <v>0</v>
      </c>
      <c r="H664" s="7">
        <v>1806.24</v>
      </c>
      <c r="I664">
        <v>2</v>
      </c>
      <c r="J664" t="s">
        <v>16</v>
      </c>
      <c r="K664" s="13">
        <f>ROUND(tblTransactions[[#This Row],[gross_sales_inr]]*(1-tblTransactions[[#This Row],[discount_pct]]),2)</f>
        <v>1806.24</v>
      </c>
      <c r="L664" t="str">
        <f>IF(ABS(tblTransactions[[#This Row],[net_sales_inr]]-tblTransactions[[#This Row],[Recalc_Net_Sales]])&lt;0.02,"OK","CHECK")</f>
        <v>OK</v>
      </c>
      <c r="M664" s="14">
        <f>DATE(YEAR(tblTransactions[[#This Row],[date]]),MONTH(tblTransactions[[#This Row],[date]]),1)</f>
        <v>45748</v>
      </c>
      <c r="N664" t="str">
        <f>IF(WEEKDAY(tblTransactions[[#This Row],[date]],2)&gt;5,"Weekend","Weekday")</f>
        <v>Weekday</v>
      </c>
      <c r="O664" s="13" t="str">
        <f>IF(tblTransactions[[#This Row],[discount_pct]]=0,"0%",IF(tblTransactions[[#This Row],[discount_pct]]&lt;=10%,"1–
10%",IF(tblTransactions[[#This Row],[discount_pct]]&lt;=20%,"11–20%","&gt;20%")))</f>
        <v>0%</v>
      </c>
      <c r="P664" s="13" t="str">
        <f>_xlfn.XLOOKUP(tblTransactions[[#This Row],[tenant_id]],tblTenants[tenant_id],tblTenants[zone],"NOT FOUND")</f>
        <v>Home &amp; Living</v>
      </c>
      <c r="Q664" s="13" t="str">
        <f>_xlfn.XLOOKUP(tblTransactions[[#This Row],[tenant_id]],tblTenants[tenant_id],tblTenants[category],"NOT FOUND")</f>
        <v>Electronics</v>
      </c>
    </row>
    <row r="665" spans="1:17">
      <c r="A665" t="s">
        <v>709</v>
      </c>
      <c r="B665" s="2">
        <v>45807</v>
      </c>
      <c r="C665">
        <v>21</v>
      </c>
      <c r="D665" t="s">
        <v>36</v>
      </c>
      <c r="E665" t="s">
        <v>12</v>
      </c>
      <c r="F665" s="7">
        <v>1057.33</v>
      </c>
      <c r="G665" s="10">
        <v>0.1</v>
      </c>
      <c r="H665" s="7">
        <v>951.6</v>
      </c>
      <c r="I665">
        <v>2</v>
      </c>
      <c r="J665" t="s">
        <v>16</v>
      </c>
      <c r="K665" s="13">
        <f>ROUND(tblTransactions[[#This Row],[gross_sales_inr]]*(1-tblTransactions[[#This Row],[discount_pct]]),2)</f>
        <v>951.6</v>
      </c>
      <c r="L665" t="str">
        <f>IF(ABS(tblTransactions[[#This Row],[net_sales_inr]]-tblTransactions[[#This Row],[Recalc_Net_Sales]])&lt;0.02,"OK","CHECK")</f>
        <v>OK</v>
      </c>
      <c r="M665" s="14">
        <f>DATE(YEAR(tblTransactions[[#This Row],[date]]),MONTH(tblTransactions[[#This Row],[date]]),1)</f>
        <v>45778</v>
      </c>
      <c r="N665" t="str">
        <f>IF(WEEKDAY(tblTransactions[[#This Row],[date]],2)&gt;5,"Weekend","Weekday")</f>
        <v>Weekday</v>
      </c>
      <c r="O66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65" s="13" t="str">
        <f>_xlfn.XLOOKUP(tblTransactions[[#This Row],[tenant_id]],tblTenants[tenant_id],tblTenants[zone],"NOT FOUND")</f>
        <v>Home &amp; Living</v>
      </c>
      <c r="Q665" s="13" t="str">
        <f>_xlfn.XLOOKUP(tblTransactions[[#This Row],[tenant_id]],tblTenants[tenant_id],tblTenants[category],"NOT FOUND")</f>
        <v>Electronics</v>
      </c>
    </row>
    <row r="666" spans="1:17">
      <c r="A666" t="s">
        <v>710</v>
      </c>
      <c r="B666" s="2">
        <v>45675</v>
      </c>
      <c r="C666">
        <v>15</v>
      </c>
      <c r="D666" t="s">
        <v>70</v>
      </c>
      <c r="E666" t="s">
        <v>12</v>
      </c>
      <c r="F666" s="7">
        <v>954.07</v>
      </c>
      <c r="G666" s="10">
        <v>0</v>
      </c>
      <c r="H666" s="7">
        <v>954.07</v>
      </c>
      <c r="I666">
        <v>4</v>
      </c>
      <c r="J666" t="s">
        <v>16</v>
      </c>
      <c r="K666" s="13">
        <f>ROUND(tblTransactions[[#This Row],[gross_sales_inr]]*(1-tblTransactions[[#This Row],[discount_pct]]),2)</f>
        <v>954.07</v>
      </c>
      <c r="L666" t="str">
        <f>IF(ABS(tblTransactions[[#This Row],[net_sales_inr]]-tblTransactions[[#This Row],[Recalc_Net_Sales]])&lt;0.02,"OK","CHECK")</f>
        <v>OK</v>
      </c>
      <c r="M666" s="14">
        <f>DATE(YEAR(tblTransactions[[#This Row],[date]]),MONTH(tblTransactions[[#This Row],[date]]),1)</f>
        <v>45658</v>
      </c>
      <c r="N666" t="str">
        <f>IF(WEEKDAY(tblTransactions[[#This Row],[date]],2)&gt;5,"Weekend","Weekday")</f>
        <v>Weekend</v>
      </c>
      <c r="O666" s="13" t="str">
        <f>IF(tblTransactions[[#This Row],[discount_pct]]=0,"0%",IF(tblTransactions[[#This Row],[discount_pct]]&lt;=10%,"1–
10%",IF(tblTransactions[[#This Row],[discount_pct]]&lt;=20%,"11–20%","&gt;20%")))</f>
        <v>0%</v>
      </c>
      <c r="P666" s="13" t="str">
        <f>_xlfn.XLOOKUP(tblTransactions[[#This Row],[tenant_id]],tblTenants[tenant_id],tblTenants[zone],"NOT FOUND")</f>
        <v>Food Court</v>
      </c>
      <c r="Q666" s="13" t="str">
        <f>_xlfn.XLOOKUP(tblTransactions[[#This Row],[tenant_id]],tblTenants[tenant_id],tblTenants[category],"NOT FOUND")</f>
        <v>Quick Service</v>
      </c>
    </row>
    <row r="667" spans="1:17">
      <c r="A667" t="s">
        <v>711</v>
      </c>
      <c r="B667" s="2">
        <v>45784</v>
      </c>
      <c r="C667">
        <v>20</v>
      </c>
      <c r="D667" t="s">
        <v>48</v>
      </c>
      <c r="E667" t="s">
        <v>12</v>
      </c>
      <c r="F667" s="7">
        <v>689.49</v>
      </c>
      <c r="G667" s="10">
        <v>0</v>
      </c>
      <c r="H667" s="7">
        <v>689.49</v>
      </c>
      <c r="I667">
        <v>1</v>
      </c>
      <c r="J667" t="s">
        <v>13</v>
      </c>
      <c r="K667" s="13">
        <f>ROUND(tblTransactions[[#This Row],[gross_sales_inr]]*(1-tblTransactions[[#This Row],[discount_pct]]),2)</f>
        <v>689.49</v>
      </c>
      <c r="L667" t="str">
        <f>IF(ABS(tblTransactions[[#This Row],[net_sales_inr]]-tblTransactions[[#This Row],[Recalc_Net_Sales]])&lt;0.02,"OK","CHECK")</f>
        <v>OK</v>
      </c>
      <c r="M667" s="14">
        <f>DATE(YEAR(tblTransactions[[#This Row],[date]]),MONTH(tblTransactions[[#This Row],[date]]),1)</f>
        <v>45778</v>
      </c>
      <c r="N667" t="str">
        <f>IF(WEEKDAY(tblTransactions[[#This Row],[date]],2)&gt;5,"Weekend","Weekday")</f>
        <v>Weekday</v>
      </c>
      <c r="O667" s="13" t="str">
        <f>IF(tblTransactions[[#This Row],[discount_pct]]=0,"0%",IF(tblTransactions[[#This Row],[discount_pct]]&lt;=10%,"1–
10%",IF(tblTransactions[[#This Row],[discount_pct]]&lt;=20%,"11–20%","&gt;20%")))</f>
        <v>0%</v>
      </c>
      <c r="P667" s="13" t="str">
        <f>_xlfn.XLOOKUP(tblTransactions[[#This Row],[tenant_id]],tblTenants[tenant_id],tblTenants[zone],"NOT FOUND")</f>
        <v>Beauty &amp; Wellness</v>
      </c>
      <c r="Q667" s="13" t="str">
        <f>_xlfn.XLOOKUP(tblTransactions[[#This Row],[tenant_id]],tblTenants[tenant_id],tblTenants[category],"NOT FOUND")</f>
        <v>Wellness</v>
      </c>
    </row>
    <row r="668" spans="1:17">
      <c r="A668" t="s">
        <v>712</v>
      </c>
      <c r="B668" s="2">
        <v>45805</v>
      </c>
      <c r="C668">
        <v>18</v>
      </c>
      <c r="D668" t="s">
        <v>41</v>
      </c>
      <c r="E668" t="s">
        <v>32</v>
      </c>
      <c r="F668" s="7">
        <v>783.6</v>
      </c>
      <c r="G668" s="10">
        <v>0.1</v>
      </c>
      <c r="H668" s="7">
        <v>705.24</v>
      </c>
      <c r="I668">
        <v>3</v>
      </c>
      <c r="J668" t="s">
        <v>16</v>
      </c>
      <c r="K668" s="13">
        <f>ROUND(tblTransactions[[#This Row],[gross_sales_inr]]*(1-tblTransactions[[#This Row],[discount_pct]]),2)</f>
        <v>705.24</v>
      </c>
      <c r="L668" t="str">
        <f>IF(ABS(tblTransactions[[#This Row],[net_sales_inr]]-tblTransactions[[#This Row],[Recalc_Net_Sales]])&lt;0.02,"OK","CHECK")</f>
        <v>OK</v>
      </c>
      <c r="M668" s="14">
        <f>DATE(YEAR(tblTransactions[[#This Row],[date]]),MONTH(tblTransactions[[#This Row],[date]]),1)</f>
        <v>45778</v>
      </c>
      <c r="N668" t="str">
        <f>IF(WEEKDAY(tblTransactions[[#This Row],[date]],2)&gt;5,"Weekend","Weekday")</f>
        <v>Weekday</v>
      </c>
      <c r="O66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68" s="13" t="str">
        <f>_xlfn.XLOOKUP(tblTransactions[[#This Row],[tenant_id]],tblTenants[tenant_id],tblTenants[zone],"NOT FOUND")</f>
        <v>Fashion Avenue</v>
      </c>
      <c r="Q668" s="13" t="str">
        <f>_xlfn.XLOOKUP(tblTransactions[[#This Row],[tenant_id]],tblTenants[tenant_id],tblTenants[category],"NOT FOUND")</f>
        <v>Clothing</v>
      </c>
    </row>
    <row r="669" spans="1:17">
      <c r="A669" t="s">
        <v>713</v>
      </c>
      <c r="B669" s="2">
        <v>45695</v>
      </c>
      <c r="C669">
        <v>20</v>
      </c>
      <c r="D669" t="s">
        <v>55</v>
      </c>
      <c r="E669" t="s">
        <v>12</v>
      </c>
      <c r="F669" s="7">
        <v>860.78</v>
      </c>
      <c r="G669" s="10">
        <v>0</v>
      </c>
      <c r="H669" s="7">
        <v>860.78</v>
      </c>
      <c r="I669">
        <v>4</v>
      </c>
      <c r="J669" t="s">
        <v>13</v>
      </c>
      <c r="K669" s="13">
        <f>ROUND(tblTransactions[[#This Row],[gross_sales_inr]]*(1-tblTransactions[[#This Row],[discount_pct]]),2)</f>
        <v>860.78</v>
      </c>
      <c r="L669" t="str">
        <f>IF(ABS(tblTransactions[[#This Row],[net_sales_inr]]-tblTransactions[[#This Row],[Recalc_Net_Sales]])&lt;0.02,"OK","CHECK")</f>
        <v>OK</v>
      </c>
      <c r="M669" s="14">
        <f>DATE(YEAR(tblTransactions[[#This Row],[date]]),MONTH(tblTransactions[[#This Row],[date]]),1)</f>
        <v>45689</v>
      </c>
      <c r="N669" t="str">
        <f>IF(WEEKDAY(tblTransactions[[#This Row],[date]],2)&gt;5,"Weekend","Weekday")</f>
        <v>Weekday</v>
      </c>
      <c r="O669" s="13" t="str">
        <f>IF(tblTransactions[[#This Row],[discount_pct]]=0,"0%",IF(tblTransactions[[#This Row],[discount_pct]]&lt;=10%,"1–
10%",IF(tblTransactions[[#This Row],[discount_pct]]&lt;=20%,"11–20%","&gt;20%")))</f>
        <v>0%</v>
      </c>
      <c r="P669" s="13" t="str">
        <f>_xlfn.XLOOKUP(tblTransactions[[#This Row],[tenant_id]],tblTenants[tenant_id],tblTenants[zone],"NOT FOUND")</f>
        <v>Food Court</v>
      </c>
      <c r="Q669" s="13" t="str">
        <f>_xlfn.XLOOKUP(tblTransactions[[#This Row],[tenant_id]],tblTenants[tenant_id],tblTenants[category],"NOT FOUND")</f>
        <v>Quick Service</v>
      </c>
    </row>
    <row r="670" spans="1:17">
      <c r="A670" t="s">
        <v>714</v>
      </c>
      <c r="B670" s="2">
        <v>45798</v>
      </c>
      <c r="C670">
        <v>14</v>
      </c>
      <c r="D670" t="s">
        <v>20</v>
      </c>
      <c r="E670" t="s">
        <v>32</v>
      </c>
      <c r="F670" s="7">
        <v>474.32</v>
      </c>
      <c r="G670" s="10">
        <v>0</v>
      </c>
      <c r="H670" s="7">
        <v>474.32</v>
      </c>
      <c r="I670">
        <v>5</v>
      </c>
      <c r="J670" t="s">
        <v>13</v>
      </c>
      <c r="K670" s="13">
        <f>ROUND(tblTransactions[[#This Row],[gross_sales_inr]]*(1-tblTransactions[[#This Row],[discount_pct]]),2)</f>
        <v>474.32</v>
      </c>
      <c r="L670" t="str">
        <f>IF(ABS(tblTransactions[[#This Row],[net_sales_inr]]-tblTransactions[[#This Row],[Recalc_Net_Sales]])&lt;0.02,"OK","CHECK")</f>
        <v>OK</v>
      </c>
      <c r="M670" s="14">
        <f>DATE(YEAR(tblTransactions[[#This Row],[date]]),MONTH(tblTransactions[[#This Row],[date]]),1)</f>
        <v>45778</v>
      </c>
      <c r="N670" t="str">
        <f>IF(WEEKDAY(tblTransactions[[#This Row],[date]],2)&gt;5,"Weekend","Weekday")</f>
        <v>Weekday</v>
      </c>
      <c r="O670" s="13" t="str">
        <f>IF(tblTransactions[[#This Row],[discount_pct]]=0,"0%",IF(tblTransactions[[#This Row],[discount_pct]]&lt;=10%,"1–
10%",IF(tblTransactions[[#This Row],[discount_pct]]&lt;=20%,"11–20%","&gt;20%")))</f>
        <v>0%</v>
      </c>
      <c r="P670" s="13" t="str">
        <f>_xlfn.XLOOKUP(tblTransactions[[#This Row],[tenant_id]],tblTenants[tenant_id],tblTenants[zone],"NOT FOUND")</f>
        <v>Fashion Avenue</v>
      </c>
      <c r="Q670" s="13" t="str">
        <f>_xlfn.XLOOKUP(tblTransactions[[#This Row],[tenant_id]],tblTenants[tenant_id],tblTenants[category],"NOT FOUND")</f>
        <v>Accessories</v>
      </c>
    </row>
    <row r="671" spans="1:17">
      <c r="A671" t="s">
        <v>715</v>
      </c>
      <c r="B671" s="2">
        <v>45818</v>
      </c>
      <c r="C671">
        <v>22</v>
      </c>
      <c r="D671" t="s">
        <v>85</v>
      </c>
      <c r="E671" t="s">
        <v>21</v>
      </c>
      <c r="F671" s="7">
        <v>917.9</v>
      </c>
      <c r="G671" s="10">
        <v>0.15</v>
      </c>
      <c r="H671" s="7">
        <v>780.21</v>
      </c>
      <c r="I671">
        <v>3</v>
      </c>
      <c r="J671" t="s">
        <v>16</v>
      </c>
      <c r="K671" s="13">
        <f>ROUND(tblTransactions[[#This Row],[gross_sales_inr]]*(1-tblTransactions[[#This Row],[discount_pct]]),2)</f>
        <v>780.22</v>
      </c>
      <c r="L671" t="str">
        <f>IF(ABS(tblTransactions[[#This Row],[net_sales_inr]]-tblTransactions[[#This Row],[Recalc_Net_Sales]])&lt;0.02,"OK","CHECK")</f>
        <v>OK</v>
      </c>
      <c r="M671" s="14">
        <f>DATE(YEAR(tblTransactions[[#This Row],[date]]),MONTH(tblTransactions[[#This Row],[date]]),1)</f>
        <v>45809</v>
      </c>
      <c r="N671" t="str">
        <f>IF(WEEKDAY(tblTransactions[[#This Row],[date]],2)&gt;5,"Weekend","Weekday")</f>
        <v>Weekday</v>
      </c>
      <c r="O67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71" s="13" t="str">
        <f>_xlfn.XLOOKUP(tblTransactions[[#This Row],[tenant_id]],tblTenants[tenant_id],tblTenants[zone],"NOT FOUND")</f>
        <v>Home &amp; Living</v>
      </c>
      <c r="Q671" s="13" t="str">
        <f>_xlfn.XLOOKUP(tblTransactions[[#This Row],[tenant_id]],tblTenants[tenant_id],tblTenants[category],"NOT FOUND")</f>
        <v>Electronics</v>
      </c>
    </row>
    <row r="672" spans="1:17">
      <c r="A672" t="s">
        <v>716</v>
      </c>
      <c r="B672" s="2">
        <v>45736</v>
      </c>
      <c r="C672">
        <v>20</v>
      </c>
      <c r="D672" t="s">
        <v>85</v>
      </c>
      <c r="E672" t="s">
        <v>12</v>
      </c>
      <c r="F672" s="7">
        <v>2178.98</v>
      </c>
      <c r="G672" s="10">
        <v>0.05</v>
      </c>
      <c r="H672" s="7">
        <v>2070.0300000000002</v>
      </c>
      <c r="I672">
        <v>3</v>
      </c>
      <c r="J672" t="s">
        <v>16</v>
      </c>
      <c r="K672" s="13">
        <f>ROUND(tblTransactions[[#This Row],[gross_sales_inr]]*(1-tblTransactions[[#This Row],[discount_pct]]),2)</f>
        <v>2070.0300000000002</v>
      </c>
      <c r="L672" t="str">
        <f>IF(ABS(tblTransactions[[#This Row],[net_sales_inr]]-tblTransactions[[#This Row],[Recalc_Net_Sales]])&lt;0.02,"OK","CHECK")</f>
        <v>OK</v>
      </c>
      <c r="M672" s="14">
        <f>DATE(YEAR(tblTransactions[[#This Row],[date]]),MONTH(tblTransactions[[#This Row],[date]]),1)</f>
        <v>45717</v>
      </c>
      <c r="N672" t="str">
        <f>IF(WEEKDAY(tblTransactions[[#This Row],[date]],2)&gt;5,"Weekend","Weekday")</f>
        <v>Weekday</v>
      </c>
      <c r="O67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72" s="13" t="str">
        <f>_xlfn.XLOOKUP(tblTransactions[[#This Row],[tenant_id]],tblTenants[tenant_id],tblTenants[zone],"NOT FOUND")</f>
        <v>Home &amp; Living</v>
      </c>
      <c r="Q672" s="13" t="str">
        <f>_xlfn.XLOOKUP(tblTransactions[[#This Row],[tenant_id]],tblTenants[tenant_id],tblTenants[category],"NOT FOUND")</f>
        <v>Electronics</v>
      </c>
    </row>
    <row r="673" spans="1:17">
      <c r="A673" t="s">
        <v>717</v>
      </c>
      <c r="B673" s="2">
        <v>45751</v>
      </c>
      <c r="C673">
        <v>19</v>
      </c>
      <c r="D673" t="s">
        <v>23</v>
      </c>
      <c r="E673" t="s">
        <v>32</v>
      </c>
      <c r="F673" s="7">
        <v>2969.86</v>
      </c>
      <c r="G673" s="10">
        <v>0</v>
      </c>
      <c r="H673" s="7">
        <v>2969.86</v>
      </c>
      <c r="I673">
        <v>1</v>
      </c>
      <c r="J673" t="s">
        <v>13</v>
      </c>
      <c r="K673" s="13">
        <f>ROUND(tblTransactions[[#This Row],[gross_sales_inr]]*(1-tblTransactions[[#This Row],[discount_pct]]),2)</f>
        <v>2969.86</v>
      </c>
      <c r="L673" t="str">
        <f>IF(ABS(tblTransactions[[#This Row],[net_sales_inr]]-tblTransactions[[#This Row],[Recalc_Net_Sales]])&lt;0.02,"OK","CHECK")</f>
        <v>OK</v>
      </c>
      <c r="M673" s="14">
        <f>DATE(YEAR(tblTransactions[[#This Row],[date]]),MONTH(tblTransactions[[#This Row],[date]]),1)</f>
        <v>45748</v>
      </c>
      <c r="N673" t="str">
        <f>IF(WEEKDAY(tblTransactions[[#This Row],[date]],2)&gt;5,"Weekend","Weekday")</f>
        <v>Weekday</v>
      </c>
      <c r="O673" s="13" t="str">
        <f>IF(tblTransactions[[#This Row],[discount_pct]]=0,"0%",IF(tblTransactions[[#This Row],[discount_pct]]&lt;=10%,"1–
10%",IF(tblTransactions[[#This Row],[discount_pct]]&lt;=20%,"11–20%","&gt;20%")))</f>
        <v>0%</v>
      </c>
      <c r="P673" s="13" t="str">
        <f>_xlfn.XLOOKUP(tblTransactions[[#This Row],[tenant_id]],tblTenants[tenant_id],tblTenants[zone],"NOT FOUND")</f>
        <v>Entertainment</v>
      </c>
      <c r="Q673" s="13" t="str">
        <f>_xlfn.XLOOKUP(tblTransactions[[#This Row],[tenant_id]],tblTenants[tenant_id],tblTenants[category],"NOT FOUND")</f>
        <v>Cinema</v>
      </c>
    </row>
    <row r="674" spans="1:17">
      <c r="A674" t="s">
        <v>718</v>
      </c>
      <c r="B674" s="2">
        <v>45665</v>
      </c>
      <c r="C674">
        <v>10</v>
      </c>
      <c r="D674" t="s">
        <v>85</v>
      </c>
      <c r="E674" t="s">
        <v>32</v>
      </c>
      <c r="F674" s="7">
        <v>1137.1600000000001</v>
      </c>
      <c r="G674" s="10">
        <v>0.1</v>
      </c>
      <c r="H674" s="7">
        <v>1023.44</v>
      </c>
      <c r="I674">
        <v>3</v>
      </c>
      <c r="J674" t="s">
        <v>13</v>
      </c>
      <c r="K674" s="13">
        <f>ROUND(tblTransactions[[#This Row],[gross_sales_inr]]*(1-tblTransactions[[#This Row],[discount_pct]]),2)</f>
        <v>1023.44</v>
      </c>
      <c r="L674" t="str">
        <f>IF(ABS(tblTransactions[[#This Row],[net_sales_inr]]-tblTransactions[[#This Row],[Recalc_Net_Sales]])&lt;0.02,"OK","CHECK")</f>
        <v>OK</v>
      </c>
      <c r="M674" s="14">
        <f>DATE(YEAR(tblTransactions[[#This Row],[date]]),MONTH(tblTransactions[[#This Row],[date]]),1)</f>
        <v>45658</v>
      </c>
      <c r="N674" t="str">
        <f>IF(WEEKDAY(tblTransactions[[#This Row],[date]],2)&gt;5,"Weekend","Weekday")</f>
        <v>Weekday</v>
      </c>
      <c r="O67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74" s="13" t="str">
        <f>_xlfn.XLOOKUP(tblTransactions[[#This Row],[tenant_id]],tblTenants[tenant_id],tblTenants[zone],"NOT FOUND")</f>
        <v>Home &amp; Living</v>
      </c>
      <c r="Q674" s="13" t="str">
        <f>_xlfn.XLOOKUP(tblTransactions[[#This Row],[tenant_id]],tblTenants[tenant_id],tblTenants[category],"NOT FOUND")</f>
        <v>Electronics</v>
      </c>
    </row>
    <row r="675" spans="1:17">
      <c r="A675" t="s">
        <v>719</v>
      </c>
      <c r="B675" s="2">
        <v>45749</v>
      </c>
      <c r="C675">
        <v>17</v>
      </c>
      <c r="D675" t="s">
        <v>25</v>
      </c>
      <c r="E675" t="s">
        <v>21</v>
      </c>
      <c r="F675" s="7">
        <v>166.75</v>
      </c>
      <c r="G675" s="10">
        <v>0</v>
      </c>
      <c r="H675" s="7">
        <v>166.75</v>
      </c>
      <c r="I675">
        <v>1</v>
      </c>
      <c r="J675" t="s">
        <v>13</v>
      </c>
      <c r="K675" s="13">
        <f>ROUND(tblTransactions[[#This Row],[gross_sales_inr]]*(1-tblTransactions[[#This Row],[discount_pct]]),2)</f>
        <v>166.75</v>
      </c>
      <c r="L675" t="str">
        <f>IF(ABS(tblTransactions[[#This Row],[net_sales_inr]]-tblTransactions[[#This Row],[Recalc_Net_Sales]])&lt;0.02,"OK","CHECK")</f>
        <v>OK</v>
      </c>
      <c r="M675" s="14">
        <f>DATE(YEAR(tblTransactions[[#This Row],[date]]),MONTH(tblTransactions[[#This Row],[date]]),1)</f>
        <v>45748</v>
      </c>
      <c r="N675" t="str">
        <f>IF(WEEKDAY(tblTransactions[[#This Row],[date]],2)&gt;5,"Weekend","Weekday")</f>
        <v>Weekday</v>
      </c>
      <c r="O675" s="13" t="str">
        <f>IF(tblTransactions[[#This Row],[discount_pct]]=0,"0%",IF(tblTransactions[[#This Row],[discount_pct]]&lt;=10%,"1–
10%",IF(tblTransactions[[#This Row],[discount_pct]]&lt;=20%,"11–20%","&gt;20%")))</f>
        <v>0%</v>
      </c>
      <c r="P675" s="13" t="str">
        <f>_xlfn.XLOOKUP(tblTransactions[[#This Row],[tenant_id]],tblTenants[tenant_id],tblTenants[zone],"NOT FOUND")</f>
        <v>Beauty &amp; Wellness</v>
      </c>
      <c r="Q675" s="13" t="str">
        <f>_xlfn.XLOOKUP(tblTransactions[[#This Row],[tenant_id]],tblTenants[tenant_id],tblTenants[category],"NOT FOUND")</f>
        <v>Beauty</v>
      </c>
    </row>
    <row r="676" spans="1:17">
      <c r="A676" t="s">
        <v>720</v>
      </c>
      <c r="B676" s="2">
        <v>45725</v>
      </c>
      <c r="C676">
        <v>13</v>
      </c>
      <c r="D676" t="s">
        <v>98</v>
      </c>
      <c r="E676" t="s">
        <v>12</v>
      </c>
      <c r="F676" s="7">
        <v>502.21</v>
      </c>
      <c r="G676" s="10">
        <v>0.1</v>
      </c>
      <c r="H676" s="7">
        <v>451.99</v>
      </c>
      <c r="I676">
        <v>2</v>
      </c>
      <c r="J676" t="s">
        <v>13</v>
      </c>
      <c r="K676" s="13">
        <f>ROUND(tblTransactions[[#This Row],[gross_sales_inr]]*(1-tblTransactions[[#This Row],[discount_pct]]),2)</f>
        <v>451.99</v>
      </c>
      <c r="L676" t="str">
        <f>IF(ABS(tblTransactions[[#This Row],[net_sales_inr]]-tblTransactions[[#This Row],[Recalc_Net_Sales]])&lt;0.02,"OK","CHECK")</f>
        <v>OK</v>
      </c>
      <c r="M676" s="14">
        <f>DATE(YEAR(tblTransactions[[#This Row],[date]]),MONTH(tblTransactions[[#This Row],[date]]),1)</f>
        <v>45717</v>
      </c>
      <c r="N676" t="str">
        <f>IF(WEEKDAY(tblTransactions[[#This Row],[date]],2)&gt;5,"Weekend","Weekday")</f>
        <v>Weekend</v>
      </c>
      <c r="O67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76" s="13" t="str">
        <f>_xlfn.XLOOKUP(tblTransactions[[#This Row],[tenant_id]],tblTenants[tenant_id],tblTenants[zone],"NOT FOUND")</f>
        <v>Fashion Avenue</v>
      </c>
      <c r="Q676" s="13" t="str">
        <f>_xlfn.XLOOKUP(tblTransactions[[#This Row],[tenant_id]],tblTenants[tenant_id],tblTenants[category],"NOT FOUND")</f>
        <v>Accessories</v>
      </c>
    </row>
    <row r="677" spans="1:17">
      <c r="A677" t="s">
        <v>721</v>
      </c>
      <c r="B677" s="2">
        <v>45730</v>
      </c>
      <c r="C677">
        <v>16</v>
      </c>
      <c r="D677" t="s">
        <v>36</v>
      </c>
      <c r="E677" t="s">
        <v>12</v>
      </c>
      <c r="F677" s="7">
        <v>173.33</v>
      </c>
      <c r="G677" s="10">
        <v>0.15</v>
      </c>
      <c r="H677" s="7">
        <v>147.33000000000001</v>
      </c>
      <c r="I677">
        <v>2</v>
      </c>
      <c r="J677" t="s">
        <v>16</v>
      </c>
      <c r="K677" s="13">
        <f>ROUND(tblTransactions[[#This Row],[gross_sales_inr]]*(1-tblTransactions[[#This Row],[discount_pct]]),2)</f>
        <v>147.33000000000001</v>
      </c>
      <c r="L677" t="str">
        <f>IF(ABS(tblTransactions[[#This Row],[net_sales_inr]]-tblTransactions[[#This Row],[Recalc_Net_Sales]])&lt;0.02,"OK","CHECK")</f>
        <v>OK</v>
      </c>
      <c r="M677" s="14">
        <f>DATE(YEAR(tblTransactions[[#This Row],[date]]),MONTH(tblTransactions[[#This Row],[date]]),1)</f>
        <v>45717</v>
      </c>
      <c r="N677" t="str">
        <f>IF(WEEKDAY(tblTransactions[[#This Row],[date]],2)&gt;5,"Weekend","Weekday")</f>
        <v>Weekday</v>
      </c>
      <c r="O67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77" s="13" t="str">
        <f>_xlfn.XLOOKUP(tblTransactions[[#This Row],[tenant_id]],tblTenants[tenant_id],tblTenants[zone],"NOT FOUND")</f>
        <v>Home &amp; Living</v>
      </c>
      <c r="Q677" s="13" t="str">
        <f>_xlfn.XLOOKUP(tblTransactions[[#This Row],[tenant_id]],tblTenants[tenant_id],tblTenants[category],"NOT FOUND")</f>
        <v>Electronics</v>
      </c>
    </row>
    <row r="678" spans="1:17">
      <c r="A678" t="s">
        <v>722</v>
      </c>
      <c r="B678" s="2">
        <v>45740</v>
      </c>
      <c r="C678">
        <v>22</v>
      </c>
      <c r="D678" t="s">
        <v>48</v>
      </c>
      <c r="E678" t="s">
        <v>21</v>
      </c>
      <c r="F678" s="7">
        <v>1819.46</v>
      </c>
      <c r="G678" s="10">
        <v>0.2</v>
      </c>
      <c r="H678" s="7">
        <v>1455.57</v>
      </c>
      <c r="I678">
        <v>2</v>
      </c>
      <c r="J678" t="s">
        <v>16</v>
      </c>
      <c r="K678" s="13">
        <f>ROUND(tblTransactions[[#This Row],[gross_sales_inr]]*(1-tblTransactions[[#This Row],[discount_pct]]),2)</f>
        <v>1455.57</v>
      </c>
      <c r="L678" t="str">
        <f>IF(ABS(tblTransactions[[#This Row],[net_sales_inr]]-tblTransactions[[#This Row],[Recalc_Net_Sales]])&lt;0.02,"OK","CHECK")</f>
        <v>OK</v>
      </c>
      <c r="M678" s="14">
        <f>DATE(YEAR(tblTransactions[[#This Row],[date]]),MONTH(tblTransactions[[#This Row],[date]]),1)</f>
        <v>45717</v>
      </c>
      <c r="N678" t="str">
        <f>IF(WEEKDAY(tblTransactions[[#This Row],[date]],2)&gt;5,"Weekend","Weekday")</f>
        <v>Weekday</v>
      </c>
      <c r="O67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78" s="13" t="str">
        <f>_xlfn.XLOOKUP(tblTransactions[[#This Row],[tenant_id]],tblTenants[tenant_id],tblTenants[zone],"NOT FOUND")</f>
        <v>Beauty &amp; Wellness</v>
      </c>
      <c r="Q678" s="13" t="str">
        <f>_xlfn.XLOOKUP(tblTransactions[[#This Row],[tenant_id]],tblTenants[tenant_id],tblTenants[category],"NOT FOUND")</f>
        <v>Wellness</v>
      </c>
    </row>
    <row r="679" spans="1:17">
      <c r="A679" t="s">
        <v>723</v>
      </c>
      <c r="B679" s="2">
        <v>45821</v>
      </c>
      <c r="C679">
        <v>18</v>
      </c>
      <c r="D679" t="s">
        <v>70</v>
      </c>
      <c r="E679" t="s">
        <v>32</v>
      </c>
      <c r="F679" s="7">
        <v>1645.38</v>
      </c>
      <c r="G679" s="10">
        <v>0.1</v>
      </c>
      <c r="H679" s="7">
        <v>1480.84</v>
      </c>
      <c r="I679">
        <v>3</v>
      </c>
      <c r="J679" t="s">
        <v>13</v>
      </c>
      <c r="K679" s="13">
        <f>ROUND(tblTransactions[[#This Row],[gross_sales_inr]]*(1-tblTransactions[[#This Row],[discount_pct]]),2)</f>
        <v>1480.84</v>
      </c>
      <c r="L679" t="str">
        <f>IF(ABS(tblTransactions[[#This Row],[net_sales_inr]]-tblTransactions[[#This Row],[Recalc_Net_Sales]])&lt;0.02,"OK","CHECK")</f>
        <v>OK</v>
      </c>
      <c r="M679" s="14">
        <f>DATE(YEAR(tblTransactions[[#This Row],[date]]),MONTH(tblTransactions[[#This Row],[date]]),1)</f>
        <v>45809</v>
      </c>
      <c r="N679" t="str">
        <f>IF(WEEKDAY(tblTransactions[[#This Row],[date]],2)&gt;5,"Weekend","Weekday")</f>
        <v>Weekday</v>
      </c>
      <c r="O67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79" s="13" t="str">
        <f>_xlfn.XLOOKUP(tblTransactions[[#This Row],[tenant_id]],tblTenants[tenant_id],tblTenants[zone],"NOT FOUND")</f>
        <v>Food Court</v>
      </c>
      <c r="Q679" s="13" t="str">
        <f>_xlfn.XLOOKUP(tblTransactions[[#This Row],[tenant_id]],tblTenants[tenant_id],tblTenants[category],"NOT FOUND")</f>
        <v>Quick Service</v>
      </c>
    </row>
    <row r="680" spans="1:17">
      <c r="A680" t="s">
        <v>724</v>
      </c>
      <c r="B680" s="2">
        <v>45769</v>
      </c>
      <c r="C680">
        <v>20</v>
      </c>
      <c r="D680" t="s">
        <v>72</v>
      </c>
      <c r="E680" t="s">
        <v>32</v>
      </c>
      <c r="F680" s="7">
        <v>862.39</v>
      </c>
      <c r="G680" s="10">
        <v>0</v>
      </c>
      <c r="H680" s="7">
        <v>862.39</v>
      </c>
      <c r="I680">
        <v>2</v>
      </c>
      <c r="J680" t="s">
        <v>13</v>
      </c>
      <c r="K680" s="13">
        <f>ROUND(tblTransactions[[#This Row],[gross_sales_inr]]*(1-tblTransactions[[#This Row],[discount_pct]]),2)</f>
        <v>862.39</v>
      </c>
      <c r="L680" t="str">
        <f>IF(ABS(tblTransactions[[#This Row],[net_sales_inr]]-tblTransactions[[#This Row],[Recalc_Net_Sales]])&lt;0.02,"OK","CHECK")</f>
        <v>OK</v>
      </c>
      <c r="M680" s="14">
        <f>DATE(YEAR(tblTransactions[[#This Row],[date]]),MONTH(tblTransactions[[#This Row],[date]]),1)</f>
        <v>45748</v>
      </c>
      <c r="N680" t="str">
        <f>IF(WEEKDAY(tblTransactions[[#This Row],[date]],2)&gt;5,"Weekend","Weekday")</f>
        <v>Weekday</v>
      </c>
      <c r="O680" s="13" t="str">
        <f>IF(tblTransactions[[#This Row],[discount_pct]]=0,"0%",IF(tblTransactions[[#This Row],[discount_pct]]&lt;=10%,"1–
10%",IF(tblTransactions[[#This Row],[discount_pct]]&lt;=20%,"11–20%","&gt;20%")))</f>
        <v>0%</v>
      </c>
      <c r="P680" s="13" t="str">
        <f>_xlfn.XLOOKUP(tblTransactions[[#This Row],[tenant_id]],tblTenants[tenant_id],tblTenants[zone],"NOT FOUND")</f>
        <v>Entertainment</v>
      </c>
      <c r="Q680" s="13" t="str">
        <f>_xlfn.XLOOKUP(tblTransactions[[#This Row],[tenant_id]],tblTenants[tenant_id],tblTenants[category],"NOT FOUND")</f>
        <v>Arcade</v>
      </c>
    </row>
    <row r="681" spans="1:17">
      <c r="A681" t="s">
        <v>725</v>
      </c>
      <c r="B681" s="2">
        <v>45707</v>
      </c>
      <c r="C681">
        <v>16</v>
      </c>
      <c r="D681" t="s">
        <v>204</v>
      </c>
      <c r="E681" t="s">
        <v>32</v>
      </c>
      <c r="F681" s="7">
        <v>2486.89</v>
      </c>
      <c r="G681" s="10">
        <v>0</v>
      </c>
      <c r="H681" s="7">
        <v>2486.89</v>
      </c>
      <c r="I681">
        <v>2</v>
      </c>
      <c r="J681" t="s">
        <v>16</v>
      </c>
      <c r="K681" s="13">
        <f>ROUND(tblTransactions[[#This Row],[gross_sales_inr]]*(1-tblTransactions[[#This Row],[discount_pct]]),2)</f>
        <v>2486.89</v>
      </c>
      <c r="L681" t="str">
        <f>IF(ABS(tblTransactions[[#This Row],[net_sales_inr]]-tblTransactions[[#This Row],[Recalc_Net_Sales]])&lt;0.02,"OK","CHECK")</f>
        <v>OK</v>
      </c>
      <c r="M681" s="14">
        <f>DATE(YEAR(tblTransactions[[#This Row],[date]]),MONTH(tblTransactions[[#This Row],[date]]),1)</f>
        <v>45689</v>
      </c>
      <c r="N681" t="str">
        <f>IF(WEEKDAY(tblTransactions[[#This Row],[date]],2)&gt;5,"Weekend","Weekday")</f>
        <v>Weekday</v>
      </c>
      <c r="O681" s="13" t="str">
        <f>IF(tblTransactions[[#This Row],[discount_pct]]=0,"0%",IF(tblTransactions[[#This Row],[discount_pct]]&lt;=10%,"1–
10%",IF(tblTransactions[[#This Row],[discount_pct]]&lt;=20%,"11–20%","&gt;20%")))</f>
        <v>0%</v>
      </c>
      <c r="P681" s="13" t="str">
        <f>_xlfn.XLOOKUP(tblTransactions[[#This Row],[tenant_id]],tblTenants[tenant_id],tblTenants[zone],"NOT FOUND")</f>
        <v>Home &amp; Living</v>
      </c>
      <c r="Q681" s="13" t="str">
        <f>_xlfn.XLOOKUP(tblTransactions[[#This Row],[tenant_id]],tblTenants[tenant_id],tblTenants[category],"NOT FOUND")</f>
        <v>Home Decor</v>
      </c>
    </row>
    <row r="682" spans="1:17">
      <c r="A682" t="s">
        <v>726</v>
      </c>
      <c r="B682" s="2">
        <v>45828</v>
      </c>
      <c r="C682">
        <v>13</v>
      </c>
      <c r="D682" t="s">
        <v>70</v>
      </c>
      <c r="E682" t="s">
        <v>32</v>
      </c>
      <c r="F682" s="7">
        <v>2361.37</v>
      </c>
      <c r="G682" s="10">
        <v>0</v>
      </c>
      <c r="H682" s="7">
        <v>2361.37</v>
      </c>
      <c r="I682">
        <v>3</v>
      </c>
      <c r="J682" t="s">
        <v>13</v>
      </c>
      <c r="K682" s="13">
        <f>ROUND(tblTransactions[[#This Row],[gross_sales_inr]]*(1-tblTransactions[[#This Row],[discount_pct]]),2)</f>
        <v>2361.37</v>
      </c>
      <c r="L682" t="str">
        <f>IF(ABS(tblTransactions[[#This Row],[net_sales_inr]]-tblTransactions[[#This Row],[Recalc_Net_Sales]])&lt;0.02,"OK","CHECK")</f>
        <v>OK</v>
      </c>
      <c r="M682" s="14">
        <f>DATE(YEAR(tblTransactions[[#This Row],[date]]),MONTH(tblTransactions[[#This Row],[date]]),1)</f>
        <v>45809</v>
      </c>
      <c r="N682" t="str">
        <f>IF(WEEKDAY(tblTransactions[[#This Row],[date]],2)&gt;5,"Weekend","Weekday")</f>
        <v>Weekday</v>
      </c>
      <c r="O682" s="13" t="str">
        <f>IF(tblTransactions[[#This Row],[discount_pct]]=0,"0%",IF(tblTransactions[[#This Row],[discount_pct]]&lt;=10%,"1–
10%",IF(tblTransactions[[#This Row],[discount_pct]]&lt;=20%,"11–20%","&gt;20%")))</f>
        <v>0%</v>
      </c>
      <c r="P682" s="13" t="str">
        <f>_xlfn.XLOOKUP(tblTransactions[[#This Row],[tenant_id]],tblTenants[tenant_id],tblTenants[zone],"NOT FOUND")</f>
        <v>Food Court</v>
      </c>
      <c r="Q682" s="13" t="str">
        <f>_xlfn.XLOOKUP(tblTransactions[[#This Row],[tenant_id]],tblTenants[tenant_id],tblTenants[category],"NOT FOUND")</f>
        <v>Quick Service</v>
      </c>
    </row>
    <row r="683" spans="1:17">
      <c r="A683" t="s">
        <v>727</v>
      </c>
      <c r="B683" s="2">
        <v>45695</v>
      </c>
      <c r="C683">
        <v>10</v>
      </c>
      <c r="D683" t="s">
        <v>36</v>
      </c>
      <c r="E683" t="s">
        <v>12</v>
      </c>
      <c r="F683" s="7">
        <v>2076.69</v>
      </c>
      <c r="G683" s="10">
        <v>0.1</v>
      </c>
      <c r="H683" s="7">
        <v>1869.02</v>
      </c>
      <c r="I683">
        <v>1</v>
      </c>
      <c r="J683" t="s">
        <v>16</v>
      </c>
      <c r="K683" s="13">
        <f>ROUND(tblTransactions[[#This Row],[gross_sales_inr]]*(1-tblTransactions[[#This Row],[discount_pct]]),2)</f>
        <v>1869.02</v>
      </c>
      <c r="L683" t="str">
        <f>IF(ABS(tblTransactions[[#This Row],[net_sales_inr]]-tblTransactions[[#This Row],[Recalc_Net_Sales]])&lt;0.02,"OK","CHECK")</f>
        <v>OK</v>
      </c>
      <c r="M683" s="14">
        <f>DATE(YEAR(tblTransactions[[#This Row],[date]]),MONTH(tblTransactions[[#This Row],[date]]),1)</f>
        <v>45689</v>
      </c>
      <c r="N683" t="str">
        <f>IF(WEEKDAY(tblTransactions[[#This Row],[date]],2)&gt;5,"Weekend","Weekday")</f>
        <v>Weekday</v>
      </c>
      <c r="O68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83" s="13" t="str">
        <f>_xlfn.XLOOKUP(tblTransactions[[#This Row],[tenant_id]],tblTenants[tenant_id],tblTenants[zone],"NOT FOUND")</f>
        <v>Home &amp; Living</v>
      </c>
      <c r="Q683" s="13" t="str">
        <f>_xlfn.XLOOKUP(tblTransactions[[#This Row],[tenant_id]],tblTenants[tenant_id],tblTenants[category],"NOT FOUND")</f>
        <v>Electronics</v>
      </c>
    </row>
    <row r="684" spans="1:17">
      <c r="A684" t="s">
        <v>728</v>
      </c>
      <c r="B684" s="2">
        <v>45779</v>
      </c>
      <c r="C684">
        <v>16</v>
      </c>
      <c r="D684" t="s">
        <v>70</v>
      </c>
      <c r="E684" t="s">
        <v>21</v>
      </c>
      <c r="F684" s="7">
        <v>613.97</v>
      </c>
      <c r="G684" s="10">
        <v>0.05</v>
      </c>
      <c r="H684" s="7">
        <v>583.27</v>
      </c>
      <c r="I684">
        <v>3</v>
      </c>
      <c r="J684" t="s">
        <v>13</v>
      </c>
      <c r="K684" s="13">
        <f>ROUND(tblTransactions[[#This Row],[gross_sales_inr]]*(1-tblTransactions[[#This Row],[discount_pct]]),2)</f>
        <v>583.27</v>
      </c>
      <c r="L684" t="str">
        <f>IF(ABS(tblTransactions[[#This Row],[net_sales_inr]]-tblTransactions[[#This Row],[Recalc_Net_Sales]])&lt;0.02,"OK","CHECK")</f>
        <v>OK</v>
      </c>
      <c r="M684" s="14">
        <f>DATE(YEAR(tblTransactions[[#This Row],[date]]),MONTH(tblTransactions[[#This Row],[date]]),1)</f>
        <v>45778</v>
      </c>
      <c r="N684" t="str">
        <f>IF(WEEKDAY(tblTransactions[[#This Row],[date]],2)&gt;5,"Weekend","Weekday")</f>
        <v>Weekday</v>
      </c>
      <c r="O68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84" s="13" t="str">
        <f>_xlfn.XLOOKUP(tblTransactions[[#This Row],[tenant_id]],tblTenants[tenant_id],tblTenants[zone],"NOT FOUND")</f>
        <v>Food Court</v>
      </c>
      <c r="Q684" s="13" t="str">
        <f>_xlfn.XLOOKUP(tblTransactions[[#This Row],[tenant_id]],tblTenants[tenant_id],tblTenants[category],"NOT FOUND")</f>
        <v>Quick Service</v>
      </c>
    </row>
    <row r="685" spans="1:17">
      <c r="A685" t="s">
        <v>729</v>
      </c>
      <c r="B685" s="2">
        <v>45785</v>
      </c>
      <c r="C685">
        <v>12</v>
      </c>
      <c r="D685" t="s">
        <v>11</v>
      </c>
      <c r="E685" t="s">
        <v>12</v>
      </c>
      <c r="F685" s="7">
        <v>958.64</v>
      </c>
      <c r="G685" s="10">
        <v>0</v>
      </c>
      <c r="H685" s="7">
        <v>958.64</v>
      </c>
      <c r="I685">
        <v>6</v>
      </c>
      <c r="J685" t="s">
        <v>16</v>
      </c>
      <c r="K685" s="13">
        <f>ROUND(tblTransactions[[#This Row],[gross_sales_inr]]*(1-tblTransactions[[#This Row],[discount_pct]]),2)</f>
        <v>958.64</v>
      </c>
      <c r="L685" t="str">
        <f>IF(ABS(tblTransactions[[#This Row],[net_sales_inr]]-tblTransactions[[#This Row],[Recalc_Net_Sales]])&lt;0.02,"OK","CHECK")</f>
        <v>OK</v>
      </c>
      <c r="M685" s="14">
        <f>DATE(YEAR(tblTransactions[[#This Row],[date]]),MONTH(tblTransactions[[#This Row],[date]]),1)</f>
        <v>45778</v>
      </c>
      <c r="N685" t="str">
        <f>IF(WEEKDAY(tblTransactions[[#This Row],[date]],2)&gt;5,"Weekend","Weekday")</f>
        <v>Weekday</v>
      </c>
      <c r="O685" s="13" t="str">
        <f>IF(tblTransactions[[#This Row],[discount_pct]]=0,"0%",IF(tblTransactions[[#This Row],[discount_pct]]&lt;=10%,"1–
10%",IF(tblTransactions[[#This Row],[discount_pct]]&lt;=20%,"11–20%","&gt;20%")))</f>
        <v>0%</v>
      </c>
      <c r="P685" s="13" t="str">
        <f>_xlfn.XLOOKUP(tblTransactions[[#This Row],[tenant_id]],tblTenants[tenant_id],tblTenants[zone],"NOT FOUND")</f>
        <v>Home &amp; Living</v>
      </c>
      <c r="Q685" s="13" t="str">
        <f>_xlfn.XLOOKUP(tblTransactions[[#This Row],[tenant_id]],tblTenants[tenant_id],tblTenants[category],"NOT FOUND")</f>
        <v>Home Decor</v>
      </c>
    </row>
    <row r="686" spans="1:17">
      <c r="A686" t="s">
        <v>730</v>
      </c>
      <c r="B686" s="2">
        <v>45733</v>
      </c>
      <c r="C686">
        <v>12</v>
      </c>
      <c r="D686" t="s">
        <v>48</v>
      </c>
      <c r="E686" t="s">
        <v>32</v>
      </c>
      <c r="F686" s="7">
        <v>950.21</v>
      </c>
      <c r="G686" s="10">
        <v>0</v>
      </c>
      <c r="H686" s="7">
        <v>950.21</v>
      </c>
      <c r="I686">
        <v>3</v>
      </c>
      <c r="J686" t="s">
        <v>13</v>
      </c>
      <c r="K686" s="13">
        <f>ROUND(tblTransactions[[#This Row],[gross_sales_inr]]*(1-tblTransactions[[#This Row],[discount_pct]]),2)</f>
        <v>950.21</v>
      </c>
      <c r="L686" t="str">
        <f>IF(ABS(tblTransactions[[#This Row],[net_sales_inr]]-tblTransactions[[#This Row],[Recalc_Net_Sales]])&lt;0.02,"OK","CHECK")</f>
        <v>OK</v>
      </c>
      <c r="M686" s="14">
        <f>DATE(YEAR(tblTransactions[[#This Row],[date]]),MONTH(tblTransactions[[#This Row],[date]]),1)</f>
        <v>45717</v>
      </c>
      <c r="N686" t="str">
        <f>IF(WEEKDAY(tblTransactions[[#This Row],[date]],2)&gt;5,"Weekend","Weekday")</f>
        <v>Weekday</v>
      </c>
      <c r="O686" s="13" t="str">
        <f>IF(tblTransactions[[#This Row],[discount_pct]]=0,"0%",IF(tblTransactions[[#This Row],[discount_pct]]&lt;=10%,"1–
10%",IF(tblTransactions[[#This Row],[discount_pct]]&lt;=20%,"11–20%","&gt;20%")))</f>
        <v>0%</v>
      </c>
      <c r="P686" s="13" t="str">
        <f>_xlfn.XLOOKUP(tblTransactions[[#This Row],[tenant_id]],tblTenants[tenant_id],tblTenants[zone],"NOT FOUND")</f>
        <v>Beauty &amp; Wellness</v>
      </c>
      <c r="Q686" s="13" t="str">
        <f>_xlfn.XLOOKUP(tblTransactions[[#This Row],[tenant_id]],tblTenants[tenant_id],tblTenants[category],"NOT FOUND")</f>
        <v>Wellness</v>
      </c>
    </row>
    <row r="687" spans="1:17">
      <c r="A687" t="s">
        <v>731</v>
      </c>
      <c r="B687" s="2">
        <v>45682</v>
      </c>
      <c r="C687">
        <v>12</v>
      </c>
      <c r="D687" t="s">
        <v>34</v>
      </c>
      <c r="E687" t="s">
        <v>12</v>
      </c>
      <c r="F687" s="7">
        <v>466</v>
      </c>
      <c r="G687" s="10">
        <v>0.15</v>
      </c>
      <c r="H687" s="7">
        <v>396.1</v>
      </c>
      <c r="I687">
        <v>1</v>
      </c>
      <c r="J687" t="s">
        <v>16</v>
      </c>
      <c r="K687" s="13">
        <f>ROUND(tblTransactions[[#This Row],[gross_sales_inr]]*(1-tblTransactions[[#This Row],[discount_pct]]),2)</f>
        <v>396.1</v>
      </c>
      <c r="L687" t="str">
        <f>IF(ABS(tblTransactions[[#This Row],[net_sales_inr]]-tblTransactions[[#This Row],[Recalc_Net_Sales]])&lt;0.02,"OK","CHECK")</f>
        <v>OK</v>
      </c>
      <c r="M687" s="14">
        <f>DATE(YEAR(tblTransactions[[#This Row],[date]]),MONTH(tblTransactions[[#This Row],[date]]),1)</f>
        <v>45658</v>
      </c>
      <c r="N687" t="str">
        <f>IF(WEEKDAY(tblTransactions[[#This Row],[date]],2)&gt;5,"Weekend","Weekday")</f>
        <v>Weekend</v>
      </c>
      <c r="O68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87" s="13" t="str">
        <f>_xlfn.XLOOKUP(tblTransactions[[#This Row],[tenant_id]],tblTenants[tenant_id],tblTenants[zone],"NOT FOUND")</f>
        <v>Home &amp; Living</v>
      </c>
      <c r="Q687" s="13" t="str">
        <f>_xlfn.XLOOKUP(tblTransactions[[#This Row],[tenant_id]],tblTenants[tenant_id],tblTenants[category],"NOT FOUND")</f>
        <v>Electronics</v>
      </c>
    </row>
    <row r="688" spans="1:17">
      <c r="A688" t="s">
        <v>732</v>
      </c>
      <c r="B688" s="2">
        <v>45672</v>
      </c>
      <c r="C688">
        <v>18</v>
      </c>
      <c r="D688" t="s">
        <v>20</v>
      </c>
      <c r="E688" t="s">
        <v>12</v>
      </c>
      <c r="F688" s="7">
        <v>2094.87</v>
      </c>
      <c r="G688" s="10">
        <v>0.1</v>
      </c>
      <c r="H688" s="7">
        <v>1885.38</v>
      </c>
      <c r="I688">
        <v>3</v>
      </c>
      <c r="J688" t="s">
        <v>16</v>
      </c>
      <c r="K688" s="13">
        <f>ROUND(tblTransactions[[#This Row],[gross_sales_inr]]*(1-tblTransactions[[#This Row],[discount_pct]]),2)</f>
        <v>1885.38</v>
      </c>
      <c r="L688" t="str">
        <f>IF(ABS(tblTransactions[[#This Row],[net_sales_inr]]-tblTransactions[[#This Row],[Recalc_Net_Sales]])&lt;0.02,"OK","CHECK")</f>
        <v>OK</v>
      </c>
      <c r="M688" s="14">
        <f>DATE(YEAR(tblTransactions[[#This Row],[date]]),MONTH(tblTransactions[[#This Row],[date]]),1)</f>
        <v>45658</v>
      </c>
      <c r="N688" t="str">
        <f>IF(WEEKDAY(tblTransactions[[#This Row],[date]],2)&gt;5,"Weekend","Weekday")</f>
        <v>Weekday</v>
      </c>
      <c r="O68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88" s="13" t="str">
        <f>_xlfn.XLOOKUP(tblTransactions[[#This Row],[tenant_id]],tblTenants[tenant_id],tblTenants[zone],"NOT FOUND")</f>
        <v>Fashion Avenue</v>
      </c>
      <c r="Q688" s="13" t="str">
        <f>_xlfn.XLOOKUP(tblTransactions[[#This Row],[tenant_id]],tblTenants[tenant_id],tblTenants[category],"NOT FOUND")</f>
        <v>Accessories</v>
      </c>
    </row>
    <row r="689" spans="1:17">
      <c r="A689" t="s">
        <v>733</v>
      </c>
      <c r="B689" s="2">
        <v>45831</v>
      </c>
      <c r="C689">
        <v>10</v>
      </c>
      <c r="D689" t="s">
        <v>104</v>
      </c>
      <c r="E689" t="s">
        <v>51</v>
      </c>
      <c r="F689" s="7">
        <v>793.17</v>
      </c>
      <c r="G689" s="10">
        <v>0</v>
      </c>
      <c r="H689" s="7">
        <v>793.17</v>
      </c>
      <c r="I689">
        <v>2</v>
      </c>
      <c r="J689" t="s">
        <v>16</v>
      </c>
      <c r="K689" s="13">
        <f>ROUND(tblTransactions[[#This Row],[gross_sales_inr]]*(1-tblTransactions[[#This Row],[discount_pct]]),2)</f>
        <v>793.17</v>
      </c>
      <c r="L689" t="str">
        <f>IF(ABS(tblTransactions[[#This Row],[net_sales_inr]]-tblTransactions[[#This Row],[Recalc_Net_Sales]])&lt;0.02,"OK","CHECK")</f>
        <v>OK</v>
      </c>
      <c r="M689" s="14">
        <f>DATE(YEAR(tblTransactions[[#This Row],[date]]),MONTH(tblTransactions[[#This Row],[date]]),1)</f>
        <v>45809</v>
      </c>
      <c r="N689" t="str">
        <f>IF(WEEKDAY(tblTransactions[[#This Row],[date]],2)&gt;5,"Weekend","Weekday")</f>
        <v>Weekday</v>
      </c>
      <c r="O689" s="13" t="str">
        <f>IF(tblTransactions[[#This Row],[discount_pct]]=0,"0%",IF(tblTransactions[[#This Row],[discount_pct]]&lt;=10%,"1–
10%",IF(tblTransactions[[#This Row],[discount_pct]]&lt;=20%,"11–20%","&gt;20%")))</f>
        <v>0%</v>
      </c>
      <c r="P689" s="13" t="str">
        <f>_xlfn.XLOOKUP(tblTransactions[[#This Row],[tenant_id]],tblTenants[tenant_id],tblTenants[zone],"NOT FOUND")</f>
        <v>Entertainment</v>
      </c>
      <c r="Q689" s="13" t="str">
        <f>_xlfn.XLOOKUP(tblTransactions[[#This Row],[tenant_id]],tblTenants[tenant_id],tblTenants[category],"NOT FOUND")</f>
        <v>Family Entertainment</v>
      </c>
    </row>
    <row r="690" spans="1:17">
      <c r="A690" t="s">
        <v>734</v>
      </c>
      <c r="B690" s="2">
        <v>45675</v>
      </c>
      <c r="C690">
        <v>17</v>
      </c>
      <c r="D690" t="s">
        <v>34</v>
      </c>
      <c r="E690" t="s">
        <v>12</v>
      </c>
      <c r="F690" s="7">
        <v>515.85</v>
      </c>
      <c r="G690" s="10">
        <v>0.2</v>
      </c>
      <c r="H690" s="7">
        <v>412.68</v>
      </c>
      <c r="I690">
        <v>2</v>
      </c>
      <c r="J690" t="s">
        <v>13</v>
      </c>
      <c r="K690" s="13">
        <f>ROUND(tblTransactions[[#This Row],[gross_sales_inr]]*(1-tblTransactions[[#This Row],[discount_pct]]),2)</f>
        <v>412.68</v>
      </c>
      <c r="L690" t="str">
        <f>IF(ABS(tblTransactions[[#This Row],[net_sales_inr]]-tblTransactions[[#This Row],[Recalc_Net_Sales]])&lt;0.02,"OK","CHECK")</f>
        <v>OK</v>
      </c>
      <c r="M690" s="14">
        <f>DATE(YEAR(tblTransactions[[#This Row],[date]]),MONTH(tblTransactions[[#This Row],[date]]),1)</f>
        <v>45658</v>
      </c>
      <c r="N690" t="str">
        <f>IF(WEEKDAY(tblTransactions[[#This Row],[date]],2)&gt;5,"Weekend","Weekday")</f>
        <v>Weekend</v>
      </c>
      <c r="O69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90" s="13" t="str">
        <f>_xlfn.XLOOKUP(tblTransactions[[#This Row],[tenant_id]],tblTenants[tenant_id],tblTenants[zone],"NOT FOUND")</f>
        <v>Home &amp; Living</v>
      </c>
      <c r="Q690" s="13" t="str">
        <f>_xlfn.XLOOKUP(tblTransactions[[#This Row],[tenant_id]],tblTenants[tenant_id],tblTenants[category],"NOT FOUND")</f>
        <v>Electronics</v>
      </c>
    </row>
    <row r="691" spans="1:17">
      <c r="A691" t="s">
        <v>735</v>
      </c>
      <c r="B691" s="2">
        <v>45782</v>
      </c>
      <c r="C691">
        <v>20</v>
      </c>
      <c r="D691" t="s">
        <v>104</v>
      </c>
      <c r="E691" t="s">
        <v>12</v>
      </c>
      <c r="F691" s="7">
        <v>619.26</v>
      </c>
      <c r="G691" s="10">
        <v>0</v>
      </c>
      <c r="H691" s="7">
        <v>619.26</v>
      </c>
      <c r="I691">
        <v>2</v>
      </c>
      <c r="J691" t="s">
        <v>13</v>
      </c>
      <c r="K691" s="13">
        <f>ROUND(tblTransactions[[#This Row],[gross_sales_inr]]*(1-tblTransactions[[#This Row],[discount_pct]]),2)</f>
        <v>619.26</v>
      </c>
      <c r="L691" t="str">
        <f>IF(ABS(tblTransactions[[#This Row],[net_sales_inr]]-tblTransactions[[#This Row],[Recalc_Net_Sales]])&lt;0.02,"OK","CHECK")</f>
        <v>OK</v>
      </c>
      <c r="M691" s="14">
        <f>DATE(YEAR(tblTransactions[[#This Row],[date]]),MONTH(tblTransactions[[#This Row],[date]]),1)</f>
        <v>45778</v>
      </c>
      <c r="N691" t="str">
        <f>IF(WEEKDAY(tblTransactions[[#This Row],[date]],2)&gt;5,"Weekend","Weekday")</f>
        <v>Weekday</v>
      </c>
      <c r="O691" s="13" t="str">
        <f>IF(tblTransactions[[#This Row],[discount_pct]]=0,"0%",IF(tblTransactions[[#This Row],[discount_pct]]&lt;=10%,"1–
10%",IF(tblTransactions[[#This Row],[discount_pct]]&lt;=20%,"11–20%","&gt;20%")))</f>
        <v>0%</v>
      </c>
      <c r="P691" s="13" t="str">
        <f>_xlfn.XLOOKUP(tblTransactions[[#This Row],[tenant_id]],tblTenants[tenant_id],tblTenants[zone],"NOT FOUND")</f>
        <v>Entertainment</v>
      </c>
      <c r="Q691" s="13" t="str">
        <f>_xlfn.XLOOKUP(tblTransactions[[#This Row],[tenant_id]],tblTenants[tenant_id],tblTenants[category],"NOT FOUND")</f>
        <v>Family Entertainment</v>
      </c>
    </row>
    <row r="692" spans="1:17">
      <c r="A692" t="s">
        <v>736</v>
      </c>
      <c r="B692" s="2">
        <v>45824</v>
      </c>
      <c r="C692">
        <v>14</v>
      </c>
      <c r="D692" t="s">
        <v>48</v>
      </c>
      <c r="E692" t="s">
        <v>21</v>
      </c>
      <c r="F692" s="7">
        <v>827.39</v>
      </c>
      <c r="G692" s="10">
        <v>0</v>
      </c>
      <c r="H692" s="7">
        <v>827.39</v>
      </c>
      <c r="I692">
        <v>3</v>
      </c>
      <c r="J692" t="s">
        <v>13</v>
      </c>
      <c r="K692" s="13">
        <f>ROUND(tblTransactions[[#This Row],[gross_sales_inr]]*(1-tblTransactions[[#This Row],[discount_pct]]),2)</f>
        <v>827.39</v>
      </c>
      <c r="L692" t="str">
        <f>IF(ABS(tblTransactions[[#This Row],[net_sales_inr]]-tblTransactions[[#This Row],[Recalc_Net_Sales]])&lt;0.02,"OK","CHECK")</f>
        <v>OK</v>
      </c>
      <c r="M692" s="14">
        <f>DATE(YEAR(tblTransactions[[#This Row],[date]]),MONTH(tblTransactions[[#This Row],[date]]),1)</f>
        <v>45809</v>
      </c>
      <c r="N692" t="str">
        <f>IF(WEEKDAY(tblTransactions[[#This Row],[date]],2)&gt;5,"Weekend","Weekday")</f>
        <v>Weekday</v>
      </c>
      <c r="O692" s="13" t="str">
        <f>IF(tblTransactions[[#This Row],[discount_pct]]=0,"0%",IF(tblTransactions[[#This Row],[discount_pct]]&lt;=10%,"1–
10%",IF(tblTransactions[[#This Row],[discount_pct]]&lt;=20%,"11–20%","&gt;20%")))</f>
        <v>0%</v>
      </c>
      <c r="P692" s="13" t="str">
        <f>_xlfn.XLOOKUP(tblTransactions[[#This Row],[tenant_id]],tblTenants[tenant_id],tblTenants[zone],"NOT FOUND")</f>
        <v>Beauty &amp; Wellness</v>
      </c>
      <c r="Q692" s="13" t="str">
        <f>_xlfn.XLOOKUP(tblTransactions[[#This Row],[tenant_id]],tblTenants[tenant_id],tblTenants[category],"NOT FOUND")</f>
        <v>Wellness</v>
      </c>
    </row>
    <row r="693" spans="1:17">
      <c r="A693" t="s">
        <v>737</v>
      </c>
      <c r="B693" s="2">
        <v>45677</v>
      </c>
      <c r="C693">
        <v>16</v>
      </c>
      <c r="D693" t="s">
        <v>204</v>
      </c>
      <c r="E693" t="s">
        <v>32</v>
      </c>
      <c r="F693" s="7">
        <v>1530.49</v>
      </c>
      <c r="G693" s="10">
        <v>0.2</v>
      </c>
      <c r="H693" s="7">
        <v>1224.3900000000001</v>
      </c>
      <c r="I693">
        <v>2</v>
      </c>
      <c r="J693" t="s">
        <v>13</v>
      </c>
      <c r="K693" s="13">
        <f>ROUND(tblTransactions[[#This Row],[gross_sales_inr]]*(1-tblTransactions[[#This Row],[discount_pct]]),2)</f>
        <v>1224.3900000000001</v>
      </c>
      <c r="L693" t="str">
        <f>IF(ABS(tblTransactions[[#This Row],[net_sales_inr]]-tblTransactions[[#This Row],[Recalc_Net_Sales]])&lt;0.02,"OK","CHECK")</f>
        <v>OK</v>
      </c>
      <c r="M693" s="14">
        <f>DATE(YEAR(tblTransactions[[#This Row],[date]]),MONTH(tblTransactions[[#This Row],[date]]),1)</f>
        <v>45658</v>
      </c>
      <c r="N693" t="str">
        <f>IF(WEEKDAY(tblTransactions[[#This Row],[date]],2)&gt;5,"Weekend","Weekday")</f>
        <v>Weekday</v>
      </c>
      <c r="O69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693" s="13" t="str">
        <f>_xlfn.XLOOKUP(tblTransactions[[#This Row],[tenant_id]],tblTenants[tenant_id],tblTenants[zone],"NOT FOUND")</f>
        <v>Home &amp; Living</v>
      </c>
      <c r="Q693" s="13" t="str">
        <f>_xlfn.XLOOKUP(tblTransactions[[#This Row],[tenant_id]],tblTenants[tenant_id],tblTenants[category],"NOT FOUND")</f>
        <v>Home Decor</v>
      </c>
    </row>
    <row r="694" spans="1:17">
      <c r="A694" t="s">
        <v>738</v>
      </c>
      <c r="B694" s="2">
        <v>45770</v>
      </c>
      <c r="C694">
        <v>10</v>
      </c>
      <c r="D694" t="s">
        <v>87</v>
      </c>
      <c r="E694" t="s">
        <v>32</v>
      </c>
      <c r="F694" s="7">
        <v>1414.58</v>
      </c>
      <c r="G694" s="10">
        <v>0</v>
      </c>
      <c r="H694" s="7">
        <v>1414.58</v>
      </c>
      <c r="I694">
        <v>2</v>
      </c>
      <c r="J694" t="s">
        <v>13</v>
      </c>
      <c r="K694" s="13">
        <f>ROUND(tblTransactions[[#This Row],[gross_sales_inr]]*(1-tblTransactions[[#This Row],[discount_pct]]),2)</f>
        <v>1414.58</v>
      </c>
      <c r="L694" t="str">
        <f>IF(ABS(tblTransactions[[#This Row],[net_sales_inr]]-tblTransactions[[#This Row],[Recalc_Net_Sales]])&lt;0.02,"OK","CHECK")</f>
        <v>OK</v>
      </c>
      <c r="M694" s="14">
        <f>DATE(YEAR(tblTransactions[[#This Row],[date]]),MONTH(tblTransactions[[#This Row],[date]]),1)</f>
        <v>45748</v>
      </c>
      <c r="N694" t="str">
        <f>IF(WEEKDAY(tblTransactions[[#This Row],[date]],2)&gt;5,"Weekend","Weekday")</f>
        <v>Weekday</v>
      </c>
      <c r="O694" s="13" t="str">
        <f>IF(tblTransactions[[#This Row],[discount_pct]]=0,"0%",IF(tblTransactions[[#This Row],[discount_pct]]&lt;=10%,"1–
10%",IF(tblTransactions[[#This Row],[discount_pct]]&lt;=20%,"11–20%","&gt;20%")))</f>
        <v>0%</v>
      </c>
      <c r="P694" s="13" t="str">
        <f>_xlfn.XLOOKUP(tblTransactions[[#This Row],[tenant_id]],tblTenants[tenant_id],tblTenants[zone],"NOT FOUND")</f>
        <v>Fashion Avenue</v>
      </c>
      <c r="Q694" s="13" t="str">
        <f>_xlfn.XLOOKUP(tblTransactions[[#This Row],[tenant_id]],tblTenants[tenant_id],tblTenants[category],"NOT FOUND")</f>
        <v>Footwear</v>
      </c>
    </row>
    <row r="695" spans="1:17">
      <c r="A695" t="s">
        <v>739</v>
      </c>
      <c r="B695" s="2">
        <v>45685</v>
      </c>
      <c r="C695">
        <v>19</v>
      </c>
      <c r="D695" t="s">
        <v>59</v>
      </c>
      <c r="E695" t="s">
        <v>32</v>
      </c>
      <c r="F695" s="7">
        <v>540.47</v>
      </c>
      <c r="G695" s="10">
        <v>0</v>
      </c>
      <c r="H695" s="7">
        <v>540.47</v>
      </c>
      <c r="I695">
        <v>1</v>
      </c>
      <c r="J695" t="s">
        <v>13</v>
      </c>
      <c r="K695" s="13">
        <f>ROUND(tblTransactions[[#This Row],[gross_sales_inr]]*(1-tblTransactions[[#This Row],[discount_pct]]),2)</f>
        <v>540.47</v>
      </c>
      <c r="L695" t="str">
        <f>IF(ABS(tblTransactions[[#This Row],[net_sales_inr]]-tblTransactions[[#This Row],[Recalc_Net_Sales]])&lt;0.02,"OK","CHECK")</f>
        <v>OK</v>
      </c>
      <c r="M695" s="14">
        <f>DATE(YEAR(tblTransactions[[#This Row],[date]]),MONTH(tblTransactions[[#This Row],[date]]),1)</f>
        <v>45658</v>
      </c>
      <c r="N695" t="str">
        <f>IF(WEEKDAY(tblTransactions[[#This Row],[date]],2)&gt;5,"Weekend","Weekday")</f>
        <v>Weekday</v>
      </c>
      <c r="O695" s="13" t="str">
        <f>IF(tblTransactions[[#This Row],[discount_pct]]=0,"0%",IF(tblTransactions[[#This Row],[discount_pct]]&lt;=10%,"1–
10%",IF(tblTransactions[[#This Row],[discount_pct]]&lt;=20%,"11–20%","&gt;20%")))</f>
        <v>0%</v>
      </c>
      <c r="P695" s="13" t="str">
        <f>_xlfn.XLOOKUP(tblTransactions[[#This Row],[tenant_id]],tblTenants[tenant_id],tblTenants[zone],"NOT FOUND")</f>
        <v>Fashion Avenue</v>
      </c>
      <c r="Q695" s="13" t="str">
        <f>_xlfn.XLOOKUP(tblTransactions[[#This Row],[tenant_id]],tblTenants[tenant_id],tblTenants[category],"NOT FOUND")</f>
        <v>Footwear</v>
      </c>
    </row>
    <row r="696" spans="1:17">
      <c r="A696" t="s">
        <v>740</v>
      </c>
      <c r="B696" s="2">
        <v>45835</v>
      </c>
      <c r="C696">
        <v>20</v>
      </c>
      <c r="D696" t="s">
        <v>63</v>
      </c>
      <c r="E696" t="s">
        <v>32</v>
      </c>
      <c r="F696" s="7">
        <v>279.61</v>
      </c>
      <c r="G696" s="10">
        <v>0.1</v>
      </c>
      <c r="H696" s="7">
        <v>251.65</v>
      </c>
      <c r="I696">
        <v>1</v>
      </c>
      <c r="J696" t="s">
        <v>13</v>
      </c>
      <c r="K696" s="13">
        <f>ROUND(tblTransactions[[#This Row],[gross_sales_inr]]*(1-tblTransactions[[#This Row],[discount_pct]]),2)</f>
        <v>251.65</v>
      </c>
      <c r="L696" t="str">
        <f>IF(ABS(tblTransactions[[#This Row],[net_sales_inr]]-tblTransactions[[#This Row],[Recalc_Net_Sales]])&lt;0.02,"OK","CHECK")</f>
        <v>OK</v>
      </c>
      <c r="M696" s="14">
        <f>DATE(YEAR(tblTransactions[[#This Row],[date]]),MONTH(tblTransactions[[#This Row],[date]]),1)</f>
        <v>45809</v>
      </c>
      <c r="N696" t="str">
        <f>IF(WEEKDAY(tblTransactions[[#This Row],[date]],2)&gt;5,"Weekend","Weekday")</f>
        <v>Weekday</v>
      </c>
      <c r="O69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96" s="13" t="str">
        <f>_xlfn.XLOOKUP(tblTransactions[[#This Row],[tenant_id]],tblTenants[tenant_id],tblTenants[zone],"NOT FOUND")</f>
        <v>Entertainment</v>
      </c>
      <c r="Q696" s="13" t="str">
        <f>_xlfn.XLOOKUP(tblTransactions[[#This Row],[tenant_id]],tblTenants[tenant_id],tblTenants[category],"NOT FOUND")</f>
        <v>Family Entertainment</v>
      </c>
    </row>
    <row r="697" spans="1:17">
      <c r="A697" t="s">
        <v>741</v>
      </c>
      <c r="B697" s="2">
        <v>45749</v>
      </c>
      <c r="C697">
        <v>19</v>
      </c>
      <c r="D697" t="s">
        <v>27</v>
      </c>
      <c r="E697" t="s">
        <v>21</v>
      </c>
      <c r="F697" s="7">
        <v>808.59</v>
      </c>
      <c r="G697" s="10">
        <v>0.1</v>
      </c>
      <c r="H697" s="7">
        <v>727.73</v>
      </c>
      <c r="I697">
        <v>1</v>
      </c>
      <c r="J697" t="s">
        <v>13</v>
      </c>
      <c r="K697" s="13">
        <f>ROUND(tblTransactions[[#This Row],[gross_sales_inr]]*(1-tblTransactions[[#This Row],[discount_pct]]),2)</f>
        <v>727.73</v>
      </c>
      <c r="L697" t="str">
        <f>IF(ABS(tblTransactions[[#This Row],[net_sales_inr]]-tblTransactions[[#This Row],[Recalc_Net_Sales]])&lt;0.02,"OK","CHECK")</f>
        <v>OK</v>
      </c>
      <c r="M697" s="14">
        <f>DATE(YEAR(tblTransactions[[#This Row],[date]]),MONTH(tblTransactions[[#This Row],[date]]),1)</f>
        <v>45748</v>
      </c>
      <c r="N697" t="str">
        <f>IF(WEEKDAY(tblTransactions[[#This Row],[date]],2)&gt;5,"Weekend","Weekday")</f>
        <v>Weekday</v>
      </c>
      <c r="O69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697" s="13" t="str">
        <f>_xlfn.XLOOKUP(tblTransactions[[#This Row],[tenant_id]],tblTenants[tenant_id],tblTenants[zone],"NOT FOUND")</f>
        <v>Beauty &amp; Wellness</v>
      </c>
      <c r="Q697" s="13" t="str">
        <f>_xlfn.XLOOKUP(tblTransactions[[#This Row],[tenant_id]],tblTenants[tenant_id],tblTenants[category],"NOT FOUND")</f>
        <v>Wellness</v>
      </c>
    </row>
    <row r="698" spans="1:17">
      <c r="A698" t="s">
        <v>742</v>
      </c>
      <c r="B698" s="2">
        <v>45769</v>
      </c>
      <c r="C698">
        <v>10</v>
      </c>
      <c r="D698" t="s">
        <v>85</v>
      </c>
      <c r="E698" t="s">
        <v>51</v>
      </c>
      <c r="F698" s="7">
        <v>300.31</v>
      </c>
      <c r="G698" s="10">
        <v>0</v>
      </c>
      <c r="H698" s="7">
        <v>300.31</v>
      </c>
      <c r="I698">
        <v>2</v>
      </c>
      <c r="J698" t="s">
        <v>16</v>
      </c>
      <c r="K698" s="13">
        <f>ROUND(tblTransactions[[#This Row],[gross_sales_inr]]*(1-tblTransactions[[#This Row],[discount_pct]]),2)</f>
        <v>300.31</v>
      </c>
      <c r="L698" t="str">
        <f>IF(ABS(tblTransactions[[#This Row],[net_sales_inr]]-tblTransactions[[#This Row],[Recalc_Net_Sales]])&lt;0.02,"OK","CHECK")</f>
        <v>OK</v>
      </c>
      <c r="M698" s="14">
        <f>DATE(YEAR(tblTransactions[[#This Row],[date]]),MONTH(tblTransactions[[#This Row],[date]]),1)</f>
        <v>45748</v>
      </c>
      <c r="N698" t="str">
        <f>IF(WEEKDAY(tblTransactions[[#This Row],[date]],2)&gt;5,"Weekend","Weekday")</f>
        <v>Weekday</v>
      </c>
      <c r="O698" s="13" t="str">
        <f>IF(tblTransactions[[#This Row],[discount_pct]]=0,"0%",IF(tblTransactions[[#This Row],[discount_pct]]&lt;=10%,"1–
10%",IF(tblTransactions[[#This Row],[discount_pct]]&lt;=20%,"11–20%","&gt;20%")))</f>
        <v>0%</v>
      </c>
      <c r="P698" s="13" t="str">
        <f>_xlfn.XLOOKUP(tblTransactions[[#This Row],[tenant_id]],tblTenants[tenant_id],tblTenants[zone],"NOT FOUND")</f>
        <v>Home &amp; Living</v>
      </c>
      <c r="Q698" s="13" t="str">
        <f>_xlfn.XLOOKUP(tblTransactions[[#This Row],[tenant_id]],tblTenants[tenant_id],tblTenants[category],"NOT FOUND")</f>
        <v>Electronics</v>
      </c>
    </row>
    <row r="699" spans="1:17">
      <c r="A699" t="s">
        <v>743</v>
      </c>
      <c r="B699" s="2">
        <v>45767</v>
      </c>
      <c r="C699">
        <v>10</v>
      </c>
      <c r="D699" t="s">
        <v>41</v>
      </c>
      <c r="E699" t="s">
        <v>12</v>
      </c>
      <c r="F699" s="7">
        <v>1329.6</v>
      </c>
      <c r="G699" s="10">
        <v>0</v>
      </c>
      <c r="H699" s="7">
        <v>1329.6</v>
      </c>
      <c r="I699">
        <v>2</v>
      </c>
      <c r="J699" t="s">
        <v>13</v>
      </c>
      <c r="K699" s="13">
        <f>ROUND(tblTransactions[[#This Row],[gross_sales_inr]]*(1-tblTransactions[[#This Row],[discount_pct]]),2)</f>
        <v>1329.6</v>
      </c>
      <c r="L699" t="str">
        <f>IF(ABS(tblTransactions[[#This Row],[net_sales_inr]]-tblTransactions[[#This Row],[Recalc_Net_Sales]])&lt;0.02,"OK","CHECK")</f>
        <v>OK</v>
      </c>
      <c r="M699" s="14">
        <f>DATE(YEAR(tblTransactions[[#This Row],[date]]),MONTH(tblTransactions[[#This Row],[date]]),1)</f>
        <v>45748</v>
      </c>
      <c r="N699" t="str">
        <f>IF(WEEKDAY(tblTransactions[[#This Row],[date]],2)&gt;5,"Weekend","Weekday")</f>
        <v>Weekend</v>
      </c>
      <c r="O699" s="13" t="str">
        <f>IF(tblTransactions[[#This Row],[discount_pct]]=0,"0%",IF(tblTransactions[[#This Row],[discount_pct]]&lt;=10%,"1–
10%",IF(tblTransactions[[#This Row],[discount_pct]]&lt;=20%,"11–20%","&gt;20%")))</f>
        <v>0%</v>
      </c>
      <c r="P699" s="13" t="str">
        <f>_xlfn.XLOOKUP(tblTransactions[[#This Row],[tenant_id]],tblTenants[tenant_id],tblTenants[zone],"NOT FOUND")</f>
        <v>Fashion Avenue</v>
      </c>
      <c r="Q699" s="13" t="str">
        <f>_xlfn.XLOOKUP(tblTransactions[[#This Row],[tenant_id]],tblTenants[tenant_id],tblTenants[category],"NOT FOUND")</f>
        <v>Clothing</v>
      </c>
    </row>
    <row r="700" spans="1:17">
      <c r="A700" t="s">
        <v>744</v>
      </c>
      <c r="B700" s="2">
        <v>45675</v>
      </c>
      <c r="C700">
        <v>10</v>
      </c>
      <c r="D700" t="s">
        <v>34</v>
      </c>
      <c r="E700" t="s">
        <v>21</v>
      </c>
      <c r="F700" s="7">
        <v>603.05999999999995</v>
      </c>
      <c r="G700" s="10">
        <v>0.15</v>
      </c>
      <c r="H700" s="7">
        <v>512.6</v>
      </c>
      <c r="I700">
        <v>1</v>
      </c>
      <c r="J700" t="s">
        <v>13</v>
      </c>
      <c r="K700" s="13">
        <f>ROUND(tblTransactions[[#This Row],[gross_sales_inr]]*(1-tblTransactions[[#This Row],[discount_pct]]),2)</f>
        <v>512.6</v>
      </c>
      <c r="L700" t="str">
        <f>IF(ABS(tblTransactions[[#This Row],[net_sales_inr]]-tblTransactions[[#This Row],[Recalc_Net_Sales]])&lt;0.02,"OK","CHECK")</f>
        <v>OK</v>
      </c>
      <c r="M700" s="14">
        <f>DATE(YEAR(tblTransactions[[#This Row],[date]]),MONTH(tblTransactions[[#This Row],[date]]),1)</f>
        <v>45658</v>
      </c>
      <c r="N700" t="str">
        <f>IF(WEEKDAY(tblTransactions[[#This Row],[date]],2)&gt;5,"Weekend","Weekday")</f>
        <v>Weekend</v>
      </c>
      <c r="O70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00" s="13" t="str">
        <f>_xlfn.XLOOKUP(tblTransactions[[#This Row],[tenant_id]],tblTenants[tenant_id],tblTenants[zone],"NOT FOUND")</f>
        <v>Home &amp; Living</v>
      </c>
      <c r="Q700" s="13" t="str">
        <f>_xlfn.XLOOKUP(tblTransactions[[#This Row],[tenant_id]],tblTenants[tenant_id],tblTenants[category],"NOT FOUND")</f>
        <v>Electronics</v>
      </c>
    </row>
    <row r="701" spans="1:17">
      <c r="A701" t="s">
        <v>745</v>
      </c>
      <c r="B701" s="2">
        <v>45833</v>
      </c>
      <c r="C701">
        <v>10</v>
      </c>
      <c r="D701" t="s">
        <v>34</v>
      </c>
      <c r="E701" t="s">
        <v>32</v>
      </c>
      <c r="F701" s="7">
        <v>4998.7</v>
      </c>
      <c r="G701" s="10">
        <v>0</v>
      </c>
      <c r="H701" s="7">
        <v>4998.7</v>
      </c>
      <c r="I701">
        <v>4</v>
      </c>
      <c r="J701" t="s">
        <v>16</v>
      </c>
      <c r="K701" s="13">
        <f>ROUND(tblTransactions[[#This Row],[gross_sales_inr]]*(1-tblTransactions[[#This Row],[discount_pct]]),2)</f>
        <v>4998.7</v>
      </c>
      <c r="L701" t="str">
        <f>IF(ABS(tblTransactions[[#This Row],[net_sales_inr]]-tblTransactions[[#This Row],[Recalc_Net_Sales]])&lt;0.02,"OK","CHECK")</f>
        <v>OK</v>
      </c>
      <c r="M701" s="14">
        <f>DATE(YEAR(tblTransactions[[#This Row],[date]]),MONTH(tblTransactions[[#This Row],[date]]),1)</f>
        <v>45809</v>
      </c>
      <c r="N701" t="str">
        <f>IF(WEEKDAY(tblTransactions[[#This Row],[date]],2)&gt;5,"Weekend","Weekday")</f>
        <v>Weekday</v>
      </c>
      <c r="O701" s="13" t="str">
        <f>IF(tblTransactions[[#This Row],[discount_pct]]=0,"0%",IF(tblTransactions[[#This Row],[discount_pct]]&lt;=10%,"1–
10%",IF(tblTransactions[[#This Row],[discount_pct]]&lt;=20%,"11–20%","&gt;20%")))</f>
        <v>0%</v>
      </c>
      <c r="P701" s="13" t="str">
        <f>_xlfn.XLOOKUP(tblTransactions[[#This Row],[tenant_id]],tblTenants[tenant_id],tblTenants[zone],"NOT FOUND")</f>
        <v>Home &amp; Living</v>
      </c>
      <c r="Q701" s="13" t="str">
        <f>_xlfn.XLOOKUP(tblTransactions[[#This Row],[tenant_id]],tblTenants[tenant_id],tblTenants[category],"NOT FOUND")</f>
        <v>Electronics</v>
      </c>
    </row>
    <row r="702" spans="1:17">
      <c r="A702" t="s">
        <v>746</v>
      </c>
      <c r="B702" s="2">
        <v>45716</v>
      </c>
      <c r="C702">
        <v>13</v>
      </c>
      <c r="D702" t="s">
        <v>87</v>
      </c>
      <c r="E702" t="s">
        <v>12</v>
      </c>
      <c r="F702" s="7">
        <v>1050.53</v>
      </c>
      <c r="G702" s="10">
        <v>0</v>
      </c>
      <c r="H702" s="7">
        <v>1050.53</v>
      </c>
      <c r="I702">
        <v>2</v>
      </c>
      <c r="J702" t="s">
        <v>13</v>
      </c>
      <c r="K702" s="13">
        <f>ROUND(tblTransactions[[#This Row],[gross_sales_inr]]*(1-tblTransactions[[#This Row],[discount_pct]]),2)</f>
        <v>1050.53</v>
      </c>
      <c r="L702" t="str">
        <f>IF(ABS(tblTransactions[[#This Row],[net_sales_inr]]-tblTransactions[[#This Row],[Recalc_Net_Sales]])&lt;0.02,"OK","CHECK")</f>
        <v>OK</v>
      </c>
      <c r="M702" s="14">
        <f>DATE(YEAR(tblTransactions[[#This Row],[date]]),MONTH(tblTransactions[[#This Row],[date]]),1)</f>
        <v>45689</v>
      </c>
      <c r="N702" t="str">
        <f>IF(WEEKDAY(tblTransactions[[#This Row],[date]],2)&gt;5,"Weekend","Weekday")</f>
        <v>Weekday</v>
      </c>
      <c r="O702" s="13" t="str">
        <f>IF(tblTransactions[[#This Row],[discount_pct]]=0,"0%",IF(tblTransactions[[#This Row],[discount_pct]]&lt;=10%,"1–
10%",IF(tblTransactions[[#This Row],[discount_pct]]&lt;=20%,"11–20%","&gt;20%")))</f>
        <v>0%</v>
      </c>
      <c r="P702" s="13" t="str">
        <f>_xlfn.XLOOKUP(tblTransactions[[#This Row],[tenant_id]],tblTenants[tenant_id],tblTenants[zone],"NOT FOUND")</f>
        <v>Fashion Avenue</v>
      </c>
      <c r="Q702" s="13" t="str">
        <f>_xlfn.XLOOKUP(tblTransactions[[#This Row],[tenant_id]],tblTenants[tenant_id],tblTenants[category],"NOT FOUND")</f>
        <v>Footwear</v>
      </c>
    </row>
    <row r="703" spans="1:17">
      <c r="A703" t="s">
        <v>747</v>
      </c>
      <c r="B703" s="2">
        <v>45742</v>
      </c>
      <c r="C703">
        <v>14</v>
      </c>
      <c r="D703" t="s">
        <v>23</v>
      </c>
      <c r="E703" t="s">
        <v>32</v>
      </c>
      <c r="F703" s="7">
        <v>2134.79</v>
      </c>
      <c r="G703" s="10">
        <v>0.2</v>
      </c>
      <c r="H703" s="7">
        <v>1707.83</v>
      </c>
      <c r="I703">
        <v>1</v>
      </c>
      <c r="J703" t="s">
        <v>13</v>
      </c>
      <c r="K703" s="13">
        <f>ROUND(tblTransactions[[#This Row],[gross_sales_inr]]*(1-tblTransactions[[#This Row],[discount_pct]]),2)</f>
        <v>1707.83</v>
      </c>
      <c r="L703" t="str">
        <f>IF(ABS(tblTransactions[[#This Row],[net_sales_inr]]-tblTransactions[[#This Row],[Recalc_Net_Sales]])&lt;0.02,"OK","CHECK")</f>
        <v>OK</v>
      </c>
      <c r="M703" s="14">
        <f>DATE(YEAR(tblTransactions[[#This Row],[date]]),MONTH(tblTransactions[[#This Row],[date]]),1)</f>
        <v>45717</v>
      </c>
      <c r="N703" t="str">
        <f>IF(WEEKDAY(tblTransactions[[#This Row],[date]],2)&gt;5,"Weekend","Weekday")</f>
        <v>Weekday</v>
      </c>
      <c r="O70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03" s="13" t="str">
        <f>_xlfn.XLOOKUP(tblTransactions[[#This Row],[tenant_id]],tblTenants[tenant_id],tblTenants[zone],"NOT FOUND")</f>
        <v>Entertainment</v>
      </c>
      <c r="Q703" s="13" t="str">
        <f>_xlfn.XLOOKUP(tblTransactions[[#This Row],[tenant_id]],tblTenants[tenant_id],tblTenants[category],"NOT FOUND")</f>
        <v>Cinema</v>
      </c>
    </row>
    <row r="704" spans="1:17">
      <c r="A704" t="s">
        <v>748</v>
      </c>
      <c r="B704" s="2">
        <v>45703</v>
      </c>
      <c r="C704">
        <v>19</v>
      </c>
      <c r="D704" t="s">
        <v>61</v>
      </c>
      <c r="E704" t="s">
        <v>12</v>
      </c>
      <c r="F704" s="7">
        <v>577.96</v>
      </c>
      <c r="G704" s="10">
        <v>0.1</v>
      </c>
      <c r="H704" s="7">
        <v>520.16</v>
      </c>
      <c r="I704">
        <v>1</v>
      </c>
      <c r="J704" t="s">
        <v>13</v>
      </c>
      <c r="K704" s="13">
        <f>ROUND(tblTransactions[[#This Row],[gross_sales_inr]]*(1-tblTransactions[[#This Row],[discount_pct]]),2)</f>
        <v>520.16</v>
      </c>
      <c r="L704" t="str">
        <f>IF(ABS(tblTransactions[[#This Row],[net_sales_inr]]-tblTransactions[[#This Row],[Recalc_Net_Sales]])&lt;0.02,"OK","CHECK")</f>
        <v>OK</v>
      </c>
      <c r="M704" s="14">
        <f>DATE(YEAR(tblTransactions[[#This Row],[date]]),MONTH(tblTransactions[[#This Row],[date]]),1)</f>
        <v>45689</v>
      </c>
      <c r="N704" t="str">
        <f>IF(WEEKDAY(tblTransactions[[#This Row],[date]],2)&gt;5,"Weekend","Weekday")</f>
        <v>Weekend</v>
      </c>
      <c r="O70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04" s="13" t="str">
        <f>_xlfn.XLOOKUP(tblTransactions[[#This Row],[tenant_id]],tblTenants[tenant_id],tblTenants[zone],"NOT FOUND")</f>
        <v>Food Court</v>
      </c>
      <c r="Q704" s="13" t="str">
        <f>_xlfn.XLOOKUP(tblTransactions[[#This Row],[tenant_id]],tblTenants[tenant_id],tblTenants[category],"NOT FOUND")</f>
        <v>Quick Service</v>
      </c>
    </row>
    <row r="705" spans="1:17">
      <c r="A705" t="s">
        <v>749</v>
      </c>
      <c r="B705" s="2">
        <v>45799</v>
      </c>
      <c r="C705">
        <v>11</v>
      </c>
      <c r="D705" t="s">
        <v>43</v>
      </c>
      <c r="E705" t="s">
        <v>32</v>
      </c>
      <c r="F705" s="7">
        <v>555.04</v>
      </c>
      <c r="G705" s="10">
        <v>0.15</v>
      </c>
      <c r="H705" s="7">
        <v>471.78</v>
      </c>
      <c r="I705">
        <v>1</v>
      </c>
      <c r="J705" t="s">
        <v>16</v>
      </c>
      <c r="K705" s="13">
        <f>ROUND(tblTransactions[[#This Row],[gross_sales_inr]]*(1-tblTransactions[[#This Row],[discount_pct]]),2)</f>
        <v>471.78</v>
      </c>
      <c r="L705" t="str">
        <f>IF(ABS(tblTransactions[[#This Row],[net_sales_inr]]-tblTransactions[[#This Row],[Recalc_Net_Sales]])&lt;0.02,"OK","CHECK")</f>
        <v>OK</v>
      </c>
      <c r="M705" s="14">
        <f>DATE(YEAR(tblTransactions[[#This Row],[date]]),MONTH(tblTransactions[[#This Row],[date]]),1)</f>
        <v>45778</v>
      </c>
      <c r="N705" t="str">
        <f>IF(WEEKDAY(tblTransactions[[#This Row],[date]],2)&gt;5,"Weekend","Weekday")</f>
        <v>Weekday</v>
      </c>
      <c r="O70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05" s="13" t="str">
        <f>_xlfn.XLOOKUP(tblTransactions[[#This Row],[tenant_id]],tblTenants[tenant_id],tblTenants[zone],"NOT FOUND")</f>
        <v>Food Court</v>
      </c>
      <c r="Q705" s="13" t="str">
        <f>_xlfn.XLOOKUP(tblTransactions[[#This Row],[tenant_id]],tblTenants[tenant_id],tblTenants[category],"NOT FOUND")</f>
        <v>Casual Dining</v>
      </c>
    </row>
    <row r="706" spans="1:17">
      <c r="A706" t="s">
        <v>750</v>
      </c>
      <c r="B706" s="2">
        <v>45669</v>
      </c>
      <c r="C706">
        <v>21</v>
      </c>
      <c r="D706" t="s">
        <v>53</v>
      </c>
      <c r="E706" t="s">
        <v>12</v>
      </c>
      <c r="F706" s="7">
        <v>1767.37</v>
      </c>
      <c r="G706" s="10">
        <v>0</v>
      </c>
      <c r="H706" s="7">
        <v>1767.37</v>
      </c>
      <c r="I706">
        <v>6</v>
      </c>
      <c r="J706" t="s">
        <v>16</v>
      </c>
      <c r="K706" s="13">
        <f>ROUND(tblTransactions[[#This Row],[gross_sales_inr]]*(1-tblTransactions[[#This Row],[discount_pct]]),2)</f>
        <v>1767.37</v>
      </c>
      <c r="L706" t="str">
        <f>IF(ABS(tblTransactions[[#This Row],[net_sales_inr]]-tblTransactions[[#This Row],[Recalc_Net_Sales]])&lt;0.02,"OK","CHECK")</f>
        <v>OK</v>
      </c>
      <c r="M706" s="14">
        <f>DATE(YEAR(tblTransactions[[#This Row],[date]]),MONTH(tblTransactions[[#This Row],[date]]),1)</f>
        <v>45658</v>
      </c>
      <c r="N706" t="str">
        <f>IF(WEEKDAY(tblTransactions[[#This Row],[date]],2)&gt;5,"Weekend","Weekday")</f>
        <v>Weekend</v>
      </c>
      <c r="O706" s="13" t="str">
        <f>IF(tblTransactions[[#This Row],[discount_pct]]=0,"0%",IF(tblTransactions[[#This Row],[discount_pct]]&lt;=10%,"1–
10%",IF(tblTransactions[[#This Row],[discount_pct]]&lt;=20%,"11–20%","&gt;20%")))</f>
        <v>0%</v>
      </c>
      <c r="P706" s="13" t="str">
        <f>_xlfn.XLOOKUP(tblTransactions[[#This Row],[tenant_id]],tblTenants[tenant_id],tblTenants[zone],"NOT FOUND")</f>
        <v>Beauty &amp; Wellness</v>
      </c>
      <c r="Q706" s="13" t="str">
        <f>_xlfn.XLOOKUP(tblTransactions[[#This Row],[tenant_id]],tblTenants[tenant_id],tblTenants[category],"NOT FOUND")</f>
        <v>Beauty</v>
      </c>
    </row>
    <row r="707" spans="1:17">
      <c r="A707" t="s">
        <v>751</v>
      </c>
      <c r="B707" s="2">
        <v>45697</v>
      </c>
      <c r="C707">
        <v>10</v>
      </c>
      <c r="D707" t="s">
        <v>36</v>
      </c>
      <c r="E707" t="s">
        <v>12</v>
      </c>
      <c r="F707" s="7">
        <v>1121.6500000000001</v>
      </c>
      <c r="G707" s="10">
        <v>0</v>
      </c>
      <c r="H707" s="7">
        <v>1121.6500000000001</v>
      </c>
      <c r="I707">
        <v>6</v>
      </c>
      <c r="J707" t="s">
        <v>13</v>
      </c>
      <c r="K707" s="13">
        <f>ROUND(tblTransactions[[#This Row],[gross_sales_inr]]*(1-tblTransactions[[#This Row],[discount_pct]]),2)</f>
        <v>1121.6500000000001</v>
      </c>
      <c r="L707" t="str">
        <f>IF(ABS(tblTransactions[[#This Row],[net_sales_inr]]-tblTransactions[[#This Row],[Recalc_Net_Sales]])&lt;0.02,"OK","CHECK")</f>
        <v>OK</v>
      </c>
      <c r="M707" s="14">
        <f>DATE(YEAR(tblTransactions[[#This Row],[date]]),MONTH(tblTransactions[[#This Row],[date]]),1)</f>
        <v>45689</v>
      </c>
      <c r="N707" t="str">
        <f>IF(WEEKDAY(tblTransactions[[#This Row],[date]],2)&gt;5,"Weekend","Weekday")</f>
        <v>Weekend</v>
      </c>
      <c r="O707" s="13" t="str">
        <f>IF(tblTransactions[[#This Row],[discount_pct]]=0,"0%",IF(tblTransactions[[#This Row],[discount_pct]]&lt;=10%,"1–
10%",IF(tblTransactions[[#This Row],[discount_pct]]&lt;=20%,"11–20%","&gt;20%")))</f>
        <v>0%</v>
      </c>
      <c r="P707" s="13" t="str">
        <f>_xlfn.XLOOKUP(tblTransactions[[#This Row],[tenant_id]],tblTenants[tenant_id],tblTenants[zone],"NOT FOUND")</f>
        <v>Home &amp; Living</v>
      </c>
      <c r="Q707" s="13" t="str">
        <f>_xlfn.XLOOKUP(tblTransactions[[#This Row],[tenant_id]],tblTenants[tenant_id],tblTenants[category],"NOT FOUND")</f>
        <v>Electronics</v>
      </c>
    </row>
    <row r="708" spans="1:17">
      <c r="A708" t="s">
        <v>752</v>
      </c>
      <c r="B708" s="2">
        <v>45796</v>
      </c>
      <c r="C708">
        <v>16</v>
      </c>
      <c r="D708" t="s">
        <v>61</v>
      </c>
      <c r="E708" t="s">
        <v>32</v>
      </c>
      <c r="F708" s="7">
        <v>2689.43</v>
      </c>
      <c r="G708" s="10">
        <v>0</v>
      </c>
      <c r="H708" s="7">
        <v>2689.43</v>
      </c>
      <c r="I708">
        <v>2</v>
      </c>
      <c r="J708" t="s">
        <v>13</v>
      </c>
      <c r="K708" s="13">
        <f>ROUND(tblTransactions[[#This Row],[gross_sales_inr]]*(1-tblTransactions[[#This Row],[discount_pct]]),2)</f>
        <v>2689.43</v>
      </c>
      <c r="L708" t="str">
        <f>IF(ABS(tblTransactions[[#This Row],[net_sales_inr]]-tblTransactions[[#This Row],[Recalc_Net_Sales]])&lt;0.02,"OK","CHECK")</f>
        <v>OK</v>
      </c>
      <c r="M708" s="14">
        <f>DATE(YEAR(tblTransactions[[#This Row],[date]]),MONTH(tblTransactions[[#This Row],[date]]),1)</f>
        <v>45778</v>
      </c>
      <c r="N708" t="str">
        <f>IF(WEEKDAY(tblTransactions[[#This Row],[date]],2)&gt;5,"Weekend","Weekday")</f>
        <v>Weekday</v>
      </c>
      <c r="O708" s="13" t="str">
        <f>IF(tblTransactions[[#This Row],[discount_pct]]=0,"0%",IF(tblTransactions[[#This Row],[discount_pct]]&lt;=10%,"1–
10%",IF(tblTransactions[[#This Row],[discount_pct]]&lt;=20%,"11–20%","&gt;20%")))</f>
        <v>0%</v>
      </c>
      <c r="P708" s="13" t="str">
        <f>_xlfn.XLOOKUP(tblTransactions[[#This Row],[tenant_id]],tblTenants[tenant_id],tblTenants[zone],"NOT FOUND")</f>
        <v>Food Court</v>
      </c>
      <c r="Q708" s="13" t="str">
        <f>_xlfn.XLOOKUP(tblTransactions[[#This Row],[tenant_id]],tblTenants[tenant_id],tblTenants[category],"NOT FOUND")</f>
        <v>Quick Service</v>
      </c>
    </row>
    <row r="709" spans="1:17">
      <c r="A709" t="s">
        <v>753</v>
      </c>
      <c r="B709" s="2">
        <v>45680</v>
      </c>
      <c r="C709">
        <v>21</v>
      </c>
      <c r="D709" t="s">
        <v>36</v>
      </c>
      <c r="E709" t="s">
        <v>32</v>
      </c>
      <c r="F709" s="7">
        <v>297.92</v>
      </c>
      <c r="G709" s="10">
        <v>0.2</v>
      </c>
      <c r="H709" s="7">
        <v>238.34</v>
      </c>
      <c r="I709">
        <v>1</v>
      </c>
      <c r="J709" t="s">
        <v>13</v>
      </c>
      <c r="K709" s="13">
        <f>ROUND(tblTransactions[[#This Row],[gross_sales_inr]]*(1-tblTransactions[[#This Row],[discount_pct]]),2)</f>
        <v>238.34</v>
      </c>
      <c r="L709" t="str">
        <f>IF(ABS(tblTransactions[[#This Row],[net_sales_inr]]-tblTransactions[[#This Row],[Recalc_Net_Sales]])&lt;0.02,"OK","CHECK")</f>
        <v>OK</v>
      </c>
      <c r="M709" s="14">
        <f>DATE(YEAR(tblTransactions[[#This Row],[date]]),MONTH(tblTransactions[[#This Row],[date]]),1)</f>
        <v>45658</v>
      </c>
      <c r="N709" t="str">
        <f>IF(WEEKDAY(tblTransactions[[#This Row],[date]],2)&gt;5,"Weekend","Weekday")</f>
        <v>Weekday</v>
      </c>
      <c r="O70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09" s="13" t="str">
        <f>_xlfn.XLOOKUP(tblTransactions[[#This Row],[tenant_id]],tblTenants[tenant_id],tblTenants[zone],"NOT FOUND")</f>
        <v>Home &amp; Living</v>
      </c>
      <c r="Q709" s="13" t="str">
        <f>_xlfn.XLOOKUP(tblTransactions[[#This Row],[tenant_id]],tblTenants[tenant_id],tblTenants[category],"NOT FOUND")</f>
        <v>Electronics</v>
      </c>
    </row>
    <row r="710" spans="1:17">
      <c r="A710" t="s">
        <v>754</v>
      </c>
      <c r="B710" s="2">
        <v>45831</v>
      </c>
      <c r="C710">
        <v>22</v>
      </c>
      <c r="D710" t="s">
        <v>61</v>
      </c>
      <c r="E710" t="s">
        <v>21</v>
      </c>
      <c r="F710" s="7">
        <v>1514.76</v>
      </c>
      <c r="G710" s="10">
        <v>0.1</v>
      </c>
      <c r="H710" s="7">
        <v>1363.28</v>
      </c>
      <c r="I710">
        <v>1</v>
      </c>
      <c r="J710" t="s">
        <v>13</v>
      </c>
      <c r="K710" s="13">
        <f>ROUND(tblTransactions[[#This Row],[gross_sales_inr]]*(1-tblTransactions[[#This Row],[discount_pct]]),2)</f>
        <v>1363.28</v>
      </c>
      <c r="L710" t="str">
        <f>IF(ABS(tblTransactions[[#This Row],[net_sales_inr]]-tblTransactions[[#This Row],[Recalc_Net_Sales]])&lt;0.02,"OK","CHECK")</f>
        <v>OK</v>
      </c>
      <c r="M710" s="14">
        <f>DATE(YEAR(tblTransactions[[#This Row],[date]]),MONTH(tblTransactions[[#This Row],[date]]),1)</f>
        <v>45809</v>
      </c>
      <c r="N710" t="str">
        <f>IF(WEEKDAY(tblTransactions[[#This Row],[date]],2)&gt;5,"Weekend","Weekday")</f>
        <v>Weekday</v>
      </c>
      <c r="O71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10" s="13" t="str">
        <f>_xlfn.XLOOKUP(tblTransactions[[#This Row],[tenant_id]],tblTenants[tenant_id],tblTenants[zone],"NOT FOUND")</f>
        <v>Food Court</v>
      </c>
      <c r="Q710" s="13" t="str">
        <f>_xlfn.XLOOKUP(tblTransactions[[#This Row],[tenant_id]],tblTenants[tenant_id],tblTenants[category],"NOT FOUND")</f>
        <v>Quick Service</v>
      </c>
    </row>
    <row r="711" spans="1:17">
      <c r="A711" t="s">
        <v>755</v>
      </c>
      <c r="B711" s="2">
        <v>45708</v>
      </c>
      <c r="C711">
        <v>11</v>
      </c>
      <c r="D711" t="s">
        <v>72</v>
      </c>
      <c r="E711" t="s">
        <v>21</v>
      </c>
      <c r="F711" s="7">
        <v>1241.3399999999999</v>
      </c>
      <c r="G711" s="10">
        <v>0</v>
      </c>
      <c r="H711" s="7">
        <v>1241.3399999999999</v>
      </c>
      <c r="I711">
        <v>1</v>
      </c>
      <c r="J711" t="s">
        <v>13</v>
      </c>
      <c r="K711" s="13">
        <f>ROUND(tblTransactions[[#This Row],[gross_sales_inr]]*(1-tblTransactions[[#This Row],[discount_pct]]),2)</f>
        <v>1241.3399999999999</v>
      </c>
      <c r="L711" t="str">
        <f>IF(ABS(tblTransactions[[#This Row],[net_sales_inr]]-tblTransactions[[#This Row],[Recalc_Net_Sales]])&lt;0.02,"OK","CHECK")</f>
        <v>OK</v>
      </c>
      <c r="M711" s="14">
        <f>DATE(YEAR(tblTransactions[[#This Row],[date]]),MONTH(tblTransactions[[#This Row],[date]]),1)</f>
        <v>45689</v>
      </c>
      <c r="N711" t="str">
        <f>IF(WEEKDAY(tblTransactions[[#This Row],[date]],2)&gt;5,"Weekend","Weekday")</f>
        <v>Weekday</v>
      </c>
      <c r="O711" s="13" t="str">
        <f>IF(tblTransactions[[#This Row],[discount_pct]]=0,"0%",IF(tblTransactions[[#This Row],[discount_pct]]&lt;=10%,"1–
10%",IF(tblTransactions[[#This Row],[discount_pct]]&lt;=20%,"11–20%","&gt;20%")))</f>
        <v>0%</v>
      </c>
      <c r="P711" s="13" t="str">
        <f>_xlfn.XLOOKUP(tblTransactions[[#This Row],[tenant_id]],tblTenants[tenant_id],tblTenants[zone],"NOT FOUND")</f>
        <v>Entertainment</v>
      </c>
      <c r="Q711" s="13" t="str">
        <f>_xlfn.XLOOKUP(tblTransactions[[#This Row],[tenant_id]],tblTenants[tenant_id],tblTenants[category],"NOT FOUND")</f>
        <v>Arcade</v>
      </c>
    </row>
    <row r="712" spans="1:17">
      <c r="A712" t="s">
        <v>756</v>
      </c>
      <c r="B712" s="2">
        <v>45777</v>
      </c>
      <c r="C712">
        <v>11</v>
      </c>
      <c r="D712" t="s">
        <v>43</v>
      </c>
      <c r="E712" t="s">
        <v>51</v>
      </c>
      <c r="F712" s="7">
        <v>800.63</v>
      </c>
      <c r="G712" s="10">
        <v>0</v>
      </c>
      <c r="H712" s="7">
        <v>800.63</v>
      </c>
      <c r="I712">
        <v>2</v>
      </c>
      <c r="J712" t="s">
        <v>13</v>
      </c>
      <c r="K712" s="13">
        <f>ROUND(tblTransactions[[#This Row],[gross_sales_inr]]*(1-tblTransactions[[#This Row],[discount_pct]]),2)</f>
        <v>800.63</v>
      </c>
      <c r="L712" t="str">
        <f>IF(ABS(tblTransactions[[#This Row],[net_sales_inr]]-tblTransactions[[#This Row],[Recalc_Net_Sales]])&lt;0.02,"OK","CHECK")</f>
        <v>OK</v>
      </c>
      <c r="M712" s="14">
        <f>DATE(YEAR(tblTransactions[[#This Row],[date]]),MONTH(tblTransactions[[#This Row],[date]]),1)</f>
        <v>45748</v>
      </c>
      <c r="N712" t="str">
        <f>IF(WEEKDAY(tblTransactions[[#This Row],[date]],2)&gt;5,"Weekend","Weekday")</f>
        <v>Weekday</v>
      </c>
      <c r="O712" s="13" t="str">
        <f>IF(tblTransactions[[#This Row],[discount_pct]]=0,"0%",IF(tblTransactions[[#This Row],[discount_pct]]&lt;=10%,"1–
10%",IF(tblTransactions[[#This Row],[discount_pct]]&lt;=20%,"11–20%","&gt;20%")))</f>
        <v>0%</v>
      </c>
      <c r="P712" s="13" t="str">
        <f>_xlfn.XLOOKUP(tblTransactions[[#This Row],[tenant_id]],tblTenants[tenant_id],tblTenants[zone],"NOT FOUND")</f>
        <v>Food Court</v>
      </c>
      <c r="Q712" s="13" t="str">
        <f>_xlfn.XLOOKUP(tblTransactions[[#This Row],[tenant_id]],tblTenants[tenant_id],tblTenants[category],"NOT FOUND")</f>
        <v>Casual Dining</v>
      </c>
    </row>
    <row r="713" spans="1:17">
      <c r="A713" t="s">
        <v>757</v>
      </c>
      <c r="B713" s="2">
        <v>45679</v>
      </c>
      <c r="C713">
        <v>17</v>
      </c>
      <c r="D713" t="s">
        <v>80</v>
      </c>
      <c r="E713" t="s">
        <v>21</v>
      </c>
      <c r="F713" s="7">
        <v>958.77</v>
      </c>
      <c r="G713" s="10">
        <v>0.1</v>
      </c>
      <c r="H713" s="7">
        <v>862.89</v>
      </c>
      <c r="I713">
        <v>3</v>
      </c>
      <c r="J713" t="s">
        <v>13</v>
      </c>
      <c r="K713" s="13">
        <f>ROUND(tblTransactions[[#This Row],[gross_sales_inr]]*(1-tblTransactions[[#This Row],[discount_pct]]),2)</f>
        <v>862.89</v>
      </c>
      <c r="L713" t="str">
        <f>IF(ABS(tblTransactions[[#This Row],[net_sales_inr]]-tblTransactions[[#This Row],[Recalc_Net_Sales]])&lt;0.02,"OK","CHECK")</f>
        <v>OK</v>
      </c>
      <c r="M713" s="14">
        <f>DATE(YEAR(tblTransactions[[#This Row],[date]]),MONTH(tblTransactions[[#This Row],[date]]),1)</f>
        <v>45658</v>
      </c>
      <c r="N713" t="str">
        <f>IF(WEEKDAY(tblTransactions[[#This Row],[date]],2)&gt;5,"Weekend","Weekday")</f>
        <v>Weekday</v>
      </c>
      <c r="O71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13" s="13" t="str">
        <f>_xlfn.XLOOKUP(tblTransactions[[#This Row],[tenant_id]],tblTenants[tenant_id],tblTenants[zone],"NOT FOUND")</f>
        <v>Food Court</v>
      </c>
      <c r="Q713" s="13" t="str">
        <f>_xlfn.XLOOKUP(tblTransactions[[#This Row],[tenant_id]],tblTenants[tenant_id],tblTenants[category],"NOT FOUND")</f>
        <v>Casual Dining</v>
      </c>
    </row>
    <row r="714" spans="1:17">
      <c r="A714" t="s">
        <v>758</v>
      </c>
      <c r="B714" s="2">
        <v>45819</v>
      </c>
      <c r="C714">
        <v>12</v>
      </c>
      <c r="D714" t="s">
        <v>25</v>
      </c>
      <c r="E714" t="s">
        <v>12</v>
      </c>
      <c r="F714" s="7">
        <v>452.88</v>
      </c>
      <c r="G714" s="10">
        <v>0</v>
      </c>
      <c r="H714" s="7">
        <v>452.88</v>
      </c>
      <c r="I714">
        <v>3</v>
      </c>
      <c r="J714" t="s">
        <v>13</v>
      </c>
      <c r="K714" s="13">
        <f>ROUND(tblTransactions[[#This Row],[gross_sales_inr]]*(1-tblTransactions[[#This Row],[discount_pct]]),2)</f>
        <v>452.88</v>
      </c>
      <c r="L714" t="str">
        <f>IF(ABS(tblTransactions[[#This Row],[net_sales_inr]]-tblTransactions[[#This Row],[Recalc_Net_Sales]])&lt;0.02,"OK","CHECK")</f>
        <v>OK</v>
      </c>
      <c r="M714" s="14">
        <f>DATE(YEAR(tblTransactions[[#This Row],[date]]),MONTH(tblTransactions[[#This Row],[date]]),1)</f>
        <v>45809</v>
      </c>
      <c r="N714" t="str">
        <f>IF(WEEKDAY(tblTransactions[[#This Row],[date]],2)&gt;5,"Weekend","Weekday")</f>
        <v>Weekday</v>
      </c>
      <c r="O714" s="13" t="str">
        <f>IF(tblTransactions[[#This Row],[discount_pct]]=0,"0%",IF(tblTransactions[[#This Row],[discount_pct]]&lt;=10%,"1–
10%",IF(tblTransactions[[#This Row],[discount_pct]]&lt;=20%,"11–20%","&gt;20%")))</f>
        <v>0%</v>
      </c>
      <c r="P714" s="13" t="str">
        <f>_xlfn.XLOOKUP(tblTransactions[[#This Row],[tenant_id]],tblTenants[tenant_id],tblTenants[zone],"NOT FOUND")</f>
        <v>Beauty &amp; Wellness</v>
      </c>
      <c r="Q714" s="13" t="str">
        <f>_xlfn.XLOOKUP(tblTransactions[[#This Row],[tenant_id]],tblTenants[tenant_id],tblTenants[category],"NOT FOUND")</f>
        <v>Beauty</v>
      </c>
    </row>
    <row r="715" spans="1:17">
      <c r="A715" t="s">
        <v>759</v>
      </c>
      <c r="B715" s="2">
        <v>45770</v>
      </c>
      <c r="C715">
        <v>22</v>
      </c>
      <c r="D715" t="s">
        <v>41</v>
      </c>
      <c r="E715" t="s">
        <v>32</v>
      </c>
      <c r="F715" s="7">
        <v>334.18</v>
      </c>
      <c r="G715" s="10">
        <v>0.1</v>
      </c>
      <c r="H715" s="7">
        <v>300.76</v>
      </c>
      <c r="I715">
        <v>1</v>
      </c>
      <c r="J715" t="s">
        <v>13</v>
      </c>
      <c r="K715" s="13">
        <f>ROUND(tblTransactions[[#This Row],[gross_sales_inr]]*(1-tblTransactions[[#This Row],[discount_pct]]),2)</f>
        <v>300.76</v>
      </c>
      <c r="L715" t="str">
        <f>IF(ABS(tblTransactions[[#This Row],[net_sales_inr]]-tblTransactions[[#This Row],[Recalc_Net_Sales]])&lt;0.02,"OK","CHECK")</f>
        <v>OK</v>
      </c>
      <c r="M715" s="14">
        <f>DATE(YEAR(tblTransactions[[#This Row],[date]]),MONTH(tblTransactions[[#This Row],[date]]),1)</f>
        <v>45748</v>
      </c>
      <c r="N715" t="str">
        <f>IF(WEEKDAY(tblTransactions[[#This Row],[date]],2)&gt;5,"Weekend","Weekday")</f>
        <v>Weekday</v>
      </c>
      <c r="O71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15" s="13" t="str">
        <f>_xlfn.XLOOKUP(tblTransactions[[#This Row],[tenant_id]],tblTenants[tenant_id],tblTenants[zone],"NOT FOUND")</f>
        <v>Fashion Avenue</v>
      </c>
      <c r="Q715" s="13" t="str">
        <f>_xlfn.XLOOKUP(tblTransactions[[#This Row],[tenant_id]],tblTenants[tenant_id],tblTenants[category],"NOT FOUND")</f>
        <v>Clothing</v>
      </c>
    </row>
    <row r="716" spans="1:17">
      <c r="A716" t="s">
        <v>760</v>
      </c>
      <c r="B716" s="2">
        <v>45791</v>
      </c>
      <c r="C716">
        <v>21</v>
      </c>
      <c r="D716" t="s">
        <v>31</v>
      </c>
      <c r="E716" t="s">
        <v>32</v>
      </c>
      <c r="F716" s="7">
        <v>922.06</v>
      </c>
      <c r="G716" s="10">
        <v>0.3</v>
      </c>
      <c r="H716" s="7">
        <v>645.44000000000005</v>
      </c>
      <c r="I716">
        <v>1</v>
      </c>
      <c r="J716" t="s">
        <v>13</v>
      </c>
      <c r="K716" s="13">
        <f>ROUND(tblTransactions[[#This Row],[gross_sales_inr]]*(1-tblTransactions[[#This Row],[discount_pct]]),2)</f>
        <v>645.44000000000005</v>
      </c>
      <c r="L716" t="str">
        <f>IF(ABS(tblTransactions[[#This Row],[net_sales_inr]]-tblTransactions[[#This Row],[Recalc_Net_Sales]])&lt;0.02,"OK","CHECK")</f>
        <v>OK</v>
      </c>
      <c r="M716" s="14">
        <f>DATE(YEAR(tblTransactions[[#This Row],[date]]),MONTH(tblTransactions[[#This Row],[date]]),1)</f>
        <v>45778</v>
      </c>
      <c r="N716" t="str">
        <f>IF(WEEKDAY(tblTransactions[[#This Row],[date]],2)&gt;5,"Weekend","Weekday")</f>
        <v>Weekday</v>
      </c>
      <c r="O716" s="13" t="str">
        <f>IF(tblTransactions[[#This Row],[discount_pct]]=0,"0%",IF(tblTransactions[[#This Row],[discount_pct]]&lt;=10%,"1–
10%",IF(tblTransactions[[#This Row],[discount_pct]]&lt;=20%,"11–20%","&gt;20%")))</f>
        <v>&gt;20%</v>
      </c>
      <c r="P716" s="13" t="str">
        <f>_xlfn.XLOOKUP(tblTransactions[[#This Row],[tenant_id]],tblTenants[tenant_id],tblTenants[zone],"NOT FOUND")</f>
        <v>Entertainment</v>
      </c>
      <c r="Q716" s="13" t="str">
        <f>_xlfn.XLOOKUP(tblTransactions[[#This Row],[tenant_id]],tblTenants[tenant_id],tblTenants[category],"NOT FOUND")</f>
        <v>Arcade</v>
      </c>
    </row>
    <row r="717" spans="1:17">
      <c r="A717" t="s">
        <v>761</v>
      </c>
      <c r="B717" s="2">
        <v>45813</v>
      </c>
      <c r="C717">
        <v>15</v>
      </c>
      <c r="D717" t="s">
        <v>104</v>
      </c>
      <c r="E717" t="s">
        <v>12</v>
      </c>
      <c r="F717" s="7">
        <v>451.74</v>
      </c>
      <c r="G717" s="10">
        <v>0.3</v>
      </c>
      <c r="H717" s="7">
        <v>316.22000000000003</v>
      </c>
      <c r="I717">
        <v>1</v>
      </c>
      <c r="J717" t="s">
        <v>16</v>
      </c>
      <c r="K717" s="13">
        <f>ROUND(tblTransactions[[#This Row],[gross_sales_inr]]*(1-tblTransactions[[#This Row],[discount_pct]]),2)</f>
        <v>316.22000000000003</v>
      </c>
      <c r="L717" t="str">
        <f>IF(ABS(tblTransactions[[#This Row],[net_sales_inr]]-tblTransactions[[#This Row],[Recalc_Net_Sales]])&lt;0.02,"OK","CHECK")</f>
        <v>OK</v>
      </c>
      <c r="M717" s="14">
        <f>DATE(YEAR(tblTransactions[[#This Row],[date]]),MONTH(tblTransactions[[#This Row],[date]]),1)</f>
        <v>45809</v>
      </c>
      <c r="N717" t="str">
        <f>IF(WEEKDAY(tblTransactions[[#This Row],[date]],2)&gt;5,"Weekend","Weekday")</f>
        <v>Weekday</v>
      </c>
      <c r="O71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717" s="13" t="str">
        <f>_xlfn.XLOOKUP(tblTransactions[[#This Row],[tenant_id]],tblTenants[tenant_id],tblTenants[zone],"NOT FOUND")</f>
        <v>Entertainment</v>
      </c>
      <c r="Q717" s="13" t="str">
        <f>_xlfn.XLOOKUP(tblTransactions[[#This Row],[tenant_id]],tblTenants[tenant_id],tblTenants[category],"NOT FOUND")</f>
        <v>Family Entertainment</v>
      </c>
    </row>
    <row r="718" spans="1:17">
      <c r="A718" t="s">
        <v>762</v>
      </c>
      <c r="B718" s="2">
        <v>45730</v>
      </c>
      <c r="C718">
        <v>21</v>
      </c>
      <c r="D718" t="s">
        <v>23</v>
      </c>
      <c r="E718" t="s">
        <v>12</v>
      </c>
      <c r="F718" s="7">
        <v>1072.9000000000001</v>
      </c>
      <c r="G718" s="10">
        <v>0</v>
      </c>
      <c r="H718" s="7">
        <v>1072.9000000000001</v>
      </c>
      <c r="I718">
        <v>1</v>
      </c>
      <c r="J718" t="s">
        <v>13</v>
      </c>
      <c r="K718" s="13">
        <f>ROUND(tblTransactions[[#This Row],[gross_sales_inr]]*(1-tblTransactions[[#This Row],[discount_pct]]),2)</f>
        <v>1072.9000000000001</v>
      </c>
      <c r="L718" t="str">
        <f>IF(ABS(tblTransactions[[#This Row],[net_sales_inr]]-tblTransactions[[#This Row],[Recalc_Net_Sales]])&lt;0.02,"OK","CHECK")</f>
        <v>OK</v>
      </c>
      <c r="M718" s="14">
        <f>DATE(YEAR(tblTransactions[[#This Row],[date]]),MONTH(tblTransactions[[#This Row],[date]]),1)</f>
        <v>45717</v>
      </c>
      <c r="N718" t="str">
        <f>IF(WEEKDAY(tblTransactions[[#This Row],[date]],2)&gt;5,"Weekend","Weekday")</f>
        <v>Weekday</v>
      </c>
      <c r="O718" s="13" t="str">
        <f>IF(tblTransactions[[#This Row],[discount_pct]]=0,"0%",IF(tblTransactions[[#This Row],[discount_pct]]&lt;=10%,"1–
10%",IF(tblTransactions[[#This Row],[discount_pct]]&lt;=20%,"11–20%","&gt;20%")))</f>
        <v>0%</v>
      </c>
      <c r="P718" s="13" t="str">
        <f>_xlfn.XLOOKUP(tblTransactions[[#This Row],[tenant_id]],tblTenants[tenant_id],tblTenants[zone],"NOT FOUND")</f>
        <v>Entertainment</v>
      </c>
      <c r="Q718" s="13" t="str">
        <f>_xlfn.XLOOKUP(tblTransactions[[#This Row],[tenant_id]],tblTenants[tenant_id],tblTenants[category],"NOT FOUND")</f>
        <v>Cinema</v>
      </c>
    </row>
    <row r="719" spans="1:17">
      <c r="A719" t="s">
        <v>763</v>
      </c>
      <c r="B719" s="2">
        <v>45678</v>
      </c>
      <c r="C719">
        <v>11</v>
      </c>
      <c r="D719" t="s">
        <v>23</v>
      </c>
      <c r="E719" t="s">
        <v>12</v>
      </c>
      <c r="F719" s="7">
        <v>1570.8</v>
      </c>
      <c r="G719" s="10">
        <v>0</v>
      </c>
      <c r="H719" s="7">
        <v>1570.8</v>
      </c>
      <c r="I719">
        <v>1</v>
      </c>
      <c r="J719" t="s">
        <v>13</v>
      </c>
      <c r="K719" s="13">
        <f>ROUND(tblTransactions[[#This Row],[gross_sales_inr]]*(1-tblTransactions[[#This Row],[discount_pct]]),2)</f>
        <v>1570.8</v>
      </c>
      <c r="L719" t="str">
        <f>IF(ABS(tblTransactions[[#This Row],[net_sales_inr]]-tblTransactions[[#This Row],[Recalc_Net_Sales]])&lt;0.02,"OK","CHECK")</f>
        <v>OK</v>
      </c>
      <c r="M719" s="14">
        <f>DATE(YEAR(tblTransactions[[#This Row],[date]]),MONTH(tblTransactions[[#This Row],[date]]),1)</f>
        <v>45658</v>
      </c>
      <c r="N719" t="str">
        <f>IF(WEEKDAY(tblTransactions[[#This Row],[date]],2)&gt;5,"Weekend","Weekday")</f>
        <v>Weekday</v>
      </c>
      <c r="O719" s="13" t="str">
        <f>IF(tblTransactions[[#This Row],[discount_pct]]=0,"0%",IF(tblTransactions[[#This Row],[discount_pct]]&lt;=10%,"1–
10%",IF(tblTransactions[[#This Row],[discount_pct]]&lt;=20%,"11–20%","&gt;20%")))</f>
        <v>0%</v>
      </c>
      <c r="P719" s="13" t="str">
        <f>_xlfn.XLOOKUP(tblTransactions[[#This Row],[tenant_id]],tblTenants[tenant_id],tblTenants[zone],"NOT FOUND")</f>
        <v>Entertainment</v>
      </c>
      <c r="Q719" s="13" t="str">
        <f>_xlfn.XLOOKUP(tblTransactions[[#This Row],[tenant_id]],tblTenants[tenant_id],tblTenants[category],"NOT FOUND")</f>
        <v>Cinema</v>
      </c>
    </row>
    <row r="720" spans="1:17">
      <c r="A720" t="s">
        <v>764</v>
      </c>
      <c r="B720" s="2">
        <v>45732</v>
      </c>
      <c r="C720">
        <v>12</v>
      </c>
      <c r="D720" t="s">
        <v>31</v>
      </c>
      <c r="E720" t="s">
        <v>12</v>
      </c>
      <c r="F720" s="7">
        <v>1120.5899999999999</v>
      </c>
      <c r="G720" s="10">
        <v>0</v>
      </c>
      <c r="H720" s="7">
        <v>1120.5899999999999</v>
      </c>
      <c r="I720">
        <v>2</v>
      </c>
      <c r="J720" t="s">
        <v>13</v>
      </c>
      <c r="K720" s="13">
        <f>ROUND(tblTransactions[[#This Row],[gross_sales_inr]]*(1-tblTransactions[[#This Row],[discount_pct]]),2)</f>
        <v>1120.5899999999999</v>
      </c>
      <c r="L720" t="str">
        <f>IF(ABS(tblTransactions[[#This Row],[net_sales_inr]]-tblTransactions[[#This Row],[Recalc_Net_Sales]])&lt;0.02,"OK","CHECK")</f>
        <v>OK</v>
      </c>
      <c r="M720" s="14">
        <f>DATE(YEAR(tblTransactions[[#This Row],[date]]),MONTH(tblTransactions[[#This Row],[date]]),1)</f>
        <v>45717</v>
      </c>
      <c r="N720" t="str">
        <f>IF(WEEKDAY(tblTransactions[[#This Row],[date]],2)&gt;5,"Weekend","Weekday")</f>
        <v>Weekend</v>
      </c>
      <c r="O720" s="13" t="str">
        <f>IF(tblTransactions[[#This Row],[discount_pct]]=0,"0%",IF(tblTransactions[[#This Row],[discount_pct]]&lt;=10%,"1–
10%",IF(tblTransactions[[#This Row],[discount_pct]]&lt;=20%,"11–20%","&gt;20%")))</f>
        <v>0%</v>
      </c>
      <c r="P720" s="13" t="str">
        <f>_xlfn.XLOOKUP(tblTransactions[[#This Row],[tenant_id]],tblTenants[tenant_id],tblTenants[zone],"NOT FOUND")</f>
        <v>Entertainment</v>
      </c>
      <c r="Q720" s="13" t="str">
        <f>_xlfn.XLOOKUP(tblTransactions[[#This Row],[tenant_id]],tblTenants[tenant_id],tblTenants[category],"NOT FOUND")</f>
        <v>Arcade</v>
      </c>
    </row>
    <row r="721" spans="1:17">
      <c r="A721" t="s">
        <v>765</v>
      </c>
      <c r="B721" s="2">
        <v>45835</v>
      </c>
      <c r="C721">
        <v>13</v>
      </c>
      <c r="D721" t="s">
        <v>85</v>
      </c>
      <c r="E721" t="s">
        <v>12</v>
      </c>
      <c r="F721" s="7">
        <v>1158.79</v>
      </c>
      <c r="G721" s="10">
        <v>0.15</v>
      </c>
      <c r="H721" s="7">
        <v>984.97</v>
      </c>
      <c r="I721">
        <v>1</v>
      </c>
      <c r="J721" t="s">
        <v>13</v>
      </c>
      <c r="K721" s="13">
        <f>ROUND(tblTransactions[[#This Row],[gross_sales_inr]]*(1-tblTransactions[[#This Row],[discount_pct]]),2)</f>
        <v>984.97</v>
      </c>
      <c r="L721" t="str">
        <f>IF(ABS(tblTransactions[[#This Row],[net_sales_inr]]-tblTransactions[[#This Row],[Recalc_Net_Sales]])&lt;0.02,"OK","CHECK")</f>
        <v>OK</v>
      </c>
      <c r="M721" s="14">
        <f>DATE(YEAR(tblTransactions[[#This Row],[date]]),MONTH(tblTransactions[[#This Row],[date]]),1)</f>
        <v>45809</v>
      </c>
      <c r="N721" t="str">
        <f>IF(WEEKDAY(tblTransactions[[#This Row],[date]],2)&gt;5,"Weekend","Weekday")</f>
        <v>Weekday</v>
      </c>
      <c r="O72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21" s="13" t="str">
        <f>_xlfn.XLOOKUP(tblTransactions[[#This Row],[tenant_id]],tblTenants[tenant_id],tblTenants[zone],"NOT FOUND")</f>
        <v>Home &amp; Living</v>
      </c>
      <c r="Q721" s="13" t="str">
        <f>_xlfn.XLOOKUP(tblTransactions[[#This Row],[tenant_id]],tblTenants[tenant_id],tblTenants[category],"NOT FOUND")</f>
        <v>Electronics</v>
      </c>
    </row>
    <row r="722" spans="1:17">
      <c r="A722" t="s">
        <v>766</v>
      </c>
      <c r="B722" s="2">
        <v>45769</v>
      </c>
      <c r="C722">
        <v>16</v>
      </c>
      <c r="D722" t="s">
        <v>41</v>
      </c>
      <c r="E722" t="s">
        <v>12</v>
      </c>
      <c r="F722" s="7">
        <v>1121.6199999999999</v>
      </c>
      <c r="G722" s="10">
        <v>0.1</v>
      </c>
      <c r="H722" s="7">
        <v>1009.46</v>
      </c>
      <c r="I722">
        <v>3</v>
      </c>
      <c r="J722" t="s">
        <v>13</v>
      </c>
      <c r="K722" s="13">
        <f>ROUND(tblTransactions[[#This Row],[gross_sales_inr]]*(1-tblTransactions[[#This Row],[discount_pct]]),2)</f>
        <v>1009.46</v>
      </c>
      <c r="L722" t="str">
        <f>IF(ABS(tblTransactions[[#This Row],[net_sales_inr]]-tblTransactions[[#This Row],[Recalc_Net_Sales]])&lt;0.02,"OK","CHECK")</f>
        <v>OK</v>
      </c>
      <c r="M722" s="14">
        <f>DATE(YEAR(tblTransactions[[#This Row],[date]]),MONTH(tblTransactions[[#This Row],[date]]),1)</f>
        <v>45748</v>
      </c>
      <c r="N722" t="str">
        <f>IF(WEEKDAY(tblTransactions[[#This Row],[date]],2)&gt;5,"Weekend","Weekday")</f>
        <v>Weekday</v>
      </c>
      <c r="O72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22" s="13" t="str">
        <f>_xlfn.XLOOKUP(tblTransactions[[#This Row],[tenant_id]],tblTenants[tenant_id],tblTenants[zone],"NOT FOUND")</f>
        <v>Fashion Avenue</v>
      </c>
      <c r="Q722" s="13" t="str">
        <f>_xlfn.XLOOKUP(tblTransactions[[#This Row],[tenant_id]],tblTenants[tenant_id],tblTenants[category],"NOT FOUND")</f>
        <v>Clothing</v>
      </c>
    </row>
    <row r="723" spans="1:17">
      <c r="A723" t="s">
        <v>767</v>
      </c>
      <c r="B723" s="2">
        <v>45762</v>
      </c>
      <c r="C723">
        <v>10</v>
      </c>
      <c r="D723" t="s">
        <v>11</v>
      </c>
      <c r="E723" t="s">
        <v>32</v>
      </c>
      <c r="F723" s="7">
        <v>992.94</v>
      </c>
      <c r="G723" s="10">
        <v>0.1</v>
      </c>
      <c r="H723" s="7">
        <v>893.65</v>
      </c>
      <c r="I723">
        <v>1</v>
      </c>
      <c r="J723" t="s">
        <v>16</v>
      </c>
      <c r="K723" s="13">
        <f>ROUND(tblTransactions[[#This Row],[gross_sales_inr]]*(1-tblTransactions[[#This Row],[discount_pct]]),2)</f>
        <v>893.65</v>
      </c>
      <c r="L723" t="str">
        <f>IF(ABS(tblTransactions[[#This Row],[net_sales_inr]]-tblTransactions[[#This Row],[Recalc_Net_Sales]])&lt;0.02,"OK","CHECK")</f>
        <v>OK</v>
      </c>
      <c r="M723" s="14">
        <f>DATE(YEAR(tblTransactions[[#This Row],[date]]),MONTH(tblTransactions[[#This Row],[date]]),1)</f>
        <v>45748</v>
      </c>
      <c r="N723" t="str">
        <f>IF(WEEKDAY(tblTransactions[[#This Row],[date]],2)&gt;5,"Weekend","Weekday")</f>
        <v>Weekday</v>
      </c>
      <c r="O72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23" s="13" t="str">
        <f>_xlfn.XLOOKUP(tblTransactions[[#This Row],[tenant_id]],tblTenants[tenant_id],tblTenants[zone],"NOT FOUND")</f>
        <v>Home &amp; Living</v>
      </c>
      <c r="Q723" s="13" t="str">
        <f>_xlfn.XLOOKUP(tblTransactions[[#This Row],[tenant_id]],tblTenants[tenant_id],tblTenants[category],"NOT FOUND")</f>
        <v>Home Decor</v>
      </c>
    </row>
    <row r="724" spans="1:17">
      <c r="A724" t="s">
        <v>768</v>
      </c>
      <c r="B724" s="2">
        <v>45824</v>
      </c>
      <c r="C724">
        <v>18</v>
      </c>
      <c r="D724" t="s">
        <v>80</v>
      </c>
      <c r="E724" t="s">
        <v>21</v>
      </c>
      <c r="F724" s="7">
        <v>1498.54</v>
      </c>
      <c r="G724" s="10">
        <v>0</v>
      </c>
      <c r="H724" s="7">
        <v>1498.54</v>
      </c>
      <c r="I724">
        <v>1</v>
      </c>
      <c r="J724" t="s">
        <v>16</v>
      </c>
      <c r="K724" s="13">
        <f>ROUND(tblTransactions[[#This Row],[gross_sales_inr]]*(1-tblTransactions[[#This Row],[discount_pct]]),2)</f>
        <v>1498.54</v>
      </c>
      <c r="L724" t="str">
        <f>IF(ABS(tblTransactions[[#This Row],[net_sales_inr]]-tblTransactions[[#This Row],[Recalc_Net_Sales]])&lt;0.02,"OK","CHECK")</f>
        <v>OK</v>
      </c>
      <c r="M724" s="14">
        <f>DATE(YEAR(tblTransactions[[#This Row],[date]]),MONTH(tblTransactions[[#This Row],[date]]),1)</f>
        <v>45809</v>
      </c>
      <c r="N724" t="str">
        <f>IF(WEEKDAY(tblTransactions[[#This Row],[date]],2)&gt;5,"Weekend","Weekday")</f>
        <v>Weekday</v>
      </c>
      <c r="O724" s="13" t="str">
        <f>IF(tblTransactions[[#This Row],[discount_pct]]=0,"0%",IF(tblTransactions[[#This Row],[discount_pct]]&lt;=10%,"1–
10%",IF(tblTransactions[[#This Row],[discount_pct]]&lt;=20%,"11–20%","&gt;20%")))</f>
        <v>0%</v>
      </c>
      <c r="P724" s="13" t="str">
        <f>_xlfn.XLOOKUP(tblTransactions[[#This Row],[tenant_id]],tblTenants[tenant_id],tblTenants[zone],"NOT FOUND")</f>
        <v>Food Court</v>
      </c>
      <c r="Q724" s="13" t="str">
        <f>_xlfn.XLOOKUP(tblTransactions[[#This Row],[tenant_id]],tblTenants[tenant_id],tblTenants[category],"NOT FOUND")</f>
        <v>Casual Dining</v>
      </c>
    </row>
    <row r="725" spans="1:17">
      <c r="A725" t="s">
        <v>769</v>
      </c>
      <c r="B725" s="2">
        <v>45662</v>
      </c>
      <c r="C725">
        <v>18</v>
      </c>
      <c r="D725" t="s">
        <v>63</v>
      </c>
      <c r="E725" t="s">
        <v>12</v>
      </c>
      <c r="F725" s="7">
        <v>279.05</v>
      </c>
      <c r="G725" s="10">
        <v>0</v>
      </c>
      <c r="H725" s="7">
        <v>279.05</v>
      </c>
      <c r="I725">
        <v>5</v>
      </c>
      <c r="J725" t="s">
        <v>16</v>
      </c>
      <c r="K725" s="13">
        <f>ROUND(tblTransactions[[#This Row],[gross_sales_inr]]*(1-tblTransactions[[#This Row],[discount_pct]]),2)</f>
        <v>279.05</v>
      </c>
      <c r="L725" t="str">
        <f>IF(ABS(tblTransactions[[#This Row],[net_sales_inr]]-tblTransactions[[#This Row],[Recalc_Net_Sales]])&lt;0.02,"OK","CHECK")</f>
        <v>OK</v>
      </c>
      <c r="M725" s="14">
        <f>DATE(YEAR(tblTransactions[[#This Row],[date]]),MONTH(tblTransactions[[#This Row],[date]]),1)</f>
        <v>45658</v>
      </c>
      <c r="N725" t="str">
        <f>IF(WEEKDAY(tblTransactions[[#This Row],[date]],2)&gt;5,"Weekend","Weekday")</f>
        <v>Weekend</v>
      </c>
      <c r="O725" s="13" t="str">
        <f>IF(tblTransactions[[#This Row],[discount_pct]]=0,"0%",IF(tblTransactions[[#This Row],[discount_pct]]&lt;=10%,"1–
10%",IF(tblTransactions[[#This Row],[discount_pct]]&lt;=20%,"11–20%","&gt;20%")))</f>
        <v>0%</v>
      </c>
      <c r="P725" s="13" t="str">
        <f>_xlfn.XLOOKUP(tblTransactions[[#This Row],[tenant_id]],tblTenants[tenant_id],tblTenants[zone],"NOT FOUND")</f>
        <v>Entertainment</v>
      </c>
      <c r="Q725" s="13" t="str">
        <f>_xlfn.XLOOKUP(tblTransactions[[#This Row],[tenant_id]],tblTenants[tenant_id],tblTenants[category],"NOT FOUND")</f>
        <v>Family Entertainment</v>
      </c>
    </row>
    <row r="726" spans="1:17">
      <c r="A726" t="s">
        <v>770</v>
      </c>
      <c r="B726" s="2">
        <v>45791</v>
      </c>
      <c r="C726">
        <v>16</v>
      </c>
      <c r="D726" t="s">
        <v>25</v>
      </c>
      <c r="E726" t="s">
        <v>32</v>
      </c>
      <c r="F726" s="7">
        <v>2894.39</v>
      </c>
      <c r="G726" s="10">
        <v>0.1</v>
      </c>
      <c r="H726" s="7">
        <v>2604.9499999999998</v>
      </c>
      <c r="I726">
        <v>2</v>
      </c>
      <c r="J726" t="s">
        <v>13</v>
      </c>
      <c r="K726" s="13">
        <f>ROUND(tblTransactions[[#This Row],[gross_sales_inr]]*(1-tblTransactions[[#This Row],[discount_pct]]),2)</f>
        <v>2604.9499999999998</v>
      </c>
      <c r="L726" t="str">
        <f>IF(ABS(tblTransactions[[#This Row],[net_sales_inr]]-tblTransactions[[#This Row],[Recalc_Net_Sales]])&lt;0.02,"OK","CHECK")</f>
        <v>OK</v>
      </c>
      <c r="M726" s="14">
        <f>DATE(YEAR(tblTransactions[[#This Row],[date]]),MONTH(tblTransactions[[#This Row],[date]]),1)</f>
        <v>45778</v>
      </c>
      <c r="N726" t="str">
        <f>IF(WEEKDAY(tblTransactions[[#This Row],[date]],2)&gt;5,"Weekend","Weekday")</f>
        <v>Weekday</v>
      </c>
      <c r="O72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26" s="13" t="str">
        <f>_xlfn.XLOOKUP(tblTransactions[[#This Row],[tenant_id]],tblTenants[tenant_id],tblTenants[zone],"NOT FOUND")</f>
        <v>Beauty &amp; Wellness</v>
      </c>
      <c r="Q726" s="13" t="str">
        <f>_xlfn.XLOOKUP(tblTransactions[[#This Row],[tenant_id]],tblTenants[tenant_id],tblTenants[category],"NOT FOUND")</f>
        <v>Beauty</v>
      </c>
    </row>
    <row r="727" spans="1:17">
      <c r="A727" t="s">
        <v>771</v>
      </c>
      <c r="B727" s="2">
        <v>45752</v>
      </c>
      <c r="C727">
        <v>22</v>
      </c>
      <c r="D727" t="s">
        <v>45</v>
      </c>
      <c r="E727" t="s">
        <v>12</v>
      </c>
      <c r="F727" s="7">
        <v>2115.06</v>
      </c>
      <c r="G727" s="10">
        <v>0</v>
      </c>
      <c r="H727" s="7">
        <v>2115.06</v>
      </c>
      <c r="I727">
        <v>4</v>
      </c>
      <c r="J727" t="s">
        <v>16</v>
      </c>
      <c r="K727" s="13">
        <f>ROUND(tblTransactions[[#This Row],[gross_sales_inr]]*(1-tblTransactions[[#This Row],[discount_pct]]),2)</f>
        <v>2115.06</v>
      </c>
      <c r="L727" t="str">
        <f>IF(ABS(tblTransactions[[#This Row],[net_sales_inr]]-tblTransactions[[#This Row],[Recalc_Net_Sales]])&lt;0.02,"OK","CHECK")</f>
        <v>OK</v>
      </c>
      <c r="M727" s="14">
        <f>DATE(YEAR(tblTransactions[[#This Row],[date]]),MONTH(tblTransactions[[#This Row],[date]]),1)</f>
        <v>45748</v>
      </c>
      <c r="N727" t="str">
        <f>IF(WEEKDAY(tblTransactions[[#This Row],[date]],2)&gt;5,"Weekend","Weekday")</f>
        <v>Weekend</v>
      </c>
      <c r="O727" s="13" t="str">
        <f>IF(tblTransactions[[#This Row],[discount_pct]]=0,"0%",IF(tblTransactions[[#This Row],[discount_pct]]&lt;=10%,"1–
10%",IF(tblTransactions[[#This Row],[discount_pct]]&lt;=20%,"11–20%","&gt;20%")))</f>
        <v>0%</v>
      </c>
      <c r="P727" s="13" t="str">
        <f>_xlfn.XLOOKUP(tblTransactions[[#This Row],[tenant_id]],tblTenants[tenant_id],tblTenants[zone],"NOT FOUND")</f>
        <v>Home &amp; Living</v>
      </c>
      <c r="Q727" s="13" t="str">
        <f>_xlfn.XLOOKUP(tblTransactions[[#This Row],[tenant_id]],tblTenants[tenant_id],tblTenants[category],"NOT FOUND")</f>
        <v>Home Decor</v>
      </c>
    </row>
    <row r="728" spans="1:17">
      <c r="A728" t="s">
        <v>772</v>
      </c>
      <c r="B728" s="2">
        <v>45806</v>
      </c>
      <c r="C728">
        <v>20</v>
      </c>
      <c r="D728" t="s">
        <v>87</v>
      </c>
      <c r="E728" t="s">
        <v>12</v>
      </c>
      <c r="F728" s="7">
        <v>919.21</v>
      </c>
      <c r="G728" s="10">
        <v>0.1</v>
      </c>
      <c r="H728" s="7">
        <v>827.29</v>
      </c>
      <c r="I728">
        <v>1</v>
      </c>
      <c r="J728" t="s">
        <v>13</v>
      </c>
      <c r="K728" s="13">
        <f>ROUND(tblTransactions[[#This Row],[gross_sales_inr]]*(1-tblTransactions[[#This Row],[discount_pct]]),2)</f>
        <v>827.29</v>
      </c>
      <c r="L728" t="str">
        <f>IF(ABS(tblTransactions[[#This Row],[net_sales_inr]]-tblTransactions[[#This Row],[Recalc_Net_Sales]])&lt;0.02,"OK","CHECK")</f>
        <v>OK</v>
      </c>
      <c r="M728" s="14">
        <f>DATE(YEAR(tblTransactions[[#This Row],[date]]),MONTH(tblTransactions[[#This Row],[date]]),1)</f>
        <v>45778</v>
      </c>
      <c r="N728" t="str">
        <f>IF(WEEKDAY(tblTransactions[[#This Row],[date]],2)&gt;5,"Weekend","Weekday")</f>
        <v>Weekday</v>
      </c>
      <c r="O72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28" s="13" t="str">
        <f>_xlfn.XLOOKUP(tblTransactions[[#This Row],[tenant_id]],tblTenants[tenant_id],tblTenants[zone],"NOT FOUND")</f>
        <v>Fashion Avenue</v>
      </c>
      <c r="Q728" s="13" t="str">
        <f>_xlfn.XLOOKUP(tblTransactions[[#This Row],[tenant_id]],tblTenants[tenant_id],tblTenants[category],"NOT FOUND")</f>
        <v>Footwear</v>
      </c>
    </row>
    <row r="729" spans="1:17">
      <c r="A729" t="s">
        <v>773</v>
      </c>
      <c r="B729" s="2">
        <v>45803</v>
      </c>
      <c r="C729">
        <v>14</v>
      </c>
      <c r="D729" t="s">
        <v>41</v>
      </c>
      <c r="E729" t="s">
        <v>12</v>
      </c>
      <c r="F729" s="7">
        <v>1545.03</v>
      </c>
      <c r="G729" s="10">
        <v>0.05</v>
      </c>
      <c r="H729" s="7">
        <v>1467.78</v>
      </c>
      <c r="I729">
        <v>3</v>
      </c>
      <c r="J729" t="s">
        <v>16</v>
      </c>
      <c r="K729" s="13">
        <f>ROUND(tblTransactions[[#This Row],[gross_sales_inr]]*(1-tblTransactions[[#This Row],[discount_pct]]),2)</f>
        <v>1467.78</v>
      </c>
      <c r="L729" t="str">
        <f>IF(ABS(tblTransactions[[#This Row],[net_sales_inr]]-tblTransactions[[#This Row],[Recalc_Net_Sales]])&lt;0.02,"OK","CHECK")</f>
        <v>OK</v>
      </c>
      <c r="M729" s="14">
        <f>DATE(YEAR(tblTransactions[[#This Row],[date]]),MONTH(tblTransactions[[#This Row],[date]]),1)</f>
        <v>45778</v>
      </c>
      <c r="N729" t="str">
        <f>IF(WEEKDAY(tblTransactions[[#This Row],[date]],2)&gt;5,"Weekend","Weekday")</f>
        <v>Weekday</v>
      </c>
      <c r="O72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29" s="13" t="str">
        <f>_xlfn.XLOOKUP(tblTransactions[[#This Row],[tenant_id]],tblTenants[tenant_id],tblTenants[zone],"NOT FOUND")</f>
        <v>Fashion Avenue</v>
      </c>
      <c r="Q729" s="13" t="str">
        <f>_xlfn.XLOOKUP(tblTransactions[[#This Row],[tenant_id]],tblTenants[tenant_id],tblTenants[category],"NOT FOUND")</f>
        <v>Clothing</v>
      </c>
    </row>
    <row r="730" spans="1:17">
      <c r="A730" t="s">
        <v>774</v>
      </c>
      <c r="B730" s="2">
        <v>45719</v>
      </c>
      <c r="C730">
        <v>11</v>
      </c>
      <c r="D730" t="s">
        <v>34</v>
      </c>
      <c r="E730" t="s">
        <v>32</v>
      </c>
      <c r="F730" s="7">
        <v>1222.54</v>
      </c>
      <c r="G730" s="10">
        <v>0</v>
      </c>
      <c r="H730" s="7">
        <v>1222.54</v>
      </c>
      <c r="I730">
        <v>4</v>
      </c>
      <c r="J730" t="s">
        <v>13</v>
      </c>
      <c r="K730" s="13">
        <f>ROUND(tblTransactions[[#This Row],[gross_sales_inr]]*(1-tblTransactions[[#This Row],[discount_pct]]),2)</f>
        <v>1222.54</v>
      </c>
      <c r="L730" t="str">
        <f>IF(ABS(tblTransactions[[#This Row],[net_sales_inr]]-tblTransactions[[#This Row],[Recalc_Net_Sales]])&lt;0.02,"OK","CHECK")</f>
        <v>OK</v>
      </c>
      <c r="M730" s="14">
        <f>DATE(YEAR(tblTransactions[[#This Row],[date]]),MONTH(tblTransactions[[#This Row],[date]]),1)</f>
        <v>45717</v>
      </c>
      <c r="N730" t="str">
        <f>IF(WEEKDAY(tblTransactions[[#This Row],[date]],2)&gt;5,"Weekend","Weekday")</f>
        <v>Weekday</v>
      </c>
      <c r="O730" s="13" t="str">
        <f>IF(tblTransactions[[#This Row],[discount_pct]]=0,"0%",IF(tblTransactions[[#This Row],[discount_pct]]&lt;=10%,"1–
10%",IF(tblTransactions[[#This Row],[discount_pct]]&lt;=20%,"11–20%","&gt;20%")))</f>
        <v>0%</v>
      </c>
      <c r="P730" s="13" t="str">
        <f>_xlfn.XLOOKUP(tblTransactions[[#This Row],[tenant_id]],tblTenants[tenant_id],tblTenants[zone],"NOT FOUND")</f>
        <v>Home &amp; Living</v>
      </c>
      <c r="Q730" s="13" t="str">
        <f>_xlfn.XLOOKUP(tblTransactions[[#This Row],[tenant_id]],tblTenants[tenant_id],tblTenants[category],"NOT FOUND")</f>
        <v>Electronics</v>
      </c>
    </row>
    <row r="731" spans="1:17">
      <c r="A731" t="s">
        <v>775</v>
      </c>
      <c r="B731" s="2">
        <v>45740</v>
      </c>
      <c r="C731">
        <v>20</v>
      </c>
      <c r="D731" t="s">
        <v>61</v>
      </c>
      <c r="E731" t="s">
        <v>51</v>
      </c>
      <c r="F731" s="7">
        <v>447.77</v>
      </c>
      <c r="G731" s="10">
        <v>0</v>
      </c>
      <c r="H731" s="7">
        <v>447.77</v>
      </c>
      <c r="I731">
        <v>4</v>
      </c>
      <c r="J731" t="s">
        <v>13</v>
      </c>
      <c r="K731" s="13">
        <f>ROUND(tblTransactions[[#This Row],[gross_sales_inr]]*(1-tblTransactions[[#This Row],[discount_pct]]),2)</f>
        <v>447.77</v>
      </c>
      <c r="L731" t="str">
        <f>IF(ABS(tblTransactions[[#This Row],[net_sales_inr]]-tblTransactions[[#This Row],[Recalc_Net_Sales]])&lt;0.02,"OK","CHECK")</f>
        <v>OK</v>
      </c>
      <c r="M731" s="14">
        <f>DATE(YEAR(tblTransactions[[#This Row],[date]]),MONTH(tblTransactions[[#This Row],[date]]),1)</f>
        <v>45717</v>
      </c>
      <c r="N731" t="str">
        <f>IF(WEEKDAY(tblTransactions[[#This Row],[date]],2)&gt;5,"Weekend","Weekday")</f>
        <v>Weekday</v>
      </c>
      <c r="O731" s="13" t="str">
        <f>IF(tblTransactions[[#This Row],[discount_pct]]=0,"0%",IF(tblTransactions[[#This Row],[discount_pct]]&lt;=10%,"1–
10%",IF(tblTransactions[[#This Row],[discount_pct]]&lt;=20%,"11–20%","&gt;20%")))</f>
        <v>0%</v>
      </c>
      <c r="P731" s="13" t="str">
        <f>_xlfn.XLOOKUP(tblTransactions[[#This Row],[tenant_id]],tblTenants[tenant_id],tblTenants[zone],"NOT FOUND")</f>
        <v>Food Court</v>
      </c>
      <c r="Q731" s="13" t="str">
        <f>_xlfn.XLOOKUP(tblTransactions[[#This Row],[tenant_id]],tblTenants[tenant_id],tblTenants[category],"NOT FOUND")</f>
        <v>Quick Service</v>
      </c>
    </row>
    <row r="732" spans="1:17">
      <c r="A732" t="s">
        <v>776</v>
      </c>
      <c r="B732" s="2">
        <v>45740</v>
      </c>
      <c r="C732">
        <v>12</v>
      </c>
      <c r="D732" t="s">
        <v>122</v>
      </c>
      <c r="E732" t="s">
        <v>21</v>
      </c>
      <c r="F732" s="7">
        <v>1894.55</v>
      </c>
      <c r="G732" s="10">
        <v>0</v>
      </c>
      <c r="H732" s="7">
        <v>1894.55</v>
      </c>
      <c r="I732">
        <v>2</v>
      </c>
      <c r="J732" t="s">
        <v>16</v>
      </c>
      <c r="K732" s="13">
        <f>ROUND(tblTransactions[[#This Row],[gross_sales_inr]]*(1-tblTransactions[[#This Row],[discount_pct]]),2)</f>
        <v>1894.55</v>
      </c>
      <c r="L732" t="str">
        <f>IF(ABS(tblTransactions[[#This Row],[net_sales_inr]]-tblTransactions[[#This Row],[Recalc_Net_Sales]])&lt;0.02,"OK","CHECK")</f>
        <v>OK</v>
      </c>
      <c r="M732" s="14">
        <f>DATE(YEAR(tblTransactions[[#This Row],[date]]),MONTH(tblTransactions[[#This Row],[date]]),1)</f>
        <v>45717</v>
      </c>
      <c r="N732" t="str">
        <f>IF(WEEKDAY(tblTransactions[[#This Row],[date]],2)&gt;5,"Weekend","Weekday")</f>
        <v>Weekday</v>
      </c>
      <c r="O732" s="13" t="str">
        <f>IF(tblTransactions[[#This Row],[discount_pct]]=0,"0%",IF(tblTransactions[[#This Row],[discount_pct]]&lt;=10%,"1–
10%",IF(tblTransactions[[#This Row],[discount_pct]]&lt;=20%,"11–20%","&gt;20%")))</f>
        <v>0%</v>
      </c>
      <c r="P732" s="13" t="str">
        <f>_xlfn.XLOOKUP(tblTransactions[[#This Row],[tenant_id]],tblTenants[tenant_id],tblTenants[zone],"NOT FOUND")</f>
        <v>Beauty &amp; Wellness</v>
      </c>
      <c r="Q732" s="13" t="str">
        <f>_xlfn.XLOOKUP(tblTransactions[[#This Row],[tenant_id]],tblTenants[tenant_id],tblTenants[category],"NOT FOUND")</f>
        <v>Wellness</v>
      </c>
    </row>
    <row r="733" spans="1:17">
      <c r="A733" t="s">
        <v>777</v>
      </c>
      <c r="B733" s="2">
        <v>45818</v>
      </c>
      <c r="C733">
        <v>14</v>
      </c>
      <c r="D733" t="s">
        <v>80</v>
      </c>
      <c r="E733" t="s">
        <v>32</v>
      </c>
      <c r="F733" s="7">
        <v>205.46</v>
      </c>
      <c r="G733" s="10">
        <v>0.1</v>
      </c>
      <c r="H733" s="7">
        <v>184.91</v>
      </c>
      <c r="I733">
        <v>1</v>
      </c>
      <c r="J733" t="s">
        <v>13</v>
      </c>
      <c r="K733" s="13">
        <f>ROUND(tblTransactions[[#This Row],[gross_sales_inr]]*(1-tblTransactions[[#This Row],[discount_pct]]),2)</f>
        <v>184.91</v>
      </c>
      <c r="L733" t="str">
        <f>IF(ABS(tblTransactions[[#This Row],[net_sales_inr]]-tblTransactions[[#This Row],[Recalc_Net_Sales]])&lt;0.02,"OK","CHECK")</f>
        <v>OK</v>
      </c>
      <c r="M733" s="14">
        <f>DATE(YEAR(tblTransactions[[#This Row],[date]]),MONTH(tblTransactions[[#This Row],[date]]),1)</f>
        <v>45809</v>
      </c>
      <c r="N733" t="str">
        <f>IF(WEEKDAY(tblTransactions[[#This Row],[date]],2)&gt;5,"Weekend","Weekday")</f>
        <v>Weekday</v>
      </c>
      <c r="O73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33" s="13" t="str">
        <f>_xlfn.XLOOKUP(tblTransactions[[#This Row],[tenant_id]],tblTenants[tenant_id],tblTenants[zone],"NOT FOUND")</f>
        <v>Food Court</v>
      </c>
      <c r="Q733" s="13" t="str">
        <f>_xlfn.XLOOKUP(tblTransactions[[#This Row],[tenant_id]],tblTenants[tenant_id],tblTenants[category],"NOT FOUND")</f>
        <v>Casual Dining</v>
      </c>
    </row>
    <row r="734" spans="1:17">
      <c r="A734" t="s">
        <v>778</v>
      </c>
      <c r="B734" s="2">
        <v>45744</v>
      </c>
      <c r="C734">
        <v>21</v>
      </c>
      <c r="D734" t="s">
        <v>53</v>
      </c>
      <c r="E734" t="s">
        <v>12</v>
      </c>
      <c r="F734" s="7">
        <v>2361.9899999999998</v>
      </c>
      <c r="G734" s="10">
        <v>0.05</v>
      </c>
      <c r="H734" s="7">
        <v>2243.89</v>
      </c>
      <c r="I734">
        <v>2</v>
      </c>
      <c r="J734" t="s">
        <v>13</v>
      </c>
      <c r="K734" s="13">
        <f>ROUND(tblTransactions[[#This Row],[gross_sales_inr]]*(1-tblTransactions[[#This Row],[discount_pct]]),2)</f>
        <v>2243.89</v>
      </c>
      <c r="L734" t="str">
        <f>IF(ABS(tblTransactions[[#This Row],[net_sales_inr]]-tblTransactions[[#This Row],[Recalc_Net_Sales]])&lt;0.02,"OK","CHECK")</f>
        <v>OK</v>
      </c>
      <c r="M734" s="14">
        <f>DATE(YEAR(tblTransactions[[#This Row],[date]]),MONTH(tblTransactions[[#This Row],[date]]),1)</f>
        <v>45717</v>
      </c>
      <c r="N734" t="str">
        <f>IF(WEEKDAY(tblTransactions[[#This Row],[date]],2)&gt;5,"Weekend","Weekday")</f>
        <v>Weekday</v>
      </c>
      <c r="O73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34" s="13" t="str">
        <f>_xlfn.XLOOKUP(tblTransactions[[#This Row],[tenant_id]],tblTenants[tenant_id],tblTenants[zone],"NOT FOUND")</f>
        <v>Beauty &amp; Wellness</v>
      </c>
      <c r="Q734" s="13" t="str">
        <f>_xlfn.XLOOKUP(tblTransactions[[#This Row],[tenant_id]],tblTenants[tenant_id],tblTenants[category],"NOT FOUND")</f>
        <v>Beauty</v>
      </c>
    </row>
    <row r="735" spans="1:17">
      <c r="A735" t="s">
        <v>779</v>
      </c>
      <c r="B735" s="2">
        <v>45746</v>
      </c>
      <c r="C735">
        <v>12</v>
      </c>
      <c r="D735" t="s">
        <v>104</v>
      </c>
      <c r="E735" t="s">
        <v>12</v>
      </c>
      <c r="F735" s="7">
        <v>1705.5</v>
      </c>
      <c r="G735" s="10">
        <v>0.2</v>
      </c>
      <c r="H735" s="7">
        <v>1364.4</v>
      </c>
      <c r="I735">
        <v>3</v>
      </c>
      <c r="J735" t="s">
        <v>13</v>
      </c>
      <c r="K735" s="13">
        <f>ROUND(tblTransactions[[#This Row],[gross_sales_inr]]*(1-tblTransactions[[#This Row],[discount_pct]]),2)</f>
        <v>1364.4</v>
      </c>
      <c r="L735" t="str">
        <f>IF(ABS(tblTransactions[[#This Row],[net_sales_inr]]-tblTransactions[[#This Row],[Recalc_Net_Sales]])&lt;0.02,"OK","CHECK")</f>
        <v>OK</v>
      </c>
      <c r="M735" s="14">
        <f>DATE(YEAR(tblTransactions[[#This Row],[date]]),MONTH(tblTransactions[[#This Row],[date]]),1)</f>
        <v>45717</v>
      </c>
      <c r="N735" t="str">
        <f>IF(WEEKDAY(tblTransactions[[#This Row],[date]],2)&gt;5,"Weekend","Weekday")</f>
        <v>Weekend</v>
      </c>
      <c r="O73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35" s="13" t="str">
        <f>_xlfn.XLOOKUP(tblTransactions[[#This Row],[tenant_id]],tblTenants[tenant_id],tblTenants[zone],"NOT FOUND")</f>
        <v>Entertainment</v>
      </c>
      <c r="Q735" s="13" t="str">
        <f>_xlfn.XLOOKUP(tblTransactions[[#This Row],[tenant_id]],tblTenants[tenant_id],tblTenants[category],"NOT FOUND")</f>
        <v>Family Entertainment</v>
      </c>
    </row>
    <row r="736" spans="1:17">
      <c r="A736" t="s">
        <v>780</v>
      </c>
      <c r="B736" s="2">
        <v>45726</v>
      </c>
      <c r="C736">
        <v>16</v>
      </c>
      <c r="D736" t="s">
        <v>87</v>
      </c>
      <c r="E736" t="s">
        <v>12</v>
      </c>
      <c r="F736" s="7">
        <v>149.57</v>
      </c>
      <c r="G736" s="10">
        <v>0.15</v>
      </c>
      <c r="H736" s="7">
        <v>127.13</v>
      </c>
      <c r="I736">
        <v>2</v>
      </c>
      <c r="J736" t="s">
        <v>16</v>
      </c>
      <c r="K736" s="13">
        <f>ROUND(tblTransactions[[#This Row],[gross_sales_inr]]*(1-tblTransactions[[#This Row],[discount_pct]]),2)</f>
        <v>127.13</v>
      </c>
      <c r="L736" t="str">
        <f>IF(ABS(tblTransactions[[#This Row],[net_sales_inr]]-tblTransactions[[#This Row],[Recalc_Net_Sales]])&lt;0.02,"OK","CHECK")</f>
        <v>OK</v>
      </c>
      <c r="M736" s="14">
        <f>DATE(YEAR(tblTransactions[[#This Row],[date]]),MONTH(tblTransactions[[#This Row],[date]]),1)</f>
        <v>45717</v>
      </c>
      <c r="N736" t="str">
        <f>IF(WEEKDAY(tblTransactions[[#This Row],[date]],2)&gt;5,"Weekend","Weekday")</f>
        <v>Weekday</v>
      </c>
      <c r="O73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36" s="13" t="str">
        <f>_xlfn.XLOOKUP(tblTransactions[[#This Row],[tenant_id]],tblTenants[tenant_id],tblTenants[zone],"NOT FOUND")</f>
        <v>Fashion Avenue</v>
      </c>
      <c r="Q736" s="13" t="str">
        <f>_xlfn.XLOOKUP(tblTransactions[[#This Row],[tenant_id]],tblTenants[tenant_id],tblTenants[category],"NOT FOUND")</f>
        <v>Footwear</v>
      </c>
    </row>
    <row r="737" spans="1:17">
      <c r="A737" t="s">
        <v>781</v>
      </c>
      <c r="B737" s="2">
        <v>45770</v>
      </c>
      <c r="C737">
        <v>15</v>
      </c>
      <c r="D737" t="s">
        <v>55</v>
      </c>
      <c r="E737" t="s">
        <v>12</v>
      </c>
      <c r="F737" s="7">
        <v>984.27</v>
      </c>
      <c r="G737" s="10">
        <v>0</v>
      </c>
      <c r="H737" s="7">
        <v>984.27</v>
      </c>
      <c r="I737">
        <v>1</v>
      </c>
      <c r="J737" t="s">
        <v>16</v>
      </c>
      <c r="K737" s="13">
        <f>ROUND(tblTransactions[[#This Row],[gross_sales_inr]]*(1-tblTransactions[[#This Row],[discount_pct]]),2)</f>
        <v>984.27</v>
      </c>
      <c r="L737" t="str">
        <f>IF(ABS(tblTransactions[[#This Row],[net_sales_inr]]-tblTransactions[[#This Row],[Recalc_Net_Sales]])&lt;0.02,"OK","CHECK")</f>
        <v>OK</v>
      </c>
      <c r="M737" s="14">
        <f>DATE(YEAR(tblTransactions[[#This Row],[date]]),MONTH(tblTransactions[[#This Row],[date]]),1)</f>
        <v>45748</v>
      </c>
      <c r="N737" t="str">
        <f>IF(WEEKDAY(tblTransactions[[#This Row],[date]],2)&gt;5,"Weekend","Weekday")</f>
        <v>Weekday</v>
      </c>
      <c r="O737" s="13" t="str">
        <f>IF(tblTransactions[[#This Row],[discount_pct]]=0,"0%",IF(tblTransactions[[#This Row],[discount_pct]]&lt;=10%,"1–
10%",IF(tblTransactions[[#This Row],[discount_pct]]&lt;=20%,"11–20%","&gt;20%")))</f>
        <v>0%</v>
      </c>
      <c r="P737" s="13" t="str">
        <f>_xlfn.XLOOKUP(tblTransactions[[#This Row],[tenant_id]],tblTenants[tenant_id],tblTenants[zone],"NOT FOUND")</f>
        <v>Food Court</v>
      </c>
      <c r="Q737" s="13" t="str">
        <f>_xlfn.XLOOKUP(tblTransactions[[#This Row],[tenant_id]],tblTenants[tenant_id],tblTenants[category],"NOT FOUND")</f>
        <v>Quick Service</v>
      </c>
    </row>
    <row r="738" spans="1:17">
      <c r="A738" t="s">
        <v>782</v>
      </c>
      <c r="B738" s="2">
        <v>45683</v>
      </c>
      <c r="C738">
        <v>17</v>
      </c>
      <c r="D738" t="s">
        <v>63</v>
      </c>
      <c r="E738" t="s">
        <v>21</v>
      </c>
      <c r="F738" s="7">
        <v>353.82</v>
      </c>
      <c r="G738" s="10">
        <v>0.15</v>
      </c>
      <c r="H738" s="7">
        <v>300.75</v>
      </c>
      <c r="I738">
        <v>4</v>
      </c>
      <c r="J738" t="s">
        <v>16</v>
      </c>
      <c r="K738" s="13">
        <f>ROUND(tblTransactions[[#This Row],[gross_sales_inr]]*(1-tblTransactions[[#This Row],[discount_pct]]),2)</f>
        <v>300.75</v>
      </c>
      <c r="L738" t="str">
        <f>IF(ABS(tblTransactions[[#This Row],[net_sales_inr]]-tblTransactions[[#This Row],[Recalc_Net_Sales]])&lt;0.02,"OK","CHECK")</f>
        <v>OK</v>
      </c>
      <c r="M738" s="14">
        <f>DATE(YEAR(tblTransactions[[#This Row],[date]]),MONTH(tblTransactions[[#This Row],[date]]),1)</f>
        <v>45658</v>
      </c>
      <c r="N738" t="str">
        <f>IF(WEEKDAY(tblTransactions[[#This Row],[date]],2)&gt;5,"Weekend","Weekday")</f>
        <v>Weekend</v>
      </c>
      <c r="O73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38" s="13" t="str">
        <f>_xlfn.XLOOKUP(tblTransactions[[#This Row],[tenant_id]],tblTenants[tenant_id],tblTenants[zone],"NOT FOUND")</f>
        <v>Entertainment</v>
      </c>
      <c r="Q738" s="13" t="str">
        <f>_xlfn.XLOOKUP(tblTransactions[[#This Row],[tenant_id]],tblTenants[tenant_id],tblTenants[category],"NOT FOUND")</f>
        <v>Family Entertainment</v>
      </c>
    </row>
    <row r="739" spans="1:17">
      <c r="A739" t="s">
        <v>783</v>
      </c>
      <c r="B739" s="2">
        <v>45755</v>
      </c>
      <c r="C739">
        <v>22</v>
      </c>
      <c r="D739" t="s">
        <v>11</v>
      </c>
      <c r="E739" t="s">
        <v>32</v>
      </c>
      <c r="F739" s="7">
        <v>741.44</v>
      </c>
      <c r="G739" s="10">
        <v>0.1</v>
      </c>
      <c r="H739" s="7">
        <v>667.3</v>
      </c>
      <c r="I739">
        <v>2</v>
      </c>
      <c r="J739" t="s">
        <v>13</v>
      </c>
      <c r="K739" s="13">
        <f>ROUND(tblTransactions[[#This Row],[gross_sales_inr]]*(1-tblTransactions[[#This Row],[discount_pct]]),2)</f>
        <v>667.3</v>
      </c>
      <c r="L739" t="str">
        <f>IF(ABS(tblTransactions[[#This Row],[net_sales_inr]]-tblTransactions[[#This Row],[Recalc_Net_Sales]])&lt;0.02,"OK","CHECK")</f>
        <v>OK</v>
      </c>
      <c r="M739" s="14">
        <f>DATE(YEAR(tblTransactions[[#This Row],[date]]),MONTH(tblTransactions[[#This Row],[date]]),1)</f>
        <v>45748</v>
      </c>
      <c r="N739" t="str">
        <f>IF(WEEKDAY(tblTransactions[[#This Row],[date]],2)&gt;5,"Weekend","Weekday")</f>
        <v>Weekday</v>
      </c>
      <c r="O73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39" s="13" t="str">
        <f>_xlfn.XLOOKUP(tblTransactions[[#This Row],[tenant_id]],tblTenants[tenant_id],tblTenants[zone],"NOT FOUND")</f>
        <v>Home &amp; Living</v>
      </c>
      <c r="Q739" s="13" t="str">
        <f>_xlfn.XLOOKUP(tblTransactions[[#This Row],[tenant_id]],tblTenants[tenant_id],tblTenants[category],"NOT FOUND")</f>
        <v>Home Decor</v>
      </c>
    </row>
    <row r="740" spans="1:17">
      <c r="A740" t="s">
        <v>784</v>
      </c>
      <c r="B740" s="2">
        <v>45682</v>
      </c>
      <c r="C740">
        <v>22</v>
      </c>
      <c r="D740" t="s">
        <v>59</v>
      </c>
      <c r="E740" t="s">
        <v>12</v>
      </c>
      <c r="F740" s="7">
        <v>814.13</v>
      </c>
      <c r="G740" s="10">
        <v>0</v>
      </c>
      <c r="H740" s="7">
        <v>814.13</v>
      </c>
      <c r="I740">
        <v>3</v>
      </c>
      <c r="J740" t="s">
        <v>13</v>
      </c>
      <c r="K740" s="13">
        <f>ROUND(tblTransactions[[#This Row],[gross_sales_inr]]*(1-tblTransactions[[#This Row],[discount_pct]]),2)</f>
        <v>814.13</v>
      </c>
      <c r="L740" t="str">
        <f>IF(ABS(tblTransactions[[#This Row],[net_sales_inr]]-tblTransactions[[#This Row],[Recalc_Net_Sales]])&lt;0.02,"OK","CHECK")</f>
        <v>OK</v>
      </c>
      <c r="M740" s="14">
        <f>DATE(YEAR(tblTransactions[[#This Row],[date]]),MONTH(tblTransactions[[#This Row],[date]]),1)</f>
        <v>45658</v>
      </c>
      <c r="N740" t="str">
        <f>IF(WEEKDAY(tblTransactions[[#This Row],[date]],2)&gt;5,"Weekend","Weekday")</f>
        <v>Weekend</v>
      </c>
      <c r="O740" s="13" t="str">
        <f>IF(tblTransactions[[#This Row],[discount_pct]]=0,"0%",IF(tblTransactions[[#This Row],[discount_pct]]&lt;=10%,"1–
10%",IF(tblTransactions[[#This Row],[discount_pct]]&lt;=20%,"11–20%","&gt;20%")))</f>
        <v>0%</v>
      </c>
      <c r="P740" s="13" t="str">
        <f>_xlfn.XLOOKUP(tblTransactions[[#This Row],[tenant_id]],tblTenants[tenant_id],tblTenants[zone],"NOT FOUND")</f>
        <v>Fashion Avenue</v>
      </c>
      <c r="Q740" s="13" t="str">
        <f>_xlfn.XLOOKUP(tblTransactions[[#This Row],[tenant_id]],tblTenants[tenant_id],tblTenants[category],"NOT FOUND")</f>
        <v>Footwear</v>
      </c>
    </row>
    <row r="741" spans="1:17">
      <c r="A741" t="s">
        <v>785</v>
      </c>
      <c r="B741" s="2">
        <v>45675</v>
      </c>
      <c r="C741">
        <v>15</v>
      </c>
      <c r="D741" t="s">
        <v>45</v>
      </c>
      <c r="E741" t="s">
        <v>12</v>
      </c>
      <c r="F741" s="7">
        <v>820.23</v>
      </c>
      <c r="G741" s="10">
        <v>0</v>
      </c>
      <c r="H741" s="7">
        <v>820.23</v>
      </c>
      <c r="I741">
        <v>4</v>
      </c>
      <c r="J741" t="s">
        <v>13</v>
      </c>
      <c r="K741" s="13">
        <f>ROUND(tblTransactions[[#This Row],[gross_sales_inr]]*(1-tblTransactions[[#This Row],[discount_pct]]),2)</f>
        <v>820.23</v>
      </c>
      <c r="L741" t="str">
        <f>IF(ABS(tblTransactions[[#This Row],[net_sales_inr]]-tblTransactions[[#This Row],[Recalc_Net_Sales]])&lt;0.02,"OK","CHECK")</f>
        <v>OK</v>
      </c>
      <c r="M741" s="14">
        <f>DATE(YEAR(tblTransactions[[#This Row],[date]]),MONTH(tblTransactions[[#This Row],[date]]),1)</f>
        <v>45658</v>
      </c>
      <c r="N741" t="str">
        <f>IF(WEEKDAY(tblTransactions[[#This Row],[date]],2)&gt;5,"Weekend","Weekday")</f>
        <v>Weekend</v>
      </c>
      <c r="O741" s="13" t="str">
        <f>IF(tblTransactions[[#This Row],[discount_pct]]=0,"0%",IF(tblTransactions[[#This Row],[discount_pct]]&lt;=10%,"1–
10%",IF(tblTransactions[[#This Row],[discount_pct]]&lt;=20%,"11–20%","&gt;20%")))</f>
        <v>0%</v>
      </c>
      <c r="P741" s="13" t="str">
        <f>_xlfn.XLOOKUP(tblTransactions[[#This Row],[tenant_id]],tblTenants[tenant_id],tblTenants[zone],"NOT FOUND")</f>
        <v>Home &amp; Living</v>
      </c>
      <c r="Q741" s="13" t="str">
        <f>_xlfn.XLOOKUP(tblTransactions[[#This Row],[tenant_id]],tblTenants[tenant_id],tblTenants[category],"NOT FOUND")</f>
        <v>Home Decor</v>
      </c>
    </row>
    <row r="742" spans="1:17">
      <c r="A742" t="s">
        <v>786</v>
      </c>
      <c r="B742" s="2">
        <v>45744</v>
      </c>
      <c r="C742">
        <v>13</v>
      </c>
      <c r="D742" t="s">
        <v>34</v>
      </c>
      <c r="E742" t="s">
        <v>12</v>
      </c>
      <c r="F742" s="7">
        <v>1136.1300000000001</v>
      </c>
      <c r="G742" s="10">
        <v>0.15</v>
      </c>
      <c r="H742" s="7">
        <v>965.71</v>
      </c>
      <c r="I742">
        <v>1</v>
      </c>
      <c r="J742" t="s">
        <v>16</v>
      </c>
      <c r="K742" s="13">
        <f>ROUND(tblTransactions[[#This Row],[gross_sales_inr]]*(1-tblTransactions[[#This Row],[discount_pct]]),2)</f>
        <v>965.71</v>
      </c>
      <c r="L742" t="str">
        <f>IF(ABS(tblTransactions[[#This Row],[net_sales_inr]]-tblTransactions[[#This Row],[Recalc_Net_Sales]])&lt;0.02,"OK","CHECK")</f>
        <v>OK</v>
      </c>
      <c r="M742" s="14">
        <f>DATE(YEAR(tblTransactions[[#This Row],[date]]),MONTH(tblTransactions[[#This Row],[date]]),1)</f>
        <v>45717</v>
      </c>
      <c r="N742" t="str">
        <f>IF(WEEKDAY(tblTransactions[[#This Row],[date]],2)&gt;5,"Weekend","Weekday")</f>
        <v>Weekday</v>
      </c>
      <c r="O74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42" s="13" t="str">
        <f>_xlfn.XLOOKUP(tblTransactions[[#This Row],[tenant_id]],tblTenants[tenant_id],tblTenants[zone],"NOT FOUND")</f>
        <v>Home &amp; Living</v>
      </c>
      <c r="Q742" s="13" t="str">
        <f>_xlfn.XLOOKUP(tblTransactions[[#This Row],[tenant_id]],tblTenants[tenant_id],tblTenants[category],"NOT FOUND")</f>
        <v>Electronics</v>
      </c>
    </row>
    <row r="743" spans="1:17">
      <c r="A743" t="s">
        <v>787</v>
      </c>
      <c r="B743" s="2">
        <v>45817</v>
      </c>
      <c r="C743">
        <v>17</v>
      </c>
      <c r="D743" t="s">
        <v>31</v>
      </c>
      <c r="E743" t="s">
        <v>12</v>
      </c>
      <c r="F743" s="7">
        <v>634.66999999999996</v>
      </c>
      <c r="G743" s="10">
        <v>0.1</v>
      </c>
      <c r="H743" s="7">
        <v>571.20000000000005</v>
      </c>
      <c r="I743">
        <v>3</v>
      </c>
      <c r="J743" t="s">
        <v>13</v>
      </c>
      <c r="K743" s="13">
        <f>ROUND(tblTransactions[[#This Row],[gross_sales_inr]]*(1-tblTransactions[[#This Row],[discount_pct]]),2)</f>
        <v>571.20000000000005</v>
      </c>
      <c r="L743" t="str">
        <f>IF(ABS(tblTransactions[[#This Row],[net_sales_inr]]-tblTransactions[[#This Row],[Recalc_Net_Sales]])&lt;0.02,"OK","CHECK")</f>
        <v>OK</v>
      </c>
      <c r="M743" s="14">
        <f>DATE(YEAR(tblTransactions[[#This Row],[date]]),MONTH(tblTransactions[[#This Row],[date]]),1)</f>
        <v>45809</v>
      </c>
      <c r="N743" t="str">
        <f>IF(WEEKDAY(tblTransactions[[#This Row],[date]],2)&gt;5,"Weekend","Weekday")</f>
        <v>Weekday</v>
      </c>
      <c r="O74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43" s="13" t="str">
        <f>_xlfn.XLOOKUP(tblTransactions[[#This Row],[tenant_id]],tblTenants[tenant_id],tblTenants[zone],"NOT FOUND")</f>
        <v>Entertainment</v>
      </c>
      <c r="Q743" s="13" t="str">
        <f>_xlfn.XLOOKUP(tblTransactions[[#This Row],[tenant_id]],tblTenants[tenant_id],tblTenants[category],"NOT FOUND")</f>
        <v>Arcade</v>
      </c>
    </row>
    <row r="744" spans="1:17">
      <c r="A744" t="s">
        <v>788</v>
      </c>
      <c r="B744" s="2">
        <v>45722</v>
      </c>
      <c r="C744">
        <v>10</v>
      </c>
      <c r="D744" t="s">
        <v>122</v>
      </c>
      <c r="E744" t="s">
        <v>32</v>
      </c>
      <c r="F744" s="7">
        <v>1676.02</v>
      </c>
      <c r="G744" s="10">
        <v>0</v>
      </c>
      <c r="H744" s="7">
        <v>1676.02</v>
      </c>
      <c r="I744">
        <v>2</v>
      </c>
      <c r="J744" t="s">
        <v>13</v>
      </c>
      <c r="K744" s="13">
        <f>ROUND(tblTransactions[[#This Row],[gross_sales_inr]]*(1-tblTransactions[[#This Row],[discount_pct]]),2)</f>
        <v>1676.02</v>
      </c>
      <c r="L744" t="str">
        <f>IF(ABS(tblTransactions[[#This Row],[net_sales_inr]]-tblTransactions[[#This Row],[Recalc_Net_Sales]])&lt;0.02,"OK","CHECK")</f>
        <v>OK</v>
      </c>
      <c r="M744" s="14">
        <f>DATE(YEAR(tblTransactions[[#This Row],[date]]),MONTH(tblTransactions[[#This Row],[date]]),1)</f>
        <v>45717</v>
      </c>
      <c r="N744" t="str">
        <f>IF(WEEKDAY(tblTransactions[[#This Row],[date]],2)&gt;5,"Weekend","Weekday")</f>
        <v>Weekday</v>
      </c>
      <c r="O744" s="13" t="str">
        <f>IF(tblTransactions[[#This Row],[discount_pct]]=0,"0%",IF(tblTransactions[[#This Row],[discount_pct]]&lt;=10%,"1–
10%",IF(tblTransactions[[#This Row],[discount_pct]]&lt;=20%,"11–20%","&gt;20%")))</f>
        <v>0%</v>
      </c>
      <c r="P744" s="13" t="str">
        <f>_xlfn.XLOOKUP(tblTransactions[[#This Row],[tenant_id]],tblTenants[tenant_id],tblTenants[zone],"NOT FOUND")</f>
        <v>Beauty &amp; Wellness</v>
      </c>
      <c r="Q744" s="13" t="str">
        <f>_xlfn.XLOOKUP(tblTransactions[[#This Row],[tenant_id]],tblTenants[tenant_id],tblTenants[category],"NOT FOUND")</f>
        <v>Wellness</v>
      </c>
    </row>
    <row r="745" spans="1:17">
      <c r="A745" t="s">
        <v>789</v>
      </c>
      <c r="B745" s="2">
        <v>45720</v>
      </c>
      <c r="C745">
        <v>16</v>
      </c>
      <c r="D745" t="s">
        <v>61</v>
      </c>
      <c r="E745" t="s">
        <v>32</v>
      </c>
      <c r="F745" s="7">
        <v>908.94</v>
      </c>
      <c r="G745" s="10">
        <v>0</v>
      </c>
      <c r="H745" s="7">
        <v>908.94</v>
      </c>
      <c r="I745">
        <v>2</v>
      </c>
      <c r="J745" t="s">
        <v>13</v>
      </c>
      <c r="K745" s="13">
        <f>ROUND(tblTransactions[[#This Row],[gross_sales_inr]]*(1-tblTransactions[[#This Row],[discount_pct]]),2)</f>
        <v>908.94</v>
      </c>
      <c r="L745" t="str">
        <f>IF(ABS(tblTransactions[[#This Row],[net_sales_inr]]-tblTransactions[[#This Row],[Recalc_Net_Sales]])&lt;0.02,"OK","CHECK")</f>
        <v>OK</v>
      </c>
      <c r="M745" s="14">
        <f>DATE(YEAR(tblTransactions[[#This Row],[date]]),MONTH(tblTransactions[[#This Row],[date]]),1)</f>
        <v>45717</v>
      </c>
      <c r="N745" t="str">
        <f>IF(WEEKDAY(tblTransactions[[#This Row],[date]],2)&gt;5,"Weekend","Weekday")</f>
        <v>Weekday</v>
      </c>
      <c r="O745" s="13" t="str">
        <f>IF(tblTransactions[[#This Row],[discount_pct]]=0,"0%",IF(tblTransactions[[#This Row],[discount_pct]]&lt;=10%,"1–
10%",IF(tblTransactions[[#This Row],[discount_pct]]&lt;=20%,"11–20%","&gt;20%")))</f>
        <v>0%</v>
      </c>
      <c r="P745" s="13" t="str">
        <f>_xlfn.XLOOKUP(tblTransactions[[#This Row],[tenant_id]],tblTenants[tenant_id],tblTenants[zone],"NOT FOUND")</f>
        <v>Food Court</v>
      </c>
      <c r="Q745" s="13" t="str">
        <f>_xlfn.XLOOKUP(tblTransactions[[#This Row],[tenant_id]],tblTenants[tenant_id],tblTenants[category],"NOT FOUND")</f>
        <v>Quick Service</v>
      </c>
    </row>
    <row r="746" spans="1:17">
      <c r="A746" t="s">
        <v>790</v>
      </c>
      <c r="B746" s="2">
        <v>45708</v>
      </c>
      <c r="C746">
        <v>13</v>
      </c>
      <c r="D746" t="s">
        <v>55</v>
      </c>
      <c r="E746" t="s">
        <v>32</v>
      </c>
      <c r="F746" s="7">
        <v>983.9</v>
      </c>
      <c r="G746" s="10">
        <v>0.1</v>
      </c>
      <c r="H746" s="7">
        <v>885.51</v>
      </c>
      <c r="I746">
        <v>2</v>
      </c>
      <c r="J746" t="s">
        <v>13</v>
      </c>
      <c r="K746" s="13">
        <f>ROUND(tblTransactions[[#This Row],[gross_sales_inr]]*(1-tblTransactions[[#This Row],[discount_pct]]),2)</f>
        <v>885.51</v>
      </c>
      <c r="L746" t="str">
        <f>IF(ABS(tblTransactions[[#This Row],[net_sales_inr]]-tblTransactions[[#This Row],[Recalc_Net_Sales]])&lt;0.02,"OK","CHECK")</f>
        <v>OK</v>
      </c>
      <c r="M746" s="14">
        <f>DATE(YEAR(tblTransactions[[#This Row],[date]]),MONTH(tblTransactions[[#This Row],[date]]),1)</f>
        <v>45689</v>
      </c>
      <c r="N746" t="str">
        <f>IF(WEEKDAY(tblTransactions[[#This Row],[date]],2)&gt;5,"Weekend","Weekday")</f>
        <v>Weekday</v>
      </c>
      <c r="O74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46" s="13" t="str">
        <f>_xlfn.XLOOKUP(tblTransactions[[#This Row],[tenant_id]],tblTenants[tenant_id],tblTenants[zone],"NOT FOUND")</f>
        <v>Food Court</v>
      </c>
      <c r="Q746" s="13" t="str">
        <f>_xlfn.XLOOKUP(tblTransactions[[#This Row],[tenant_id]],tblTenants[tenant_id],tblTenants[category],"NOT FOUND")</f>
        <v>Quick Service</v>
      </c>
    </row>
    <row r="747" spans="1:17">
      <c r="A747" t="s">
        <v>791</v>
      </c>
      <c r="B747" s="2">
        <v>45668</v>
      </c>
      <c r="C747">
        <v>19</v>
      </c>
      <c r="D747" t="s">
        <v>25</v>
      </c>
      <c r="E747" t="s">
        <v>12</v>
      </c>
      <c r="F747" s="7">
        <v>1001.06</v>
      </c>
      <c r="G747" s="10">
        <v>0.15</v>
      </c>
      <c r="H747" s="7">
        <v>850.9</v>
      </c>
      <c r="I747">
        <v>2</v>
      </c>
      <c r="J747" t="s">
        <v>13</v>
      </c>
      <c r="K747" s="13">
        <f>ROUND(tblTransactions[[#This Row],[gross_sales_inr]]*(1-tblTransactions[[#This Row],[discount_pct]]),2)</f>
        <v>850.9</v>
      </c>
      <c r="L747" t="str">
        <f>IF(ABS(tblTransactions[[#This Row],[net_sales_inr]]-tblTransactions[[#This Row],[Recalc_Net_Sales]])&lt;0.02,"OK","CHECK")</f>
        <v>OK</v>
      </c>
      <c r="M747" s="14">
        <f>DATE(YEAR(tblTransactions[[#This Row],[date]]),MONTH(tblTransactions[[#This Row],[date]]),1)</f>
        <v>45658</v>
      </c>
      <c r="N747" t="str">
        <f>IF(WEEKDAY(tblTransactions[[#This Row],[date]],2)&gt;5,"Weekend","Weekday")</f>
        <v>Weekend</v>
      </c>
      <c r="O74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47" s="13" t="str">
        <f>_xlfn.XLOOKUP(tblTransactions[[#This Row],[tenant_id]],tblTenants[tenant_id],tblTenants[zone],"NOT FOUND")</f>
        <v>Beauty &amp; Wellness</v>
      </c>
      <c r="Q747" s="13" t="str">
        <f>_xlfn.XLOOKUP(tblTransactions[[#This Row],[tenant_id]],tblTenants[tenant_id],tblTenants[category],"NOT FOUND")</f>
        <v>Beauty</v>
      </c>
    </row>
    <row r="748" spans="1:17">
      <c r="A748" t="s">
        <v>792</v>
      </c>
      <c r="B748" s="2">
        <v>45777</v>
      </c>
      <c r="C748">
        <v>16</v>
      </c>
      <c r="D748" t="s">
        <v>29</v>
      </c>
      <c r="E748" t="s">
        <v>12</v>
      </c>
      <c r="F748" s="7">
        <v>876.21</v>
      </c>
      <c r="G748" s="10">
        <v>0.1</v>
      </c>
      <c r="H748" s="7">
        <v>788.59</v>
      </c>
      <c r="I748">
        <v>2</v>
      </c>
      <c r="J748" t="s">
        <v>16</v>
      </c>
      <c r="K748" s="13">
        <f>ROUND(tblTransactions[[#This Row],[gross_sales_inr]]*(1-tblTransactions[[#This Row],[discount_pct]]),2)</f>
        <v>788.59</v>
      </c>
      <c r="L748" t="str">
        <f>IF(ABS(tblTransactions[[#This Row],[net_sales_inr]]-tblTransactions[[#This Row],[Recalc_Net_Sales]])&lt;0.02,"OK","CHECK")</f>
        <v>OK</v>
      </c>
      <c r="M748" s="14">
        <f>DATE(YEAR(tblTransactions[[#This Row],[date]]),MONTH(tblTransactions[[#This Row],[date]]),1)</f>
        <v>45748</v>
      </c>
      <c r="N748" t="str">
        <f>IF(WEEKDAY(tblTransactions[[#This Row],[date]],2)&gt;5,"Weekend","Weekday")</f>
        <v>Weekday</v>
      </c>
      <c r="O74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48" s="13" t="str">
        <f>_xlfn.XLOOKUP(tblTransactions[[#This Row],[tenant_id]],tblTenants[tenant_id],tblTenants[zone],"NOT FOUND")</f>
        <v>Entertainment</v>
      </c>
      <c r="Q748" s="13" t="str">
        <f>_xlfn.XLOOKUP(tblTransactions[[#This Row],[tenant_id]],tblTenants[tenant_id],tblTenants[category],"NOT FOUND")</f>
        <v>Cinema</v>
      </c>
    </row>
    <row r="749" spans="1:17">
      <c r="A749" t="s">
        <v>793</v>
      </c>
      <c r="B749" s="2">
        <v>45797</v>
      </c>
      <c r="C749">
        <v>15</v>
      </c>
      <c r="D749" t="s">
        <v>122</v>
      </c>
      <c r="E749" t="s">
        <v>12</v>
      </c>
      <c r="F749" s="7">
        <v>702.79</v>
      </c>
      <c r="G749" s="10">
        <v>0.05</v>
      </c>
      <c r="H749" s="7">
        <v>667.65</v>
      </c>
      <c r="I749">
        <v>4</v>
      </c>
      <c r="J749" t="s">
        <v>13</v>
      </c>
      <c r="K749" s="13">
        <f>ROUND(tblTransactions[[#This Row],[gross_sales_inr]]*(1-tblTransactions[[#This Row],[discount_pct]]),2)</f>
        <v>667.65</v>
      </c>
      <c r="L749" t="str">
        <f>IF(ABS(tblTransactions[[#This Row],[net_sales_inr]]-tblTransactions[[#This Row],[Recalc_Net_Sales]])&lt;0.02,"OK","CHECK")</f>
        <v>OK</v>
      </c>
      <c r="M749" s="14">
        <f>DATE(YEAR(tblTransactions[[#This Row],[date]]),MONTH(tblTransactions[[#This Row],[date]]),1)</f>
        <v>45778</v>
      </c>
      <c r="N749" t="str">
        <f>IF(WEEKDAY(tblTransactions[[#This Row],[date]],2)&gt;5,"Weekend","Weekday")</f>
        <v>Weekday</v>
      </c>
      <c r="O74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49" s="13" t="str">
        <f>_xlfn.XLOOKUP(tblTransactions[[#This Row],[tenant_id]],tblTenants[tenant_id],tblTenants[zone],"NOT FOUND")</f>
        <v>Beauty &amp; Wellness</v>
      </c>
      <c r="Q749" s="13" t="str">
        <f>_xlfn.XLOOKUP(tblTransactions[[#This Row],[tenant_id]],tblTenants[tenant_id],tblTenants[category],"NOT FOUND")</f>
        <v>Wellness</v>
      </c>
    </row>
    <row r="750" spans="1:17">
      <c r="A750" t="s">
        <v>794</v>
      </c>
      <c r="B750" s="2">
        <v>45795</v>
      </c>
      <c r="C750">
        <v>21</v>
      </c>
      <c r="D750" t="s">
        <v>20</v>
      </c>
      <c r="E750" t="s">
        <v>12</v>
      </c>
      <c r="F750" s="7">
        <v>1783.27</v>
      </c>
      <c r="G750" s="10">
        <v>0</v>
      </c>
      <c r="H750" s="7">
        <v>1783.27</v>
      </c>
      <c r="I750">
        <v>1</v>
      </c>
      <c r="J750" t="s">
        <v>16</v>
      </c>
      <c r="K750" s="13">
        <f>ROUND(tblTransactions[[#This Row],[gross_sales_inr]]*(1-tblTransactions[[#This Row],[discount_pct]]),2)</f>
        <v>1783.27</v>
      </c>
      <c r="L750" t="str">
        <f>IF(ABS(tblTransactions[[#This Row],[net_sales_inr]]-tblTransactions[[#This Row],[Recalc_Net_Sales]])&lt;0.02,"OK","CHECK")</f>
        <v>OK</v>
      </c>
      <c r="M750" s="14">
        <f>DATE(YEAR(tblTransactions[[#This Row],[date]]),MONTH(tblTransactions[[#This Row],[date]]),1)</f>
        <v>45778</v>
      </c>
      <c r="N750" t="str">
        <f>IF(WEEKDAY(tblTransactions[[#This Row],[date]],2)&gt;5,"Weekend","Weekday")</f>
        <v>Weekend</v>
      </c>
      <c r="O750" s="13" t="str">
        <f>IF(tblTransactions[[#This Row],[discount_pct]]=0,"0%",IF(tblTransactions[[#This Row],[discount_pct]]&lt;=10%,"1–
10%",IF(tblTransactions[[#This Row],[discount_pct]]&lt;=20%,"11–20%","&gt;20%")))</f>
        <v>0%</v>
      </c>
      <c r="P750" s="13" t="str">
        <f>_xlfn.XLOOKUP(tblTransactions[[#This Row],[tenant_id]],tblTenants[tenant_id],tblTenants[zone],"NOT FOUND")</f>
        <v>Fashion Avenue</v>
      </c>
      <c r="Q750" s="13" t="str">
        <f>_xlfn.XLOOKUP(tblTransactions[[#This Row],[tenant_id]],tblTenants[tenant_id],tblTenants[category],"NOT FOUND")</f>
        <v>Accessories</v>
      </c>
    </row>
    <row r="751" spans="1:17">
      <c r="A751" t="s">
        <v>795</v>
      </c>
      <c r="B751" s="2">
        <v>45799</v>
      </c>
      <c r="C751">
        <v>11</v>
      </c>
      <c r="D751" t="s">
        <v>204</v>
      </c>
      <c r="E751" t="s">
        <v>32</v>
      </c>
      <c r="F751" s="7">
        <v>956.01</v>
      </c>
      <c r="G751" s="10">
        <v>0</v>
      </c>
      <c r="H751" s="7">
        <v>956.01</v>
      </c>
      <c r="I751">
        <v>1</v>
      </c>
      <c r="J751" t="s">
        <v>16</v>
      </c>
      <c r="K751" s="13">
        <f>ROUND(tblTransactions[[#This Row],[gross_sales_inr]]*(1-tblTransactions[[#This Row],[discount_pct]]),2)</f>
        <v>956.01</v>
      </c>
      <c r="L751" t="str">
        <f>IF(ABS(tblTransactions[[#This Row],[net_sales_inr]]-tblTransactions[[#This Row],[Recalc_Net_Sales]])&lt;0.02,"OK","CHECK")</f>
        <v>OK</v>
      </c>
      <c r="M751" s="14">
        <f>DATE(YEAR(tblTransactions[[#This Row],[date]]),MONTH(tblTransactions[[#This Row],[date]]),1)</f>
        <v>45778</v>
      </c>
      <c r="N751" t="str">
        <f>IF(WEEKDAY(tblTransactions[[#This Row],[date]],2)&gt;5,"Weekend","Weekday")</f>
        <v>Weekday</v>
      </c>
      <c r="O751" s="13" t="str">
        <f>IF(tblTransactions[[#This Row],[discount_pct]]=0,"0%",IF(tblTransactions[[#This Row],[discount_pct]]&lt;=10%,"1–
10%",IF(tblTransactions[[#This Row],[discount_pct]]&lt;=20%,"11–20%","&gt;20%")))</f>
        <v>0%</v>
      </c>
      <c r="P751" s="13" t="str">
        <f>_xlfn.XLOOKUP(tblTransactions[[#This Row],[tenant_id]],tblTenants[tenant_id],tblTenants[zone],"NOT FOUND")</f>
        <v>Home &amp; Living</v>
      </c>
      <c r="Q751" s="13" t="str">
        <f>_xlfn.XLOOKUP(tblTransactions[[#This Row],[tenant_id]],tblTenants[tenant_id],tblTenants[category],"NOT FOUND")</f>
        <v>Home Decor</v>
      </c>
    </row>
    <row r="752" spans="1:17">
      <c r="A752" t="s">
        <v>796</v>
      </c>
      <c r="B752" s="2">
        <v>45662</v>
      </c>
      <c r="C752">
        <v>14</v>
      </c>
      <c r="D752" t="s">
        <v>53</v>
      </c>
      <c r="E752" t="s">
        <v>12</v>
      </c>
      <c r="F752" s="7">
        <v>805.63</v>
      </c>
      <c r="G752" s="10">
        <v>0.2</v>
      </c>
      <c r="H752" s="7">
        <v>644.5</v>
      </c>
      <c r="I752">
        <v>2</v>
      </c>
      <c r="J752" t="s">
        <v>13</v>
      </c>
      <c r="K752" s="13">
        <f>ROUND(tblTransactions[[#This Row],[gross_sales_inr]]*(1-tblTransactions[[#This Row],[discount_pct]]),2)</f>
        <v>644.5</v>
      </c>
      <c r="L752" t="str">
        <f>IF(ABS(tblTransactions[[#This Row],[net_sales_inr]]-tblTransactions[[#This Row],[Recalc_Net_Sales]])&lt;0.02,"OK","CHECK")</f>
        <v>OK</v>
      </c>
      <c r="M752" s="14">
        <f>DATE(YEAR(tblTransactions[[#This Row],[date]]),MONTH(tblTransactions[[#This Row],[date]]),1)</f>
        <v>45658</v>
      </c>
      <c r="N752" t="str">
        <f>IF(WEEKDAY(tblTransactions[[#This Row],[date]],2)&gt;5,"Weekend","Weekday")</f>
        <v>Weekend</v>
      </c>
      <c r="O75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52" s="13" t="str">
        <f>_xlfn.XLOOKUP(tblTransactions[[#This Row],[tenant_id]],tblTenants[tenant_id],tblTenants[zone],"NOT FOUND")</f>
        <v>Beauty &amp; Wellness</v>
      </c>
      <c r="Q752" s="13" t="str">
        <f>_xlfn.XLOOKUP(tblTransactions[[#This Row],[tenant_id]],tblTenants[tenant_id],tblTenants[category],"NOT FOUND")</f>
        <v>Beauty</v>
      </c>
    </row>
    <row r="753" spans="1:17">
      <c r="A753" t="s">
        <v>797</v>
      </c>
      <c r="B753" s="2">
        <v>45746</v>
      </c>
      <c r="C753">
        <v>10</v>
      </c>
      <c r="D753" t="s">
        <v>63</v>
      </c>
      <c r="E753" t="s">
        <v>32</v>
      </c>
      <c r="F753" s="7">
        <v>2200.77</v>
      </c>
      <c r="G753" s="10">
        <v>0.1</v>
      </c>
      <c r="H753" s="7">
        <v>1980.69</v>
      </c>
      <c r="I753">
        <v>2</v>
      </c>
      <c r="J753" t="s">
        <v>13</v>
      </c>
      <c r="K753" s="13">
        <f>ROUND(tblTransactions[[#This Row],[gross_sales_inr]]*(1-tblTransactions[[#This Row],[discount_pct]]),2)</f>
        <v>1980.69</v>
      </c>
      <c r="L753" t="str">
        <f>IF(ABS(tblTransactions[[#This Row],[net_sales_inr]]-tblTransactions[[#This Row],[Recalc_Net_Sales]])&lt;0.02,"OK","CHECK")</f>
        <v>OK</v>
      </c>
      <c r="M753" s="14">
        <f>DATE(YEAR(tblTransactions[[#This Row],[date]]),MONTH(tblTransactions[[#This Row],[date]]),1)</f>
        <v>45717</v>
      </c>
      <c r="N753" t="str">
        <f>IF(WEEKDAY(tblTransactions[[#This Row],[date]],2)&gt;5,"Weekend","Weekday")</f>
        <v>Weekend</v>
      </c>
      <c r="O75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53" s="13" t="str">
        <f>_xlfn.XLOOKUP(tblTransactions[[#This Row],[tenant_id]],tblTenants[tenant_id],tblTenants[zone],"NOT FOUND")</f>
        <v>Entertainment</v>
      </c>
      <c r="Q753" s="13" t="str">
        <f>_xlfn.XLOOKUP(tblTransactions[[#This Row],[tenant_id]],tblTenants[tenant_id],tblTenants[category],"NOT FOUND")</f>
        <v>Family Entertainment</v>
      </c>
    </row>
    <row r="754" spans="1:17">
      <c r="A754" t="s">
        <v>798</v>
      </c>
      <c r="B754" s="2">
        <v>45679</v>
      </c>
      <c r="C754">
        <v>21</v>
      </c>
      <c r="D754" t="s">
        <v>31</v>
      </c>
      <c r="E754" t="s">
        <v>12</v>
      </c>
      <c r="F754" s="7">
        <v>591.51</v>
      </c>
      <c r="G754" s="10">
        <v>0</v>
      </c>
      <c r="H754" s="7">
        <v>591.51</v>
      </c>
      <c r="I754">
        <v>3</v>
      </c>
      <c r="J754" t="s">
        <v>13</v>
      </c>
      <c r="K754" s="13">
        <f>ROUND(tblTransactions[[#This Row],[gross_sales_inr]]*(1-tblTransactions[[#This Row],[discount_pct]]),2)</f>
        <v>591.51</v>
      </c>
      <c r="L754" t="str">
        <f>IF(ABS(tblTransactions[[#This Row],[net_sales_inr]]-tblTransactions[[#This Row],[Recalc_Net_Sales]])&lt;0.02,"OK","CHECK")</f>
        <v>OK</v>
      </c>
      <c r="M754" s="14">
        <f>DATE(YEAR(tblTransactions[[#This Row],[date]]),MONTH(tblTransactions[[#This Row],[date]]),1)</f>
        <v>45658</v>
      </c>
      <c r="N754" t="str">
        <f>IF(WEEKDAY(tblTransactions[[#This Row],[date]],2)&gt;5,"Weekend","Weekday")</f>
        <v>Weekday</v>
      </c>
      <c r="O754" s="13" t="str">
        <f>IF(tblTransactions[[#This Row],[discount_pct]]=0,"0%",IF(tblTransactions[[#This Row],[discount_pct]]&lt;=10%,"1–
10%",IF(tblTransactions[[#This Row],[discount_pct]]&lt;=20%,"11–20%","&gt;20%")))</f>
        <v>0%</v>
      </c>
      <c r="P754" s="13" t="str">
        <f>_xlfn.XLOOKUP(tblTransactions[[#This Row],[tenant_id]],tblTenants[tenant_id],tblTenants[zone],"NOT FOUND")</f>
        <v>Entertainment</v>
      </c>
      <c r="Q754" s="13" t="str">
        <f>_xlfn.XLOOKUP(tblTransactions[[#This Row],[tenant_id]],tblTenants[tenant_id],tblTenants[category],"NOT FOUND")</f>
        <v>Arcade</v>
      </c>
    </row>
    <row r="755" spans="1:17">
      <c r="A755" t="s">
        <v>799</v>
      </c>
      <c r="B755" s="2">
        <v>45687</v>
      </c>
      <c r="C755">
        <v>21</v>
      </c>
      <c r="D755" t="s">
        <v>70</v>
      </c>
      <c r="E755" t="s">
        <v>32</v>
      </c>
      <c r="F755" s="7">
        <v>1318.97</v>
      </c>
      <c r="G755" s="10">
        <v>0.3</v>
      </c>
      <c r="H755" s="7">
        <v>923.28</v>
      </c>
      <c r="I755">
        <v>2</v>
      </c>
      <c r="J755" t="s">
        <v>13</v>
      </c>
      <c r="K755" s="13">
        <f>ROUND(tblTransactions[[#This Row],[gross_sales_inr]]*(1-tblTransactions[[#This Row],[discount_pct]]),2)</f>
        <v>923.28</v>
      </c>
      <c r="L755" t="str">
        <f>IF(ABS(tblTransactions[[#This Row],[net_sales_inr]]-tblTransactions[[#This Row],[Recalc_Net_Sales]])&lt;0.02,"OK","CHECK")</f>
        <v>OK</v>
      </c>
      <c r="M755" s="14">
        <f>DATE(YEAR(tblTransactions[[#This Row],[date]]),MONTH(tblTransactions[[#This Row],[date]]),1)</f>
        <v>45658</v>
      </c>
      <c r="N755" t="str">
        <f>IF(WEEKDAY(tblTransactions[[#This Row],[date]],2)&gt;5,"Weekend","Weekday")</f>
        <v>Weekday</v>
      </c>
      <c r="O755" s="13" t="str">
        <f>IF(tblTransactions[[#This Row],[discount_pct]]=0,"0%",IF(tblTransactions[[#This Row],[discount_pct]]&lt;=10%,"1–
10%",IF(tblTransactions[[#This Row],[discount_pct]]&lt;=20%,"11–20%","&gt;20%")))</f>
        <v>&gt;20%</v>
      </c>
      <c r="P755" s="13" t="str">
        <f>_xlfn.XLOOKUP(tblTransactions[[#This Row],[tenant_id]],tblTenants[tenant_id],tblTenants[zone],"NOT FOUND")</f>
        <v>Food Court</v>
      </c>
      <c r="Q755" s="13" t="str">
        <f>_xlfn.XLOOKUP(tblTransactions[[#This Row],[tenant_id]],tblTenants[tenant_id],tblTenants[category],"NOT FOUND")</f>
        <v>Quick Service</v>
      </c>
    </row>
    <row r="756" spans="1:17">
      <c r="A756" t="s">
        <v>800</v>
      </c>
      <c r="B756" s="2">
        <v>45799</v>
      </c>
      <c r="C756">
        <v>17</v>
      </c>
      <c r="D756" t="s">
        <v>23</v>
      </c>
      <c r="E756" t="s">
        <v>51</v>
      </c>
      <c r="F756" s="7">
        <v>4594.42</v>
      </c>
      <c r="G756" s="10">
        <v>0</v>
      </c>
      <c r="H756" s="7">
        <v>4594.42</v>
      </c>
      <c r="I756">
        <v>6</v>
      </c>
      <c r="J756" t="s">
        <v>16</v>
      </c>
      <c r="K756" s="13">
        <f>ROUND(tblTransactions[[#This Row],[gross_sales_inr]]*(1-tblTransactions[[#This Row],[discount_pct]]),2)</f>
        <v>4594.42</v>
      </c>
      <c r="L756" t="str">
        <f>IF(ABS(tblTransactions[[#This Row],[net_sales_inr]]-tblTransactions[[#This Row],[Recalc_Net_Sales]])&lt;0.02,"OK","CHECK")</f>
        <v>OK</v>
      </c>
      <c r="M756" s="14">
        <f>DATE(YEAR(tblTransactions[[#This Row],[date]]),MONTH(tblTransactions[[#This Row],[date]]),1)</f>
        <v>45778</v>
      </c>
      <c r="N756" t="str">
        <f>IF(WEEKDAY(tblTransactions[[#This Row],[date]],2)&gt;5,"Weekend","Weekday")</f>
        <v>Weekday</v>
      </c>
      <c r="O756" s="13" t="str">
        <f>IF(tblTransactions[[#This Row],[discount_pct]]=0,"0%",IF(tblTransactions[[#This Row],[discount_pct]]&lt;=10%,"1–
10%",IF(tblTransactions[[#This Row],[discount_pct]]&lt;=20%,"11–20%","&gt;20%")))</f>
        <v>0%</v>
      </c>
      <c r="P756" s="13" t="str">
        <f>_xlfn.XLOOKUP(tblTransactions[[#This Row],[tenant_id]],tblTenants[tenant_id],tblTenants[zone],"NOT FOUND")</f>
        <v>Entertainment</v>
      </c>
      <c r="Q756" s="13" t="str">
        <f>_xlfn.XLOOKUP(tblTransactions[[#This Row],[tenant_id]],tblTenants[tenant_id],tblTenants[category],"NOT FOUND")</f>
        <v>Cinema</v>
      </c>
    </row>
    <row r="757" spans="1:17">
      <c r="A757" t="s">
        <v>801</v>
      </c>
      <c r="B757" s="2">
        <v>45694</v>
      </c>
      <c r="C757">
        <v>19</v>
      </c>
      <c r="D757" t="s">
        <v>29</v>
      </c>
      <c r="E757" t="s">
        <v>12</v>
      </c>
      <c r="F757" s="7">
        <v>728.27</v>
      </c>
      <c r="G757" s="10">
        <v>0</v>
      </c>
      <c r="H757" s="7">
        <v>728.27</v>
      </c>
      <c r="I757">
        <v>1</v>
      </c>
      <c r="J757" t="s">
        <v>16</v>
      </c>
      <c r="K757" s="13">
        <f>ROUND(tblTransactions[[#This Row],[gross_sales_inr]]*(1-tblTransactions[[#This Row],[discount_pct]]),2)</f>
        <v>728.27</v>
      </c>
      <c r="L757" t="str">
        <f>IF(ABS(tblTransactions[[#This Row],[net_sales_inr]]-tblTransactions[[#This Row],[Recalc_Net_Sales]])&lt;0.02,"OK","CHECK")</f>
        <v>OK</v>
      </c>
      <c r="M757" s="14">
        <f>DATE(YEAR(tblTransactions[[#This Row],[date]]),MONTH(tblTransactions[[#This Row],[date]]),1)</f>
        <v>45689</v>
      </c>
      <c r="N757" t="str">
        <f>IF(WEEKDAY(tblTransactions[[#This Row],[date]],2)&gt;5,"Weekend","Weekday")</f>
        <v>Weekday</v>
      </c>
      <c r="O757" s="13" t="str">
        <f>IF(tblTransactions[[#This Row],[discount_pct]]=0,"0%",IF(tblTransactions[[#This Row],[discount_pct]]&lt;=10%,"1–
10%",IF(tblTransactions[[#This Row],[discount_pct]]&lt;=20%,"11–20%","&gt;20%")))</f>
        <v>0%</v>
      </c>
      <c r="P757" s="13" t="str">
        <f>_xlfn.XLOOKUP(tblTransactions[[#This Row],[tenant_id]],tblTenants[tenant_id],tblTenants[zone],"NOT FOUND")</f>
        <v>Entertainment</v>
      </c>
      <c r="Q757" s="13" t="str">
        <f>_xlfn.XLOOKUP(tblTransactions[[#This Row],[tenant_id]],tblTenants[tenant_id],tblTenants[category],"NOT FOUND")</f>
        <v>Cinema</v>
      </c>
    </row>
    <row r="758" spans="1:17">
      <c r="A758" t="s">
        <v>802</v>
      </c>
      <c r="B758" s="2">
        <v>45765</v>
      </c>
      <c r="C758">
        <v>20</v>
      </c>
      <c r="D758" t="s">
        <v>43</v>
      </c>
      <c r="E758" t="s">
        <v>12</v>
      </c>
      <c r="F758" s="7">
        <v>3082.24</v>
      </c>
      <c r="G758" s="10">
        <v>0</v>
      </c>
      <c r="H758" s="7">
        <v>3082.24</v>
      </c>
      <c r="I758">
        <v>2</v>
      </c>
      <c r="J758" t="s">
        <v>13</v>
      </c>
      <c r="K758" s="13">
        <f>ROUND(tblTransactions[[#This Row],[gross_sales_inr]]*(1-tblTransactions[[#This Row],[discount_pct]]),2)</f>
        <v>3082.24</v>
      </c>
      <c r="L758" t="str">
        <f>IF(ABS(tblTransactions[[#This Row],[net_sales_inr]]-tblTransactions[[#This Row],[Recalc_Net_Sales]])&lt;0.02,"OK","CHECK")</f>
        <v>OK</v>
      </c>
      <c r="M758" s="14">
        <f>DATE(YEAR(tblTransactions[[#This Row],[date]]),MONTH(tblTransactions[[#This Row],[date]]),1)</f>
        <v>45748</v>
      </c>
      <c r="N758" t="str">
        <f>IF(WEEKDAY(tblTransactions[[#This Row],[date]],2)&gt;5,"Weekend","Weekday")</f>
        <v>Weekday</v>
      </c>
      <c r="O758" s="13" t="str">
        <f>IF(tblTransactions[[#This Row],[discount_pct]]=0,"0%",IF(tblTransactions[[#This Row],[discount_pct]]&lt;=10%,"1–
10%",IF(tblTransactions[[#This Row],[discount_pct]]&lt;=20%,"11–20%","&gt;20%")))</f>
        <v>0%</v>
      </c>
      <c r="P758" s="13" t="str">
        <f>_xlfn.XLOOKUP(tblTransactions[[#This Row],[tenant_id]],tblTenants[tenant_id],tblTenants[zone],"NOT FOUND")</f>
        <v>Food Court</v>
      </c>
      <c r="Q758" s="13" t="str">
        <f>_xlfn.XLOOKUP(tblTransactions[[#This Row],[tenant_id]],tblTenants[tenant_id],tblTenants[category],"NOT FOUND")</f>
        <v>Casual Dining</v>
      </c>
    </row>
    <row r="759" spans="1:17">
      <c r="A759" t="s">
        <v>803</v>
      </c>
      <c r="B759" s="2">
        <v>45821</v>
      </c>
      <c r="C759">
        <v>14</v>
      </c>
      <c r="D759" t="s">
        <v>27</v>
      </c>
      <c r="E759" t="s">
        <v>32</v>
      </c>
      <c r="F759" s="7">
        <v>782.06</v>
      </c>
      <c r="G759" s="10">
        <v>0</v>
      </c>
      <c r="H759" s="7">
        <v>782.06</v>
      </c>
      <c r="I759">
        <v>2</v>
      </c>
      <c r="J759" t="s">
        <v>13</v>
      </c>
      <c r="K759" s="13">
        <f>ROUND(tblTransactions[[#This Row],[gross_sales_inr]]*(1-tblTransactions[[#This Row],[discount_pct]]),2)</f>
        <v>782.06</v>
      </c>
      <c r="L759" t="str">
        <f>IF(ABS(tblTransactions[[#This Row],[net_sales_inr]]-tblTransactions[[#This Row],[Recalc_Net_Sales]])&lt;0.02,"OK","CHECK")</f>
        <v>OK</v>
      </c>
      <c r="M759" s="14">
        <f>DATE(YEAR(tblTransactions[[#This Row],[date]]),MONTH(tblTransactions[[#This Row],[date]]),1)</f>
        <v>45809</v>
      </c>
      <c r="N759" t="str">
        <f>IF(WEEKDAY(tblTransactions[[#This Row],[date]],2)&gt;5,"Weekend","Weekday")</f>
        <v>Weekday</v>
      </c>
      <c r="O759" s="13" t="str">
        <f>IF(tblTransactions[[#This Row],[discount_pct]]=0,"0%",IF(tblTransactions[[#This Row],[discount_pct]]&lt;=10%,"1–
10%",IF(tblTransactions[[#This Row],[discount_pct]]&lt;=20%,"11–20%","&gt;20%")))</f>
        <v>0%</v>
      </c>
      <c r="P759" s="13" t="str">
        <f>_xlfn.XLOOKUP(tblTransactions[[#This Row],[tenant_id]],tblTenants[tenant_id],tblTenants[zone],"NOT FOUND")</f>
        <v>Beauty &amp; Wellness</v>
      </c>
      <c r="Q759" s="13" t="str">
        <f>_xlfn.XLOOKUP(tblTransactions[[#This Row],[tenant_id]],tblTenants[tenant_id],tblTenants[category],"NOT FOUND")</f>
        <v>Wellness</v>
      </c>
    </row>
    <row r="760" spans="1:17">
      <c r="A760" t="s">
        <v>804</v>
      </c>
      <c r="B760" s="2">
        <v>45726</v>
      </c>
      <c r="C760">
        <v>11</v>
      </c>
      <c r="D760" t="s">
        <v>29</v>
      </c>
      <c r="E760" t="s">
        <v>32</v>
      </c>
      <c r="F760" s="7">
        <v>398.9</v>
      </c>
      <c r="G760" s="10">
        <v>0</v>
      </c>
      <c r="H760" s="7">
        <v>398.9</v>
      </c>
      <c r="I760">
        <v>1</v>
      </c>
      <c r="J760" t="s">
        <v>16</v>
      </c>
      <c r="K760" s="13">
        <f>ROUND(tblTransactions[[#This Row],[gross_sales_inr]]*(1-tblTransactions[[#This Row],[discount_pct]]),2)</f>
        <v>398.9</v>
      </c>
      <c r="L760" t="str">
        <f>IF(ABS(tblTransactions[[#This Row],[net_sales_inr]]-tblTransactions[[#This Row],[Recalc_Net_Sales]])&lt;0.02,"OK","CHECK")</f>
        <v>OK</v>
      </c>
      <c r="M760" s="14">
        <f>DATE(YEAR(tblTransactions[[#This Row],[date]]),MONTH(tblTransactions[[#This Row],[date]]),1)</f>
        <v>45717</v>
      </c>
      <c r="N760" t="str">
        <f>IF(WEEKDAY(tblTransactions[[#This Row],[date]],2)&gt;5,"Weekend","Weekday")</f>
        <v>Weekday</v>
      </c>
      <c r="O760" s="13" t="str">
        <f>IF(tblTransactions[[#This Row],[discount_pct]]=0,"0%",IF(tblTransactions[[#This Row],[discount_pct]]&lt;=10%,"1–
10%",IF(tblTransactions[[#This Row],[discount_pct]]&lt;=20%,"11–20%","&gt;20%")))</f>
        <v>0%</v>
      </c>
      <c r="P760" s="13" t="str">
        <f>_xlfn.XLOOKUP(tblTransactions[[#This Row],[tenant_id]],tblTenants[tenant_id],tblTenants[zone],"NOT FOUND")</f>
        <v>Entertainment</v>
      </c>
      <c r="Q760" s="13" t="str">
        <f>_xlfn.XLOOKUP(tblTransactions[[#This Row],[tenant_id]],tblTenants[tenant_id],tblTenants[category],"NOT FOUND")</f>
        <v>Cinema</v>
      </c>
    </row>
    <row r="761" spans="1:17">
      <c r="A761" t="s">
        <v>805</v>
      </c>
      <c r="B761" s="2">
        <v>45698</v>
      </c>
      <c r="C761">
        <v>18</v>
      </c>
      <c r="D761" t="s">
        <v>80</v>
      </c>
      <c r="E761" t="s">
        <v>32</v>
      </c>
      <c r="F761" s="7">
        <v>2502.1</v>
      </c>
      <c r="G761" s="10">
        <v>0</v>
      </c>
      <c r="H761" s="7">
        <v>2502.1</v>
      </c>
      <c r="I761">
        <v>2</v>
      </c>
      <c r="J761" t="s">
        <v>13</v>
      </c>
      <c r="K761" s="13">
        <f>ROUND(tblTransactions[[#This Row],[gross_sales_inr]]*(1-tblTransactions[[#This Row],[discount_pct]]),2)</f>
        <v>2502.1</v>
      </c>
      <c r="L761" t="str">
        <f>IF(ABS(tblTransactions[[#This Row],[net_sales_inr]]-tblTransactions[[#This Row],[Recalc_Net_Sales]])&lt;0.02,"OK","CHECK")</f>
        <v>OK</v>
      </c>
      <c r="M761" s="14">
        <f>DATE(YEAR(tblTransactions[[#This Row],[date]]),MONTH(tblTransactions[[#This Row],[date]]),1)</f>
        <v>45689</v>
      </c>
      <c r="N761" t="str">
        <f>IF(WEEKDAY(tblTransactions[[#This Row],[date]],2)&gt;5,"Weekend","Weekday")</f>
        <v>Weekday</v>
      </c>
      <c r="O761" s="13" t="str">
        <f>IF(tblTransactions[[#This Row],[discount_pct]]=0,"0%",IF(tblTransactions[[#This Row],[discount_pct]]&lt;=10%,"1–
10%",IF(tblTransactions[[#This Row],[discount_pct]]&lt;=20%,"11–20%","&gt;20%")))</f>
        <v>0%</v>
      </c>
      <c r="P761" s="13" t="str">
        <f>_xlfn.XLOOKUP(tblTransactions[[#This Row],[tenant_id]],tblTenants[tenant_id],tblTenants[zone],"NOT FOUND")</f>
        <v>Food Court</v>
      </c>
      <c r="Q761" s="13" t="str">
        <f>_xlfn.XLOOKUP(tblTransactions[[#This Row],[tenant_id]],tblTenants[tenant_id],tblTenants[category],"NOT FOUND")</f>
        <v>Casual Dining</v>
      </c>
    </row>
    <row r="762" spans="1:17">
      <c r="A762" t="s">
        <v>806</v>
      </c>
      <c r="B762" s="2">
        <v>45789</v>
      </c>
      <c r="C762">
        <v>19</v>
      </c>
      <c r="D762" t="s">
        <v>85</v>
      </c>
      <c r="E762" t="s">
        <v>32</v>
      </c>
      <c r="F762" s="7">
        <v>448.05</v>
      </c>
      <c r="G762" s="10">
        <v>0</v>
      </c>
      <c r="H762" s="7">
        <v>448.05</v>
      </c>
      <c r="I762">
        <v>3</v>
      </c>
      <c r="J762" t="s">
        <v>13</v>
      </c>
      <c r="K762" s="13">
        <f>ROUND(tblTransactions[[#This Row],[gross_sales_inr]]*(1-tblTransactions[[#This Row],[discount_pct]]),2)</f>
        <v>448.05</v>
      </c>
      <c r="L762" t="str">
        <f>IF(ABS(tblTransactions[[#This Row],[net_sales_inr]]-tblTransactions[[#This Row],[Recalc_Net_Sales]])&lt;0.02,"OK","CHECK")</f>
        <v>OK</v>
      </c>
      <c r="M762" s="14">
        <f>DATE(YEAR(tblTransactions[[#This Row],[date]]),MONTH(tblTransactions[[#This Row],[date]]),1)</f>
        <v>45778</v>
      </c>
      <c r="N762" t="str">
        <f>IF(WEEKDAY(tblTransactions[[#This Row],[date]],2)&gt;5,"Weekend","Weekday")</f>
        <v>Weekday</v>
      </c>
      <c r="O762" s="13" t="str">
        <f>IF(tblTransactions[[#This Row],[discount_pct]]=0,"0%",IF(tblTransactions[[#This Row],[discount_pct]]&lt;=10%,"1–
10%",IF(tblTransactions[[#This Row],[discount_pct]]&lt;=20%,"11–20%","&gt;20%")))</f>
        <v>0%</v>
      </c>
      <c r="P762" s="13" t="str">
        <f>_xlfn.XLOOKUP(tblTransactions[[#This Row],[tenant_id]],tblTenants[tenant_id],tblTenants[zone],"NOT FOUND")</f>
        <v>Home &amp; Living</v>
      </c>
      <c r="Q762" s="13" t="str">
        <f>_xlfn.XLOOKUP(tblTransactions[[#This Row],[tenant_id]],tblTenants[tenant_id],tblTenants[category],"NOT FOUND")</f>
        <v>Electronics</v>
      </c>
    </row>
    <row r="763" spans="1:17">
      <c r="A763" t="s">
        <v>807</v>
      </c>
      <c r="B763" s="2">
        <v>45705</v>
      </c>
      <c r="C763">
        <v>14</v>
      </c>
      <c r="D763" t="s">
        <v>122</v>
      </c>
      <c r="E763" t="s">
        <v>12</v>
      </c>
      <c r="F763" s="7">
        <v>645.25</v>
      </c>
      <c r="G763" s="10">
        <v>0</v>
      </c>
      <c r="H763" s="7">
        <v>645.25</v>
      </c>
      <c r="I763">
        <v>1</v>
      </c>
      <c r="J763" t="s">
        <v>13</v>
      </c>
      <c r="K763" s="13">
        <f>ROUND(tblTransactions[[#This Row],[gross_sales_inr]]*(1-tblTransactions[[#This Row],[discount_pct]]),2)</f>
        <v>645.25</v>
      </c>
      <c r="L763" t="str">
        <f>IF(ABS(tblTransactions[[#This Row],[net_sales_inr]]-tblTransactions[[#This Row],[Recalc_Net_Sales]])&lt;0.02,"OK","CHECK")</f>
        <v>OK</v>
      </c>
      <c r="M763" s="14">
        <f>DATE(YEAR(tblTransactions[[#This Row],[date]]),MONTH(tblTransactions[[#This Row],[date]]),1)</f>
        <v>45689</v>
      </c>
      <c r="N763" t="str">
        <f>IF(WEEKDAY(tblTransactions[[#This Row],[date]],2)&gt;5,"Weekend","Weekday")</f>
        <v>Weekday</v>
      </c>
      <c r="O763" s="13" t="str">
        <f>IF(tblTransactions[[#This Row],[discount_pct]]=0,"0%",IF(tblTransactions[[#This Row],[discount_pct]]&lt;=10%,"1–
10%",IF(tblTransactions[[#This Row],[discount_pct]]&lt;=20%,"11–20%","&gt;20%")))</f>
        <v>0%</v>
      </c>
      <c r="P763" s="13" t="str">
        <f>_xlfn.XLOOKUP(tblTransactions[[#This Row],[tenant_id]],tblTenants[tenant_id],tblTenants[zone],"NOT FOUND")</f>
        <v>Beauty &amp; Wellness</v>
      </c>
      <c r="Q763" s="13" t="str">
        <f>_xlfn.XLOOKUP(tblTransactions[[#This Row],[tenant_id]],tblTenants[tenant_id],tblTenants[category],"NOT FOUND")</f>
        <v>Wellness</v>
      </c>
    </row>
    <row r="764" spans="1:17">
      <c r="A764" t="s">
        <v>808</v>
      </c>
      <c r="B764" s="2">
        <v>45763</v>
      </c>
      <c r="C764">
        <v>15</v>
      </c>
      <c r="D764" t="s">
        <v>41</v>
      </c>
      <c r="E764" t="s">
        <v>32</v>
      </c>
      <c r="F764" s="7">
        <v>3103.68</v>
      </c>
      <c r="G764" s="10">
        <v>0.2</v>
      </c>
      <c r="H764" s="7">
        <v>2482.94</v>
      </c>
      <c r="I764">
        <v>3</v>
      </c>
      <c r="J764" t="s">
        <v>16</v>
      </c>
      <c r="K764" s="13">
        <f>ROUND(tblTransactions[[#This Row],[gross_sales_inr]]*(1-tblTransactions[[#This Row],[discount_pct]]),2)</f>
        <v>2482.94</v>
      </c>
      <c r="L764" t="str">
        <f>IF(ABS(tblTransactions[[#This Row],[net_sales_inr]]-tblTransactions[[#This Row],[Recalc_Net_Sales]])&lt;0.02,"OK","CHECK")</f>
        <v>OK</v>
      </c>
      <c r="M764" s="14">
        <f>DATE(YEAR(tblTransactions[[#This Row],[date]]),MONTH(tblTransactions[[#This Row],[date]]),1)</f>
        <v>45748</v>
      </c>
      <c r="N764" t="str">
        <f>IF(WEEKDAY(tblTransactions[[#This Row],[date]],2)&gt;5,"Weekend","Weekday")</f>
        <v>Weekday</v>
      </c>
      <c r="O76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64" s="13" t="str">
        <f>_xlfn.XLOOKUP(tblTransactions[[#This Row],[tenant_id]],tblTenants[tenant_id],tblTenants[zone],"NOT FOUND")</f>
        <v>Fashion Avenue</v>
      </c>
      <c r="Q764" s="13" t="str">
        <f>_xlfn.XLOOKUP(tblTransactions[[#This Row],[tenant_id]],tblTenants[tenant_id],tblTenants[category],"NOT FOUND")</f>
        <v>Clothing</v>
      </c>
    </row>
    <row r="765" spans="1:17">
      <c r="A765" t="s">
        <v>809</v>
      </c>
      <c r="B765" s="2">
        <v>45722</v>
      </c>
      <c r="C765">
        <v>16</v>
      </c>
      <c r="D765" t="s">
        <v>23</v>
      </c>
      <c r="E765" t="s">
        <v>21</v>
      </c>
      <c r="F765" s="7">
        <v>1464.82</v>
      </c>
      <c r="G765" s="10">
        <v>0.15</v>
      </c>
      <c r="H765" s="7">
        <v>1245.0999999999999</v>
      </c>
      <c r="I765">
        <v>6</v>
      </c>
      <c r="J765" t="s">
        <v>16</v>
      </c>
      <c r="K765" s="13">
        <f>ROUND(tblTransactions[[#This Row],[gross_sales_inr]]*(1-tblTransactions[[#This Row],[discount_pct]]),2)</f>
        <v>1245.0999999999999</v>
      </c>
      <c r="L765" t="str">
        <f>IF(ABS(tblTransactions[[#This Row],[net_sales_inr]]-tblTransactions[[#This Row],[Recalc_Net_Sales]])&lt;0.02,"OK","CHECK")</f>
        <v>OK</v>
      </c>
      <c r="M765" s="14">
        <f>DATE(YEAR(tblTransactions[[#This Row],[date]]),MONTH(tblTransactions[[#This Row],[date]]),1)</f>
        <v>45717</v>
      </c>
      <c r="N765" t="str">
        <f>IF(WEEKDAY(tblTransactions[[#This Row],[date]],2)&gt;5,"Weekend","Weekday")</f>
        <v>Weekday</v>
      </c>
      <c r="O76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65" s="13" t="str">
        <f>_xlfn.XLOOKUP(tblTransactions[[#This Row],[tenant_id]],tblTenants[tenant_id],tblTenants[zone],"NOT FOUND")</f>
        <v>Entertainment</v>
      </c>
      <c r="Q765" s="13" t="str">
        <f>_xlfn.XLOOKUP(tblTransactions[[#This Row],[tenant_id]],tblTenants[tenant_id],tblTenants[category],"NOT FOUND")</f>
        <v>Cinema</v>
      </c>
    </row>
    <row r="766" spans="1:17">
      <c r="A766" t="s">
        <v>810</v>
      </c>
      <c r="B766" s="2">
        <v>45736</v>
      </c>
      <c r="C766">
        <v>15</v>
      </c>
      <c r="D766" t="s">
        <v>63</v>
      </c>
      <c r="E766" t="s">
        <v>32</v>
      </c>
      <c r="F766" s="7">
        <v>2459.21</v>
      </c>
      <c r="G766" s="10">
        <v>0.1</v>
      </c>
      <c r="H766" s="7">
        <v>2213.29</v>
      </c>
      <c r="I766">
        <v>4</v>
      </c>
      <c r="J766" t="s">
        <v>16</v>
      </c>
      <c r="K766" s="13">
        <f>ROUND(tblTransactions[[#This Row],[gross_sales_inr]]*(1-tblTransactions[[#This Row],[discount_pct]]),2)</f>
        <v>2213.29</v>
      </c>
      <c r="L766" t="str">
        <f>IF(ABS(tblTransactions[[#This Row],[net_sales_inr]]-tblTransactions[[#This Row],[Recalc_Net_Sales]])&lt;0.02,"OK","CHECK")</f>
        <v>OK</v>
      </c>
      <c r="M766" s="14">
        <f>DATE(YEAR(tblTransactions[[#This Row],[date]]),MONTH(tblTransactions[[#This Row],[date]]),1)</f>
        <v>45717</v>
      </c>
      <c r="N766" t="str">
        <f>IF(WEEKDAY(tblTransactions[[#This Row],[date]],2)&gt;5,"Weekend","Weekday")</f>
        <v>Weekday</v>
      </c>
      <c r="O76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66" s="13" t="str">
        <f>_xlfn.XLOOKUP(tblTransactions[[#This Row],[tenant_id]],tblTenants[tenant_id],tblTenants[zone],"NOT FOUND")</f>
        <v>Entertainment</v>
      </c>
      <c r="Q766" s="13" t="str">
        <f>_xlfn.XLOOKUP(tblTransactions[[#This Row],[tenant_id]],tblTenants[tenant_id],tblTenants[category],"NOT FOUND")</f>
        <v>Family Entertainment</v>
      </c>
    </row>
    <row r="767" spans="1:17">
      <c r="A767" t="s">
        <v>811</v>
      </c>
      <c r="B767" s="2">
        <v>45791</v>
      </c>
      <c r="C767">
        <v>18</v>
      </c>
      <c r="D767" t="s">
        <v>61</v>
      </c>
      <c r="E767" t="s">
        <v>32</v>
      </c>
      <c r="F767" s="7">
        <v>773.2</v>
      </c>
      <c r="G767" s="10">
        <v>0.1</v>
      </c>
      <c r="H767" s="7">
        <v>695.88</v>
      </c>
      <c r="I767">
        <v>4</v>
      </c>
      <c r="J767" t="s">
        <v>13</v>
      </c>
      <c r="K767" s="13">
        <f>ROUND(tblTransactions[[#This Row],[gross_sales_inr]]*(1-tblTransactions[[#This Row],[discount_pct]]),2)</f>
        <v>695.88</v>
      </c>
      <c r="L767" t="str">
        <f>IF(ABS(tblTransactions[[#This Row],[net_sales_inr]]-tblTransactions[[#This Row],[Recalc_Net_Sales]])&lt;0.02,"OK","CHECK")</f>
        <v>OK</v>
      </c>
      <c r="M767" s="14">
        <f>DATE(YEAR(tblTransactions[[#This Row],[date]]),MONTH(tblTransactions[[#This Row],[date]]),1)</f>
        <v>45778</v>
      </c>
      <c r="N767" t="str">
        <f>IF(WEEKDAY(tblTransactions[[#This Row],[date]],2)&gt;5,"Weekend","Weekday")</f>
        <v>Weekday</v>
      </c>
      <c r="O76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67" s="13" t="str">
        <f>_xlfn.XLOOKUP(tblTransactions[[#This Row],[tenant_id]],tblTenants[tenant_id],tblTenants[zone],"NOT FOUND")</f>
        <v>Food Court</v>
      </c>
      <c r="Q767" s="13" t="str">
        <f>_xlfn.XLOOKUP(tblTransactions[[#This Row],[tenant_id]],tblTenants[tenant_id],tblTenants[category],"NOT FOUND")</f>
        <v>Quick Service</v>
      </c>
    </row>
    <row r="768" spans="1:17">
      <c r="A768" t="s">
        <v>812</v>
      </c>
      <c r="B768" s="2">
        <v>45741</v>
      </c>
      <c r="C768">
        <v>14</v>
      </c>
      <c r="D768" t="s">
        <v>20</v>
      </c>
      <c r="E768" t="s">
        <v>21</v>
      </c>
      <c r="F768" s="7">
        <v>561.76</v>
      </c>
      <c r="G768" s="10">
        <v>0</v>
      </c>
      <c r="H768" s="7">
        <v>561.76</v>
      </c>
      <c r="I768">
        <v>1</v>
      </c>
      <c r="J768" t="s">
        <v>13</v>
      </c>
      <c r="K768" s="13">
        <f>ROUND(tblTransactions[[#This Row],[gross_sales_inr]]*(1-tblTransactions[[#This Row],[discount_pct]]),2)</f>
        <v>561.76</v>
      </c>
      <c r="L768" t="str">
        <f>IF(ABS(tblTransactions[[#This Row],[net_sales_inr]]-tblTransactions[[#This Row],[Recalc_Net_Sales]])&lt;0.02,"OK","CHECK")</f>
        <v>OK</v>
      </c>
      <c r="M768" s="14">
        <f>DATE(YEAR(tblTransactions[[#This Row],[date]]),MONTH(tblTransactions[[#This Row],[date]]),1)</f>
        <v>45717</v>
      </c>
      <c r="N768" t="str">
        <f>IF(WEEKDAY(tblTransactions[[#This Row],[date]],2)&gt;5,"Weekend","Weekday")</f>
        <v>Weekday</v>
      </c>
      <c r="O768" s="13" t="str">
        <f>IF(tblTransactions[[#This Row],[discount_pct]]=0,"0%",IF(tblTransactions[[#This Row],[discount_pct]]&lt;=10%,"1–
10%",IF(tblTransactions[[#This Row],[discount_pct]]&lt;=20%,"11–20%","&gt;20%")))</f>
        <v>0%</v>
      </c>
      <c r="P768" s="13" t="str">
        <f>_xlfn.XLOOKUP(tblTransactions[[#This Row],[tenant_id]],tblTenants[tenant_id],tblTenants[zone],"NOT FOUND")</f>
        <v>Fashion Avenue</v>
      </c>
      <c r="Q768" s="13" t="str">
        <f>_xlfn.XLOOKUP(tblTransactions[[#This Row],[tenant_id]],tblTenants[tenant_id],tblTenants[category],"NOT FOUND")</f>
        <v>Accessories</v>
      </c>
    </row>
    <row r="769" spans="1:17">
      <c r="A769" t="s">
        <v>813</v>
      </c>
      <c r="B769" s="2">
        <v>45704</v>
      </c>
      <c r="C769">
        <v>13</v>
      </c>
      <c r="D769" t="s">
        <v>80</v>
      </c>
      <c r="E769" t="s">
        <v>32</v>
      </c>
      <c r="F769" s="7">
        <v>2996.79</v>
      </c>
      <c r="G769" s="10">
        <v>0.1</v>
      </c>
      <c r="H769" s="7">
        <v>2697.11</v>
      </c>
      <c r="I769">
        <v>3</v>
      </c>
      <c r="J769" t="s">
        <v>13</v>
      </c>
      <c r="K769" s="13">
        <f>ROUND(tblTransactions[[#This Row],[gross_sales_inr]]*(1-tblTransactions[[#This Row],[discount_pct]]),2)</f>
        <v>2697.11</v>
      </c>
      <c r="L769" t="str">
        <f>IF(ABS(tblTransactions[[#This Row],[net_sales_inr]]-tblTransactions[[#This Row],[Recalc_Net_Sales]])&lt;0.02,"OK","CHECK")</f>
        <v>OK</v>
      </c>
      <c r="M769" s="14">
        <f>DATE(YEAR(tblTransactions[[#This Row],[date]]),MONTH(tblTransactions[[#This Row],[date]]),1)</f>
        <v>45689</v>
      </c>
      <c r="N769" t="str">
        <f>IF(WEEKDAY(tblTransactions[[#This Row],[date]],2)&gt;5,"Weekend","Weekday")</f>
        <v>Weekend</v>
      </c>
      <c r="O76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69" s="13" t="str">
        <f>_xlfn.XLOOKUP(tblTransactions[[#This Row],[tenant_id]],tblTenants[tenant_id],tblTenants[zone],"NOT FOUND")</f>
        <v>Food Court</v>
      </c>
      <c r="Q769" s="13" t="str">
        <f>_xlfn.XLOOKUP(tblTransactions[[#This Row],[tenant_id]],tblTenants[tenant_id],tblTenants[category],"NOT FOUND")</f>
        <v>Casual Dining</v>
      </c>
    </row>
    <row r="770" spans="1:17">
      <c r="A770" t="s">
        <v>814</v>
      </c>
      <c r="B770" s="2">
        <v>45661</v>
      </c>
      <c r="C770">
        <v>21</v>
      </c>
      <c r="D770" t="s">
        <v>72</v>
      </c>
      <c r="E770" t="s">
        <v>32</v>
      </c>
      <c r="F770" s="7">
        <v>726.94</v>
      </c>
      <c r="G770" s="10">
        <v>0</v>
      </c>
      <c r="H770" s="7">
        <v>726.94</v>
      </c>
      <c r="I770">
        <v>2</v>
      </c>
      <c r="J770" t="s">
        <v>13</v>
      </c>
      <c r="K770" s="13">
        <f>ROUND(tblTransactions[[#This Row],[gross_sales_inr]]*(1-tblTransactions[[#This Row],[discount_pct]]),2)</f>
        <v>726.94</v>
      </c>
      <c r="L770" t="str">
        <f>IF(ABS(tblTransactions[[#This Row],[net_sales_inr]]-tblTransactions[[#This Row],[Recalc_Net_Sales]])&lt;0.02,"OK","CHECK")</f>
        <v>OK</v>
      </c>
      <c r="M770" s="14">
        <f>DATE(YEAR(tblTransactions[[#This Row],[date]]),MONTH(tblTransactions[[#This Row],[date]]),1)</f>
        <v>45658</v>
      </c>
      <c r="N770" t="str">
        <f>IF(WEEKDAY(tblTransactions[[#This Row],[date]],2)&gt;5,"Weekend","Weekday")</f>
        <v>Weekend</v>
      </c>
      <c r="O770" s="13" t="str">
        <f>IF(tblTransactions[[#This Row],[discount_pct]]=0,"0%",IF(tblTransactions[[#This Row],[discount_pct]]&lt;=10%,"1–
10%",IF(tblTransactions[[#This Row],[discount_pct]]&lt;=20%,"11–20%","&gt;20%")))</f>
        <v>0%</v>
      </c>
      <c r="P770" s="13" t="str">
        <f>_xlfn.XLOOKUP(tblTransactions[[#This Row],[tenant_id]],tblTenants[tenant_id],tblTenants[zone],"NOT FOUND")</f>
        <v>Entertainment</v>
      </c>
      <c r="Q770" s="13" t="str">
        <f>_xlfn.XLOOKUP(tblTransactions[[#This Row],[tenant_id]],tblTenants[tenant_id],tblTenants[category],"NOT FOUND")</f>
        <v>Arcade</v>
      </c>
    </row>
    <row r="771" spans="1:17">
      <c r="A771" t="s">
        <v>815</v>
      </c>
      <c r="B771" s="2">
        <v>45706</v>
      </c>
      <c r="C771">
        <v>17</v>
      </c>
      <c r="D771" t="s">
        <v>36</v>
      </c>
      <c r="E771" t="s">
        <v>32</v>
      </c>
      <c r="F771" s="7">
        <v>962.31</v>
      </c>
      <c r="G771" s="10">
        <v>0.15</v>
      </c>
      <c r="H771" s="7">
        <v>817.96</v>
      </c>
      <c r="I771">
        <v>3</v>
      </c>
      <c r="J771" t="s">
        <v>13</v>
      </c>
      <c r="K771" s="13">
        <f>ROUND(tblTransactions[[#This Row],[gross_sales_inr]]*(1-tblTransactions[[#This Row],[discount_pct]]),2)</f>
        <v>817.96</v>
      </c>
      <c r="L771" t="str">
        <f>IF(ABS(tblTransactions[[#This Row],[net_sales_inr]]-tblTransactions[[#This Row],[Recalc_Net_Sales]])&lt;0.02,"OK","CHECK")</f>
        <v>OK</v>
      </c>
      <c r="M771" s="14">
        <f>DATE(YEAR(tblTransactions[[#This Row],[date]]),MONTH(tblTransactions[[#This Row],[date]]),1)</f>
        <v>45689</v>
      </c>
      <c r="N771" t="str">
        <f>IF(WEEKDAY(tblTransactions[[#This Row],[date]],2)&gt;5,"Weekend","Weekday")</f>
        <v>Weekday</v>
      </c>
      <c r="O77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71" s="13" t="str">
        <f>_xlfn.XLOOKUP(tblTransactions[[#This Row],[tenant_id]],tblTenants[tenant_id],tblTenants[zone],"NOT FOUND")</f>
        <v>Home &amp; Living</v>
      </c>
      <c r="Q771" s="13" t="str">
        <f>_xlfn.XLOOKUP(tblTransactions[[#This Row],[tenant_id]],tblTenants[tenant_id],tblTenants[category],"NOT FOUND")</f>
        <v>Electronics</v>
      </c>
    </row>
    <row r="772" spans="1:17">
      <c r="A772" t="s">
        <v>816</v>
      </c>
      <c r="B772" s="2">
        <v>45808</v>
      </c>
      <c r="C772">
        <v>14</v>
      </c>
      <c r="D772" t="s">
        <v>70</v>
      </c>
      <c r="E772" t="s">
        <v>32</v>
      </c>
      <c r="F772" s="7">
        <v>491.55</v>
      </c>
      <c r="G772" s="10">
        <v>0.3</v>
      </c>
      <c r="H772" s="7">
        <v>344.08</v>
      </c>
      <c r="I772">
        <v>3</v>
      </c>
      <c r="J772" t="s">
        <v>13</v>
      </c>
      <c r="K772" s="13">
        <f>ROUND(tblTransactions[[#This Row],[gross_sales_inr]]*(1-tblTransactions[[#This Row],[discount_pct]]),2)</f>
        <v>344.09</v>
      </c>
      <c r="L772" t="str">
        <f>IF(ABS(tblTransactions[[#This Row],[net_sales_inr]]-tblTransactions[[#This Row],[Recalc_Net_Sales]])&lt;0.02,"OK","CHECK")</f>
        <v>OK</v>
      </c>
      <c r="M772" s="14">
        <f>DATE(YEAR(tblTransactions[[#This Row],[date]]),MONTH(tblTransactions[[#This Row],[date]]),1)</f>
        <v>45778</v>
      </c>
      <c r="N772" t="str">
        <f>IF(WEEKDAY(tblTransactions[[#This Row],[date]],2)&gt;5,"Weekend","Weekday")</f>
        <v>Weekend</v>
      </c>
      <c r="O772" s="13" t="str">
        <f>IF(tblTransactions[[#This Row],[discount_pct]]=0,"0%",IF(tblTransactions[[#This Row],[discount_pct]]&lt;=10%,"1–
10%",IF(tblTransactions[[#This Row],[discount_pct]]&lt;=20%,"11–20%","&gt;20%")))</f>
        <v>&gt;20%</v>
      </c>
      <c r="P772" s="13" t="str">
        <f>_xlfn.XLOOKUP(tblTransactions[[#This Row],[tenant_id]],tblTenants[tenant_id],tblTenants[zone],"NOT FOUND")</f>
        <v>Food Court</v>
      </c>
      <c r="Q772" s="13" t="str">
        <f>_xlfn.XLOOKUP(tblTransactions[[#This Row],[tenant_id]],tblTenants[tenant_id],tblTenants[category],"NOT FOUND")</f>
        <v>Quick Service</v>
      </c>
    </row>
    <row r="773" spans="1:17">
      <c r="A773" t="s">
        <v>817</v>
      </c>
      <c r="B773" s="2">
        <v>45679</v>
      </c>
      <c r="C773">
        <v>13</v>
      </c>
      <c r="D773" t="s">
        <v>31</v>
      </c>
      <c r="E773" t="s">
        <v>21</v>
      </c>
      <c r="F773" s="7">
        <v>460.18</v>
      </c>
      <c r="G773" s="10">
        <v>0</v>
      </c>
      <c r="H773" s="7">
        <v>460.18</v>
      </c>
      <c r="I773">
        <v>2</v>
      </c>
      <c r="J773" t="s">
        <v>16</v>
      </c>
      <c r="K773" s="13">
        <f>ROUND(tblTransactions[[#This Row],[gross_sales_inr]]*(1-tblTransactions[[#This Row],[discount_pct]]),2)</f>
        <v>460.18</v>
      </c>
      <c r="L773" t="str">
        <f>IF(ABS(tblTransactions[[#This Row],[net_sales_inr]]-tblTransactions[[#This Row],[Recalc_Net_Sales]])&lt;0.02,"OK","CHECK")</f>
        <v>OK</v>
      </c>
      <c r="M773" s="14">
        <f>DATE(YEAR(tblTransactions[[#This Row],[date]]),MONTH(tblTransactions[[#This Row],[date]]),1)</f>
        <v>45658</v>
      </c>
      <c r="N773" t="str">
        <f>IF(WEEKDAY(tblTransactions[[#This Row],[date]],2)&gt;5,"Weekend","Weekday")</f>
        <v>Weekday</v>
      </c>
      <c r="O773" s="13" t="str">
        <f>IF(tblTransactions[[#This Row],[discount_pct]]=0,"0%",IF(tblTransactions[[#This Row],[discount_pct]]&lt;=10%,"1–
10%",IF(tblTransactions[[#This Row],[discount_pct]]&lt;=20%,"11–20%","&gt;20%")))</f>
        <v>0%</v>
      </c>
      <c r="P773" s="13" t="str">
        <f>_xlfn.XLOOKUP(tblTransactions[[#This Row],[tenant_id]],tblTenants[tenant_id],tblTenants[zone],"NOT FOUND")</f>
        <v>Entertainment</v>
      </c>
      <c r="Q773" s="13" t="str">
        <f>_xlfn.XLOOKUP(tblTransactions[[#This Row],[tenant_id]],tblTenants[tenant_id],tblTenants[category],"NOT FOUND")</f>
        <v>Arcade</v>
      </c>
    </row>
    <row r="774" spans="1:17">
      <c r="A774" t="s">
        <v>818</v>
      </c>
      <c r="B774" s="2">
        <v>45798</v>
      </c>
      <c r="C774">
        <v>22</v>
      </c>
      <c r="D774" t="s">
        <v>29</v>
      </c>
      <c r="E774" t="s">
        <v>32</v>
      </c>
      <c r="F774" s="7">
        <v>739.51</v>
      </c>
      <c r="G774" s="10">
        <v>0</v>
      </c>
      <c r="H774" s="7">
        <v>739.51</v>
      </c>
      <c r="I774">
        <v>1</v>
      </c>
      <c r="J774" t="s">
        <v>13</v>
      </c>
      <c r="K774" s="13">
        <f>ROUND(tblTransactions[[#This Row],[gross_sales_inr]]*(1-tblTransactions[[#This Row],[discount_pct]]),2)</f>
        <v>739.51</v>
      </c>
      <c r="L774" t="str">
        <f>IF(ABS(tblTransactions[[#This Row],[net_sales_inr]]-tblTransactions[[#This Row],[Recalc_Net_Sales]])&lt;0.02,"OK","CHECK")</f>
        <v>OK</v>
      </c>
      <c r="M774" s="14">
        <f>DATE(YEAR(tblTransactions[[#This Row],[date]]),MONTH(tblTransactions[[#This Row],[date]]),1)</f>
        <v>45778</v>
      </c>
      <c r="N774" t="str">
        <f>IF(WEEKDAY(tblTransactions[[#This Row],[date]],2)&gt;5,"Weekend","Weekday")</f>
        <v>Weekday</v>
      </c>
      <c r="O774" s="13" t="str">
        <f>IF(tblTransactions[[#This Row],[discount_pct]]=0,"0%",IF(tblTransactions[[#This Row],[discount_pct]]&lt;=10%,"1–
10%",IF(tblTransactions[[#This Row],[discount_pct]]&lt;=20%,"11–20%","&gt;20%")))</f>
        <v>0%</v>
      </c>
      <c r="P774" s="13" t="str">
        <f>_xlfn.XLOOKUP(tblTransactions[[#This Row],[tenant_id]],tblTenants[tenant_id],tblTenants[zone],"NOT FOUND")</f>
        <v>Entertainment</v>
      </c>
      <c r="Q774" s="13" t="str">
        <f>_xlfn.XLOOKUP(tblTransactions[[#This Row],[tenant_id]],tblTenants[tenant_id],tblTenants[category],"NOT FOUND")</f>
        <v>Cinema</v>
      </c>
    </row>
    <row r="775" spans="1:17">
      <c r="A775" t="s">
        <v>819</v>
      </c>
      <c r="B775" s="2">
        <v>45759</v>
      </c>
      <c r="C775">
        <v>17</v>
      </c>
      <c r="D775" t="s">
        <v>18</v>
      </c>
      <c r="E775" t="s">
        <v>12</v>
      </c>
      <c r="F775" s="7">
        <v>1407.93</v>
      </c>
      <c r="G775" s="10">
        <v>0</v>
      </c>
      <c r="H775" s="7">
        <v>1407.93</v>
      </c>
      <c r="I775">
        <v>5</v>
      </c>
      <c r="J775" t="s">
        <v>13</v>
      </c>
      <c r="K775" s="13">
        <f>ROUND(tblTransactions[[#This Row],[gross_sales_inr]]*(1-tblTransactions[[#This Row],[discount_pct]]),2)</f>
        <v>1407.93</v>
      </c>
      <c r="L775" t="str">
        <f>IF(ABS(tblTransactions[[#This Row],[net_sales_inr]]-tblTransactions[[#This Row],[Recalc_Net_Sales]])&lt;0.02,"OK","CHECK")</f>
        <v>OK</v>
      </c>
      <c r="M775" s="14">
        <f>DATE(YEAR(tblTransactions[[#This Row],[date]]),MONTH(tblTransactions[[#This Row],[date]]),1)</f>
        <v>45748</v>
      </c>
      <c r="N775" t="str">
        <f>IF(WEEKDAY(tblTransactions[[#This Row],[date]],2)&gt;5,"Weekend","Weekday")</f>
        <v>Weekend</v>
      </c>
      <c r="O775" s="13" t="str">
        <f>IF(tblTransactions[[#This Row],[discount_pct]]=0,"0%",IF(tblTransactions[[#This Row],[discount_pct]]&lt;=10%,"1–
10%",IF(tblTransactions[[#This Row],[discount_pct]]&lt;=20%,"11–20%","&gt;20%")))</f>
        <v>0%</v>
      </c>
      <c r="P775" s="13" t="str">
        <f>_xlfn.XLOOKUP(tblTransactions[[#This Row],[tenant_id]],tblTenants[tenant_id],tblTenants[zone],"NOT FOUND")</f>
        <v>Beauty &amp; Wellness</v>
      </c>
      <c r="Q775" s="13" t="str">
        <f>_xlfn.XLOOKUP(tblTransactions[[#This Row],[tenant_id]],tblTenants[tenant_id],tblTenants[category],"NOT FOUND")</f>
        <v>Beauty</v>
      </c>
    </row>
    <row r="776" spans="1:17">
      <c r="A776" t="s">
        <v>820</v>
      </c>
      <c r="B776" s="2">
        <v>45806</v>
      </c>
      <c r="C776">
        <v>19</v>
      </c>
      <c r="D776" t="s">
        <v>41</v>
      </c>
      <c r="E776" t="s">
        <v>32</v>
      </c>
      <c r="F776" s="7">
        <v>1404.63</v>
      </c>
      <c r="G776" s="10">
        <v>0</v>
      </c>
      <c r="H776" s="7">
        <v>1404.63</v>
      </c>
      <c r="I776">
        <v>6</v>
      </c>
      <c r="J776" t="s">
        <v>13</v>
      </c>
      <c r="K776" s="13">
        <f>ROUND(tblTransactions[[#This Row],[gross_sales_inr]]*(1-tblTransactions[[#This Row],[discount_pct]]),2)</f>
        <v>1404.63</v>
      </c>
      <c r="L776" t="str">
        <f>IF(ABS(tblTransactions[[#This Row],[net_sales_inr]]-tblTransactions[[#This Row],[Recalc_Net_Sales]])&lt;0.02,"OK","CHECK")</f>
        <v>OK</v>
      </c>
      <c r="M776" s="14">
        <f>DATE(YEAR(tblTransactions[[#This Row],[date]]),MONTH(tblTransactions[[#This Row],[date]]),1)</f>
        <v>45778</v>
      </c>
      <c r="N776" t="str">
        <f>IF(WEEKDAY(tblTransactions[[#This Row],[date]],2)&gt;5,"Weekend","Weekday")</f>
        <v>Weekday</v>
      </c>
      <c r="O776" s="13" t="str">
        <f>IF(tblTransactions[[#This Row],[discount_pct]]=0,"0%",IF(tblTransactions[[#This Row],[discount_pct]]&lt;=10%,"1–
10%",IF(tblTransactions[[#This Row],[discount_pct]]&lt;=20%,"11–20%","&gt;20%")))</f>
        <v>0%</v>
      </c>
      <c r="P776" s="13" t="str">
        <f>_xlfn.XLOOKUP(tblTransactions[[#This Row],[tenant_id]],tblTenants[tenant_id],tblTenants[zone],"NOT FOUND")</f>
        <v>Fashion Avenue</v>
      </c>
      <c r="Q776" s="13" t="str">
        <f>_xlfn.XLOOKUP(tblTransactions[[#This Row],[tenant_id]],tblTenants[tenant_id],tblTenants[category],"NOT FOUND")</f>
        <v>Clothing</v>
      </c>
    </row>
    <row r="777" spans="1:17">
      <c r="A777" t="s">
        <v>821</v>
      </c>
      <c r="B777" s="2">
        <v>45799</v>
      </c>
      <c r="C777">
        <v>13</v>
      </c>
      <c r="D777" t="s">
        <v>29</v>
      </c>
      <c r="E777" t="s">
        <v>32</v>
      </c>
      <c r="F777" s="7">
        <v>1184.6600000000001</v>
      </c>
      <c r="G777" s="10">
        <v>0</v>
      </c>
      <c r="H777" s="7">
        <v>1184.6600000000001</v>
      </c>
      <c r="I777">
        <v>3</v>
      </c>
      <c r="J777" t="s">
        <v>16</v>
      </c>
      <c r="K777" s="13">
        <f>ROUND(tblTransactions[[#This Row],[gross_sales_inr]]*(1-tblTransactions[[#This Row],[discount_pct]]),2)</f>
        <v>1184.6600000000001</v>
      </c>
      <c r="L777" t="str">
        <f>IF(ABS(tblTransactions[[#This Row],[net_sales_inr]]-tblTransactions[[#This Row],[Recalc_Net_Sales]])&lt;0.02,"OK","CHECK")</f>
        <v>OK</v>
      </c>
      <c r="M777" s="14">
        <f>DATE(YEAR(tblTransactions[[#This Row],[date]]),MONTH(tblTransactions[[#This Row],[date]]),1)</f>
        <v>45778</v>
      </c>
      <c r="N777" t="str">
        <f>IF(WEEKDAY(tblTransactions[[#This Row],[date]],2)&gt;5,"Weekend","Weekday")</f>
        <v>Weekday</v>
      </c>
      <c r="O777" s="13" t="str">
        <f>IF(tblTransactions[[#This Row],[discount_pct]]=0,"0%",IF(tblTransactions[[#This Row],[discount_pct]]&lt;=10%,"1–
10%",IF(tblTransactions[[#This Row],[discount_pct]]&lt;=20%,"11–20%","&gt;20%")))</f>
        <v>0%</v>
      </c>
      <c r="P777" s="13" t="str">
        <f>_xlfn.XLOOKUP(tblTransactions[[#This Row],[tenant_id]],tblTenants[tenant_id],tblTenants[zone],"NOT FOUND")</f>
        <v>Entertainment</v>
      </c>
      <c r="Q777" s="13" t="str">
        <f>_xlfn.XLOOKUP(tblTransactions[[#This Row],[tenant_id]],tblTenants[tenant_id],tblTenants[category],"NOT FOUND")</f>
        <v>Cinema</v>
      </c>
    </row>
    <row r="778" spans="1:17">
      <c r="A778" t="s">
        <v>822</v>
      </c>
      <c r="B778" s="2">
        <v>45672</v>
      </c>
      <c r="C778">
        <v>10</v>
      </c>
      <c r="D778" t="s">
        <v>41</v>
      </c>
      <c r="E778" t="s">
        <v>21</v>
      </c>
      <c r="F778" s="7">
        <v>664.41</v>
      </c>
      <c r="G778" s="10">
        <v>0</v>
      </c>
      <c r="H778" s="7">
        <v>664.41</v>
      </c>
      <c r="I778">
        <v>2</v>
      </c>
      <c r="J778" t="s">
        <v>13</v>
      </c>
      <c r="K778" s="13">
        <f>ROUND(tblTransactions[[#This Row],[gross_sales_inr]]*(1-tblTransactions[[#This Row],[discount_pct]]),2)</f>
        <v>664.41</v>
      </c>
      <c r="L778" t="str">
        <f>IF(ABS(tblTransactions[[#This Row],[net_sales_inr]]-tblTransactions[[#This Row],[Recalc_Net_Sales]])&lt;0.02,"OK","CHECK")</f>
        <v>OK</v>
      </c>
      <c r="M778" s="14">
        <f>DATE(YEAR(tblTransactions[[#This Row],[date]]),MONTH(tblTransactions[[#This Row],[date]]),1)</f>
        <v>45658</v>
      </c>
      <c r="N778" t="str">
        <f>IF(WEEKDAY(tblTransactions[[#This Row],[date]],2)&gt;5,"Weekend","Weekday")</f>
        <v>Weekday</v>
      </c>
      <c r="O778" s="13" t="str">
        <f>IF(tblTransactions[[#This Row],[discount_pct]]=0,"0%",IF(tblTransactions[[#This Row],[discount_pct]]&lt;=10%,"1–
10%",IF(tblTransactions[[#This Row],[discount_pct]]&lt;=20%,"11–20%","&gt;20%")))</f>
        <v>0%</v>
      </c>
      <c r="P778" s="13" t="str">
        <f>_xlfn.XLOOKUP(tblTransactions[[#This Row],[tenant_id]],tblTenants[tenant_id],tblTenants[zone],"NOT FOUND")</f>
        <v>Fashion Avenue</v>
      </c>
      <c r="Q778" s="13" t="str">
        <f>_xlfn.XLOOKUP(tblTransactions[[#This Row],[tenant_id]],tblTenants[tenant_id],tblTenants[category],"NOT FOUND")</f>
        <v>Clothing</v>
      </c>
    </row>
    <row r="779" spans="1:17">
      <c r="A779" t="s">
        <v>823</v>
      </c>
      <c r="B779" s="2">
        <v>45704</v>
      </c>
      <c r="C779">
        <v>20</v>
      </c>
      <c r="D779" t="s">
        <v>48</v>
      </c>
      <c r="E779" t="s">
        <v>21</v>
      </c>
      <c r="F779" s="7">
        <v>2182.94</v>
      </c>
      <c r="G779" s="10">
        <v>0</v>
      </c>
      <c r="H779" s="7">
        <v>2182.94</v>
      </c>
      <c r="I779">
        <v>3</v>
      </c>
      <c r="J779" t="s">
        <v>13</v>
      </c>
      <c r="K779" s="13">
        <f>ROUND(tblTransactions[[#This Row],[gross_sales_inr]]*(1-tblTransactions[[#This Row],[discount_pct]]),2)</f>
        <v>2182.94</v>
      </c>
      <c r="L779" t="str">
        <f>IF(ABS(tblTransactions[[#This Row],[net_sales_inr]]-tblTransactions[[#This Row],[Recalc_Net_Sales]])&lt;0.02,"OK","CHECK")</f>
        <v>OK</v>
      </c>
      <c r="M779" s="14">
        <f>DATE(YEAR(tblTransactions[[#This Row],[date]]),MONTH(tblTransactions[[#This Row],[date]]),1)</f>
        <v>45689</v>
      </c>
      <c r="N779" t="str">
        <f>IF(WEEKDAY(tblTransactions[[#This Row],[date]],2)&gt;5,"Weekend","Weekday")</f>
        <v>Weekend</v>
      </c>
      <c r="O779" s="13" t="str">
        <f>IF(tblTransactions[[#This Row],[discount_pct]]=0,"0%",IF(tblTransactions[[#This Row],[discount_pct]]&lt;=10%,"1–
10%",IF(tblTransactions[[#This Row],[discount_pct]]&lt;=20%,"11–20%","&gt;20%")))</f>
        <v>0%</v>
      </c>
      <c r="P779" s="13" t="str">
        <f>_xlfn.XLOOKUP(tblTransactions[[#This Row],[tenant_id]],tblTenants[tenant_id],tblTenants[zone],"NOT FOUND")</f>
        <v>Beauty &amp; Wellness</v>
      </c>
      <c r="Q779" s="13" t="str">
        <f>_xlfn.XLOOKUP(tblTransactions[[#This Row],[tenant_id]],tblTenants[tenant_id],tblTenants[category],"NOT FOUND")</f>
        <v>Wellness</v>
      </c>
    </row>
    <row r="780" spans="1:17">
      <c r="A780" t="s">
        <v>824</v>
      </c>
      <c r="B780" s="2">
        <v>45674</v>
      </c>
      <c r="C780">
        <v>10</v>
      </c>
      <c r="D780" t="s">
        <v>72</v>
      </c>
      <c r="E780" t="s">
        <v>12</v>
      </c>
      <c r="F780" s="7">
        <v>385.27</v>
      </c>
      <c r="G780" s="10">
        <v>0.05</v>
      </c>
      <c r="H780" s="7">
        <v>366.01</v>
      </c>
      <c r="I780">
        <v>4</v>
      </c>
      <c r="J780" t="s">
        <v>16</v>
      </c>
      <c r="K780" s="13">
        <f>ROUND(tblTransactions[[#This Row],[gross_sales_inr]]*(1-tblTransactions[[#This Row],[discount_pct]]),2)</f>
        <v>366.01</v>
      </c>
      <c r="L780" t="str">
        <f>IF(ABS(tblTransactions[[#This Row],[net_sales_inr]]-tblTransactions[[#This Row],[Recalc_Net_Sales]])&lt;0.02,"OK","CHECK")</f>
        <v>OK</v>
      </c>
      <c r="M780" s="14">
        <f>DATE(YEAR(tblTransactions[[#This Row],[date]]),MONTH(tblTransactions[[#This Row],[date]]),1)</f>
        <v>45658</v>
      </c>
      <c r="N780" t="str">
        <f>IF(WEEKDAY(tblTransactions[[#This Row],[date]],2)&gt;5,"Weekend","Weekday")</f>
        <v>Weekday</v>
      </c>
      <c r="O78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80" s="13" t="str">
        <f>_xlfn.XLOOKUP(tblTransactions[[#This Row],[tenant_id]],tblTenants[tenant_id],tblTenants[zone],"NOT FOUND")</f>
        <v>Entertainment</v>
      </c>
      <c r="Q780" s="13" t="str">
        <f>_xlfn.XLOOKUP(tblTransactions[[#This Row],[tenant_id]],tblTenants[tenant_id],tblTenants[category],"NOT FOUND")</f>
        <v>Arcade</v>
      </c>
    </row>
    <row r="781" spans="1:17">
      <c r="A781" t="s">
        <v>825</v>
      </c>
      <c r="B781" s="2">
        <v>45818</v>
      </c>
      <c r="C781">
        <v>10</v>
      </c>
      <c r="D781" t="s">
        <v>31</v>
      </c>
      <c r="E781" t="s">
        <v>51</v>
      </c>
      <c r="F781" s="7">
        <v>1183.0899999999999</v>
      </c>
      <c r="G781" s="10">
        <v>0</v>
      </c>
      <c r="H781" s="7">
        <v>1183.0899999999999</v>
      </c>
      <c r="I781">
        <v>1</v>
      </c>
      <c r="J781" t="s">
        <v>13</v>
      </c>
      <c r="K781" s="13">
        <f>ROUND(tblTransactions[[#This Row],[gross_sales_inr]]*(1-tblTransactions[[#This Row],[discount_pct]]),2)</f>
        <v>1183.0899999999999</v>
      </c>
      <c r="L781" t="str">
        <f>IF(ABS(tblTransactions[[#This Row],[net_sales_inr]]-tblTransactions[[#This Row],[Recalc_Net_Sales]])&lt;0.02,"OK","CHECK")</f>
        <v>OK</v>
      </c>
      <c r="M781" s="14">
        <f>DATE(YEAR(tblTransactions[[#This Row],[date]]),MONTH(tblTransactions[[#This Row],[date]]),1)</f>
        <v>45809</v>
      </c>
      <c r="N781" t="str">
        <f>IF(WEEKDAY(tblTransactions[[#This Row],[date]],2)&gt;5,"Weekend","Weekday")</f>
        <v>Weekday</v>
      </c>
      <c r="O781" s="13" t="str">
        <f>IF(tblTransactions[[#This Row],[discount_pct]]=0,"0%",IF(tblTransactions[[#This Row],[discount_pct]]&lt;=10%,"1–
10%",IF(tblTransactions[[#This Row],[discount_pct]]&lt;=20%,"11–20%","&gt;20%")))</f>
        <v>0%</v>
      </c>
      <c r="P781" s="13" t="str">
        <f>_xlfn.XLOOKUP(tblTransactions[[#This Row],[tenant_id]],tblTenants[tenant_id],tblTenants[zone],"NOT FOUND")</f>
        <v>Entertainment</v>
      </c>
      <c r="Q781" s="13" t="str">
        <f>_xlfn.XLOOKUP(tblTransactions[[#This Row],[tenant_id]],tblTenants[tenant_id],tblTenants[category],"NOT FOUND")</f>
        <v>Arcade</v>
      </c>
    </row>
    <row r="782" spans="1:17">
      <c r="A782" t="s">
        <v>826</v>
      </c>
      <c r="B782" s="2">
        <v>45792</v>
      </c>
      <c r="C782">
        <v>16</v>
      </c>
      <c r="D782" t="s">
        <v>31</v>
      </c>
      <c r="E782" t="s">
        <v>12</v>
      </c>
      <c r="F782" s="7">
        <v>1529.72</v>
      </c>
      <c r="G782" s="10">
        <v>0</v>
      </c>
      <c r="H782" s="7">
        <v>1529.72</v>
      </c>
      <c r="I782">
        <v>2</v>
      </c>
      <c r="J782" t="s">
        <v>13</v>
      </c>
      <c r="K782" s="13">
        <f>ROUND(tblTransactions[[#This Row],[gross_sales_inr]]*(1-tblTransactions[[#This Row],[discount_pct]]),2)</f>
        <v>1529.72</v>
      </c>
      <c r="L782" t="str">
        <f>IF(ABS(tblTransactions[[#This Row],[net_sales_inr]]-tblTransactions[[#This Row],[Recalc_Net_Sales]])&lt;0.02,"OK","CHECK")</f>
        <v>OK</v>
      </c>
      <c r="M782" s="14">
        <f>DATE(YEAR(tblTransactions[[#This Row],[date]]),MONTH(tblTransactions[[#This Row],[date]]),1)</f>
        <v>45778</v>
      </c>
      <c r="N782" t="str">
        <f>IF(WEEKDAY(tblTransactions[[#This Row],[date]],2)&gt;5,"Weekend","Weekday")</f>
        <v>Weekday</v>
      </c>
      <c r="O782" s="13" t="str">
        <f>IF(tblTransactions[[#This Row],[discount_pct]]=0,"0%",IF(tblTransactions[[#This Row],[discount_pct]]&lt;=10%,"1–
10%",IF(tblTransactions[[#This Row],[discount_pct]]&lt;=20%,"11–20%","&gt;20%")))</f>
        <v>0%</v>
      </c>
      <c r="P782" s="13" t="str">
        <f>_xlfn.XLOOKUP(tblTransactions[[#This Row],[tenant_id]],tblTenants[tenant_id],tblTenants[zone],"NOT FOUND")</f>
        <v>Entertainment</v>
      </c>
      <c r="Q782" s="13" t="str">
        <f>_xlfn.XLOOKUP(tblTransactions[[#This Row],[tenant_id]],tblTenants[tenant_id],tblTenants[category],"NOT FOUND")</f>
        <v>Arcade</v>
      </c>
    </row>
    <row r="783" spans="1:17">
      <c r="A783" t="s">
        <v>827</v>
      </c>
      <c r="B783" s="2">
        <v>45662</v>
      </c>
      <c r="C783">
        <v>22</v>
      </c>
      <c r="D783" t="s">
        <v>20</v>
      </c>
      <c r="E783" t="s">
        <v>12</v>
      </c>
      <c r="F783" s="7">
        <v>2507.58</v>
      </c>
      <c r="G783" s="10">
        <v>0.05</v>
      </c>
      <c r="H783" s="7">
        <v>2382.1999999999998</v>
      </c>
      <c r="I783">
        <v>2</v>
      </c>
      <c r="J783" t="s">
        <v>13</v>
      </c>
      <c r="K783" s="13">
        <f>ROUND(tblTransactions[[#This Row],[gross_sales_inr]]*(1-tblTransactions[[#This Row],[discount_pct]]),2)</f>
        <v>2382.1999999999998</v>
      </c>
      <c r="L783" t="str">
        <f>IF(ABS(tblTransactions[[#This Row],[net_sales_inr]]-tblTransactions[[#This Row],[Recalc_Net_Sales]])&lt;0.02,"OK","CHECK")</f>
        <v>OK</v>
      </c>
      <c r="M783" s="14">
        <f>DATE(YEAR(tblTransactions[[#This Row],[date]]),MONTH(tblTransactions[[#This Row],[date]]),1)</f>
        <v>45658</v>
      </c>
      <c r="N783" t="str">
        <f>IF(WEEKDAY(tblTransactions[[#This Row],[date]],2)&gt;5,"Weekend","Weekday")</f>
        <v>Weekend</v>
      </c>
      <c r="O78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83" s="13" t="str">
        <f>_xlfn.XLOOKUP(tblTransactions[[#This Row],[tenant_id]],tblTenants[tenant_id],tblTenants[zone],"NOT FOUND")</f>
        <v>Fashion Avenue</v>
      </c>
      <c r="Q783" s="13" t="str">
        <f>_xlfn.XLOOKUP(tblTransactions[[#This Row],[tenant_id]],tblTenants[tenant_id],tblTenants[category],"NOT FOUND")</f>
        <v>Accessories</v>
      </c>
    </row>
    <row r="784" spans="1:17">
      <c r="A784" t="s">
        <v>828</v>
      </c>
      <c r="B784" s="2">
        <v>45672</v>
      </c>
      <c r="C784">
        <v>20</v>
      </c>
      <c r="D784" t="s">
        <v>31</v>
      </c>
      <c r="E784" t="s">
        <v>12</v>
      </c>
      <c r="F784" s="7">
        <v>407.4</v>
      </c>
      <c r="G784" s="10">
        <v>0.2</v>
      </c>
      <c r="H784" s="7">
        <v>325.92</v>
      </c>
      <c r="I784">
        <v>1</v>
      </c>
      <c r="J784" t="s">
        <v>16</v>
      </c>
      <c r="K784" s="13">
        <f>ROUND(tblTransactions[[#This Row],[gross_sales_inr]]*(1-tblTransactions[[#This Row],[discount_pct]]),2)</f>
        <v>325.92</v>
      </c>
      <c r="L784" t="str">
        <f>IF(ABS(tblTransactions[[#This Row],[net_sales_inr]]-tblTransactions[[#This Row],[Recalc_Net_Sales]])&lt;0.02,"OK","CHECK")</f>
        <v>OK</v>
      </c>
      <c r="M784" s="14">
        <f>DATE(YEAR(tblTransactions[[#This Row],[date]]),MONTH(tblTransactions[[#This Row],[date]]),1)</f>
        <v>45658</v>
      </c>
      <c r="N784" t="str">
        <f>IF(WEEKDAY(tblTransactions[[#This Row],[date]],2)&gt;5,"Weekend","Weekday")</f>
        <v>Weekday</v>
      </c>
      <c r="O78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84" s="13" t="str">
        <f>_xlfn.XLOOKUP(tblTransactions[[#This Row],[tenant_id]],tblTenants[tenant_id],tblTenants[zone],"NOT FOUND")</f>
        <v>Entertainment</v>
      </c>
      <c r="Q784" s="13" t="str">
        <f>_xlfn.XLOOKUP(tblTransactions[[#This Row],[tenant_id]],tblTenants[tenant_id],tblTenants[category],"NOT FOUND")</f>
        <v>Arcade</v>
      </c>
    </row>
    <row r="785" spans="1:17">
      <c r="A785" t="s">
        <v>829</v>
      </c>
      <c r="B785" s="2">
        <v>45658</v>
      </c>
      <c r="C785">
        <v>12</v>
      </c>
      <c r="D785" t="s">
        <v>20</v>
      </c>
      <c r="E785" t="s">
        <v>32</v>
      </c>
      <c r="F785" s="7">
        <v>937.24</v>
      </c>
      <c r="G785" s="10">
        <v>0</v>
      </c>
      <c r="H785" s="7">
        <v>937.24</v>
      </c>
      <c r="I785">
        <v>4</v>
      </c>
      <c r="J785" t="s">
        <v>13</v>
      </c>
      <c r="K785" s="13">
        <f>ROUND(tblTransactions[[#This Row],[gross_sales_inr]]*(1-tblTransactions[[#This Row],[discount_pct]]),2)</f>
        <v>937.24</v>
      </c>
      <c r="L785" t="str">
        <f>IF(ABS(tblTransactions[[#This Row],[net_sales_inr]]-tblTransactions[[#This Row],[Recalc_Net_Sales]])&lt;0.02,"OK","CHECK")</f>
        <v>OK</v>
      </c>
      <c r="M785" s="14">
        <f>DATE(YEAR(tblTransactions[[#This Row],[date]]),MONTH(tblTransactions[[#This Row],[date]]),1)</f>
        <v>45658</v>
      </c>
      <c r="N785" t="str">
        <f>IF(WEEKDAY(tblTransactions[[#This Row],[date]],2)&gt;5,"Weekend","Weekday")</f>
        <v>Weekday</v>
      </c>
      <c r="O785" s="13" t="str">
        <f>IF(tblTransactions[[#This Row],[discount_pct]]=0,"0%",IF(tblTransactions[[#This Row],[discount_pct]]&lt;=10%,"1–
10%",IF(tblTransactions[[#This Row],[discount_pct]]&lt;=20%,"11–20%","&gt;20%")))</f>
        <v>0%</v>
      </c>
      <c r="P785" s="13" t="str">
        <f>_xlfn.XLOOKUP(tblTransactions[[#This Row],[tenant_id]],tblTenants[tenant_id],tblTenants[zone],"NOT FOUND")</f>
        <v>Fashion Avenue</v>
      </c>
      <c r="Q785" s="13" t="str">
        <f>_xlfn.XLOOKUP(tblTransactions[[#This Row],[tenant_id]],tblTenants[tenant_id],tblTenants[category],"NOT FOUND")</f>
        <v>Accessories</v>
      </c>
    </row>
    <row r="786" spans="1:17">
      <c r="A786" t="s">
        <v>830</v>
      </c>
      <c r="B786" s="2">
        <v>45678</v>
      </c>
      <c r="C786">
        <v>15</v>
      </c>
      <c r="D786" t="s">
        <v>25</v>
      </c>
      <c r="E786" t="s">
        <v>51</v>
      </c>
      <c r="F786" s="7">
        <v>645.02</v>
      </c>
      <c r="G786" s="10">
        <v>0</v>
      </c>
      <c r="H786" s="7">
        <v>645.02</v>
      </c>
      <c r="I786">
        <v>6</v>
      </c>
      <c r="J786" t="s">
        <v>13</v>
      </c>
      <c r="K786" s="13">
        <f>ROUND(tblTransactions[[#This Row],[gross_sales_inr]]*(1-tblTransactions[[#This Row],[discount_pct]]),2)</f>
        <v>645.02</v>
      </c>
      <c r="L786" t="str">
        <f>IF(ABS(tblTransactions[[#This Row],[net_sales_inr]]-tblTransactions[[#This Row],[Recalc_Net_Sales]])&lt;0.02,"OK","CHECK")</f>
        <v>OK</v>
      </c>
      <c r="M786" s="14">
        <f>DATE(YEAR(tblTransactions[[#This Row],[date]]),MONTH(tblTransactions[[#This Row],[date]]),1)</f>
        <v>45658</v>
      </c>
      <c r="N786" t="str">
        <f>IF(WEEKDAY(tblTransactions[[#This Row],[date]],2)&gt;5,"Weekend","Weekday")</f>
        <v>Weekday</v>
      </c>
      <c r="O786" s="13" t="str">
        <f>IF(tblTransactions[[#This Row],[discount_pct]]=0,"0%",IF(tblTransactions[[#This Row],[discount_pct]]&lt;=10%,"1–
10%",IF(tblTransactions[[#This Row],[discount_pct]]&lt;=20%,"11–20%","&gt;20%")))</f>
        <v>0%</v>
      </c>
      <c r="P786" s="13" t="str">
        <f>_xlfn.XLOOKUP(tblTransactions[[#This Row],[tenant_id]],tblTenants[tenant_id],tblTenants[zone],"NOT FOUND")</f>
        <v>Beauty &amp; Wellness</v>
      </c>
      <c r="Q786" s="13" t="str">
        <f>_xlfn.XLOOKUP(tblTransactions[[#This Row],[tenant_id]],tblTenants[tenant_id],tblTenants[category],"NOT FOUND")</f>
        <v>Beauty</v>
      </c>
    </row>
    <row r="787" spans="1:17">
      <c r="A787" t="s">
        <v>831</v>
      </c>
      <c r="B787" s="2">
        <v>45699</v>
      </c>
      <c r="C787">
        <v>14</v>
      </c>
      <c r="D787" t="s">
        <v>27</v>
      </c>
      <c r="E787" t="s">
        <v>51</v>
      </c>
      <c r="F787" s="7">
        <v>828.21</v>
      </c>
      <c r="G787" s="10">
        <v>0</v>
      </c>
      <c r="H787" s="7">
        <v>828.21</v>
      </c>
      <c r="I787">
        <v>1</v>
      </c>
      <c r="J787" t="s">
        <v>16</v>
      </c>
      <c r="K787" s="13">
        <f>ROUND(tblTransactions[[#This Row],[gross_sales_inr]]*(1-tblTransactions[[#This Row],[discount_pct]]),2)</f>
        <v>828.21</v>
      </c>
      <c r="L787" t="str">
        <f>IF(ABS(tblTransactions[[#This Row],[net_sales_inr]]-tblTransactions[[#This Row],[Recalc_Net_Sales]])&lt;0.02,"OK","CHECK")</f>
        <v>OK</v>
      </c>
      <c r="M787" s="14">
        <f>DATE(YEAR(tblTransactions[[#This Row],[date]]),MONTH(tblTransactions[[#This Row],[date]]),1)</f>
        <v>45689</v>
      </c>
      <c r="N787" t="str">
        <f>IF(WEEKDAY(tblTransactions[[#This Row],[date]],2)&gt;5,"Weekend","Weekday")</f>
        <v>Weekday</v>
      </c>
      <c r="O787" s="13" t="str">
        <f>IF(tblTransactions[[#This Row],[discount_pct]]=0,"0%",IF(tblTransactions[[#This Row],[discount_pct]]&lt;=10%,"1–
10%",IF(tblTransactions[[#This Row],[discount_pct]]&lt;=20%,"11–20%","&gt;20%")))</f>
        <v>0%</v>
      </c>
      <c r="P787" s="13" t="str">
        <f>_xlfn.XLOOKUP(tblTransactions[[#This Row],[tenant_id]],tblTenants[tenant_id],tblTenants[zone],"NOT FOUND")</f>
        <v>Beauty &amp; Wellness</v>
      </c>
      <c r="Q787" s="13" t="str">
        <f>_xlfn.XLOOKUP(tblTransactions[[#This Row],[tenant_id]],tblTenants[tenant_id],tblTenants[category],"NOT FOUND")</f>
        <v>Wellness</v>
      </c>
    </row>
    <row r="788" spans="1:17">
      <c r="A788" t="s">
        <v>832</v>
      </c>
      <c r="B788" s="2">
        <v>45835</v>
      </c>
      <c r="C788">
        <v>14</v>
      </c>
      <c r="D788" t="s">
        <v>104</v>
      </c>
      <c r="E788" t="s">
        <v>12</v>
      </c>
      <c r="F788" s="7">
        <v>944.52</v>
      </c>
      <c r="G788" s="10">
        <v>0</v>
      </c>
      <c r="H788" s="7">
        <v>944.52</v>
      </c>
      <c r="I788">
        <v>2</v>
      </c>
      <c r="J788" t="s">
        <v>13</v>
      </c>
      <c r="K788" s="13">
        <f>ROUND(tblTransactions[[#This Row],[gross_sales_inr]]*(1-tblTransactions[[#This Row],[discount_pct]]),2)</f>
        <v>944.52</v>
      </c>
      <c r="L788" t="str">
        <f>IF(ABS(tblTransactions[[#This Row],[net_sales_inr]]-tblTransactions[[#This Row],[Recalc_Net_Sales]])&lt;0.02,"OK","CHECK")</f>
        <v>OK</v>
      </c>
      <c r="M788" s="14">
        <f>DATE(YEAR(tblTransactions[[#This Row],[date]]),MONTH(tblTransactions[[#This Row],[date]]),1)</f>
        <v>45809</v>
      </c>
      <c r="N788" t="str">
        <f>IF(WEEKDAY(tblTransactions[[#This Row],[date]],2)&gt;5,"Weekend","Weekday")</f>
        <v>Weekday</v>
      </c>
      <c r="O788" s="13" t="str">
        <f>IF(tblTransactions[[#This Row],[discount_pct]]=0,"0%",IF(tblTransactions[[#This Row],[discount_pct]]&lt;=10%,"1–
10%",IF(tblTransactions[[#This Row],[discount_pct]]&lt;=20%,"11–20%","&gt;20%")))</f>
        <v>0%</v>
      </c>
      <c r="P788" s="13" t="str">
        <f>_xlfn.XLOOKUP(tblTransactions[[#This Row],[tenant_id]],tblTenants[tenant_id],tblTenants[zone],"NOT FOUND")</f>
        <v>Entertainment</v>
      </c>
      <c r="Q788" s="13" t="str">
        <f>_xlfn.XLOOKUP(tblTransactions[[#This Row],[tenant_id]],tblTenants[tenant_id],tblTenants[category],"NOT FOUND")</f>
        <v>Family Entertainment</v>
      </c>
    </row>
    <row r="789" spans="1:17">
      <c r="A789" t="s">
        <v>833</v>
      </c>
      <c r="B789" s="2">
        <v>45812</v>
      </c>
      <c r="C789">
        <v>12</v>
      </c>
      <c r="D789" t="s">
        <v>34</v>
      </c>
      <c r="E789" t="s">
        <v>12</v>
      </c>
      <c r="F789" s="7">
        <v>1048.97</v>
      </c>
      <c r="G789" s="10">
        <v>0</v>
      </c>
      <c r="H789" s="7">
        <v>1048.97</v>
      </c>
      <c r="I789">
        <v>2</v>
      </c>
      <c r="J789" t="s">
        <v>13</v>
      </c>
      <c r="K789" s="13">
        <f>ROUND(tblTransactions[[#This Row],[gross_sales_inr]]*(1-tblTransactions[[#This Row],[discount_pct]]),2)</f>
        <v>1048.97</v>
      </c>
      <c r="L789" t="str">
        <f>IF(ABS(tblTransactions[[#This Row],[net_sales_inr]]-tblTransactions[[#This Row],[Recalc_Net_Sales]])&lt;0.02,"OK","CHECK")</f>
        <v>OK</v>
      </c>
      <c r="M789" s="14">
        <f>DATE(YEAR(tblTransactions[[#This Row],[date]]),MONTH(tblTransactions[[#This Row],[date]]),1)</f>
        <v>45809</v>
      </c>
      <c r="N789" t="str">
        <f>IF(WEEKDAY(tblTransactions[[#This Row],[date]],2)&gt;5,"Weekend","Weekday")</f>
        <v>Weekday</v>
      </c>
      <c r="O789" s="13" t="str">
        <f>IF(tblTransactions[[#This Row],[discount_pct]]=0,"0%",IF(tblTransactions[[#This Row],[discount_pct]]&lt;=10%,"1–
10%",IF(tblTransactions[[#This Row],[discount_pct]]&lt;=20%,"11–20%","&gt;20%")))</f>
        <v>0%</v>
      </c>
      <c r="P789" s="13" t="str">
        <f>_xlfn.XLOOKUP(tblTransactions[[#This Row],[tenant_id]],tblTenants[tenant_id],tblTenants[zone],"NOT FOUND")</f>
        <v>Home &amp; Living</v>
      </c>
      <c r="Q789" s="13" t="str">
        <f>_xlfn.XLOOKUP(tblTransactions[[#This Row],[tenant_id]],tblTenants[tenant_id],tblTenants[category],"NOT FOUND")</f>
        <v>Electronics</v>
      </c>
    </row>
    <row r="790" spans="1:17">
      <c r="A790" t="s">
        <v>834</v>
      </c>
      <c r="B790" s="2">
        <v>45816</v>
      </c>
      <c r="C790">
        <v>10</v>
      </c>
      <c r="D790" t="s">
        <v>80</v>
      </c>
      <c r="E790" t="s">
        <v>32</v>
      </c>
      <c r="F790" s="7">
        <v>859.7</v>
      </c>
      <c r="G790" s="10">
        <v>0</v>
      </c>
      <c r="H790" s="7">
        <v>859.7</v>
      </c>
      <c r="I790">
        <v>1</v>
      </c>
      <c r="J790" t="s">
        <v>16</v>
      </c>
      <c r="K790" s="13">
        <f>ROUND(tblTransactions[[#This Row],[gross_sales_inr]]*(1-tblTransactions[[#This Row],[discount_pct]]),2)</f>
        <v>859.7</v>
      </c>
      <c r="L790" t="str">
        <f>IF(ABS(tblTransactions[[#This Row],[net_sales_inr]]-tblTransactions[[#This Row],[Recalc_Net_Sales]])&lt;0.02,"OK","CHECK")</f>
        <v>OK</v>
      </c>
      <c r="M790" s="14">
        <f>DATE(YEAR(tblTransactions[[#This Row],[date]]),MONTH(tblTransactions[[#This Row],[date]]),1)</f>
        <v>45809</v>
      </c>
      <c r="N790" t="str">
        <f>IF(WEEKDAY(tblTransactions[[#This Row],[date]],2)&gt;5,"Weekend","Weekday")</f>
        <v>Weekend</v>
      </c>
      <c r="O790" s="13" t="str">
        <f>IF(tblTransactions[[#This Row],[discount_pct]]=0,"0%",IF(tblTransactions[[#This Row],[discount_pct]]&lt;=10%,"1–
10%",IF(tblTransactions[[#This Row],[discount_pct]]&lt;=20%,"11–20%","&gt;20%")))</f>
        <v>0%</v>
      </c>
      <c r="P790" s="13" t="str">
        <f>_xlfn.XLOOKUP(tblTransactions[[#This Row],[tenant_id]],tblTenants[tenant_id],tblTenants[zone],"NOT FOUND")</f>
        <v>Food Court</v>
      </c>
      <c r="Q790" s="13" t="str">
        <f>_xlfn.XLOOKUP(tblTransactions[[#This Row],[tenant_id]],tblTenants[tenant_id],tblTenants[category],"NOT FOUND")</f>
        <v>Casual Dining</v>
      </c>
    </row>
    <row r="791" spans="1:17">
      <c r="A791" t="s">
        <v>835</v>
      </c>
      <c r="B791" s="2">
        <v>45785</v>
      </c>
      <c r="C791">
        <v>16</v>
      </c>
      <c r="D791" t="s">
        <v>55</v>
      </c>
      <c r="E791" t="s">
        <v>12</v>
      </c>
      <c r="F791" s="7">
        <v>431.67</v>
      </c>
      <c r="G791" s="10">
        <v>0.05</v>
      </c>
      <c r="H791" s="7">
        <v>410.09</v>
      </c>
      <c r="I791">
        <v>6</v>
      </c>
      <c r="J791" t="s">
        <v>16</v>
      </c>
      <c r="K791" s="13">
        <f>ROUND(tblTransactions[[#This Row],[gross_sales_inr]]*(1-tblTransactions[[#This Row],[discount_pct]]),2)</f>
        <v>410.09</v>
      </c>
      <c r="L791" t="str">
        <f>IF(ABS(tblTransactions[[#This Row],[net_sales_inr]]-tblTransactions[[#This Row],[Recalc_Net_Sales]])&lt;0.02,"OK","CHECK")</f>
        <v>OK</v>
      </c>
      <c r="M791" s="14">
        <f>DATE(YEAR(tblTransactions[[#This Row],[date]]),MONTH(tblTransactions[[#This Row],[date]]),1)</f>
        <v>45778</v>
      </c>
      <c r="N791" t="str">
        <f>IF(WEEKDAY(tblTransactions[[#This Row],[date]],2)&gt;5,"Weekend","Weekday")</f>
        <v>Weekday</v>
      </c>
      <c r="O79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91" s="13" t="str">
        <f>_xlfn.XLOOKUP(tblTransactions[[#This Row],[tenant_id]],tblTenants[tenant_id],tblTenants[zone],"NOT FOUND")</f>
        <v>Food Court</v>
      </c>
      <c r="Q791" s="13" t="str">
        <f>_xlfn.XLOOKUP(tblTransactions[[#This Row],[tenant_id]],tblTenants[tenant_id],tblTenants[category],"NOT FOUND")</f>
        <v>Quick Service</v>
      </c>
    </row>
    <row r="792" spans="1:17">
      <c r="A792" t="s">
        <v>836</v>
      </c>
      <c r="B792" s="2">
        <v>45709</v>
      </c>
      <c r="C792">
        <v>15</v>
      </c>
      <c r="D792" t="s">
        <v>85</v>
      </c>
      <c r="E792" t="s">
        <v>12</v>
      </c>
      <c r="F792" s="7">
        <v>1277.99</v>
      </c>
      <c r="G792" s="10">
        <v>0.15</v>
      </c>
      <c r="H792" s="7">
        <v>1086.29</v>
      </c>
      <c r="I792">
        <v>3</v>
      </c>
      <c r="J792" t="s">
        <v>13</v>
      </c>
      <c r="K792" s="13">
        <f>ROUND(tblTransactions[[#This Row],[gross_sales_inr]]*(1-tblTransactions[[#This Row],[discount_pct]]),2)</f>
        <v>1086.29</v>
      </c>
      <c r="L792" t="str">
        <f>IF(ABS(tblTransactions[[#This Row],[net_sales_inr]]-tblTransactions[[#This Row],[Recalc_Net_Sales]])&lt;0.02,"OK","CHECK")</f>
        <v>OK</v>
      </c>
      <c r="M792" s="14">
        <f>DATE(YEAR(tblTransactions[[#This Row],[date]]),MONTH(tblTransactions[[#This Row],[date]]),1)</f>
        <v>45689</v>
      </c>
      <c r="N792" t="str">
        <f>IF(WEEKDAY(tblTransactions[[#This Row],[date]],2)&gt;5,"Weekend","Weekday")</f>
        <v>Weekday</v>
      </c>
      <c r="O79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92" s="13" t="str">
        <f>_xlfn.XLOOKUP(tblTransactions[[#This Row],[tenant_id]],tblTenants[tenant_id],tblTenants[zone],"NOT FOUND")</f>
        <v>Home &amp; Living</v>
      </c>
      <c r="Q792" s="13" t="str">
        <f>_xlfn.XLOOKUP(tblTransactions[[#This Row],[tenant_id]],tblTenants[tenant_id],tblTenants[category],"NOT FOUND")</f>
        <v>Electronics</v>
      </c>
    </row>
    <row r="793" spans="1:17">
      <c r="A793" t="s">
        <v>837</v>
      </c>
      <c r="B793" s="2">
        <v>45801</v>
      </c>
      <c r="C793">
        <v>19</v>
      </c>
      <c r="D793" t="s">
        <v>98</v>
      </c>
      <c r="E793" t="s">
        <v>12</v>
      </c>
      <c r="F793" s="7">
        <v>1652.06</v>
      </c>
      <c r="G793" s="10">
        <v>0</v>
      </c>
      <c r="H793" s="7">
        <v>1652.06</v>
      </c>
      <c r="I793">
        <v>2</v>
      </c>
      <c r="J793" t="s">
        <v>13</v>
      </c>
      <c r="K793" s="13">
        <f>ROUND(tblTransactions[[#This Row],[gross_sales_inr]]*(1-tblTransactions[[#This Row],[discount_pct]]),2)</f>
        <v>1652.06</v>
      </c>
      <c r="L793" t="str">
        <f>IF(ABS(tblTransactions[[#This Row],[net_sales_inr]]-tblTransactions[[#This Row],[Recalc_Net_Sales]])&lt;0.02,"OK","CHECK")</f>
        <v>OK</v>
      </c>
      <c r="M793" s="14">
        <f>DATE(YEAR(tblTransactions[[#This Row],[date]]),MONTH(tblTransactions[[#This Row],[date]]),1)</f>
        <v>45778</v>
      </c>
      <c r="N793" t="str">
        <f>IF(WEEKDAY(tblTransactions[[#This Row],[date]],2)&gt;5,"Weekend","Weekday")</f>
        <v>Weekend</v>
      </c>
      <c r="O793" s="13" t="str">
        <f>IF(tblTransactions[[#This Row],[discount_pct]]=0,"0%",IF(tblTransactions[[#This Row],[discount_pct]]&lt;=10%,"1–
10%",IF(tblTransactions[[#This Row],[discount_pct]]&lt;=20%,"11–20%","&gt;20%")))</f>
        <v>0%</v>
      </c>
      <c r="P793" s="13" t="str">
        <f>_xlfn.XLOOKUP(tblTransactions[[#This Row],[tenant_id]],tblTenants[tenant_id],tblTenants[zone],"NOT FOUND")</f>
        <v>Fashion Avenue</v>
      </c>
      <c r="Q793" s="13" t="str">
        <f>_xlfn.XLOOKUP(tblTransactions[[#This Row],[tenant_id]],tblTenants[tenant_id],tblTenants[category],"NOT FOUND")</f>
        <v>Accessories</v>
      </c>
    </row>
    <row r="794" spans="1:17">
      <c r="A794" t="s">
        <v>838</v>
      </c>
      <c r="B794" s="2">
        <v>45754</v>
      </c>
      <c r="C794">
        <v>10</v>
      </c>
      <c r="D794" t="s">
        <v>87</v>
      </c>
      <c r="E794" t="s">
        <v>12</v>
      </c>
      <c r="F794" s="7">
        <v>809.18</v>
      </c>
      <c r="G794" s="10">
        <v>0.1</v>
      </c>
      <c r="H794" s="7">
        <v>728.26</v>
      </c>
      <c r="I794">
        <v>2</v>
      </c>
      <c r="J794" t="s">
        <v>16</v>
      </c>
      <c r="K794" s="13">
        <f>ROUND(tblTransactions[[#This Row],[gross_sales_inr]]*(1-tblTransactions[[#This Row],[discount_pct]]),2)</f>
        <v>728.26</v>
      </c>
      <c r="L794" t="str">
        <f>IF(ABS(tblTransactions[[#This Row],[net_sales_inr]]-tblTransactions[[#This Row],[Recalc_Net_Sales]])&lt;0.02,"OK","CHECK")</f>
        <v>OK</v>
      </c>
      <c r="M794" s="14">
        <f>DATE(YEAR(tblTransactions[[#This Row],[date]]),MONTH(tblTransactions[[#This Row],[date]]),1)</f>
        <v>45748</v>
      </c>
      <c r="N794" t="str">
        <f>IF(WEEKDAY(tblTransactions[[#This Row],[date]],2)&gt;5,"Weekend","Weekday")</f>
        <v>Weekday</v>
      </c>
      <c r="O79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94" s="13" t="str">
        <f>_xlfn.XLOOKUP(tblTransactions[[#This Row],[tenant_id]],tblTenants[tenant_id],tblTenants[zone],"NOT FOUND")</f>
        <v>Fashion Avenue</v>
      </c>
      <c r="Q794" s="13" t="str">
        <f>_xlfn.XLOOKUP(tblTransactions[[#This Row],[tenant_id]],tblTenants[tenant_id],tblTenants[category],"NOT FOUND")</f>
        <v>Footwear</v>
      </c>
    </row>
    <row r="795" spans="1:17">
      <c r="A795" t="s">
        <v>839</v>
      </c>
      <c r="B795" s="2">
        <v>45705</v>
      </c>
      <c r="C795">
        <v>10</v>
      </c>
      <c r="D795" t="s">
        <v>45</v>
      </c>
      <c r="E795" t="s">
        <v>32</v>
      </c>
      <c r="F795" s="7">
        <v>1862.71</v>
      </c>
      <c r="G795" s="10">
        <v>0</v>
      </c>
      <c r="H795" s="7">
        <v>1862.71</v>
      </c>
      <c r="I795">
        <v>1</v>
      </c>
      <c r="J795" t="s">
        <v>16</v>
      </c>
      <c r="K795" s="13">
        <f>ROUND(tblTransactions[[#This Row],[gross_sales_inr]]*(1-tblTransactions[[#This Row],[discount_pct]]),2)</f>
        <v>1862.71</v>
      </c>
      <c r="L795" t="str">
        <f>IF(ABS(tblTransactions[[#This Row],[net_sales_inr]]-tblTransactions[[#This Row],[Recalc_Net_Sales]])&lt;0.02,"OK","CHECK")</f>
        <v>OK</v>
      </c>
      <c r="M795" s="14">
        <f>DATE(YEAR(tblTransactions[[#This Row],[date]]),MONTH(tblTransactions[[#This Row],[date]]),1)</f>
        <v>45689</v>
      </c>
      <c r="N795" t="str">
        <f>IF(WEEKDAY(tblTransactions[[#This Row],[date]],2)&gt;5,"Weekend","Weekday")</f>
        <v>Weekday</v>
      </c>
      <c r="O795" s="13" t="str">
        <f>IF(tblTransactions[[#This Row],[discount_pct]]=0,"0%",IF(tblTransactions[[#This Row],[discount_pct]]&lt;=10%,"1–
10%",IF(tblTransactions[[#This Row],[discount_pct]]&lt;=20%,"11–20%","&gt;20%")))</f>
        <v>0%</v>
      </c>
      <c r="P795" s="13" t="str">
        <f>_xlfn.XLOOKUP(tblTransactions[[#This Row],[tenant_id]],tblTenants[tenant_id],tblTenants[zone],"NOT FOUND")</f>
        <v>Home &amp; Living</v>
      </c>
      <c r="Q795" s="13" t="str">
        <f>_xlfn.XLOOKUP(tblTransactions[[#This Row],[tenant_id]],tblTenants[tenant_id],tblTenants[category],"NOT FOUND")</f>
        <v>Home Decor</v>
      </c>
    </row>
    <row r="796" spans="1:17">
      <c r="A796" t="s">
        <v>840</v>
      </c>
      <c r="B796" s="2">
        <v>45722</v>
      </c>
      <c r="C796">
        <v>12</v>
      </c>
      <c r="D796" t="s">
        <v>61</v>
      </c>
      <c r="E796" t="s">
        <v>12</v>
      </c>
      <c r="F796" s="7">
        <v>1078.58</v>
      </c>
      <c r="G796" s="10">
        <v>0.1</v>
      </c>
      <c r="H796" s="7">
        <v>970.72</v>
      </c>
      <c r="I796">
        <v>5</v>
      </c>
      <c r="J796" t="s">
        <v>13</v>
      </c>
      <c r="K796" s="13">
        <f>ROUND(tblTransactions[[#This Row],[gross_sales_inr]]*(1-tblTransactions[[#This Row],[discount_pct]]),2)</f>
        <v>970.72</v>
      </c>
      <c r="L796" t="str">
        <f>IF(ABS(tblTransactions[[#This Row],[net_sales_inr]]-tblTransactions[[#This Row],[Recalc_Net_Sales]])&lt;0.02,"OK","CHECK")</f>
        <v>OK</v>
      </c>
      <c r="M796" s="14">
        <f>DATE(YEAR(tblTransactions[[#This Row],[date]]),MONTH(tblTransactions[[#This Row],[date]]),1)</f>
        <v>45717</v>
      </c>
      <c r="N796" t="str">
        <f>IF(WEEKDAY(tblTransactions[[#This Row],[date]],2)&gt;5,"Weekend","Weekday")</f>
        <v>Weekday</v>
      </c>
      <c r="O79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96" s="13" t="str">
        <f>_xlfn.XLOOKUP(tblTransactions[[#This Row],[tenant_id]],tblTenants[tenant_id],tblTenants[zone],"NOT FOUND")</f>
        <v>Food Court</v>
      </c>
      <c r="Q796" s="13" t="str">
        <f>_xlfn.XLOOKUP(tblTransactions[[#This Row],[tenant_id]],tblTenants[tenant_id],tblTenants[category],"NOT FOUND")</f>
        <v>Quick Service</v>
      </c>
    </row>
    <row r="797" spans="1:17">
      <c r="A797" t="s">
        <v>841</v>
      </c>
      <c r="B797" s="2">
        <v>45718</v>
      </c>
      <c r="C797">
        <v>18</v>
      </c>
      <c r="D797" t="s">
        <v>80</v>
      </c>
      <c r="E797" t="s">
        <v>21</v>
      </c>
      <c r="F797" s="7">
        <v>684.18</v>
      </c>
      <c r="G797" s="10">
        <v>0.15</v>
      </c>
      <c r="H797" s="7">
        <v>581.54999999999995</v>
      </c>
      <c r="I797">
        <v>2</v>
      </c>
      <c r="J797" t="s">
        <v>13</v>
      </c>
      <c r="K797" s="13">
        <f>ROUND(tblTransactions[[#This Row],[gross_sales_inr]]*(1-tblTransactions[[#This Row],[discount_pct]]),2)</f>
        <v>581.54999999999995</v>
      </c>
      <c r="L797" t="str">
        <f>IF(ABS(tblTransactions[[#This Row],[net_sales_inr]]-tblTransactions[[#This Row],[Recalc_Net_Sales]])&lt;0.02,"OK","CHECK")</f>
        <v>OK</v>
      </c>
      <c r="M797" s="14">
        <f>DATE(YEAR(tblTransactions[[#This Row],[date]]),MONTH(tblTransactions[[#This Row],[date]]),1)</f>
        <v>45717</v>
      </c>
      <c r="N797" t="str">
        <f>IF(WEEKDAY(tblTransactions[[#This Row],[date]],2)&gt;5,"Weekend","Weekday")</f>
        <v>Weekend</v>
      </c>
      <c r="O79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797" s="13" t="str">
        <f>_xlfn.XLOOKUP(tblTransactions[[#This Row],[tenant_id]],tblTenants[tenant_id],tblTenants[zone],"NOT FOUND")</f>
        <v>Food Court</v>
      </c>
      <c r="Q797" s="13" t="str">
        <f>_xlfn.XLOOKUP(tblTransactions[[#This Row],[tenant_id]],tblTenants[tenant_id],tblTenants[category],"NOT FOUND")</f>
        <v>Casual Dining</v>
      </c>
    </row>
    <row r="798" spans="1:17">
      <c r="A798" t="s">
        <v>842</v>
      </c>
      <c r="B798" s="2">
        <v>45817</v>
      </c>
      <c r="C798">
        <v>18</v>
      </c>
      <c r="D798" t="s">
        <v>43</v>
      </c>
      <c r="E798" t="s">
        <v>51</v>
      </c>
      <c r="F798" s="7">
        <v>655.5</v>
      </c>
      <c r="G798" s="10">
        <v>0</v>
      </c>
      <c r="H798" s="7">
        <v>655.5</v>
      </c>
      <c r="I798">
        <v>4</v>
      </c>
      <c r="J798" t="s">
        <v>16</v>
      </c>
      <c r="K798" s="13">
        <f>ROUND(tblTransactions[[#This Row],[gross_sales_inr]]*(1-tblTransactions[[#This Row],[discount_pct]]),2)</f>
        <v>655.5</v>
      </c>
      <c r="L798" t="str">
        <f>IF(ABS(tblTransactions[[#This Row],[net_sales_inr]]-tblTransactions[[#This Row],[Recalc_Net_Sales]])&lt;0.02,"OK","CHECK")</f>
        <v>OK</v>
      </c>
      <c r="M798" s="14">
        <f>DATE(YEAR(tblTransactions[[#This Row],[date]]),MONTH(tblTransactions[[#This Row],[date]]),1)</f>
        <v>45809</v>
      </c>
      <c r="N798" t="str">
        <f>IF(WEEKDAY(tblTransactions[[#This Row],[date]],2)&gt;5,"Weekend","Weekday")</f>
        <v>Weekday</v>
      </c>
      <c r="O798" s="13" t="str">
        <f>IF(tblTransactions[[#This Row],[discount_pct]]=0,"0%",IF(tblTransactions[[#This Row],[discount_pct]]&lt;=10%,"1–
10%",IF(tblTransactions[[#This Row],[discount_pct]]&lt;=20%,"11–20%","&gt;20%")))</f>
        <v>0%</v>
      </c>
      <c r="P798" s="13" t="str">
        <f>_xlfn.XLOOKUP(tblTransactions[[#This Row],[tenant_id]],tblTenants[tenant_id],tblTenants[zone],"NOT FOUND")</f>
        <v>Food Court</v>
      </c>
      <c r="Q798" s="13" t="str">
        <f>_xlfn.XLOOKUP(tblTransactions[[#This Row],[tenant_id]],tblTenants[tenant_id],tblTenants[category],"NOT FOUND")</f>
        <v>Casual Dining</v>
      </c>
    </row>
    <row r="799" spans="1:17">
      <c r="A799" t="s">
        <v>843</v>
      </c>
      <c r="B799" s="2">
        <v>45659</v>
      </c>
      <c r="C799">
        <v>22</v>
      </c>
      <c r="D799" t="s">
        <v>53</v>
      </c>
      <c r="E799" t="s">
        <v>21</v>
      </c>
      <c r="F799" s="7">
        <v>1553.71</v>
      </c>
      <c r="G799" s="10">
        <v>0.05</v>
      </c>
      <c r="H799" s="7">
        <v>1476.02</v>
      </c>
      <c r="I799">
        <v>1</v>
      </c>
      <c r="J799" t="s">
        <v>13</v>
      </c>
      <c r="K799" s="13">
        <f>ROUND(tblTransactions[[#This Row],[gross_sales_inr]]*(1-tblTransactions[[#This Row],[discount_pct]]),2)</f>
        <v>1476.02</v>
      </c>
      <c r="L799" t="str">
        <f>IF(ABS(tblTransactions[[#This Row],[net_sales_inr]]-tblTransactions[[#This Row],[Recalc_Net_Sales]])&lt;0.02,"OK","CHECK")</f>
        <v>OK</v>
      </c>
      <c r="M799" s="14">
        <f>DATE(YEAR(tblTransactions[[#This Row],[date]]),MONTH(tblTransactions[[#This Row],[date]]),1)</f>
        <v>45658</v>
      </c>
      <c r="N799" t="str">
        <f>IF(WEEKDAY(tblTransactions[[#This Row],[date]],2)&gt;5,"Weekend","Weekday")</f>
        <v>Weekday</v>
      </c>
      <c r="O79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799" s="13" t="str">
        <f>_xlfn.XLOOKUP(tblTransactions[[#This Row],[tenant_id]],tblTenants[tenant_id],tblTenants[zone],"NOT FOUND")</f>
        <v>Beauty &amp; Wellness</v>
      </c>
      <c r="Q799" s="13" t="str">
        <f>_xlfn.XLOOKUP(tblTransactions[[#This Row],[tenant_id]],tblTenants[tenant_id],tblTenants[category],"NOT FOUND")</f>
        <v>Beauty</v>
      </c>
    </row>
    <row r="800" spans="1:17">
      <c r="A800" t="s">
        <v>844</v>
      </c>
      <c r="B800" s="2">
        <v>45735</v>
      </c>
      <c r="C800">
        <v>10</v>
      </c>
      <c r="D800" t="s">
        <v>25</v>
      </c>
      <c r="E800" t="s">
        <v>32</v>
      </c>
      <c r="F800" s="7">
        <v>918.86</v>
      </c>
      <c r="G800" s="10">
        <v>0</v>
      </c>
      <c r="H800" s="7">
        <v>918.86</v>
      </c>
      <c r="I800">
        <v>1</v>
      </c>
      <c r="J800" t="s">
        <v>16</v>
      </c>
      <c r="K800" s="13">
        <f>ROUND(tblTransactions[[#This Row],[gross_sales_inr]]*(1-tblTransactions[[#This Row],[discount_pct]]),2)</f>
        <v>918.86</v>
      </c>
      <c r="L800" t="str">
        <f>IF(ABS(tblTransactions[[#This Row],[net_sales_inr]]-tblTransactions[[#This Row],[Recalc_Net_Sales]])&lt;0.02,"OK","CHECK")</f>
        <v>OK</v>
      </c>
      <c r="M800" s="14">
        <f>DATE(YEAR(tblTransactions[[#This Row],[date]]),MONTH(tblTransactions[[#This Row],[date]]),1)</f>
        <v>45717</v>
      </c>
      <c r="N800" t="str">
        <f>IF(WEEKDAY(tblTransactions[[#This Row],[date]],2)&gt;5,"Weekend","Weekday")</f>
        <v>Weekday</v>
      </c>
      <c r="O800" s="13" t="str">
        <f>IF(tblTransactions[[#This Row],[discount_pct]]=0,"0%",IF(tblTransactions[[#This Row],[discount_pct]]&lt;=10%,"1–
10%",IF(tblTransactions[[#This Row],[discount_pct]]&lt;=20%,"11–20%","&gt;20%")))</f>
        <v>0%</v>
      </c>
      <c r="P800" s="13" t="str">
        <f>_xlfn.XLOOKUP(tblTransactions[[#This Row],[tenant_id]],tblTenants[tenant_id],tblTenants[zone],"NOT FOUND")</f>
        <v>Beauty &amp; Wellness</v>
      </c>
      <c r="Q800" s="13" t="str">
        <f>_xlfn.XLOOKUP(tblTransactions[[#This Row],[tenant_id]],tblTenants[tenant_id],tblTenants[category],"NOT FOUND")</f>
        <v>Beauty</v>
      </c>
    </row>
    <row r="801" spans="1:17">
      <c r="A801" t="s">
        <v>845</v>
      </c>
      <c r="B801" s="2">
        <v>45713</v>
      </c>
      <c r="C801">
        <v>19</v>
      </c>
      <c r="D801" t="s">
        <v>36</v>
      </c>
      <c r="E801" t="s">
        <v>32</v>
      </c>
      <c r="F801" s="7">
        <v>817.86</v>
      </c>
      <c r="G801" s="10">
        <v>0</v>
      </c>
      <c r="H801" s="7">
        <v>817.86</v>
      </c>
      <c r="I801">
        <v>3</v>
      </c>
      <c r="J801" t="s">
        <v>16</v>
      </c>
      <c r="K801" s="13">
        <f>ROUND(tblTransactions[[#This Row],[gross_sales_inr]]*(1-tblTransactions[[#This Row],[discount_pct]]),2)</f>
        <v>817.86</v>
      </c>
      <c r="L801" t="str">
        <f>IF(ABS(tblTransactions[[#This Row],[net_sales_inr]]-tblTransactions[[#This Row],[Recalc_Net_Sales]])&lt;0.02,"OK","CHECK")</f>
        <v>OK</v>
      </c>
      <c r="M801" s="14">
        <f>DATE(YEAR(tblTransactions[[#This Row],[date]]),MONTH(tblTransactions[[#This Row],[date]]),1)</f>
        <v>45689</v>
      </c>
      <c r="N801" t="str">
        <f>IF(WEEKDAY(tblTransactions[[#This Row],[date]],2)&gt;5,"Weekend","Weekday")</f>
        <v>Weekday</v>
      </c>
      <c r="O801" s="13" t="str">
        <f>IF(tblTransactions[[#This Row],[discount_pct]]=0,"0%",IF(tblTransactions[[#This Row],[discount_pct]]&lt;=10%,"1–
10%",IF(tblTransactions[[#This Row],[discount_pct]]&lt;=20%,"11–20%","&gt;20%")))</f>
        <v>0%</v>
      </c>
      <c r="P801" s="13" t="str">
        <f>_xlfn.XLOOKUP(tblTransactions[[#This Row],[tenant_id]],tblTenants[tenant_id],tblTenants[zone],"NOT FOUND")</f>
        <v>Home &amp; Living</v>
      </c>
      <c r="Q801" s="13" t="str">
        <f>_xlfn.XLOOKUP(tblTransactions[[#This Row],[tenant_id]],tblTenants[tenant_id],tblTenants[category],"NOT FOUND")</f>
        <v>Electronics</v>
      </c>
    </row>
    <row r="802" spans="1:17">
      <c r="A802" t="s">
        <v>846</v>
      </c>
      <c r="B802" s="2">
        <v>45800</v>
      </c>
      <c r="C802">
        <v>14</v>
      </c>
      <c r="D802" t="s">
        <v>87</v>
      </c>
      <c r="E802" t="s">
        <v>32</v>
      </c>
      <c r="F802" s="7">
        <v>4484.1099999999997</v>
      </c>
      <c r="G802" s="10">
        <v>0</v>
      </c>
      <c r="H802" s="7">
        <v>4484.1099999999997</v>
      </c>
      <c r="I802">
        <v>3</v>
      </c>
      <c r="J802" t="s">
        <v>13</v>
      </c>
      <c r="K802" s="13">
        <f>ROUND(tblTransactions[[#This Row],[gross_sales_inr]]*(1-tblTransactions[[#This Row],[discount_pct]]),2)</f>
        <v>4484.1099999999997</v>
      </c>
      <c r="L802" t="str">
        <f>IF(ABS(tblTransactions[[#This Row],[net_sales_inr]]-tblTransactions[[#This Row],[Recalc_Net_Sales]])&lt;0.02,"OK","CHECK")</f>
        <v>OK</v>
      </c>
      <c r="M802" s="14">
        <f>DATE(YEAR(tblTransactions[[#This Row],[date]]),MONTH(tblTransactions[[#This Row],[date]]),1)</f>
        <v>45778</v>
      </c>
      <c r="N802" t="str">
        <f>IF(WEEKDAY(tblTransactions[[#This Row],[date]],2)&gt;5,"Weekend","Weekday")</f>
        <v>Weekday</v>
      </c>
      <c r="O802" s="13" t="str">
        <f>IF(tblTransactions[[#This Row],[discount_pct]]=0,"0%",IF(tblTransactions[[#This Row],[discount_pct]]&lt;=10%,"1–
10%",IF(tblTransactions[[#This Row],[discount_pct]]&lt;=20%,"11–20%","&gt;20%")))</f>
        <v>0%</v>
      </c>
      <c r="P802" s="13" t="str">
        <f>_xlfn.XLOOKUP(tblTransactions[[#This Row],[tenant_id]],tblTenants[tenant_id],tblTenants[zone],"NOT FOUND")</f>
        <v>Fashion Avenue</v>
      </c>
      <c r="Q802" s="13" t="str">
        <f>_xlfn.XLOOKUP(tblTransactions[[#This Row],[tenant_id]],tblTenants[tenant_id],tblTenants[category],"NOT FOUND")</f>
        <v>Footwear</v>
      </c>
    </row>
    <row r="803" spans="1:17">
      <c r="A803" t="s">
        <v>847</v>
      </c>
      <c r="B803" s="2">
        <v>45795</v>
      </c>
      <c r="C803">
        <v>19</v>
      </c>
      <c r="D803" t="s">
        <v>23</v>
      </c>
      <c r="E803" t="s">
        <v>21</v>
      </c>
      <c r="F803" s="7">
        <v>325.83999999999997</v>
      </c>
      <c r="G803" s="10">
        <v>0.1</v>
      </c>
      <c r="H803" s="7">
        <v>293.26</v>
      </c>
      <c r="I803">
        <v>3</v>
      </c>
      <c r="J803" t="s">
        <v>13</v>
      </c>
      <c r="K803" s="13">
        <f>ROUND(tblTransactions[[#This Row],[gross_sales_inr]]*(1-tblTransactions[[#This Row],[discount_pct]]),2)</f>
        <v>293.26</v>
      </c>
      <c r="L803" t="str">
        <f>IF(ABS(tblTransactions[[#This Row],[net_sales_inr]]-tblTransactions[[#This Row],[Recalc_Net_Sales]])&lt;0.02,"OK","CHECK")</f>
        <v>OK</v>
      </c>
      <c r="M803" s="14">
        <f>DATE(YEAR(tblTransactions[[#This Row],[date]]),MONTH(tblTransactions[[#This Row],[date]]),1)</f>
        <v>45778</v>
      </c>
      <c r="N803" t="str">
        <f>IF(WEEKDAY(tblTransactions[[#This Row],[date]],2)&gt;5,"Weekend","Weekday")</f>
        <v>Weekend</v>
      </c>
      <c r="O80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03" s="13" t="str">
        <f>_xlfn.XLOOKUP(tblTransactions[[#This Row],[tenant_id]],tblTenants[tenant_id],tblTenants[zone],"NOT FOUND")</f>
        <v>Entertainment</v>
      </c>
      <c r="Q803" s="13" t="str">
        <f>_xlfn.XLOOKUP(tblTransactions[[#This Row],[tenant_id]],tblTenants[tenant_id],tblTenants[category],"NOT FOUND")</f>
        <v>Cinema</v>
      </c>
    </row>
    <row r="804" spans="1:17">
      <c r="A804" t="s">
        <v>848</v>
      </c>
      <c r="B804" s="2">
        <v>45813</v>
      </c>
      <c r="C804">
        <v>22</v>
      </c>
      <c r="D804" t="s">
        <v>85</v>
      </c>
      <c r="E804" t="s">
        <v>12</v>
      </c>
      <c r="F804" s="7">
        <v>656.12</v>
      </c>
      <c r="G804" s="10">
        <v>0</v>
      </c>
      <c r="H804" s="7">
        <v>656.12</v>
      </c>
      <c r="I804">
        <v>2</v>
      </c>
      <c r="J804" t="s">
        <v>13</v>
      </c>
      <c r="K804" s="13">
        <f>ROUND(tblTransactions[[#This Row],[gross_sales_inr]]*(1-tblTransactions[[#This Row],[discount_pct]]),2)</f>
        <v>656.12</v>
      </c>
      <c r="L804" t="str">
        <f>IF(ABS(tblTransactions[[#This Row],[net_sales_inr]]-tblTransactions[[#This Row],[Recalc_Net_Sales]])&lt;0.02,"OK","CHECK")</f>
        <v>OK</v>
      </c>
      <c r="M804" s="14">
        <f>DATE(YEAR(tblTransactions[[#This Row],[date]]),MONTH(tblTransactions[[#This Row],[date]]),1)</f>
        <v>45809</v>
      </c>
      <c r="N804" t="str">
        <f>IF(WEEKDAY(tblTransactions[[#This Row],[date]],2)&gt;5,"Weekend","Weekday")</f>
        <v>Weekday</v>
      </c>
      <c r="O804" s="13" t="str">
        <f>IF(tblTransactions[[#This Row],[discount_pct]]=0,"0%",IF(tblTransactions[[#This Row],[discount_pct]]&lt;=10%,"1–
10%",IF(tblTransactions[[#This Row],[discount_pct]]&lt;=20%,"11–20%","&gt;20%")))</f>
        <v>0%</v>
      </c>
      <c r="P804" s="13" t="str">
        <f>_xlfn.XLOOKUP(tblTransactions[[#This Row],[tenant_id]],tblTenants[tenant_id],tblTenants[zone],"NOT FOUND")</f>
        <v>Home &amp; Living</v>
      </c>
      <c r="Q804" s="13" t="str">
        <f>_xlfn.XLOOKUP(tblTransactions[[#This Row],[tenant_id]],tblTenants[tenant_id],tblTenants[category],"NOT FOUND")</f>
        <v>Electronics</v>
      </c>
    </row>
    <row r="805" spans="1:17">
      <c r="A805" t="s">
        <v>849</v>
      </c>
      <c r="B805" s="2">
        <v>45763</v>
      </c>
      <c r="C805">
        <v>22</v>
      </c>
      <c r="D805" t="s">
        <v>41</v>
      </c>
      <c r="E805" t="s">
        <v>12</v>
      </c>
      <c r="F805" s="7">
        <v>613.42999999999995</v>
      </c>
      <c r="G805" s="10">
        <v>0.1</v>
      </c>
      <c r="H805" s="7">
        <v>552.09</v>
      </c>
      <c r="I805">
        <v>2</v>
      </c>
      <c r="J805" t="s">
        <v>16</v>
      </c>
      <c r="K805" s="13">
        <f>ROUND(tblTransactions[[#This Row],[gross_sales_inr]]*(1-tblTransactions[[#This Row],[discount_pct]]),2)</f>
        <v>552.09</v>
      </c>
      <c r="L805" t="str">
        <f>IF(ABS(tblTransactions[[#This Row],[net_sales_inr]]-tblTransactions[[#This Row],[Recalc_Net_Sales]])&lt;0.02,"OK","CHECK")</f>
        <v>OK</v>
      </c>
      <c r="M805" s="14">
        <f>DATE(YEAR(tblTransactions[[#This Row],[date]]),MONTH(tblTransactions[[#This Row],[date]]),1)</f>
        <v>45748</v>
      </c>
      <c r="N805" t="str">
        <f>IF(WEEKDAY(tblTransactions[[#This Row],[date]],2)&gt;5,"Weekend","Weekday")</f>
        <v>Weekday</v>
      </c>
      <c r="O80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05" s="13" t="str">
        <f>_xlfn.XLOOKUP(tblTransactions[[#This Row],[tenant_id]],tblTenants[tenant_id],tblTenants[zone],"NOT FOUND")</f>
        <v>Fashion Avenue</v>
      </c>
      <c r="Q805" s="13" t="str">
        <f>_xlfn.XLOOKUP(tblTransactions[[#This Row],[tenant_id]],tblTenants[tenant_id],tblTenants[category],"NOT FOUND")</f>
        <v>Clothing</v>
      </c>
    </row>
    <row r="806" spans="1:17">
      <c r="A806" t="s">
        <v>850</v>
      </c>
      <c r="B806" s="2">
        <v>45690</v>
      </c>
      <c r="C806">
        <v>12</v>
      </c>
      <c r="D806" t="s">
        <v>20</v>
      </c>
      <c r="E806" t="s">
        <v>12</v>
      </c>
      <c r="F806" s="7">
        <v>1724.23</v>
      </c>
      <c r="G806" s="10">
        <v>0.15</v>
      </c>
      <c r="H806" s="7">
        <v>1465.6</v>
      </c>
      <c r="I806">
        <v>1</v>
      </c>
      <c r="J806" t="s">
        <v>16</v>
      </c>
      <c r="K806" s="13">
        <f>ROUND(tblTransactions[[#This Row],[gross_sales_inr]]*(1-tblTransactions[[#This Row],[discount_pct]]),2)</f>
        <v>1465.6</v>
      </c>
      <c r="L806" t="str">
        <f>IF(ABS(tblTransactions[[#This Row],[net_sales_inr]]-tblTransactions[[#This Row],[Recalc_Net_Sales]])&lt;0.02,"OK","CHECK")</f>
        <v>OK</v>
      </c>
      <c r="M806" s="14">
        <f>DATE(YEAR(tblTransactions[[#This Row],[date]]),MONTH(tblTransactions[[#This Row],[date]]),1)</f>
        <v>45689</v>
      </c>
      <c r="N806" t="str">
        <f>IF(WEEKDAY(tblTransactions[[#This Row],[date]],2)&gt;5,"Weekend","Weekday")</f>
        <v>Weekend</v>
      </c>
      <c r="O80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06" s="13" t="str">
        <f>_xlfn.XLOOKUP(tblTransactions[[#This Row],[tenant_id]],tblTenants[tenant_id],tblTenants[zone],"NOT FOUND")</f>
        <v>Fashion Avenue</v>
      </c>
      <c r="Q806" s="13" t="str">
        <f>_xlfn.XLOOKUP(tblTransactions[[#This Row],[tenant_id]],tblTenants[tenant_id],tblTenants[category],"NOT FOUND")</f>
        <v>Accessories</v>
      </c>
    </row>
    <row r="807" spans="1:17">
      <c r="A807" t="s">
        <v>851</v>
      </c>
      <c r="B807" s="2">
        <v>45774</v>
      </c>
      <c r="C807">
        <v>22</v>
      </c>
      <c r="D807" t="s">
        <v>70</v>
      </c>
      <c r="E807" t="s">
        <v>12</v>
      </c>
      <c r="F807" s="7">
        <v>614.67999999999995</v>
      </c>
      <c r="G807" s="10">
        <v>0</v>
      </c>
      <c r="H807" s="7">
        <v>614.67999999999995</v>
      </c>
      <c r="I807">
        <v>2</v>
      </c>
      <c r="J807" t="s">
        <v>13</v>
      </c>
      <c r="K807" s="13">
        <f>ROUND(tblTransactions[[#This Row],[gross_sales_inr]]*(1-tblTransactions[[#This Row],[discount_pct]]),2)</f>
        <v>614.67999999999995</v>
      </c>
      <c r="L807" t="str">
        <f>IF(ABS(tblTransactions[[#This Row],[net_sales_inr]]-tblTransactions[[#This Row],[Recalc_Net_Sales]])&lt;0.02,"OK","CHECK")</f>
        <v>OK</v>
      </c>
      <c r="M807" s="14">
        <f>DATE(YEAR(tblTransactions[[#This Row],[date]]),MONTH(tblTransactions[[#This Row],[date]]),1)</f>
        <v>45748</v>
      </c>
      <c r="N807" t="str">
        <f>IF(WEEKDAY(tblTransactions[[#This Row],[date]],2)&gt;5,"Weekend","Weekday")</f>
        <v>Weekend</v>
      </c>
      <c r="O807" s="13" t="str">
        <f>IF(tblTransactions[[#This Row],[discount_pct]]=0,"0%",IF(tblTransactions[[#This Row],[discount_pct]]&lt;=10%,"1–
10%",IF(tblTransactions[[#This Row],[discount_pct]]&lt;=20%,"11–20%","&gt;20%")))</f>
        <v>0%</v>
      </c>
      <c r="P807" s="13" t="str">
        <f>_xlfn.XLOOKUP(tblTransactions[[#This Row],[tenant_id]],tblTenants[tenant_id],tblTenants[zone],"NOT FOUND")</f>
        <v>Food Court</v>
      </c>
      <c r="Q807" s="13" t="str">
        <f>_xlfn.XLOOKUP(tblTransactions[[#This Row],[tenant_id]],tblTenants[tenant_id],tblTenants[category],"NOT FOUND")</f>
        <v>Quick Service</v>
      </c>
    </row>
    <row r="808" spans="1:17">
      <c r="A808" t="s">
        <v>852</v>
      </c>
      <c r="B808" s="2">
        <v>45725</v>
      </c>
      <c r="C808">
        <v>22</v>
      </c>
      <c r="D808" t="s">
        <v>59</v>
      </c>
      <c r="E808" t="s">
        <v>12</v>
      </c>
      <c r="F808" s="7">
        <v>392.75</v>
      </c>
      <c r="G808" s="10">
        <v>0</v>
      </c>
      <c r="H808" s="7">
        <v>392.75</v>
      </c>
      <c r="I808">
        <v>1</v>
      </c>
      <c r="J808" t="s">
        <v>13</v>
      </c>
      <c r="K808" s="13">
        <f>ROUND(tblTransactions[[#This Row],[gross_sales_inr]]*(1-tblTransactions[[#This Row],[discount_pct]]),2)</f>
        <v>392.75</v>
      </c>
      <c r="L808" t="str">
        <f>IF(ABS(tblTransactions[[#This Row],[net_sales_inr]]-tblTransactions[[#This Row],[Recalc_Net_Sales]])&lt;0.02,"OK","CHECK")</f>
        <v>OK</v>
      </c>
      <c r="M808" s="14">
        <f>DATE(YEAR(tblTransactions[[#This Row],[date]]),MONTH(tblTransactions[[#This Row],[date]]),1)</f>
        <v>45717</v>
      </c>
      <c r="N808" t="str">
        <f>IF(WEEKDAY(tblTransactions[[#This Row],[date]],2)&gt;5,"Weekend","Weekday")</f>
        <v>Weekend</v>
      </c>
      <c r="O808" s="13" t="str">
        <f>IF(tblTransactions[[#This Row],[discount_pct]]=0,"0%",IF(tblTransactions[[#This Row],[discount_pct]]&lt;=10%,"1–
10%",IF(tblTransactions[[#This Row],[discount_pct]]&lt;=20%,"11–20%","&gt;20%")))</f>
        <v>0%</v>
      </c>
      <c r="P808" s="13" t="str">
        <f>_xlfn.XLOOKUP(tblTransactions[[#This Row],[tenant_id]],tblTenants[tenant_id],tblTenants[zone],"NOT FOUND")</f>
        <v>Fashion Avenue</v>
      </c>
      <c r="Q808" s="13" t="str">
        <f>_xlfn.XLOOKUP(tblTransactions[[#This Row],[tenant_id]],tblTenants[tenant_id],tblTenants[category],"NOT FOUND")</f>
        <v>Footwear</v>
      </c>
    </row>
    <row r="809" spans="1:17">
      <c r="A809" t="s">
        <v>853</v>
      </c>
      <c r="B809" s="2">
        <v>45704</v>
      </c>
      <c r="C809">
        <v>16</v>
      </c>
      <c r="D809" t="s">
        <v>59</v>
      </c>
      <c r="E809" t="s">
        <v>32</v>
      </c>
      <c r="F809" s="7">
        <v>1210.42</v>
      </c>
      <c r="G809" s="10">
        <v>0.1</v>
      </c>
      <c r="H809" s="7">
        <v>1089.3800000000001</v>
      </c>
      <c r="I809">
        <v>4</v>
      </c>
      <c r="J809" t="s">
        <v>13</v>
      </c>
      <c r="K809" s="13">
        <f>ROUND(tblTransactions[[#This Row],[gross_sales_inr]]*(1-tblTransactions[[#This Row],[discount_pct]]),2)</f>
        <v>1089.3800000000001</v>
      </c>
      <c r="L809" t="str">
        <f>IF(ABS(tblTransactions[[#This Row],[net_sales_inr]]-tblTransactions[[#This Row],[Recalc_Net_Sales]])&lt;0.02,"OK","CHECK")</f>
        <v>OK</v>
      </c>
      <c r="M809" s="14">
        <f>DATE(YEAR(tblTransactions[[#This Row],[date]]),MONTH(tblTransactions[[#This Row],[date]]),1)</f>
        <v>45689</v>
      </c>
      <c r="N809" t="str">
        <f>IF(WEEKDAY(tblTransactions[[#This Row],[date]],2)&gt;5,"Weekend","Weekday")</f>
        <v>Weekend</v>
      </c>
      <c r="O80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09" s="13" t="str">
        <f>_xlfn.XLOOKUP(tblTransactions[[#This Row],[tenant_id]],tblTenants[tenant_id],tblTenants[zone],"NOT FOUND")</f>
        <v>Fashion Avenue</v>
      </c>
      <c r="Q809" s="13" t="str">
        <f>_xlfn.XLOOKUP(tblTransactions[[#This Row],[tenant_id]],tblTenants[tenant_id],tblTenants[category],"NOT FOUND")</f>
        <v>Footwear</v>
      </c>
    </row>
    <row r="810" spans="1:17">
      <c r="A810" t="s">
        <v>854</v>
      </c>
      <c r="B810" s="2">
        <v>45768</v>
      </c>
      <c r="C810">
        <v>20</v>
      </c>
      <c r="D810" t="s">
        <v>204</v>
      </c>
      <c r="E810" t="s">
        <v>12</v>
      </c>
      <c r="F810" s="7">
        <v>1023.12</v>
      </c>
      <c r="G810" s="10">
        <v>0.1</v>
      </c>
      <c r="H810" s="7">
        <v>920.81</v>
      </c>
      <c r="I810">
        <v>2</v>
      </c>
      <c r="J810" t="s">
        <v>16</v>
      </c>
      <c r="K810" s="13">
        <f>ROUND(tblTransactions[[#This Row],[gross_sales_inr]]*(1-tblTransactions[[#This Row],[discount_pct]]),2)</f>
        <v>920.81</v>
      </c>
      <c r="L810" t="str">
        <f>IF(ABS(tblTransactions[[#This Row],[net_sales_inr]]-tblTransactions[[#This Row],[Recalc_Net_Sales]])&lt;0.02,"OK","CHECK")</f>
        <v>OK</v>
      </c>
      <c r="M810" s="14">
        <f>DATE(YEAR(tblTransactions[[#This Row],[date]]),MONTH(tblTransactions[[#This Row],[date]]),1)</f>
        <v>45748</v>
      </c>
      <c r="N810" t="str">
        <f>IF(WEEKDAY(tblTransactions[[#This Row],[date]],2)&gt;5,"Weekend","Weekday")</f>
        <v>Weekday</v>
      </c>
      <c r="O81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10" s="13" t="str">
        <f>_xlfn.XLOOKUP(tblTransactions[[#This Row],[tenant_id]],tblTenants[tenant_id],tblTenants[zone],"NOT FOUND")</f>
        <v>Home &amp; Living</v>
      </c>
      <c r="Q810" s="13" t="str">
        <f>_xlfn.XLOOKUP(tblTransactions[[#This Row],[tenant_id]],tblTenants[tenant_id],tblTenants[category],"NOT FOUND")</f>
        <v>Home Decor</v>
      </c>
    </row>
    <row r="811" spans="1:17">
      <c r="A811" t="s">
        <v>855</v>
      </c>
      <c r="B811" s="2">
        <v>45782</v>
      </c>
      <c r="C811">
        <v>22</v>
      </c>
      <c r="D811" t="s">
        <v>57</v>
      </c>
      <c r="E811" t="s">
        <v>32</v>
      </c>
      <c r="F811" s="7">
        <v>2184.36</v>
      </c>
      <c r="G811" s="10">
        <v>0</v>
      </c>
      <c r="H811" s="7">
        <v>2184.36</v>
      </c>
      <c r="I811">
        <v>1</v>
      </c>
      <c r="J811" t="s">
        <v>16</v>
      </c>
      <c r="K811" s="13">
        <f>ROUND(tblTransactions[[#This Row],[gross_sales_inr]]*(1-tblTransactions[[#This Row],[discount_pct]]),2)</f>
        <v>2184.36</v>
      </c>
      <c r="L811" t="str">
        <f>IF(ABS(tblTransactions[[#This Row],[net_sales_inr]]-tblTransactions[[#This Row],[Recalc_Net_Sales]])&lt;0.02,"OK","CHECK")</f>
        <v>OK</v>
      </c>
      <c r="M811" s="14">
        <f>DATE(YEAR(tblTransactions[[#This Row],[date]]),MONTH(tblTransactions[[#This Row],[date]]),1)</f>
        <v>45778</v>
      </c>
      <c r="N811" t="str">
        <f>IF(WEEKDAY(tblTransactions[[#This Row],[date]],2)&gt;5,"Weekend","Weekday")</f>
        <v>Weekday</v>
      </c>
      <c r="O811" s="13" t="str">
        <f>IF(tblTransactions[[#This Row],[discount_pct]]=0,"0%",IF(tblTransactions[[#This Row],[discount_pct]]&lt;=10%,"1–
10%",IF(tblTransactions[[#This Row],[discount_pct]]&lt;=20%,"11–20%","&gt;20%")))</f>
        <v>0%</v>
      </c>
      <c r="P811" s="13" t="str">
        <f>_xlfn.XLOOKUP(tblTransactions[[#This Row],[tenant_id]],tblTenants[tenant_id],tblTenants[zone],"NOT FOUND")</f>
        <v>Food Court</v>
      </c>
      <c r="Q811" s="13" t="str">
        <f>_xlfn.XLOOKUP(tblTransactions[[#This Row],[tenant_id]],tblTenants[tenant_id],tblTenants[category],"NOT FOUND")</f>
        <v>Casual Dining</v>
      </c>
    </row>
    <row r="812" spans="1:17">
      <c r="A812" t="s">
        <v>856</v>
      </c>
      <c r="B812" s="2">
        <v>45721</v>
      </c>
      <c r="C812">
        <v>22</v>
      </c>
      <c r="D812" t="s">
        <v>11</v>
      </c>
      <c r="E812" t="s">
        <v>32</v>
      </c>
      <c r="F812" s="7">
        <v>993.27</v>
      </c>
      <c r="G812" s="10">
        <v>0.15</v>
      </c>
      <c r="H812" s="7">
        <v>844.28</v>
      </c>
      <c r="I812">
        <v>4</v>
      </c>
      <c r="J812" t="s">
        <v>16</v>
      </c>
      <c r="K812" s="13">
        <f>ROUND(tblTransactions[[#This Row],[gross_sales_inr]]*(1-tblTransactions[[#This Row],[discount_pct]]),2)</f>
        <v>844.28</v>
      </c>
      <c r="L812" t="str">
        <f>IF(ABS(tblTransactions[[#This Row],[net_sales_inr]]-tblTransactions[[#This Row],[Recalc_Net_Sales]])&lt;0.02,"OK","CHECK")</f>
        <v>OK</v>
      </c>
      <c r="M812" s="14">
        <f>DATE(YEAR(tblTransactions[[#This Row],[date]]),MONTH(tblTransactions[[#This Row],[date]]),1)</f>
        <v>45717</v>
      </c>
      <c r="N812" t="str">
        <f>IF(WEEKDAY(tblTransactions[[#This Row],[date]],2)&gt;5,"Weekend","Weekday")</f>
        <v>Weekday</v>
      </c>
      <c r="O81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12" s="13" t="str">
        <f>_xlfn.XLOOKUP(tblTransactions[[#This Row],[tenant_id]],tblTenants[tenant_id],tblTenants[zone],"NOT FOUND")</f>
        <v>Home &amp; Living</v>
      </c>
      <c r="Q812" s="13" t="str">
        <f>_xlfn.XLOOKUP(tblTransactions[[#This Row],[tenant_id]],tblTenants[tenant_id],tblTenants[category],"NOT FOUND")</f>
        <v>Home Decor</v>
      </c>
    </row>
    <row r="813" spans="1:17">
      <c r="A813" t="s">
        <v>857</v>
      </c>
      <c r="B813" s="2">
        <v>45776</v>
      </c>
      <c r="C813">
        <v>18</v>
      </c>
      <c r="D813" t="s">
        <v>72</v>
      </c>
      <c r="E813" t="s">
        <v>12</v>
      </c>
      <c r="F813" s="7">
        <v>407.32</v>
      </c>
      <c r="G813" s="10">
        <v>0</v>
      </c>
      <c r="H813" s="7">
        <v>407.32</v>
      </c>
      <c r="I813">
        <v>1</v>
      </c>
      <c r="J813" t="s">
        <v>16</v>
      </c>
      <c r="K813" s="13">
        <f>ROUND(tblTransactions[[#This Row],[gross_sales_inr]]*(1-tblTransactions[[#This Row],[discount_pct]]),2)</f>
        <v>407.32</v>
      </c>
      <c r="L813" t="str">
        <f>IF(ABS(tblTransactions[[#This Row],[net_sales_inr]]-tblTransactions[[#This Row],[Recalc_Net_Sales]])&lt;0.02,"OK","CHECK")</f>
        <v>OK</v>
      </c>
      <c r="M813" s="14">
        <f>DATE(YEAR(tblTransactions[[#This Row],[date]]),MONTH(tblTransactions[[#This Row],[date]]),1)</f>
        <v>45748</v>
      </c>
      <c r="N813" t="str">
        <f>IF(WEEKDAY(tblTransactions[[#This Row],[date]],2)&gt;5,"Weekend","Weekday")</f>
        <v>Weekday</v>
      </c>
      <c r="O813" s="13" t="str">
        <f>IF(tblTransactions[[#This Row],[discount_pct]]=0,"0%",IF(tblTransactions[[#This Row],[discount_pct]]&lt;=10%,"1–
10%",IF(tblTransactions[[#This Row],[discount_pct]]&lt;=20%,"11–20%","&gt;20%")))</f>
        <v>0%</v>
      </c>
      <c r="P813" s="13" t="str">
        <f>_xlfn.XLOOKUP(tblTransactions[[#This Row],[tenant_id]],tblTenants[tenant_id],tblTenants[zone],"NOT FOUND")</f>
        <v>Entertainment</v>
      </c>
      <c r="Q813" s="13" t="str">
        <f>_xlfn.XLOOKUP(tblTransactions[[#This Row],[tenant_id]],tblTenants[tenant_id],tblTenants[category],"NOT FOUND")</f>
        <v>Arcade</v>
      </c>
    </row>
    <row r="814" spans="1:17">
      <c r="A814" t="s">
        <v>858</v>
      </c>
      <c r="B814" s="2">
        <v>45686</v>
      </c>
      <c r="C814">
        <v>19</v>
      </c>
      <c r="D814" t="s">
        <v>20</v>
      </c>
      <c r="E814" t="s">
        <v>12</v>
      </c>
      <c r="F814" s="7">
        <v>1034.54</v>
      </c>
      <c r="G814" s="10">
        <v>0.1</v>
      </c>
      <c r="H814" s="7">
        <v>931.09</v>
      </c>
      <c r="I814">
        <v>1</v>
      </c>
      <c r="J814" t="s">
        <v>16</v>
      </c>
      <c r="K814" s="13">
        <f>ROUND(tblTransactions[[#This Row],[gross_sales_inr]]*(1-tblTransactions[[#This Row],[discount_pct]]),2)</f>
        <v>931.09</v>
      </c>
      <c r="L814" t="str">
        <f>IF(ABS(tblTransactions[[#This Row],[net_sales_inr]]-tblTransactions[[#This Row],[Recalc_Net_Sales]])&lt;0.02,"OK","CHECK")</f>
        <v>OK</v>
      </c>
      <c r="M814" s="14">
        <f>DATE(YEAR(tblTransactions[[#This Row],[date]]),MONTH(tblTransactions[[#This Row],[date]]),1)</f>
        <v>45658</v>
      </c>
      <c r="N814" t="str">
        <f>IF(WEEKDAY(tblTransactions[[#This Row],[date]],2)&gt;5,"Weekend","Weekday")</f>
        <v>Weekday</v>
      </c>
      <c r="O81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14" s="13" t="str">
        <f>_xlfn.XLOOKUP(tblTransactions[[#This Row],[tenant_id]],tblTenants[tenant_id],tblTenants[zone],"NOT FOUND")</f>
        <v>Fashion Avenue</v>
      </c>
      <c r="Q814" s="13" t="str">
        <f>_xlfn.XLOOKUP(tblTransactions[[#This Row],[tenant_id]],tblTenants[tenant_id],tblTenants[category],"NOT FOUND")</f>
        <v>Accessories</v>
      </c>
    </row>
    <row r="815" spans="1:17">
      <c r="A815" t="s">
        <v>859</v>
      </c>
      <c r="B815" s="2">
        <v>45676</v>
      </c>
      <c r="C815">
        <v>22</v>
      </c>
      <c r="D815" t="s">
        <v>45</v>
      </c>
      <c r="E815" t="s">
        <v>12</v>
      </c>
      <c r="F815" s="7">
        <v>1539.96</v>
      </c>
      <c r="G815" s="10">
        <v>0</v>
      </c>
      <c r="H815" s="7">
        <v>1539.96</v>
      </c>
      <c r="I815">
        <v>2</v>
      </c>
      <c r="J815" t="s">
        <v>13</v>
      </c>
      <c r="K815" s="13">
        <f>ROUND(tblTransactions[[#This Row],[gross_sales_inr]]*(1-tblTransactions[[#This Row],[discount_pct]]),2)</f>
        <v>1539.96</v>
      </c>
      <c r="L815" t="str">
        <f>IF(ABS(tblTransactions[[#This Row],[net_sales_inr]]-tblTransactions[[#This Row],[Recalc_Net_Sales]])&lt;0.02,"OK","CHECK")</f>
        <v>OK</v>
      </c>
      <c r="M815" s="14">
        <f>DATE(YEAR(tblTransactions[[#This Row],[date]]),MONTH(tblTransactions[[#This Row],[date]]),1)</f>
        <v>45658</v>
      </c>
      <c r="N815" t="str">
        <f>IF(WEEKDAY(tblTransactions[[#This Row],[date]],2)&gt;5,"Weekend","Weekday")</f>
        <v>Weekend</v>
      </c>
      <c r="O815" s="13" t="str">
        <f>IF(tblTransactions[[#This Row],[discount_pct]]=0,"0%",IF(tblTransactions[[#This Row],[discount_pct]]&lt;=10%,"1–
10%",IF(tblTransactions[[#This Row],[discount_pct]]&lt;=20%,"11–20%","&gt;20%")))</f>
        <v>0%</v>
      </c>
      <c r="P815" s="13" t="str">
        <f>_xlfn.XLOOKUP(tblTransactions[[#This Row],[tenant_id]],tblTenants[tenant_id],tblTenants[zone],"NOT FOUND")</f>
        <v>Home &amp; Living</v>
      </c>
      <c r="Q815" s="13" t="str">
        <f>_xlfn.XLOOKUP(tblTransactions[[#This Row],[tenant_id]],tblTenants[tenant_id],tblTenants[category],"NOT FOUND")</f>
        <v>Home Decor</v>
      </c>
    </row>
    <row r="816" spans="1:17">
      <c r="A816" t="s">
        <v>860</v>
      </c>
      <c r="B816" s="2">
        <v>45763</v>
      </c>
      <c r="C816">
        <v>20</v>
      </c>
      <c r="D816" t="s">
        <v>45</v>
      </c>
      <c r="E816" t="s">
        <v>21</v>
      </c>
      <c r="F816" s="7">
        <v>2495.15</v>
      </c>
      <c r="G816" s="10">
        <v>0.1</v>
      </c>
      <c r="H816" s="7">
        <v>2245.64</v>
      </c>
      <c r="I816">
        <v>2</v>
      </c>
      <c r="J816" t="s">
        <v>16</v>
      </c>
      <c r="K816" s="13">
        <f>ROUND(tblTransactions[[#This Row],[gross_sales_inr]]*(1-tblTransactions[[#This Row],[discount_pct]]),2)</f>
        <v>2245.64</v>
      </c>
      <c r="L816" t="str">
        <f>IF(ABS(tblTransactions[[#This Row],[net_sales_inr]]-tblTransactions[[#This Row],[Recalc_Net_Sales]])&lt;0.02,"OK","CHECK")</f>
        <v>OK</v>
      </c>
      <c r="M816" s="14">
        <f>DATE(YEAR(tblTransactions[[#This Row],[date]]),MONTH(tblTransactions[[#This Row],[date]]),1)</f>
        <v>45748</v>
      </c>
      <c r="N816" t="str">
        <f>IF(WEEKDAY(tblTransactions[[#This Row],[date]],2)&gt;5,"Weekend","Weekday")</f>
        <v>Weekday</v>
      </c>
      <c r="O81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16" s="13" t="str">
        <f>_xlfn.XLOOKUP(tblTransactions[[#This Row],[tenant_id]],tblTenants[tenant_id],tblTenants[zone],"NOT FOUND")</f>
        <v>Home &amp; Living</v>
      </c>
      <c r="Q816" s="13" t="str">
        <f>_xlfn.XLOOKUP(tblTransactions[[#This Row],[tenant_id]],tblTenants[tenant_id],tblTenants[category],"NOT FOUND")</f>
        <v>Home Decor</v>
      </c>
    </row>
    <row r="817" spans="1:17">
      <c r="A817" t="s">
        <v>861</v>
      </c>
      <c r="B817" s="2">
        <v>45744</v>
      </c>
      <c r="C817">
        <v>19</v>
      </c>
      <c r="D817" t="s">
        <v>34</v>
      </c>
      <c r="E817" t="s">
        <v>51</v>
      </c>
      <c r="F817" s="7">
        <v>1255.31</v>
      </c>
      <c r="G817" s="10">
        <v>0.05</v>
      </c>
      <c r="H817" s="7">
        <v>1192.54</v>
      </c>
      <c r="I817">
        <v>4</v>
      </c>
      <c r="J817" t="s">
        <v>16</v>
      </c>
      <c r="K817" s="13">
        <f>ROUND(tblTransactions[[#This Row],[gross_sales_inr]]*(1-tblTransactions[[#This Row],[discount_pct]]),2)</f>
        <v>1192.54</v>
      </c>
      <c r="L817" t="str">
        <f>IF(ABS(tblTransactions[[#This Row],[net_sales_inr]]-tblTransactions[[#This Row],[Recalc_Net_Sales]])&lt;0.02,"OK","CHECK")</f>
        <v>OK</v>
      </c>
      <c r="M817" s="14">
        <f>DATE(YEAR(tblTransactions[[#This Row],[date]]),MONTH(tblTransactions[[#This Row],[date]]),1)</f>
        <v>45717</v>
      </c>
      <c r="N817" t="str">
        <f>IF(WEEKDAY(tblTransactions[[#This Row],[date]],2)&gt;5,"Weekend","Weekday")</f>
        <v>Weekday</v>
      </c>
      <c r="O81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17" s="13" t="str">
        <f>_xlfn.XLOOKUP(tblTransactions[[#This Row],[tenant_id]],tblTenants[tenant_id],tblTenants[zone],"NOT FOUND")</f>
        <v>Home &amp; Living</v>
      </c>
      <c r="Q817" s="13" t="str">
        <f>_xlfn.XLOOKUP(tblTransactions[[#This Row],[tenant_id]],tblTenants[tenant_id],tblTenants[category],"NOT FOUND")</f>
        <v>Electronics</v>
      </c>
    </row>
    <row r="818" spans="1:17">
      <c r="A818" t="s">
        <v>862</v>
      </c>
      <c r="B818" s="2">
        <v>45810</v>
      </c>
      <c r="C818">
        <v>16</v>
      </c>
      <c r="D818" t="s">
        <v>45</v>
      </c>
      <c r="E818" t="s">
        <v>21</v>
      </c>
      <c r="F818" s="7">
        <v>1762.96</v>
      </c>
      <c r="G818" s="10">
        <v>0.05</v>
      </c>
      <c r="H818" s="7">
        <v>1674.81</v>
      </c>
      <c r="I818">
        <v>3</v>
      </c>
      <c r="J818" t="s">
        <v>13</v>
      </c>
      <c r="K818" s="13">
        <f>ROUND(tblTransactions[[#This Row],[gross_sales_inr]]*(1-tblTransactions[[#This Row],[discount_pct]]),2)</f>
        <v>1674.81</v>
      </c>
      <c r="L818" t="str">
        <f>IF(ABS(tblTransactions[[#This Row],[net_sales_inr]]-tblTransactions[[#This Row],[Recalc_Net_Sales]])&lt;0.02,"OK","CHECK")</f>
        <v>OK</v>
      </c>
      <c r="M818" s="14">
        <f>DATE(YEAR(tblTransactions[[#This Row],[date]]),MONTH(tblTransactions[[#This Row],[date]]),1)</f>
        <v>45809</v>
      </c>
      <c r="N818" t="str">
        <f>IF(WEEKDAY(tblTransactions[[#This Row],[date]],2)&gt;5,"Weekend","Weekday")</f>
        <v>Weekday</v>
      </c>
      <c r="O81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18" s="13" t="str">
        <f>_xlfn.XLOOKUP(tblTransactions[[#This Row],[tenant_id]],tblTenants[tenant_id],tblTenants[zone],"NOT FOUND")</f>
        <v>Home &amp; Living</v>
      </c>
      <c r="Q818" s="13" t="str">
        <f>_xlfn.XLOOKUP(tblTransactions[[#This Row],[tenant_id]],tblTenants[tenant_id],tblTenants[category],"NOT FOUND")</f>
        <v>Home Decor</v>
      </c>
    </row>
    <row r="819" spans="1:17">
      <c r="A819" t="s">
        <v>863</v>
      </c>
      <c r="B819" s="2">
        <v>45750</v>
      </c>
      <c r="C819">
        <v>10</v>
      </c>
      <c r="D819" t="s">
        <v>11</v>
      </c>
      <c r="E819" t="s">
        <v>32</v>
      </c>
      <c r="F819" s="7">
        <v>521.65</v>
      </c>
      <c r="G819" s="10">
        <v>0.2</v>
      </c>
      <c r="H819" s="7">
        <v>417.32</v>
      </c>
      <c r="I819">
        <v>1</v>
      </c>
      <c r="J819" t="s">
        <v>13</v>
      </c>
      <c r="K819" s="13">
        <f>ROUND(tblTransactions[[#This Row],[gross_sales_inr]]*(1-tblTransactions[[#This Row],[discount_pct]]),2)</f>
        <v>417.32</v>
      </c>
      <c r="L819" t="str">
        <f>IF(ABS(tblTransactions[[#This Row],[net_sales_inr]]-tblTransactions[[#This Row],[Recalc_Net_Sales]])&lt;0.02,"OK","CHECK")</f>
        <v>OK</v>
      </c>
      <c r="M819" s="14">
        <f>DATE(YEAR(tblTransactions[[#This Row],[date]]),MONTH(tblTransactions[[#This Row],[date]]),1)</f>
        <v>45748</v>
      </c>
      <c r="N819" t="str">
        <f>IF(WEEKDAY(tblTransactions[[#This Row],[date]],2)&gt;5,"Weekend","Weekday")</f>
        <v>Weekday</v>
      </c>
      <c r="O81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19" s="13" t="str">
        <f>_xlfn.XLOOKUP(tblTransactions[[#This Row],[tenant_id]],tblTenants[tenant_id],tblTenants[zone],"NOT FOUND")</f>
        <v>Home &amp; Living</v>
      </c>
      <c r="Q819" s="13" t="str">
        <f>_xlfn.XLOOKUP(tblTransactions[[#This Row],[tenant_id]],tblTenants[tenant_id],tblTenants[category],"NOT FOUND")</f>
        <v>Home Decor</v>
      </c>
    </row>
    <row r="820" spans="1:17">
      <c r="A820" t="s">
        <v>864</v>
      </c>
      <c r="B820" s="2">
        <v>45746</v>
      </c>
      <c r="C820">
        <v>19</v>
      </c>
      <c r="D820" t="s">
        <v>18</v>
      </c>
      <c r="E820" t="s">
        <v>12</v>
      </c>
      <c r="F820" s="7">
        <v>1928.01</v>
      </c>
      <c r="G820" s="10">
        <v>0</v>
      </c>
      <c r="H820" s="7">
        <v>1928.01</v>
      </c>
      <c r="I820">
        <v>2</v>
      </c>
      <c r="J820" t="s">
        <v>13</v>
      </c>
      <c r="K820" s="13">
        <f>ROUND(tblTransactions[[#This Row],[gross_sales_inr]]*(1-tblTransactions[[#This Row],[discount_pct]]),2)</f>
        <v>1928.01</v>
      </c>
      <c r="L820" t="str">
        <f>IF(ABS(tblTransactions[[#This Row],[net_sales_inr]]-tblTransactions[[#This Row],[Recalc_Net_Sales]])&lt;0.02,"OK","CHECK")</f>
        <v>OK</v>
      </c>
      <c r="M820" s="14">
        <f>DATE(YEAR(tblTransactions[[#This Row],[date]]),MONTH(tblTransactions[[#This Row],[date]]),1)</f>
        <v>45717</v>
      </c>
      <c r="N820" t="str">
        <f>IF(WEEKDAY(tblTransactions[[#This Row],[date]],2)&gt;5,"Weekend","Weekday")</f>
        <v>Weekend</v>
      </c>
      <c r="O820" s="13" t="str">
        <f>IF(tblTransactions[[#This Row],[discount_pct]]=0,"0%",IF(tblTransactions[[#This Row],[discount_pct]]&lt;=10%,"1–
10%",IF(tblTransactions[[#This Row],[discount_pct]]&lt;=20%,"11–20%","&gt;20%")))</f>
        <v>0%</v>
      </c>
      <c r="P820" s="13" t="str">
        <f>_xlfn.XLOOKUP(tblTransactions[[#This Row],[tenant_id]],tblTenants[tenant_id],tblTenants[zone],"NOT FOUND")</f>
        <v>Beauty &amp; Wellness</v>
      </c>
      <c r="Q820" s="13" t="str">
        <f>_xlfn.XLOOKUP(tblTransactions[[#This Row],[tenant_id]],tblTenants[tenant_id],tblTenants[category],"NOT FOUND")</f>
        <v>Beauty</v>
      </c>
    </row>
    <row r="821" spans="1:17">
      <c r="A821" t="s">
        <v>865</v>
      </c>
      <c r="B821" s="2">
        <v>45759</v>
      </c>
      <c r="C821">
        <v>21</v>
      </c>
      <c r="D821" t="s">
        <v>59</v>
      </c>
      <c r="E821" t="s">
        <v>21</v>
      </c>
      <c r="F821" s="7">
        <v>366.81</v>
      </c>
      <c r="G821" s="10">
        <v>0.2</v>
      </c>
      <c r="H821" s="7">
        <v>293.45</v>
      </c>
      <c r="I821">
        <v>1</v>
      </c>
      <c r="J821" t="s">
        <v>16</v>
      </c>
      <c r="K821" s="13">
        <f>ROUND(tblTransactions[[#This Row],[gross_sales_inr]]*(1-tblTransactions[[#This Row],[discount_pct]]),2)</f>
        <v>293.45</v>
      </c>
      <c r="L821" t="str">
        <f>IF(ABS(tblTransactions[[#This Row],[net_sales_inr]]-tblTransactions[[#This Row],[Recalc_Net_Sales]])&lt;0.02,"OK","CHECK")</f>
        <v>OK</v>
      </c>
      <c r="M821" s="14">
        <f>DATE(YEAR(tblTransactions[[#This Row],[date]]),MONTH(tblTransactions[[#This Row],[date]]),1)</f>
        <v>45748</v>
      </c>
      <c r="N821" t="str">
        <f>IF(WEEKDAY(tblTransactions[[#This Row],[date]],2)&gt;5,"Weekend","Weekday")</f>
        <v>Weekend</v>
      </c>
      <c r="O82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21" s="13" t="str">
        <f>_xlfn.XLOOKUP(tblTransactions[[#This Row],[tenant_id]],tblTenants[tenant_id],tblTenants[zone],"NOT FOUND")</f>
        <v>Fashion Avenue</v>
      </c>
      <c r="Q821" s="13" t="str">
        <f>_xlfn.XLOOKUP(tblTransactions[[#This Row],[tenant_id]],tblTenants[tenant_id],tblTenants[category],"NOT FOUND")</f>
        <v>Footwear</v>
      </c>
    </row>
    <row r="822" spans="1:17">
      <c r="A822" t="s">
        <v>866</v>
      </c>
      <c r="B822" s="2">
        <v>45810</v>
      </c>
      <c r="C822">
        <v>14</v>
      </c>
      <c r="D822" t="s">
        <v>80</v>
      </c>
      <c r="E822" t="s">
        <v>32</v>
      </c>
      <c r="F822" s="7">
        <v>916.59</v>
      </c>
      <c r="G822" s="10">
        <v>0</v>
      </c>
      <c r="H822" s="7">
        <v>916.59</v>
      </c>
      <c r="I822">
        <v>3</v>
      </c>
      <c r="J822" t="s">
        <v>13</v>
      </c>
      <c r="K822" s="13">
        <f>ROUND(tblTransactions[[#This Row],[gross_sales_inr]]*(1-tblTransactions[[#This Row],[discount_pct]]),2)</f>
        <v>916.59</v>
      </c>
      <c r="L822" t="str">
        <f>IF(ABS(tblTransactions[[#This Row],[net_sales_inr]]-tblTransactions[[#This Row],[Recalc_Net_Sales]])&lt;0.02,"OK","CHECK")</f>
        <v>OK</v>
      </c>
      <c r="M822" s="14">
        <f>DATE(YEAR(tblTransactions[[#This Row],[date]]),MONTH(tblTransactions[[#This Row],[date]]),1)</f>
        <v>45809</v>
      </c>
      <c r="N822" t="str">
        <f>IF(WEEKDAY(tblTransactions[[#This Row],[date]],2)&gt;5,"Weekend","Weekday")</f>
        <v>Weekday</v>
      </c>
      <c r="O822" s="13" t="str">
        <f>IF(tblTransactions[[#This Row],[discount_pct]]=0,"0%",IF(tblTransactions[[#This Row],[discount_pct]]&lt;=10%,"1–
10%",IF(tblTransactions[[#This Row],[discount_pct]]&lt;=20%,"11–20%","&gt;20%")))</f>
        <v>0%</v>
      </c>
      <c r="P822" s="13" t="str">
        <f>_xlfn.XLOOKUP(tblTransactions[[#This Row],[tenant_id]],tblTenants[tenant_id],tblTenants[zone],"NOT FOUND")</f>
        <v>Food Court</v>
      </c>
      <c r="Q822" s="13" t="str">
        <f>_xlfn.XLOOKUP(tblTransactions[[#This Row],[tenant_id]],tblTenants[tenant_id],tblTenants[category],"NOT FOUND")</f>
        <v>Casual Dining</v>
      </c>
    </row>
    <row r="823" spans="1:17">
      <c r="A823" t="s">
        <v>867</v>
      </c>
      <c r="B823" s="2">
        <v>45776</v>
      </c>
      <c r="C823">
        <v>11</v>
      </c>
      <c r="D823" t="s">
        <v>61</v>
      </c>
      <c r="E823" t="s">
        <v>51</v>
      </c>
      <c r="F823" s="7">
        <v>836.19</v>
      </c>
      <c r="G823" s="10">
        <v>0</v>
      </c>
      <c r="H823" s="7">
        <v>836.19</v>
      </c>
      <c r="I823">
        <v>5</v>
      </c>
      <c r="J823" t="s">
        <v>13</v>
      </c>
      <c r="K823" s="13">
        <f>ROUND(tblTransactions[[#This Row],[gross_sales_inr]]*(1-tblTransactions[[#This Row],[discount_pct]]),2)</f>
        <v>836.19</v>
      </c>
      <c r="L823" t="str">
        <f>IF(ABS(tblTransactions[[#This Row],[net_sales_inr]]-tblTransactions[[#This Row],[Recalc_Net_Sales]])&lt;0.02,"OK","CHECK")</f>
        <v>OK</v>
      </c>
      <c r="M823" s="14">
        <f>DATE(YEAR(tblTransactions[[#This Row],[date]]),MONTH(tblTransactions[[#This Row],[date]]),1)</f>
        <v>45748</v>
      </c>
      <c r="N823" t="str">
        <f>IF(WEEKDAY(tblTransactions[[#This Row],[date]],2)&gt;5,"Weekend","Weekday")</f>
        <v>Weekday</v>
      </c>
      <c r="O823" s="13" t="str">
        <f>IF(tblTransactions[[#This Row],[discount_pct]]=0,"0%",IF(tblTransactions[[#This Row],[discount_pct]]&lt;=10%,"1–
10%",IF(tblTransactions[[#This Row],[discount_pct]]&lt;=20%,"11–20%","&gt;20%")))</f>
        <v>0%</v>
      </c>
      <c r="P823" s="13" t="str">
        <f>_xlfn.XLOOKUP(tblTransactions[[#This Row],[tenant_id]],tblTenants[tenant_id],tblTenants[zone],"NOT FOUND")</f>
        <v>Food Court</v>
      </c>
      <c r="Q823" s="13" t="str">
        <f>_xlfn.XLOOKUP(tblTransactions[[#This Row],[tenant_id]],tblTenants[tenant_id],tblTenants[category],"NOT FOUND")</f>
        <v>Quick Service</v>
      </c>
    </row>
    <row r="824" spans="1:17">
      <c r="A824" t="s">
        <v>868</v>
      </c>
      <c r="B824" s="2">
        <v>45827</v>
      </c>
      <c r="C824">
        <v>12</v>
      </c>
      <c r="D824" t="s">
        <v>204</v>
      </c>
      <c r="E824" t="s">
        <v>12</v>
      </c>
      <c r="F824" s="7">
        <v>498.56</v>
      </c>
      <c r="G824" s="10">
        <v>0</v>
      </c>
      <c r="H824" s="7">
        <v>498.56</v>
      </c>
      <c r="I824">
        <v>4</v>
      </c>
      <c r="J824" t="s">
        <v>16</v>
      </c>
      <c r="K824" s="13">
        <f>ROUND(tblTransactions[[#This Row],[gross_sales_inr]]*(1-tblTransactions[[#This Row],[discount_pct]]),2)</f>
        <v>498.56</v>
      </c>
      <c r="L824" t="str">
        <f>IF(ABS(tblTransactions[[#This Row],[net_sales_inr]]-tblTransactions[[#This Row],[Recalc_Net_Sales]])&lt;0.02,"OK","CHECK")</f>
        <v>OK</v>
      </c>
      <c r="M824" s="14">
        <f>DATE(YEAR(tblTransactions[[#This Row],[date]]),MONTH(tblTransactions[[#This Row],[date]]),1)</f>
        <v>45809</v>
      </c>
      <c r="N824" t="str">
        <f>IF(WEEKDAY(tblTransactions[[#This Row],[date]],2)&gt;5,"Weekend","Weekday")</f>
        <v>Weekday</v>
      </c>
      <c r="O824" s="13" t="str">
        <f>IF(tblTransactions[[#This Row],[discount_pct]]=0,"0%",IF(tblTransactions[[#This Row],[discount_pct]]&lt;=10%,"1–
10%",IF(tblTransactions[[#This Row],[discount_pct]]&lt;=20%,"11–20%","&gt;20%")))</f>
        <v>0%</v>
      </c>
      <c r="P824" s="13" t="str">
        <f>_xlfn.XLOOKUP(tblTransactions[[#This Row],[tenant_id]],tblTenants[tenant_id],tblTenants[zone],"NOT FOUND")</f>
        <v>Home &amp; Living</v>
      </c>
      <c r="Q824" s="13" t="str">
        <f>_xlfn.XLOOKUP(tblTransactions[[#This Row],[tenant_id]],tblTenants[tenant_id],tblTenants[category],"NOT FOUND")</f>
        <v>Home Decor</v>
      </c>
    </row>
    <row r="825" spans="1:17">
      <c r="A825" t="s">
        <v>869</v>
      </c>
      <c r="B825" s="2">
        <v>45724</v>
      </c>
      <c r="C825">
        <v>18</v>
      </c>
      <c r="D825" t="s">
        <v>57</v>
      </c>
      <c r="E825" t="s">
        <v>12</v>
      </c>
      <c r="F825" s="7">
        <v>521.14</v>
      </c>
      <c r="G825" s="10">
        <v>0.1</v>
      </c>
      <c r="H825" s="7">
        <v>469.03</v>
      </c>
      <c r="I825">
        <v>5</v>
      </c>
      <c r="J825" t="s">
        <v>13</v>
      </c>
      <c r="K825" s="13">
        <f>ROUND(tblTransactions[[#This Row],[gross_sales_inr]]*(1-tblTransactions[[#This Row],[discount_pct]]),2)</f>
        <v>469.03</v>
      </c>
      <c r="L825" t="str">
        <f>IF(ABS(tblTransactions[[#This Row],[net_sales_inr]]-tblTransactions[[#This Row],[Recalc_Net_Sales]])&lt;0.02,"OK","CHECK")</f>
        <v>OK</v>
      </c>
      <c r="M825" s="14">
        <f>DATE(YEAR(tblTransactions[[#This Row],[date]]),MONTH(tblTransactions[[#This Row],[date]]),1)</f>
        <v>45717</v>
      </c>
      <c r="N825" t="str">
        <f>IF(WEEKDAY(tblTransactions[[#This Row],[date]],2)&gt;5,"Weekend","Weekday")</f>
        <v>Weekend</v>
      </c>
      <c r="O82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25" s="13" t="str">
        <f>_xlfn.XLOOKUP(tblTransactions[[#This Row],[tenant_id]],tblTenants[tenant_id],tblTenants[zone],"NOT FOUND")</f>
        <v>Food Court</v>
      </c>
      <c r="Q825" s="13" t="str">
        <f>_xlfn.XLOOKUP(tblTransactions[[#This Row],[tenant_id]],tblTenants[tenant_id],tblTenants[category],"NOT FOUND")</f>
        <v>Casual Dining</v>
      </c>
    </row>
    <row r="826" spans="1:17">
      <c r="A826" t="s">
        <v>870</v>
      </c>
      <c r="B826" s="2">
        <v>45695</v>
      </c>
      <c r="C826">
        <v>22</v>
      </c>
      <c r="D826" t="s">
        <v>34</v>
      </c>
      <c r="E826" t="s">
        <v>32</v>
      </c>
      <c r="F826" s="7">
        <v>1186.1300000000001</v>
      </c>
      <c r="G826" s="10">
        <v>0.2</v>
      </c>
      <c r="H826" s="7">
        <v>948.9</v>
      </c>
      <c r="I826">
        <v>2</v>
      </c>
      <c r="J826" t="s">
        <v>16</v>
      </c>
      <c r="K826" s="13">
        <f>ROUND(tblTransactions[[#This Row],[gross_sales_inr]]*(1-tblTransactions[[#This Row],[discount_pct]]),2)</f>
        <v>948.9</v>
      </c>
      <c r="L826" t="str">
        <f>IF(ABS(tblTransactions[[#This Row],[net_sales_inr]]-tblTransactions[[#This Row],[Recalc_Net_Sales]])&lt;0.02,"OK","CHECK")</f>
        <v>OK</v>
      </c>
      <c r="M826" s="14">
        <f>DATE(YEAR(tblTransactions[[#This Row],[date]]),MONTH(tblTransactions[[#This Row],[date]]),1)</f>
        <v>45689</v>
      </c>
      <c r="N826" t="str">
        <f>IF(WEEKDAY(tblTransactions[[#This Row],[date]],2)&gt;5,"Weekend","Weekday")</f>
        <v>Weekday</v>
      </c>
      <c r="O82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26" s="13" t="str">
        <f>_xlfn.XLOOKUP(tblTransactions[[#This Row],[tenant_id]],tblTenants[tenant_id],tblTenants[zone],"NOT FOUND")</f>
        <v>Home &amp; Living</v>
      </c>
      <c r="Q826" s="13" t="str">
        <f>_xlfn.XLOOKUP(tblTransactions[[#This Row],[tenant_id]],tblTenants[tenant_id],tblTenants[category],"NOT FOUND")</f>
        <v>Electronics</v>
      </c>
    </row>
    <row r="827" spans="1:17">
      <c r="A827" t="s">
        <v>871</v>
      </c>
      <c r="B827" s="2">
        <v>45743</v>
      </c>
      <c r="C827">
        <v>20</v>
      </c>
      <c r="D827" t="s">
        <v>18</v>
      </c>
      <c r="E827" t="s">
        <v>12</v>
      </c>
      <c r="F827" s="7">
        <v>955.5</v>
      </c>
      <c r="G827" s="10">
        <v>0</v>
      </c>
      <c r="H827" s="7">
        <v>955.5</v>
      </c>
      <c r="I827">
        <v>1</v>
      </c>
      <c r="J827" t="s">
        <v>13</v>
      </c>
      <c r="K827" s="13">
        <f>ROUND(tblTransactions[[#This Row],[gross_sales_inr]]*(1-tblTransactions[[#This Row],[discount_pct]]),2)</f>
        <v>955.5</v>
      </c>
      <c r="L827" t="str">
        <f>IF(ABS(tblTransactions[[#This Row],[net_sales_inr]]-tblTransactions[[#This Row],[Recalc_Net_Sales]])&lt;0.02,"OK","CHECK")</f>
        <v>OK</v>
      </c>
      <c r="M827" s="14">
        <f>DATE(YEAR(tblTransactions[[#This Row],[date]]),MONTH(tblTransactions[[#This Row],[date]]),1)</f>
        <v>45717</v>
      </c>
      <c r="N827" t="str">
        <f>IF(WEEKDAY(tblTransactions[[#This Row],[date]],2)&gt;5,"Weekend","Weekday")</f>
        <v>Weekday</v>
      </c>
      <c r="O827" s="13" t="str">
        <f>IF(tblTransactions[[#This Row],[discount_pct]]=0,"0%",IF(tblTransactions[[#This Row],[discount_pct]]&lt;=10%,"1–
10%",IF(tblTransactions[[#This Row],[discount_pct]]&lt;=20%,"11–20%","&gt;20%")))</f>
        <v>0%</v>
      </c>
      <c r="P827" s="13" t="str">
        <f>_xlfn.XLOOKUP(tblTransactions[[#This Row],[tenant_id]],tblTenants[tenant_id],tblTenants[zone],"NOT FOUND")</f>
        <v>Beauty &amp; Wellness</v>
      </c>
      <c r="Q827" s="13" t="str">
        <f>_xlfn.XLOOKUP(tblTransactions[[#This Row],[tenant_id]],tblTenants[tenant_id],tblTenants[category],"NOT FOUND")</f>
        <v>Beauty</v>
      </c>
    </row>
    <row r="828" spans="1:17">
      <c r="A828" t="s">
        <v>872</v>
      </c>
      <c r="B828" s="2">
        <v>45788</v>
      </c>
      <c r="C828">
        <v>20</v>
      </c>
      <c r="D828" t="s">
        <v>11</v>
      </c>
      <c r="E828" t="s">
        <v>51</v>
      </c>
      <c r="F828" s="7">
        <v>664.5</v>
      </c>
      <c r="G828" s="10">
        <v>0</v>
      </c>
      <c r="H828" s="7">
        <v>664.5</v>
      </c>
      <c r="I828">
        <v>2</v>
      </c>
      <c r="J828" t="s">
        <v>16</v>
      </c>
      <c r="K828" s="13">
        <f>ROUND(tblTransactions[[#This Row],[gross_sales_inr]]*(1-tblTransactions[[#This Row],[discount_pct]]),2)</f>
        <v>664.5</v>
      </c>
      <c r="L828" t="str">
        <f>IF(ABS(tblTransactions[[#This Row],[net_sales_inr]]-tblTransactions[[#This Row],[Recalc_Net_Sales]])&lt;0.02,"OK","CHECK")</f>
        <v>OK</v>
      </c>
      <c r="M828" s="14">
        <f>DATE(YEAR(tblTransactions[[#This Row],[date]]),MONTH(tblTransactions[[#This Row],[date]]),1)</f>
        <v>45778</v>
      </c>
      <c r="N828" t="str">
        <f>IF(WEEKDAY(tblTransactions[[#This Row],[date]],2)&gt;5,"Weekend","Weekday")</f>
        <v>Weekend</v>
      </c>
      <c r="O828" s="13" t="str">
        <f>IF(tblTransactions[[#This Row],[discount_pct]]=0,"0%",IF(tblTransactions[[#This Row],[discount_pct]]&lt;=10%,"1–
10%",IF(tblTransactions[[#This Row],[discount_pct]]&lt;=20%,"11–20%","&gt;20%")))</f>
        <v>0%</v>
      </c>
      <c r="P828" s="13" t="str">
        <f>_xlfn.XLOOKUP(tblTransactions[[#This Row],[tenant_id]],tblTenants[tenant_id],tblTenants[zone],"NOT FOUND")</f>
        <v>Home &amp; Living</v>
      </c>
      <c r="Q828" s="13" t="str">
        <f>_xlfn.XLOOKUP(tblTransactions[[#This Row],[tenant_id]],tblTenants[tenant_id],tblTenants[category],"NOT FOUND")</f>
        <v>Home Decor</v>
      </c>
    </row>
    <row r="829" spans="1:17">
      <c r="A829" t="s">
        <v>873</v>
      </c>
      <c r="B829" s="2">
        <v>45814</v>
      </c>
      <c r="C829">
        <v>10</v>
      </c>
      <c r="D829" t="s">
        <v>43</v>
      </c>
      <c r="E829" t="s">
        <v>51</v>
      </c>
      <c r="F829" s="7">
        <v>1704.27</v>
      </c>
      <c r="G829" s="10">
        <v>0</v>
      </c>
      <c r="H829" s="7">
        <v>1704.27</v>
      </c>
      <c r="I829">
        <v>3</v>
      </c>
      <c r="J829" t="s">
        <v>16</v>
      </c>
      <c r="K829" s="13">
        <f>ROUND(tblTransactions[[#This Row],[gross_sales_inr]]*(1-tblTransactions[[#This Row],[discount_pct]]),2)</f>
        <v>1704.27</v>
      </c>
      <c r="L829" t="str">
        <f>IF(ABS(tblTransactions[[#This Row],[net_sales_inr]]-tblTransactions[[#This Row],[Recalc_Net_Sales]])&lt;0.02,"OK","CHECK")</f>
        <v>OK</v>
      </c>
      <c r="M829" s="14">
        <f>DATE(YEAR(tblTransactions[[#This Row],[date]]),MONTH(tblTransactions[[#This Row],[date]]),1)</f>
        <v>45809</v>
      </c>
      <c r="N829" t="str">
        <f>IF(WEEKDAY(tblTransactions[[#This Row],[date]],2)&gt;5,"Weekend","Weekday")</f>
        <v>Weekday</v>
      </c>
      <c r="O829" s="13" t="str">
        <f>IF(tblTransactions[[#This Row],[discount_pct]]=0,"0%",IF(tblTransactions[[#This Row],[discount_pct]]&lt;=10%,"1–
10%",IF(tblTransactions[[#This Row],[discount_pct]]&lt;=20%,"11–20%","&gt;20%")))</f>
        <v>0%</v>
      </c>
      <c r="P829" s="13" t="str">
        <f>_xlfn.XLOOKUP(tblTransactions[[#This Row],[tenant_id]],tblTenants[tenant_id],tblTenants[zone],"NOT FOUND")</f>
        <v>Food Court</v>
      </c>
      <c r="Q829" s="13" t="str">
        <f>_xlfn.XLOOKUP(tblTransactions[[#This Row],[tenant_id]],tblTenants[tenant_id],tblTenants[category],"NOT FOUND")</f>
        <v>Casual Dining</v>
      </c>
    </row>
    <row r="830" spans="1:17">
      <c r="A830" t="s">
        <v>874</v>
      </c>
      <c r="B830" s="2">
        <v>45687</v>
      </c>
      <c r="C830">
        <v>18</v>
      </c>
      <c r="D830" t="s">
        <v>53</v>
      </c>
      <c r="E830" t="s">
        <v>12</v>
      </c>
      <c r="F830" s="7">
        <v>1252.25</v>
      </c>
      <c r="G830" s="10">
        <v>0</v>
      </c>
      <c r="H830" s="7">
        <v>1252.25</v>
      </c>
      <c r="I830">
        <v>4</v>
      </c>
      <c r="J830" t="s">
        <v>16</v>
      </c>
      <c r="K830" s="13">
        <f>ROUND(tblTransactions[[#This Row],[gross_sales_inr]]*(1-tblTransactions[[#This Row],[discount_pct]]),2)</f>
        <v>1252.25</v>
      </c>
      <c r="L830" t="str">
        <f>IF(ABS(tblTransactions[[#This Row],[net_sales_inr]]-tblTransactions[[#This Row],[Recalc_Net_Sales]])&lt;0.02,"OK","CHECK")</f>
        <v>OK</v>
      </c>
      <c r="M830" s="14">
        <f>DATE(YEAR(tblTransactions[[#This Row],[date]]),MONTH(tblTransactions[[#This Row],[date]]),1)</f>
        <v>45658</v>
      </c>
      <c r="N830" t="str">
        <f>IF(WEEKDAY(tblTransactions[[#This Row],[date]],2)&gt;5,"Weekend","Weekday")</f>
        <v>Weekday</v>
      </c>
      <c r="O830" s="13" t="str">
        <f>IF(tblTransactions[[#This Row],[discount_pct]]=0,"0%",IF(tblTransactions[[#This Row],[discount_pct]]&lt;=10%,"1–
10%",IF(tblTransactions[[#This Row],[discount_pct]]&lt;=20%,"11–20%","&gt;20%")))</f>
        <v>0%</v>
      </c>
      <c r="P830" s="13" t="str">
        <f>_xlfn.XLOOKUP(tblTransactions[[#This Row],[tenant_id]],tblTenants[tenant_id],tblTenants[zone],"NOT FOUND")</f>
        <v>Beauty &amp; Wellness</v>
      </c>
      <c r="Q830" s="13" t="str">
        <f>_xlfn.XLOOKUP(tblTransactions[[#This Row],[tenant_id]],tblTenants[tenant_id],tblTenants[category],"NOT FOUND")</f>
        <v>Beauty</v>
      </c>
    </row>
    <row r="831" spans="1:17">
      <c r="A831" t="s">
        <v>875</v>
      </c>
      <c r="B831" s="2">
        <v>45734</v>
      </c>
      <c r="C831">
        <v>18</v>
      </c>
      <c r="D831" t="s">
        <v>36</v>
      </c>
      <c r="E831" t="s">
        <v>32</v>
      </c>
      <c r="F831" s="7">
        <v>1083.32</v>
      </c>
      <c r="G831" s="10">
        <v>0.2</v>
      </c>
      <c r="H831" s="7">
        <v>866.66</v>
      </c>
      <c r="I831">
        <v>2</v>
      </c>
      <c r="J831" t="s">
        <v>16</v>
      </c>
      <c r="K831" s="13">
        <f>ROUND(tblTransactions[[#This Row],[gross_sales_inr]]*(1-tblTransactions[[#This Row],[discount_pct]]),2)</f>
        <v>866.66</v>
      </c>
      <c r="L831" t="str">
        <f>IF(ABS(tblTransactions[[#This Row],[net_sales_inr]]-tblTransactions[[#This Row],[Recalc_Net_Sales]])&lt;0.02,"OK","CHECK")</f>
        <v>OK</v>
      </c>
      <c r="M831" s="14">
        <f>DATE(YEAR(tblTransactions[[#This Row],[date]]),MONTH(tblTransactions[[#This Row],[date]]),1)</f>
        <v>45717</v>
      </c>
      <c r="N831" t="str">
        <f>IF(WEEKDAY(tblTransactions[[#This Row],[date]],2)&gt;5,"Weekend","Weekday")</f>
        <v>Weekday</v>
      </c>
      <c r="O83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31" s="13" t="str">
        <f>_xlfn.XLOOKUP(tblTransactions[[#This Row],[tenant_id]],tblTenants[tenant_id],tblTenants[zone],"NOT FOUND")</f>
        <v>Home &amp; Living</v>
      </c>
      <c r="Q831" s="13" t="str">
        <f>_xlfn.XLOOKUP(tblTransactions[[#This Row],[tenant_id]],tblTenants[tenant_id],tblTenants[category],"NOT FOUND")</f>
        <v>Electronics</v>
      </c>
    </row>
    <row r="832" spans="1:17">
      <c r="A832" t="s">
        <v>876</v>
      </c>
      <c r="B832" s="2">
        <v>45778</v>
      </c>
      <c r="C832">
        <v>18</v>
      </c>
      <c r="D832" t="s">
        <v>72</v>
      </c>
      <c r="E832" t="s">
        <v>12</v>
      </c>
      <c r="F832" s="7">
        <v>720.21</v>
      </c>
      <c r="G832" s="10">
        <v>0</v>
      </c>
      <c r="H832" s="7">
        <v>720.21</v>
      </c>
      <c r="I832">
        <v>1</v>
      </c>
      <c r="J832" t="s">
        <v>13</v>
      </c>
      <c r="K832" s="13">
        <f>ROUND(tblTransactions[[#This Row],[gross_sales_inr]]*(1-tblTransactions[[#This Row],[discount_pct]]),2)</f>
        <v>720.21</v>
      </c>
      <c r="L832" t="str">
        <f>IF(ABS(tblTransactions[[#This Row],[net_sales_inr]]-tblTransactions[[#This Row],[Recalc_Net_Sales]])&lt;0.02,"OK","CHECK")</f>
        <v>OK</v>
      </c>
      <c r="M832" s="14">
        <f>DATE(YEAR(tblTransactions[[#This Row],[date]]),MONTH(tblTransactions[[#This Row],[date]]),1)</f>
        <v>45778</v>
      </c>
      <c r="N832" t="str">
        <f>IF(WEEKDAY(tblTransactions[[#This Row],[date]],2)&gt;5,"Weekend","Weekday")</f>
        <v>Weekday</v>
      </c>
      <c r="O832" s="13" t="str">
        <f>IF(tblTransactions[[#This Row],[discount_pct]]=0,"0%",IF(tblTransactions[[#This Row],[discount_pct]]&lt;=10%,"1–
10%",IF(tblTransactions[[#This Row],[discount_pct]]&lt;=20%,"11–20%","&gt;20%")))</f>
        <v>0%</v>
      </c>
      <c r="P832" s="13" t="str">
        <f>_xlfn.XLOOKUP(tblTransactions[[#This Row],[tenant_id]],tblTenants[tenant_id],tblTenants[zone],"NOT FOUND")</f>
        <v>Entertainment</v>
      </c>
      <c r="Q832" s="13" t="str">
        <f>_xlfn.XLOOKUP(tblTransactions[[#This Row],[tenant_id]],tblTenants[tenant_id],tblTenants[category],"NOT FOUND")</f>
        <v>Arcade</v>
      </c>
    </row>
    <row r="833" spans="1:17">
      <c r="A833" t="s">
        <v>877</v>
      </c>
      <c r="B833" s="2">
        <v>45816</v>
      </c>
      <c r="C833">
        <v>14</v>
      </c>
      <c r="D833" t="s">
        <v>41</v>
      </c>
      <c r="E833" t="s">
        <v>12</v>
      </c>
      <c r="F833" s="7">
        <v>3512.1</v>
      </c>
      <c r="G833" s="10">
        <v>0</v>
      </c>
      <c r="H833" s="7">
        <v>3512.1</v>
      </c>
      <c r="I833">
        <v>1</v>
      </c>
      <c r="J833" t="s">
        <v>16</v>
      </c>
      <c r="K833" s="13">
        <f>ROUND(tblTransactions[[#This Row],[gross_sales_inr]]*(1-tblTransactions[[#This Row],[discount_pct]]),2)</f>
        <v>3512.1</v>
      </c>
      <c r="L833" t="str">
        <f>IF(ABS(tblTransactions[[#This Row],[net_sales_inr]]-tblTransactions[[#This Row],[Recalc_Net_Sales]])&lt;0.02,"OK","CHECK")</f>
        <v>OK</v>
      </c>
      <c r="M833" s="14">
        <f>DATE(YEAR(tblTransactions[[#This Row],[date]]),MONTH(tblTransactions[[#This Row],[date]]),1)</f>
        <v>45809</v>
      </c>
      <c r="N833" t="str">
        <f>IF(WEEKDAY(tblTransactions[[#This Row],[date]],2)&gt;5,"Weekend","Weekday")</f>
        <v>Weekend</v>
      </c>
      <c r="O833" s="13" t="str">
        <f>IF(tblTransactions[[#This Row],[discount_pct]]=0,"0%",IF(tblTransactions[[#This Row],[discount_pct]]&lt;=10%,"1–
10%",IF(tblTransactions[[#This Row],[discount_pct]]&lt;=20%,"11–20%","&gt;20%")))</f>
        <v>0%</v>
      </c>
      <c r="P833" s="13" t="str">
        <f>_xlfn.XLOOKUP(tblTransactions[[#This Row],[tenant_id]],tblTenants[tenant_id],tblTenants[zone],"NOT FOUND")</f>
        <v>Fashion Avenue</v>
      </c>
      <c r="Q833" s="13" t="str">
        <f>_xlfn.XLOOKUP(tblTransactions[[#This Row],[tenant_id]],tblTenants[tenant_id],tblTenants[category],"NOT FOUND")</f>
        <v>Clothing</v>
      </c>
    </row>
    <row r="834" spans="1:17">
      <c r="A834" t="s">
        <v>878</v>
      </c>
      <c r="B834" s="2">
        <v>45761</v>
      </c>
      <c r="C834">
        <v>21</v>
      </c>
      <c r="D834" t="s">
        <v>85</v>
      </c>
      <c r="E834" t="s">
        <v>32</v>
      </c>
      <c r="F834" s="7">
        <v>2323.73</v>
      </c>
      <c r="G834" s="10">
        <v>0.05</v>
      </c>
      <c r="H834" s="7">
        <v>2207.54</v>
      </c>
      <c r="I834">
        <v>1</v>
      </c>
      <c r="J834" t="s">
        <v>16</v>
      </c>
      <c r="K834" s="13">
        <f>ROUND(tblTransactions[[#This Row],[gross_sales_inr]]*(1-tblTransactions[[#This Row],[discount_pct]]),2)</f>
        <v>2207.54</v>
      </c>
      <c r="L834" t="str">
        <f>IF(ABS(tblTransactions[[#This Row],[net_sales_inr]]-tblTransactions[[#This Row],[Recalc_Net_Sales]])&lt;0.02,"OK","CHECK")</f>
        <v>OK</v>
      </c>
      <c r="M834" s="14">
        <f>DATE(YEAR(tblTransactions[[#This Row],[date]]),MONTH(tblTransactions[[#This Row],[date]]),1)</f>
        <v>45748</v>
      </c>
      <c r="N834" t="str">
        <f>IF(WEEKDAY(tblTransactions[[#This Row],[date]],2)&gt;5,"Weekend","Weekday")</f>
        <v>Weekday</v>
      </c>
      <c r="O83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34" s="13" t="str">
        <f>_xlfn.XLOOKUP(tblTransactions[[#This Row],[tenant_id]],tblTenants[tenant_id],tblTenants[zone],"NOT FOUND")</f>
        <v>Home &amp; Living</v>
      </c>
      <c r="Q834" s="13" t="str">
        <f>_xlfn.XLOOKUP(tblTransactions[[#This Row],[tenant_id]],tblTenants[tenant_id],tblTenants[category],"NOT FOUND")</f>
        <v>Electronics</v>
      </c>
    </row>
    <row r="835" spans="1:17">
      <c r="A835" t="s">
        <v>879</v>
      </c>
      <c r="B835" s="2">
        <v>45727</v>
      </c>
      <c r="C835">
        <v>18</v>
      </c>
      <c r="D835" t="s">
        <v>27</v>
      </c>
      <c r="E835" t="s">
        <v>21</v>
      </c>
      <c r="F835" s="7">
        <v>708.57</v>
      </c>
      <c r="G835" s="10">
        <v>0.15</v>
      </c>
      <c r="H835" s="7">
        <v>602.28</v>
      </c>
      <c r="I835">
        <v>4</v>
      </c>
      <c r="J835" t="s">
        <v>16</v>
      </c>
      <c r="K835" s="13">
        <f>ROUND(tblTransactions[[#This Row],[gross_sales_inr]]*(1-tblTransactions[[#This Row],[discount_pct]]),2)</f>
        <v>602.28</v>
      </c>
      <c r="L835" t="str">
        <f>IF(ABS(tblTransactions[[#This Row],[net_sales_inr]]-tblTransactions[[#This Row],[Recalc_Net_Sales]])&lt;0.02,"OK","CHECK")</f>
        <v>OK</v>
      </c>
      <c r="M835" s="14">
        <f>DATE(YEAR(tblTransactions[[#This Row],[date]]),MONTH(tblTransactions[[#This Row],[date]]),1)</f>
        <v>45717</v>
      </c>
      <c r="N835" t="str">
        <f>IF(WEEKDAY(tblTransactions[[#This Row],[date]],2)&gt;5,"Weekend","Weekday")</f>
        <v>Weekday</v>
      </c>
      <c r="O83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35" s="13" t="str">
        <f>_xlfn.XLOOKUP(tblTransactions[[#This Row],[tenant_id]],tblTenants[tenant_id],tblTenants[zone],"NOT FOUND")</f>
        <v>Beauty &amp; Wellness</v>
      </c>
      <c r="Q835" s="13" t="str">
        <f>_xlfn.XLOOKUP(tblTransactions[[#This Row],[tenant_id]],tblTenants[tenant_id],tblTenants[category],"NOT FOUND")</f>
        <v>Wellness</v>
      </c>
    </row>
    <row r="836" spans="1:17">
      <c r="A836" t="s">
        <v>880</v>
      </c>
      <c r="B836" s="2">
        <v>45684</v>
      </c>
      <c r="C836">
        <v>15</v>
      </c>
      <c r="D836" t="s">
        <v>23</v>
      </c>
      <c r="E836" t="s">
        <v>51</v>
      </c>
      <c r="F836" s="7">
        <v>523.69000000000005</v>
      </c>
      <c r="G836" s="10">
        <v>0.15</v>
      </c>
      <c r="H836" s="7">
        <v>445.14</v>
      </c>
      <c r="I836">
        <v>1</v>
      </c>
      <c r="J836" t="s">
        <v>13</v>
      </c>
      <c r="K836" s="13">
        <f>ROUND(tblTransactions[[#This Row],[gross_sales_inr]]*(1-tblTransactions[[#This Row],[discount_pct]]),2)</f>
        <v>445.14</v>
      </c>
      <c r="L836" t="str">
        <f>IF(ABS(tblTransactions[[#This Row],[net_sales_inr]]-tblTransactions[[#This Row],[Recalc_Net_Sales]])&lt;0.02,"OK","CHECK")</f>
        <v>OK</v>
      </c>
      <c r="M836" s="14">
        <f>DATE(YEAR(tblTransactions[[#This Row],[date]]),MONTH(tblTransactions[[#This Row],[date]]),1)</f>
        <v>45658</v>
      </c>
      <c r="N836" t="str">
        <f>IF(WEEKDAY(tblTransactions[[#This Row],[date]],2)&gt;5,"Weekend","Weekday")</f>
        <v>Weekday</v>
      </c>
      <c r="O83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36" s="13" t="str">
        <f>_xlfn.XLOOKUP(tblTransactions[[#This Row],[tenant_id]],tblTenants[tenant_id],tblTenants[zone],"NOT FOUND")</f>
        <v>Entertainment</v>
      </c>
      <c r="Q836" s="13" t="str">
        <f>_xlfn.XLOOKUP(tblTransactions[[#This Row],[tenant_id]],tblTenants[tenant_id],tblTenants[category],"NOT FOUND")</f>
        <v>Cinema</v>
      </c>
    </row>
    <row r="837" spans="1:17">
      <c r="A837" t="s">
        <v>881</v>
      </c>
      <c r="B837" s="2">
        <v>45822</v>
      </c>
      <c r="C837">
        <v>16</v>
      </c>
      <c r="D837" t="s">
        <v>70</v>
      </c>
      <c r="E837" t="s">
        <v>12</v>
      </c>
      <c r="F837" s="7">
        <v>2480</v>
      </c>
      <c r="G837" s="10">
        <v>0.05</v>
      </c>
      <c r="H837" s="7">
        <v>2356</v>
      </c>
      <c r="I837">
        <v>1</v>
      </c>
      <c r="J837" t="s">
        <v>13</v>
      </c>
      <c r="K837" s="13">
        <f>ROUND(tblTransactions[[#This Row],[gross_sales_inr]]*(1-tblTransactions[[#This Row],[discount_pct]]),2)</f>
        <v>2356</v>
      </c>
      <c r="L837" t="str">
        <f>IF(ABS(tblTransactions[[#This Row],[net_sales_inr]]-tblTransactions[[#This Row],[Recalc_Net_Sales]])&lt;0.02,"OK","CHECK")</f>
        <v>OK</v>
      </c>
      <c r="M837" s="14">
        <f>DATE(YEAR(tblTransactions[[#This Row],[date]]),MONTH(tblTransactions[[#This Row],[date]]),1)</f>
        <v>45809</v>
      </c>
      <c r="N837" t="str">
        <f>IF(WEEKDAY(tblTransactions[[#This Row],[date]],2)&gt;5,"Weekend","Weekday")</f>
        <v>Weekend</v>
      </c>
      <c r="O83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37" s="13" t="str">
        <f>_xlfn.XLOOKUP(tblTransactions[[#This Row],[tenant_id]],tblTenants[tenant_id],tblTenants[zone],"NOT FOUND")</f>
        <v>Food Court</v>
      </c>
      <c r="Q837" s="13" t="str">
        <f>_xlfn.XLOOKUP(tblTransactions[[#This Row],[tenant_id]],tblTenants[tenant_id],tblTenants[category],"NOT FOUND")</f>
        <v>Quick Service</v>
      </c>
    </row>
    <row r="838" spans="1:17">
      <c r="A838" t="s">
        <v>882</v>
      </c>
      <c r="B838" s="2">
        <v>45734</v>
      </c>
      <c r="C838">
        <v>18</v>
      </c>
      <c r="D838" t="s">
        <v>104</v>
      </c>
      <c r="E838" t="s">
        <v>51</v>
      </c>
      <c r="F838" s="7">
        <v>1525.86</v>
      </c>
      <c r="G838" s="10">
        <v>0</v>
      </c>
      <c r="H838" s="7">
        <v>1525.86</v>
      </c>
      <c r="I838">
        <v>1</v>
      </c>
      <c r="J838" t="s">
        <v>16</v>
      </c>
      <c r="K838" s="13">
        <f>ROUND(tblTransactions[[#This Row],[gross_sales_inr]]*(1-tblTransactions[[#This Row],[discount_pct]]),2)</f>
        <v>1525.86</v>
      </c>
      <c r="L838" t="str">
        <f>IF(ABS(tblTransactions[[#This Row],[net_sales_inr]]-tblTransactions[[#This Row],[Recalc_Net_Sales]])&lt;0.02,"OK","CHECK")</f>
        <v>OK</v>
      </c>
      <c r="M838" s="14">
        <f>DATE(YEAR(tblTransactions[[#This Row],[date]]),MONTH(tblTransactions[[#This Row],[date]]),1)</f>
        <v>45717</v>
      </c>
      <c r="N838" t="str">
        <f>IF(WEEKDAY(tblTransactions[[#This Row],[date]],2)&gt;5,"Weekend","Weekday")</f>
        <v>Weekday</v>
      </c>
      <c r="O838" s="13" t="str">
        <f>IF(tblTransactions[[#This Row],[discount_pct]]=0,"0%",IF(tblTransactions[[#This Row],[discount_pct]]&lt;=10%,"1–
10%",IF(tblTransactions[[#This Row],[discount_pct]]&lt;=20%,"11–20%","&gt;20%")))</f>
        <v>0%</v>
      </c>
      <c r="P838" s="13" t="str">
        <f>_xlfn.XLOOKUP(tblTransactions[[#This Row],[tenant_id]],tblTenants[tenant_id],tblTenants[zone],"NOT FOUND")</f>
        <v>Entertainment</v>
      </c>
      <c r="Q838" s="13" t="str">
        <f>_xlfn.XLOOKUP(tblTransactions[[#This Row],[tenant_id]],tblTenants[tenant_id],tblTenants[category],"NOT FOUND")</f>
        <v>Family Entertainment</v>
      </c>
    </row>
    <row r="839" spans="1:17">
      <c r="A839" t="s">
        <v>883</v>
      </c>
      <c r="B839" s="2">
        <v>45726</v>
      </c>
      <c r="C839">
        <v>20</v>
      </c>
      <c r="D839" t="s">
        <v>43</v>
      </c>
      <c r="E839" t="s">
        <v>12</v>
      </c>
      <c r="F839" s="7">
        <v>601.46</v>
      </c>
      <c r="G839" s="10">
        <v>0</v>
      </c>
      <c r="H839" s="7">
        <v>601.46</v>
      </c>
      <c r="I839">
        <v>1</v>
      </c>
      <c r="J839" t="s">
        <v>16</v>
      </c>
      <c r="K839" s="13">
        <f>ROUND(tblTransactions[[#This Row],[gross_sales_inr]]*(1-tblTransactions[[#This Row],[discount_pct]]),2)</f>
        <v>601.46</v>
      </c>
      <c r="L839" t="str">
        <f>IF(ABS(tblTransactions[[#This Row],[net_sales_inr]]-tblTransactions[[#This Row],[Recalc_Net_Sales]])&lt;0.02,"OK","CHECK")</f>
        <v>OK</v>
      </c>
      <c r="M839" s="14">
        <f>DATE(YEAR(tblTransactions[[#This Row],[date]]),MONTH(tblTransactions[[#This Row],[date]]),1)</f>
        <v>45717</v>
      </c>
      <c r="N839" t="str">
        <f>IF(WEEKDAY(tblTransactions[[#This Row],[date]],2)&gt;5,"Weekend","Weekday")</f>
        <v>Weekday</v>
      </c>
      <c r="O839" s="13" t="str">
        <f>IF(tblTransactions[[#This Row],[discount_pct]]=0,"0%",IF(tblTransactions[[#This Row],[discount_pct]]&lt;=10%,"1–
10%",IF(tblTransactions[[#This Row],[discount_pct]]&lt;=20%,"11–20%","&gt;20%")))</f>
        <v>0%</v>
      </c>
      <c r="P839" s="13" t="str">
        <f>_xlfn.XLOOKUP(tblTransactions[[#This Row],[tenant_id]],tblTenants[tenant_id],tblTenants[zone],"NOT FOUND")</f>
        <v>Food Court</v>
      </c>
      <c r="Q839" s="13" t="str">
        <f>_xlfn.XLOOKUP(tblTransactions[[#This Row],[tenant_id]],tblTenants[tenant_id],tblTenants[category],"NOT FOUND")</f>
        <v>Casual Dining</v>
      </c>
    </row>
    <row r="840" spans="1:17">
      <c r="A840" t="s">
        <v>884</v>
      </c>
      <c r="B840" s="2">
        <v>45694</v>
      </c>
      <c r="C840">
        <v>21</v>
      </c>
      <c r="D840" t="s">
        <v>41</v>
      </c>
      <c r="E840" t="s">
        <v>21</v>
      </c>
      <c r="F840" s="7">
        <v>508.19</v>
      </c>
      <c r="G840" s="10">
        <v>0.15</v>
      </c>
      <c r="H840" s="7">
        <v>431.96</v>
      </c>
      <c r="I840">
        <v>2</v>
      </c>
      <c r="J840" t="s">
        <v>16</v>
      </c>
      <c r="K840" s="13">
        <f>ROUND(tblTransactions[[#This Row],[gross_sales_inr]]*(1-tblTransactions[[#This Row],[discount_pct]]),2)</f>
        <v>431.96</v>
      </c>
      <c r="L840" t="str">
        <f>IF(ABS(tblTransactions[[#This Row],[net_sales_inr]]-tblTransactions[[#This Row],[Recalc_Net_Sales]])&lt;0.02,"OK","CHECK")</f>
        <v>OK</v>
      </c>
      <c r="M840" s="14">
        <f>DATE(YEAR(tblTransactions[[#This Row],[date]]),MONTH(tblTransactions[[#This Row],[date]]),1)</f>
        <v>45689</v>
      </c>
      <c r="N840" t="str">
        <f>IF(WEEKDAY(tblTransactions[[#This Row],[date]],2)&gt;5,"Weekend","Weekday")</f>
        <v>Weekday</v>
      </c>
      <c r="O84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40" s="13" t="str">
        <f>_xlfn.XLOOKUP(tblTransactions[[#This Row],[tenant_id]],tblTenants[tenant_id],tblTenants[zone],"NOT FOUND")</f>
        <v>Fashion Avenue</v>
      </c>
      <c r="Q840" s="13" t="str">
        <f>_xlfn.XLOOKUP(tblTransactions[[#This Row],[tenant_id]],tblTenants[tenant_id],tblTenants[category],"NOT FOUND")</f>
        <v>Clothing</v>
      </c>
    </row>
    <row r="841" spans="1:17">
      <c r="A841" t="s">
        <v>885</v>
      </c>
      <c r="B841" s="2">
        <v>45811</v>
      </c>
      <c r="C841">
        <v>22</v>
      </c>
      <c r="D841" t="s">
        <v>11</v>
      </c>
      <c r="E841" t="s">
        <v>12</v>
      </c>
      <c r="F841" s="7">
        <v>1023.36</v>
      </c>
      <c r="G841" s="10">
        <v>0.05</v>
      </c>
      <c r="H841" s="7">
        <v>972.19</v>
      </c>
      <c r="I841">
        <v>2</v>
      </c>
      <c r="J841" t="s">
        <v>13</v>
      </c>
      <c r="K841" s="13">
        <f>ROUND(tblTransactions[[#This Row],[gross_sales_inr]]*(1-tblTransactions[[#This Row],[discount_pct]]),2)</f>
        <v>972.19</v>
      </c>
      <c r="L841" t="str">
        <f>IF(ABS(tblTransactions[[#This Row],[net_sales_inr]]-tblTransactions[[#This Row],[Recalc_Net_Sales]])&lt;0.02,"OK","CHECK")</f>
        <v>OK</v>
      </c>
      <c r="M841" s="14">
        <f>DATE(YEAR(tblTransactions[[#This Row],[date]]),MONTH(tblTransactions[[#This Row],[date]]),1)</f>
        <v>45809</v>
      </c>
      <c r="N841" t="str">
        <f>IF(WEEKDAY(tblTransactions[[#This Row],[date]],2)&gt;5,"Weekend","Weekday")</f>
        <v>Weekday</v>
      </c>
      <c r="O84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41" s="13" t="str">
        <f>_xlfn.XLOOKUP(tblTransactions[[#This Row],[tenant_id]],tblTenants[tenant_id],tblTenants[zone],"NOT FOUND")</f>
        <v>Home &amp; Living</v>
      </c>
      <c r="Q841" s="13" t="str">
        <f>_xlfn.XLOOKUP(tblTransactions[[#This Row],[tenant_id]],tblTenants[tenant_id],tblTenants[category],"NOT FOUND")</f>
        <v>Home Decor</v>
      </c>
    </row>
    <row r="842" spans="1:17">
      <c r="A842" t="s">
        <v>886</v>
      </c>
      <c r="B842" s="2">
        <v>45697</v>
      </c>
      <c r="C842">
        <v>19</v>
      </c>
      <c r="D842" t="s">
        <v>57</v>
      </c>
      <c r="E842" t="s">
        <v>32</v>
      </c>
      <c r="F842" s="7">
        <v>1181.07</v>
      </c>
      <c r="G842" s="10">
        <v>0.3</v>
      </c>
      <c r="H842" s="7">
        <v>826.75</v>
      </c>
      <c r="I842">
        <v>1</v>
      </c>
      <c r="J842" t="s">
        <v>13</v>
      </c>
      <c r="K842" s="13">
        <f>ROUND(tblTransactions[[#This Row],[gross_sales_inr]]*(1-tblTransactions[[#This Row],[discount_pct]]),2)</f>
        <v>826.75</v>
      </c>
      <c r="L842" t="str">
        <f>IF(ABS(tblTransactions[[#This Row],[net_sales_inr]]-tblTransactions[[#This Row],[Recalc_Net_Sales]])&lt;0.02,"OK","CHECK")</f>
        <v>OK</v>
      </c>
      <c r="M842" s="14">
        <f>DATE(YEAR(tblTransactions[[#This Row],[date]]),MONTH(tblTransactions[[#This Row],[date]]),1)</f>
        <v>45689</v>
      </c>
      <c r="N842" t="str">
        <f>IF(WEEKDAY(tblTransactions[[#This Row],[date]],2)&gt;5,"Weekend","Weekday")</f>
        <v>Weekend</v>
      </c>
      <c r="O842" s="13" t="str">
        <f>IF(tblTransactions[[#This Row],[discount_pct]]=0,"0%",IF(tblTransactions[[#This Row],[discount_pct]]&lt;=10%,"1–
10%",IF(tblTransactions[[#This Row],[discount_pct]]&lt;=20%,"11–20%","&gt;20%")))</f>
        <v>&gt;20%</v>
      </c>
      <c r="P842" s="13" t="str">
        <f>_xlfn.XLOOKUP(tblTransactions[[#This Row],[tenant_id]],tblTenants[tenant_id],tblTenants[zone],"NOT FOUND")</f>
        <v>Food Court</v>
      </c>
      <c r="Q842" s="13" t="str">
        <f>_xlfn.XLOOKUP(tblTransactions[[#This Row],[tenant_id]],tblTenants[tenant_id],tblTenants[category],"NOT FOUND")</f>
        <v>Casual Dining</v>
      </c>
    </row>
    <row r="843" spans="1:17">
      <c r="A843" t="s">
        <v>887</v>
      </c>
      <c r="B843" s="2">
        <v>45761</v>
      </c>
      <c r="C843">
        <v>19</v>
      </c>
      <c r="D843" t="s">
        <v>36</v>
      </c>
      <c r="E843" t="s">
        <v>32</v>
      </c>
      <c r="F843" s="7">
        <v>455</v>
      </c>
      <c r="G843" s="10">
        <v>0.1</v>
      </c>
      <c r="H843" s="7">
        <v>409.5</v>
      </c>
      <c r="I843">
        <v>4</v>
      </c>
      <c r="J843" t="s">
        <v>16</v>
      </c>
      <c r="K843" s="13">
        <f>ROUND(tblTransactions[[#This Row],[gross_sales_inr]]*(1-tblTransactions[[#This Row],[discount_pct]]),2)</f>
        <v>409.5</v>
      </c>
      <c r="L843" t="str">
        <f>IF(ABS(tblTransactions[[#This Row],[net_sales_inr]]-tblTransactions[[#This Row],[Recalc_Net_Sales]])&lt;0.02,"OK","CHECK")</f>
        <v>OK</v>
      </c>
      <c r="M843" s="14">
        <f>DATE(YEAR(tblTransactions[[#This Row],[date]]),MONTH(tblTransactions[[#This Row],[date]]),1)</f>
        <v>45748</v>
      </c>
      <c r="N843" t="str">
        <f>IF(WEEKDAY(tblTransactions[[#This Row],[date]],2)&gt;5,"Weekend","Weekday")</f>
        <v>Weekday</v>
      </c>
      <c r="O84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43" s="13" t="str">
        <f>_xlfn.XLOOKUP(tblTransactions[[#This Row],[tenant_id]],tblTenants[tenant_id],tblTenants[zone],"NOT FOUND")</f>
        <v>Home &amp; Living</v>
      </c>
      <c r="Q843" s="13" t="str">
        <f>_xlfn.XLOOKUP(tblTransactions[[#This Row],[tenant_id]],tblTenants[tenant_id],tblTenants[category],"NOT FOUND")</f>
        <v>Electronics</v>
      </c>
    </row>
    <row r="844" spans="1:17">
      <c r="A844" t="s">
        <v>888</v>
      </c>
      <c r="B844" s="2">
        <v>45678</v>
      </c>
      <c r="C844">
        <v>11</v>
      </c>
      <c r="D844" t="s">
        <v>70</v>
      </c>
      <c r="E844" t="s">
        <v>12</v>
      </c>
      <c r="F844" s="7">
        <v>3116.71</v>
      </c>
      <c r="G844" s="10">
        <v>0</v>
      </c>
      <c r="H844" s="7">
        <v>3116.71</v>
      </c>
      <c r="I844">
        <v>1</v>
      </c>
      <c r="J844" t="s">
        <v>13</v>
      </c>
      <c r="K844" s="13">
        <f>ROUND(tblTransactions[[#This Row],[gross_sales_inr]]*(1-tblTransactions[[#This Row],[discount_pct]]),2)</f>
        <v>3116.71</v>
      </c>
      <c r="L844" t="str">
        <f>IF(ABS(tblTransactions[[#This Row],[net_sales_inr]]-tblTransactions[[#This Row],[Recalc_Net_Sales]])&lt;0.02,"OK","CHECK")</f>
        <v>OK</v>
      </c>
      <c r="M844" s="14">
        <f>DATE(YEAR(tblTransactions[[#This Row],[date]]),MONTH(tblTransactions[[#This Row],[date]]),1)</f>
        <v>45658</v>
      </c>
      <c r="N844" t="str">
        <f>IF(WEEKDAY(tblTransactions[[#This Row],[date]],2)&gt;5,"Weekend","Weekday")</f>
        <v>Weekday</v>
      </c>
      <c r="O844" s="13" t="str">
        <f>IF(tblTransactions[[#This Row],[discount_pct]]=0,"0%",IF(tblTransactions[[#This Row],[discount_pct]]&lt;=10%,"1–
10%",IF(tblTransactions[[#This Row],[discount_pct]]&lt;=20%,"11–20%","&gt;20%")))</f>
        <v>0%</v>
      </c>
      <c r="P844" s="13" t="str">
        <f>_xlfn.XLOOKUP(tblTransactions[[#This Row],[tenant_id]],tblTenants[tenant_id],tblTenants[zone],"NOT FOUND")</f>
        <v>Food Court</v>
      </c>
      <c r="Q844" s="13" t="str">
        <f>_xlfn.XLOOKUP(tblTransactions[[#This Row],[tenant_id]],tblTenants[tenant_id],tblTenants[category],"NOT FOUND")</f>
        <v>Quick Service</v>
      </c>
    </row>
    <row r="845" spans="1:17">
      <c r="A845" t="s">
        <v>889</v>
      </c>
      <c r="B845" s="2">
        <v>45677</v>
      </c>
      <c r="C845">
        <v>19</v>
      </c>
      <c r="D845" t="s">
        <v>48</v>
      </c>
      <c r="E845" t="s">
        <v>12</v>
      </c>
      <c r="F845" s="7">
        <v>1278.3699999999999</v>
      </c>
      <c r="G845" s="10">
        <v>0.3</v>
      </c>
      <c r="H845" s="7">
        <v>894.86</v>
      </c>
      <c r="I845">
        <v>3</v>
      </c>
      <c r="J845" t="s">
        <v>13</v>
      </c>
      <c r="K845" s="13">
        <f>ROUND(tblTransactions[[#This Row],[gross_sales_inr]]*(1-tblTransactions[[#This Row],[discount_pct]]),2)</f>
        <v>894.86</v>
      </c>
      <c r="L845" t="str">
        <f>IF(ABS(tblTransactions[[#This Row],[net_sales_inr]]-tblTransactions[[#This Row],[Recalc_Net_Sales]])&lt;0.02,"OK","CHECK")</f>
        <v>OK</v>
      </c>
      <c r="M845" s="14">
        <f>DATE(YEAR(tblTransactions[[#This Row],[date]]),MONTH(tblTransactions[[#This Row],[date]]),1)</f>
        <v>45658</v>
      </c>
      <c r="N845" t="str">
        <f>IF(WEEKDAY(tblTransactions[[#This Row],[date]],2)&gt;5,"Weekend","Weekday")</f>
        <v>Weekday</v>
      </c>
      <c r="O845" s="13" t="str">
        <f>IF(tblTransactions[[#This Row],[discount_pct]]=0,"0%",IF(tblTransactions[[#This Row],[discount_pct]]&lt;=10%,"1–
10%",IF(tblTransactions[[#This Row],[discount_pct]]&lt;=20%,"11–20%","&gt;20%")))</f>
        <v>&gt;20%</v>
      </c>
      <c r="P845" s="13" t="str">
        <f>_xlfn.XLOOKUP(tblTransactions[[#This Row],[tenant_id]],tblTenants[tenant_id],tblTenants[zone],"NOT FOUND")</f>
        <v>Beauty &amp; Wellness</v>
      </c>
      <c r="Q845" s="13" t="str">
        <f>_xlfn.XLOOKUP(tblTransactions[[#This Row],[tenant_id]],tblTenants[tenant_id],tblTenants[category],"NOT FOUND")</f>
        <v>Wellness</v>
      </c>
    </row>
    <row r="846" spans="1:17">
      <c r="A846" t="s">
        <v>890</v>
      </c>
      <c r="B846" s="2">
        <v>45825</v>
      </c>
      <c r="C846">
        <v>18</v>
      </c>
      <c r="D846" t="s">
        <v>18</v>
      </c>
      <c r="E846" t="s">
        <v>12</v>
      </c>
      <c r="F846" s="7">
        <v>693.52</v>
      </c>
      <c r="G846" s="10">
        <v>0.1</v>
      </c>
      <c r="H846" s="7">
        <v>624.16999999999996</v>
      </c>
      <c r="I846">
        <v>2</v>
      </c>
      <c r="J846" t="s">
        <v>16</v>
      </c>
      <c r="K846" s="13">
        <f>ROUND(tblTransactions[[#This Row],[gross_sales_inr]]*(1-tblTransactions[[#This Row],[discount_pct]]),2)</f>
        <v>624.16999999999996</v>
      </c>
      <c r="L846" t="str">
        <f>IF(ABS(tblTransactions[[#This Row],[net_sales_inr]]-tblTransactions[[#This Row],[Recalc_Net_Sales]])&lt;0.02,"OK","CHECK")</f>
        <v>OK</v>
      </c>
      <c r="M846" s="14">
        <f>DATE(YEAR(tblTransactions[[#This Row],[date]]),MONTH(tblTransactions[[#This Row],[date]]),1)</f>
        <v>45809</v>
      </c>
      <c r="N846" t="str">
        <f>IF(WEEKDAY(tblTransactions[[#This Row],[date]],2)&gt;5,"Weekend","Weekday")</f>
        <v>Weekday</v>
      </c>
      <c r="O84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46" s="13" t="str">
        <f>_xlfn.XLOOKUP(tblTransactions[[#This Row],[tenant_id]],tblTenants[tenant_id],tblTenants[zone],"NOT FOUND")</f>
        <v>Beauty &amp; Wellness</v>
      </c>
      <c r="Q846" s="13" t="str">
        <f>_xlfn.XLOOKUP(tblTransactions[[#This Row],[tenant_id]],tblTenants[tenant_id],tblTenants[category],"NOT FOUND")</f>
        <v>Beauty</v>
      </c>
    </row>
    <row r="847" spans="1:17">
      <c r="A847" t="s">
        <v>891</v>
      </c>
      <c r="B847" s="2">
        <v>45682</v>
      </c>
      <c r="C847">
        <v>14</v>
      </c>
      <c r="D847" t="s">
        <v>122</v>
      </c>
      <c r="E847" t="s">
        <v>21</v>
      </c>
      <c r="F847" s="7">
        <v>2709.26</v>
      </c>
      <c r="G847" s="10">
        <v>0.2</v>
      </c>
      <c r="H847" s="7">
        <v>2167.41</v>
      </c>
      <c r="I847">
        <v>4</v>
      </c>
      <c r="J847" t="s">
        <v>13</v>
      </c>
      <c r="K847" s="13">
        <f>ROUND(tblTransactions[[#This Row],[gross_sales_inr]]*(1-tblTransactions[[#This Row],[discount_pct]]),2)</f>
        <v>2167.41</v>
      </c>
      <c r="L847" t="str">
        <f>IF(ABS(tblTransactions[[#This Row],[net_sales_inr]]-tblTransactions[[#This Row],[Recalc_Net_Sales]])&lt;0.02,"OK","CHECK")</f>
        <v>OK</v>
      </c>
      <c r="M847" s="14">
        <f>DATE(YEAR(tblTransactions[[#This Row],[date]]),MONTH(tblTransactions[[#This Row],[date]]),1)</f>
        <v>45658</v>
      </c>
      <c r="N847" t="str">
        <f>IF(WEEKDAY(tblTransactions[[#This Row],[date]],2)&gt;5,"Weekend","Weekday")</f>
        <v>Weekend</v>
      </c>
      <c r="O84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47" s="13" t="str">
        <f>_xlfn.XLOOKUP(tblTransactions[[#This Row],[tenant_id]],tblTenants[tenant_id],tblTenants[zone],"NOT FOUND")</f>
        <v>Beauty &amp; Wellness</v>
      </c>
      <c r="Q847" s="13" t="str">
        <f>_xlfn.XLOOKUP(tblTransactions[[#This Row],[tenant_id]],tblTenants[tenant_id],tblTenants[category],"NOT FOUND")</f>
        <v>Wellness</v>
      </c>
    </row>
    <row r="848" spans="1:17">
      <c r="A848" t="s">
        <v>892</v>
      </c>
      <c r="B848" s="2">
        <v>45790</v>
      </c>
      <c r="C848">
        <v>19</v>
      </c>
      <c r="D848" t="s">
        <v>48</v>
      </c>
      <c r="E848" t="s">
        <v>12</v>
      </c>
      <c r="F848" s="7">
        <v>1353.97</v>
      </c>
      <c r="G848" s="10">
        <v>0.1</v>
      </c>
      <c r="H848" s="7">
        <v>1218.57</v>
      </c>
      <c r="I848">
        <v>2</v>
      </c>
      <c r="J848" t="s">
        <v>13</v>
      </c>
      <c r="K848" s="13">
        <f>ROUND(tblTransactions[[#This Row],[gross_sales_inr]]*(1-tblTransactions[[#This Row],[discount_pct]]),2)</f>
        <v>1218.57</v>
      </c>
      <c r="L848" t="str">
        <f>IF(ABS(tblTransactions[[#This Row],[net_sales_inr]]-tblTransactions[[#This Row],[Recalc_Net_Sales]])&lt;0.02,"OK","CHECK")</f>
        <v>OK</v>
      </c>
      <c r="M848" s="14">
        <f>DATE(YEAR(tblTransactions[[#This Row],[date]]),MONTH(tblTransactions[[#This Row],[date]]),1)</f>
        <v>45778</v>
      </c>
      <c r="N848" t="str">
        <f>IF(WEEKDAY(tblTransactions[[#This Row],[date]],2)&gt;5,"Weekend","Weekday")</f>
        <v>Weekday</v>
      </c>
      <c r="O84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48" s="13" t="str">
        <f>_xlfn.XLOOKUP(tblTransactions[[#This Row],[tenant_id]],tblTenants[tenant_id],tblTenants[zone],"NOT FOUND")</f>
        <v>Beauty &amp; Wellness</v>
      </c>
      <c r="Q848" s="13" t="str">
        <f>_xlfn.XLOOKUP(tblTransactions[[#This Row],[tenant_id]],tblTenants[tenant_id],tblTenants[category],"NOT FOUND")</f>
        <v>Wellness</v>
      </c>
    </row>
    <row r="849" spans="1:17">
      <c r="A849" t="s">
        <v>893</v>
      </c>
      <c r="B849" s="2">
        <v>45773</v>
      </c>
      <c r="C849">
        <v>13</v>
      </c>
      <c r="D849" t="s">
        <v>57</v>
      </c>
      <c r="E849" t="s">
        <v>32</v>
      </c>
      <c r="F849" s="7">
        <v>1490.11</v>
      </c>
      <c r="G849" s="10">
        <v>0</v>
      </c>
      <c r="H849" s="7">
        <v>1490.11</v>
      </c>
      <c r="I849">
        <v>5</v>
      </c>
      <c r="J849" t="s">
        <v>13</v>
      </c>
      <c r="K849" s="13">
        <f>ROUND(tblTransactions[[#This Row],[gross_sales_inr]]*(1-tblTransactions[[#This Row],[discount_pct]]),2)</f>
        <v>1490.11</v>
      </c>
      <c r="L849" t="str">
        <f>IF(ABS(tblTransactions[[#This Row],[net_sales_inr]]-tblTransactions[[#This Row],[Recalc_Net_Sales]])&lt;0.02,"OK","CHECK")</f>
        <v>OK</v>
      </c>
      <c r="M849" s="14">
        <f>DATE(YEAR(tblTransactions[[#This Row],[date]]),MONTH(tblTransactions[[#This Row],[date]]),1)</f>
        <v>45748</v>
      </c>
      <c r="N849" t="str">
        <f>IF(WEEKDAY(tblTransactions[[#This Row],[date]],2)&gt;5,"Weekend","Weekday")</f>
        <v>Weekend</v>
      </c>
      <c r="O849" s="13" t="str">
        <f>IF(tblTransactions[[#This Row],[discount_pct]]=0,"0%",IF(tblTransactions[[#This Row],[discount_pct]]&lt;=10%,"1–
10%",IF(tblTransactions[[#This Row],[discount_pct]]&lt;=20%,"11–20%","&gt;20%")))</f>
        <v>0%</v>
      </c>
      <c r="P849" s="13" t="str">
        <f>_xlfn.XLOOKUP(tblTransactions[[#This Row],[tenant_id]],tblTenants[tenant_id],tblTenants[zone],"NOT FOUND")</f>
        <v>Food Court</v>
      </c>
      <c r="Q849" s="13" t="str">
        <f>_xlfn.XLOOKUP(tblTransactions[[#This Row],[tenant_id]],tblTenants[tenant_id],tblTenants[category],"NOT FOUND")</f>
        <v>Casual Dining</v>
      </c>
    </row>
    <row r="850" spans="1:17">
      <c r="A850" t="s">
        <v>894</v>
      </c>
      <c r="B850" s="2">
        <v>45748</v>
      </c>
      <c r="C850">
        <v>14</v>
      </c>
      <c r="D850" t="s">
        <v>80</v>
      </c>
      <c r="E850" t="s">
        <v>32</v>
      </c>
      <c r="F850" s="7">
        <v>643.28</v>
      </c>
      <c r="G850" s="10">
        <v>0</v>
      </c>
      <c r="H850" s="7">
        <v>643.28</v>
      </c>
      <c r="I850">
        <v>2</v>
      </c>
      <c r="J850" t="s">
        <v>16</v>
      </c>
      <c r="K850" s="13">
        <f>ROUND(tblTransactions[[#This Row],[gross_sales_inr]]*(1-tblTransactions[[#This Row],[discount_pct]]),2)</f>
        <v>643.28</v>
      </c>
      <c r="L850" t="str">
        <f>IF(ABS(tblTransactions[[#This Row],[net_sales_inr]]-tblTransactions[[#This Row],[Recalc_Net_Sales]])&lt;0.02,"OK","CHECK")</f>
        <v>OK</v>
      </c>
      <c r="M850" s="14">
        <f>DATE(YEAR(tblTransactions[[#This Row],[date]]),MONTH(tblTransactions[[#This Row],[date]]),1)</f>
        <v>45748</v>
      </c>
      <c r="N850" t="str">
        <f>IF(WEEKDAY(tblTransactions[[#This Row],[date]],2)&gt;5,"Weekend","Weekday")</f>
        <v>Weekday</v>
      </c>
      <c r="O850" s="13" t="str">
        <f>IF(tblTransactions[[#This Row],[discount_pct]]=0,"0%",IF(tblTransactions[[#This Row],[discount_pct]]&lt;=10%,"1–
10%",IF(tblTransactions[[#This Row],[discount_pct]]&lt;=20%,"11–20%","&gt;20%")))</f>
        <v>0%</v>
      </c>
      <c r="P850" s="13" t="str">
        <f>_xlfn.XLOOKUP(tblTransactions[[#This Row],[tenant_id]],tblTenants[tenant_id],tblTenants[zone],"NOT FOUND")</f>
        <v>Food Court</v>
      </c>
      <c r="Q850" s="13" t="str">
        <f>_xlfn.XLOOKUP(tblTransactions[[#This Row],[tenant_id]],tblTenants[tenant_id],tblTenants[category],"NOT FOUND")</f>
        <v>Casual Dining</v>
      </c>
    </row>
    <row r="851" spans="1:17">
      <c r="A851" t="s">
        <v>895</v>
      </c>
      <c r="B851" s="2">
        <v>45775</v>
      </c>
      <c r="C851">
        <v>21</v>
      </c>
      <c r="D851" t="s">
        <v>29</v>
      </c>
      <c r="E851" t="s">
        <v>12</v>
      </c>
      <c r="F851" s="7">
        <v>2125.7600000000002</v>
      </c>
      <c r="G851" s="10">
        <v>0</v>
      </c>
      <c r="H851" s="7">
        <v>2125.7600000000002</v>
      </c>
      <c r="I851">
        <v>1</v>
      </c>
      <c r="J851" t="s">
        <v>13</v>
      </c>
      <c r="K851" s="13">
        <f>ROUND(tblTransactions[[#This Row],[gross_sales_inr]]*(1-tblTransactions[[#This Row],[discount_pct]]),2)</f>
        <v>2125.7600000000002</v>
      </c>
      <c r="L851" t="str">
        <f>IF(ABS(tblTransactions[[#This Row],[net_sales_inr]]-tblTransactions[[#This Row],[Recalc_Net_Sales]])&lt;0.02,"OK","CHECK")</f>
        <v>OK</v>
      </c>
      <c r="M851" s="14">
        <f>DATE(YEAR(tblTransactions[[#This Row],[date]]),MONTH(tblTransactions[[#This Row],[date]]),1)</f>
        <v>45748</v>
      </c>
      <c r="N851" t="str">
        <f>IF(WEEKDAY(tblTransactions[[#This Row],[date]],2)&gt;5,"Weekend","Weekday")</f>
        <v>Weekday</v>
      </c>
      <c r="O851" s="13" t="str">
        <f>IF(tblTransactions[[#This Row],[discount_pct]]=0,"0%",IF(tblTransactions[[#This Row],[discount_pct]]&lt;=10%,"1–
10%",IF(tblTransactions[[#This Row],[discount_pct]]&lt;=20%,"11–20%","&gt;20%")))</f>
        <v>0%</v>
      </c>
      <c r="P851" s="13" t="str">
        <f>_xlfn.XLOOKUP(tblTransactions[[#This Row],[tenant_id]],tblTenants[tenant_id],tblTenants[zone],"NOT FOUND")</f>
        <v>Entertainment</v>
      </c>
      <c r="Q851" s="13" t="str">
        <f>_xlfn.XLOOKUP(tblTransactions[[#This Row],[tenant_id]],tblTenants[tenant_id],tblTenants[category],"NOT FOUND")</f>
        <v>Cinema</v>
      </c>
    </row>
    <row r="852" spans="1:17">
      <c r="A852" t="s">
        <v>896</v>
      </c>
      <c r="B852" s="2">
        <v>45707</v>
      </c>
      <c r="C852">
        <v>14</v>
      </c>
      <c r="D852" t="s">
        <v>29</v>
      </c>
      <c r="E852" t="s">
        <v>12</v>
      </c>
      <c r="F852" s="7">
        <v>636.5</v>
      </c>
      <c r="G852" s="10">
        <v>0.15</v>
      </c>
      <c r="H852" s="7">
        <v>541.02</v>
      </c>
      <c r="I852">
        <v>2</v>
      </c>
      <c r="J852" t="s">
        <v>13</v>
      </c>
      <c r="K852" s="13">
        <f>ROUND(tblTransactions[[#This Row],[gross_sales_inr]]*(1-tblTransactions[[#This Row],[discount_pct]]),2)</f>
        <v>541.03</v>
      </c>
      <c r="L852" t="str">
        <f>IF(ABS(tblTransactions[[#This Row],[net_sales_inr]]-tblTransactions[[#This Row],[Recalc_Net_Sales]])&lt;0.02,"OK","CHECK")</f>
        <v>OK</v>
      </c>
      <c r="M852" s="14">
        <f>DATE(YEAR(tblTransactions[[#This Row],[date]]),MONTH(tblTransactions[[#This Row],[date]]),1)</f>
        <v>45689</v>
      </c>
      <c r="N852" t="str">
        <f>IF(WEEKDAY(tblTransactions[[#This Row],[date]],2)&gt;5,"Weekend","Weekday")</f>
        <v>Weekday</v>
      </c>
      <c r="O85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52" s="13" t="str">
        <f>_xlfn.XLOOKUP(tblTransactions[[#This Row],[tenant_id]],tblTenants[tenant_id],tblTenants[zone],"NOT FOUND")</f>
        <v>Entertainment</v>
      </c>
      <c r="Q852" s="13" t="str">
        <f>_xlfn.XLOOKUP(tblTransactions[[#This Row],[tenant_id]],tblTenants[tenant_id],tblTenants[category],"NOT FOUND")</f>
        <v>Cinema</v>
      </c>
    </row>
    <row r="853" spans="1:17">
      <c r="A853" t="s">
        <v>897</v>
      </c>
      <c r="B853" s="2">
        <v>45721</v>
      </c>
      <c r="C853">
        <v>16</v>
      </c>
      <c r="D853" t="s">
        <v>61</v>
      </c>
      <c r="E853" t="s">
        <v>21</v>
      </c>
      <c r="F853" s="7">
        <v>1125.17</v>
      </c>
      <c r="G853" s="10">
        <v>0</v>
      </c>
      <c r="H853" s="7">
        <v>1125.17</v>
      </c>
      <c r="I853">
        <v>2</v>
      </c>
      <c r="J853" t="s">
        <v>13</v>
      </c>
      <c r="K853" s="13">
        <f>ROUND(tblTransactions[[#This Row],[gross_sales_inr]]*(1-tblTransactions[[#This Row],[discount_pct]]),2)</f>
        <v>1125.17</v>
      </c>
      <c r="L853" t="str">
        <f>IF(ABS(tblTransactions[[#This Row],[net_sales_inr]]-tblTransactions[[#This Row],[Recalc_Net_Sales]])&lt;0.02,"OK","CHECK")</f>
        <v>OK</v>
      </c>
      <c r="M853" s="14">
        <f>DATE(YEAR(tblTransactions[[#This Row],[date]]),MONTH(tblTransactions[[#This Row],[date]]),1)</f>
        <v>45717</v>
      </c>
      <c r="N853" t="str">
        <f>IF(WEEKDAY(tblTransactions[[#This Row],[date]],2)&gt;5,"Weekend","Weekday")</f>
        <v>Weekday</v>
      </c>
      <c r="O853" s="13" t="str">
        <f>IF(tblTransactions[[#This Row],[discount_pct]]=0,"0%",IF(tblTransactions[[#This Row],[discount_pct]]&lt;=10%,"1–
10%",IF(tblTransactions[[#This Row],[discount_pct]]&lt;=20%,"11–20%","&gt;20%")))</f>
        <v>0%</v>
      </c>
      <c r="P853" s="13" t="str">
        <f>_xlfn.XLOOKUP(tblTransactions[[#This Row],[tenant_id]],tblTenants[tenant_id],tblTenants[zone],"NOT FOUND")</f>
        <v>Food Court</v>
      </c>
      <c r="Q853" s="13" t="str">
        <f>_xlfn.XLOOKUP(tblTransactions[[#This Row],[tenant_id]],tblTenants[tenant_id],tblTenants[category],"NOT FOUND")</f>
        <v>Quick Service</v>
      </c>
    </row>
    <row r="854" spans="1:17">
      <c r="A854" t="s">
        <v>898</v>
      </c>
      <c r="B854" s="2">
        <v>45662</v>
      </c>
      <c r="C854">
        <v>10</v>
      </c>
      <c r="D854" t="s">
        <v>57</v>
      </c>
      <c r="E854" t="s">
        <v>12</v>
      </c>
      <c r="F854" s="7">
        <v>1219.9000000000001</v>
      </c>
      <c r="G854" s="10">
        <v>0</v>
      </c>
      <c r="H854" s="7">
        <v>1219.9000000000001</v>
      </c>
      <c r="I854">
        <v>1</v>
      </c>
      <c r="J854" t="s">
        <v>16</v>
      </c>
      <c r="K854" s="13">
        <f>ROUND(tblTransactions[[#This Row],[gross_sales_inr]]*(1-tblTransactions[[#This Row],[discount_pct]]),2)</f>
        <v>1219.9000000000001</v>
      </c>
      <c r="L854" t="str">
        <f>IF(ABS(tblTransactions[[#This Row],[net_sales_inr]]-tblTransactions[[#This Row],[Recalc_Net_Sales]])&lt;0.02,"OK","CHECK")</f>
        <v>OK</v>
      </c>
      <c r="M854" s="14">
        <f>DATE(YEAR(tblTransactions[[#This Row],[date]]),MONTH(tblTransactions[[#This Row],[date]]),1)</f>
        <v>45658</v>
      </c>
      <c r="N854" t="str">
        <f>IF(WEEKDAY(tblTransactions[[#This Row],[date]],2)&gt;5,"Weekend","Weekday")</f>
        <v>Weekend</v>
      </c>
      <c r="O854" s="13" t="str">
        <f>IF(tblTransactions[[#This Row],[discount_pct]]=0,"0%",IF(tblTransactions[[#This Row],[discount_pct]]&lt;=10%,"1–
10%",IF(tblTransactions[[#This Row],[discount_pct]]&lt;=20%,"11–20%","&gt;20%")))</f>
        <v>0%</v>
      </c>
      <c r="P854" s="13" t="str">
        <f>_xlfn.XLOOKUP(tblTransactions[[#This Row],[tenant_id]],tblTenants[tenant_id],tblTenants[zone],"NOT FOUND")</f>
        <v>Food Court</v>
      </c>
      <c r="Q854" s="13" t="str">
        <f>_xlfn.XLOOKUP(tblTransactions[[#This Row],[tenant_id]],tblTenants[tenant_id],tblTenants[category],"NOT FOUND")</f>
        <v>Casual Dining</v>
      </c>
    </row>
    <row r="855" spans="1:17">
      <c r="A855" t="s">
        <v>899</v>
      </c>
      <c r="B855" s="2">
        <v>45800</v>
      </c>
      <c r="C855">
        <v>10</v>
      </c>
      <c r="D855" t="s">
        <v>204</v>
      </c>
      <c r="E855" t="s">
        <v>32</v>
      </c>
      <c r="F855" s="7">
        <v>290.14999999999998</v>
      </c>
      <c r="G855" s="10">
        <v>0.3</v>
      </c>
      <c r="H855" s="7">
        <v>203.1</v>
      </c>
      <c r="I855">
        <v>1</v>
      </c>
      <c r="J855" t="s">
        <v>13</v>
      </c>
      <c r="K855" s="13">
        <f>ROUND(tblTransactions[[#This Row],[gross_sales_inr]]*(1-tblTransactions[[#This Row],[discount_pct]]),2)</f>
        <v>203.11</v>
      </c>
      <c r="L855" t="str">
        <f>IF(ABS(tblTransactions[[#This Row],[net_sales_inr]]-tblTransactions[[#This Row],[Recalc_Net_Sales]])&lt;0.02,"OK","CHECK")</f>
        <v>OK</v>
      </c>
      <c r="M855" s="14">
        <f>DATE(YEAR(tblTransactions[[#This Row],[date]]),MONTH(tblTransactions[[#This Row],[date]]),1)</f>
        <v>45778</v>
      </c>
      <c r="N855" t="str">
        <f>IF(WEEKDAY(tblTransactions[[#This Row],[date]],2)&gt;5,"Weekend","Weekday")</f>
        <v>Weekday</v>
      </c>
      <c r="O855" s="13" t="str">
        <f>IF(tblTransactions[[#This Row],[discount_pct]]=0,"0%",IF(tblTransactions[[#This Row],[discount_pct]]&lt;=10%,"1–
10%",IF(tblTransactions[[#This Row],[discount_pct]]&lt;=20%,"11–20%","&gt;20%")))</f>
        <v>&gt;20%</v>
      </c>
      <c r="P855" s="13" t="str">
        <f>_xlfn.XLOOKUP(tblTransactions[[#This Row],[tenant_id]],tblTenants[tenant_id],tblTenants[zone],"NOT FOUND")</f>
        <v>Home &amp; Living</v>
      </c>
      <c r="Q855" s="13" t="str">
        <f>_xlfn.XLOOKUP(tblTransactions[[#This Row],[tenant_id]],tblTenants[tenant_id],tblTenants[category],"NOT FOUND")</f>
        <v>Home Decor</v>
      </c>
    </row>
    <row r="856" spans="1:17">
      <c r="A856" t="s">
        <v>900</v>
      </c>
      <c r="B856" s="2">
        <v>45778</v>
      </c>
      <c r="C856">
        <v>17</v>
      </c>
      <c r="D856" t="s">
        <v>63</v>
      </c>
      <c r="E856" t="s">
        <v>12</v>
      </c>
      <c r="F856" s="7">
        <v>2721.61</v>
      </c>
      <c r="G856" s="10">
        <v>0.05</v>
      </c>
      <c r="H856" s="7">
        <v>2585.5300000000002</v>
      </c>
      <c r="I856">
        <v>2</v>
      </c>
      <c r="J856" t="s">
        <v>13</v>
      </c>
      <c r="K856" s="13">
        <f>ROUND(tblTransactions[[#This Row],[gross_sales_inr]]*(1-tblTransactions[[#This Row],[discount_pct]]),2)</f>
        <v>2585.5300000000002</v>
      </c>
      <c r="L856" t="str">
        <f>IF(ABS(tblTransactions[[#This Row],[net_sales_inr]]-tblTransactions[[#This Row],[Recalc_Net_Sales]])&lt;0.02,"OK","CHECK")</f>
        <v>OK</v>
      </c>
      <c r="M856" s="14">
        <f>DATE(YEAR(tblTransactions[[#This Row],[date]]),MONTH(tblTransactions[[#This Row],[date]]),1)</f>
        <v>45778</v>
      </c>
      <c r="N856" t="str">
        <f>IF(WEEKDAY(tblTransactions[[#This Row],[date]],2)&gt;5,"Weekend","Weekday")</f>
        <v>Weekday</v>
      </c>
      <c r="O85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56" s="13" t="str">
        <f>_xlfn.XLOOKUP(tblTransactions[[#This Row],[tenant_id]],tblTenants[tenant_id],tblTenants[zone],"NOT FOUND")</f>
        <v>Entertainment</v>
      </c>
      <c r="Q856" s="13" t="str">
        <f>_xlfn.XLOOKUP(tblTransactions[[#This Row],[tenant_id]],tblTenants[tenant_id],tblTenants[category],"NOT FOUND")</f>
        <v>Family Entertainment</v>
      </c>
    </row>
    <row r="857" spans="1:17">
      <c r="A857" t="s">
        <v>901</v>
      </c>
      <c r="B857" s="2">
        <v>45777</v>
      </c>
      <c r="C857">
        <v>12</v>
      </c>
      <c r="D857" t="s">
        <v>29</v>
      </c>
      <c r="E857" t="s">
        <v>32</v>
      </c>
      <c r="F857" s="7">
        <v>513.34</v>
      </c>
      <c r="G857" s="10">
        <v>0.05</v>
      </c>
      <c r="H857" s="7">
        <v>487.67</v>
      </c>
      <c r="I857">
        <v>6</v>
      </c>
      <c r="J857" t="s">
        <v>13</v>
      </c>
      <c r="K857" s="13">
        <f>ROUND(tblTransactions[[#This Row],[gross_sales_inr]]*(1-tblTransactions[[#This Row],[discount_pct]]),2)</f>
        <v>487.67</v>
      </c>
      <c r="L857" t="str">
        <f>IF(ABS(tblTransactions[[#This Row],[net_sales_inr]]-tblTransactions[[#This Row],[Recalc_Net_Sales]])&lt;0.02,"OK","CHECK")</f>
        <v>OK</v>
      </c>
      <c r="M857" s="14">
        <f>DATE(YEAR(tblTransactions[[#This Row],[date]]),MONTH(tblTransactions[[#This Row],[date]]),1)</f>
        <v>45748</v>
      </c>
      <c r="N857" t="str">
        <f>IF(WEEKDAY(tblTransactions[[#This Row],[date]],2)&gt;5,"Weekend","Weekday")</f>
        <v>Weekday</v>
      </c>
      <c r="O85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57" s="13" t="str">
        <f>_xlfn.XLOOKUP(tblTransactions[[#This Row],[tenant_id]],tblTenants[tenant_id],tblTenants[zone],"NOT FOUND")</f>
        <v>Entertainment</v>
      </c>
      <c r="Q857" s="13" t="str">
        <f>_xlfn.XLOOKUP(tblTransactions[[#This Row],[tenant_id]],tblTenants[tenant_id],tblTenants[category],"NOT FOUND")</f>
        <v>Cinema</v>
      </c>
    </row>
    <row r="858" spans="1:17">
      <c r="A858" t="s">
        <v>902</v>
      </c>
      <c r="B858" s="2">
        <v>45792</v>
      </c>
      <c r="C858">
        <v>19</v>
      </c>
      <c r="D858" t="s">
        <v>11</v>
      </c>
      <c r="E858" t="s">
        <v>12</v>
      </c>
      <c r="F858" s="7">
        <v>2224.6999999999998</v>
      </c>
      <c r="G858" s="10">
        <v>0.1</v>
      </c>
      <c r="H858" s="7">
        <v>2002.23</v>
      </c>
      <c r="I858">
        <v>3</v>
      </c>
      <c r="J858" t="s">
        <v>13</v>
      </c>
      <c r="K858" s="13">
        <f>ROUND(tblTransactions[[#This Row],[gross_sales_inr]]*(1-tblTransactions[[#This Row],[discount_pct]]),2)</f>
        <v>2002.23</v>
      </c>
      <c r="L858" t="str">
        <f>IF(ABS(tblTransactions[[#This Row],[net_sales_inr]]-tblTransactions[[#This Row],[Recalc_Net_Sales]])&lt;0.02,"OK","CHECK")</f>
        <v>OK</v>
      </c>
      <c r="M858" s="14">
        <f>DATE(YEAR(tblTransactions[[#This Row],[date]]),MONTH(tblTransactions[[#This Row],[date]]),1)</f>
        <v>45778</v>
      </c>
      <c r="N858" t="str">
        <f>IF(WEEKDAY(tblTransactions[[#This Row],[date]],2)&gt;5,"Weekend","Weekday")</f>
        <v>Weekday</v>
      </c>
      <c r="O85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58" s="13" t="str">
        <f>_xlfn.XLOOKUP(tblTransactions[[#This Row],[tenant_id]],tblTenants[tenant_id],tblTenants[zone],"NOT FOUND")</f>
        <v>Home &amp; Living</v>
      </c>
      <c r="Q858" s="13" t="str">
        <f>_xlfn.XLOOKUP(tblTransactions[[#This Row],[tenant_id]],tblTenants[tenant_id],tblTenants[category],"NOT FOUND")</f>
        <v>Home Decor</v>
      </c>
    </row>
    <row r="859" spans="1:17">
      <c r="A859" t="s">
        <v>903</v>
      </c>
      <c r="B859" s="2">
        <v>45756</v>
      </c>
      <c r="C859">
        <v>16</v>
      </c>
      <c r="D859" t="s">
        <v>45</v>
      </c>
      <c r="E859" t="s">
        <v>12</v>
      </c>
      <c r="F859" s="7">
        <v>4774.84</v>
      </c>
      <c r="G859" s="10">
        <v>0.1</v>
      </c>
      <c r="H859" s="7">
        <v>4297.3599999999997</v>
      </c>
      <c r="I859">
        <v>1</v>
      </c>
      <c r="J859" t="s">
        <v>16</v>
      </c>
      <c r="K859" s="13">
        <f>ROUND(tblTransactions[[#This Row],[gross_sales_inr]]*(1-tblTransactions[[#This Row],[discount_pct]]),2)</f>
        <v>4297.3599999999997</v>
      </c>
      <c r="L859" t="str">
        <f>IF(ABS(tblTransactions[[#This Row],[net_sales_inr]]-tblTransactions[[#This Row],[Recalc_Net_Sales]])&lt;0.02,"OK","CHECK")</f>
        <v>OK</v>
      </c>
      <c r="M859" s="14">
        <f>DATE(YEAR(tblTransactions[[#This Row],[date]]),MONTH(tblTransactions[[#This Row],[date]]),1)</f>
        <v>45748</v>
      </c>
      <c r="N859" t="str">
        <f>IF(WEEKDAY(tblTransactions[[#This Row],[date]],2)&gt;5,"Weekend","Weekday")</f>
        <v>Weekday</v>
      </c>
      <c r="O85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59" s="13" t="str">
        <f>_xlfn.XLOOKUP(tblTransactions[[#This Row],[tenant_id]],tblTenants[tenant_id],tblTenants[zone],"NOT FOUND")</f>
        <v>Home &amp; Living</v>
      </c>
      <c r="Q859" s="13" t="str">
        <f>_xlfn.XLOOKUP(tblTransactions[[#This Row],[tenant_id]],tblTenants[tenant_id],tblTenants[category],"NOT FOUND")</f>
        <v>Home Decor</v>
      </c>
    </row>
    <row r="860" spans="1:17">
      <c r="A860" t="s">
        <v>904</v>
      </c>
      <c r="B860" s="2">
        <v>45755</v>
      </c>
      <c r="C860">
        <v>13</v>
      </c>
      <c r="D860" t="s">
        <v>59</v>
      </c>
      <c r="E860" t="s">
        <v>12</v>
      </c>
      <c r="F860" s="7">
        <v>485.45</v>
      </c>
      <c r="G860" s="10">
        <v>0</v>
      </c>
      <c r="H860" s="7">
        <v>485.45</v>
      </c>
      <c r="I860">
        <v>4</v>
      </c>
      <c r="J860" t="s">
        <v>13</v>
      </c>
      <c r="K860" s="13">
        <f>ROUND(tblTransactions[[#This Row],[gross_sales_inr]]*(1-tblTransactions[[#This Row],[discount_pct]]),2)</f>
        <v>485.45</v>
      </c>
      <c r="L860" t="str">
        <f>IF(ABS(tblTransactions[[#This Row],[net_sales_inr]]-tblTransactions[[#This Row],[Recalc_Net_Sales]])&lt;0.02,"OK","CHECK")</f>
        <v>OK</v>
      </c>
      <c r="M860" s="14">
        <f>DATE(YEAR(tblTransactions[[#This Row],[date]]),MONTH(tblTransactions[[#This Row],[date]]),1)</f>
        <v>45748</v>
      </c>
      <c r="N860" t="str">
        <f>IF(WEEKDAY(tblTransactions[[#This Row],[date]],2)&gt;5,"Weekend","Weekday")</f>
        <v>Weekday</v>
      </c>
      <c r="O860" s="13" t="str">
        <f>IF(tblTransactions[[#This Row],[discount_pct]]=0,"0%",IF(tblTransactions[[#This Row],[discount_pct]]&lt;=10%,"1–
10%",IF(tblTransactions[[#This Row],[discount_pct]]&lt;=20%,"11–20%","&gt;20%")))</f>
        <v>0%</v>
      </c>
      <c r="P860" s="13" t="str">
        <f>_xlfn.XLOOKUP(tblTransactions[[#This Row],[tenant_id]],tblTenants[tenant_id],tblTenants[zone],"NOT FOUND")</f>
        <v>Fashion Avenue</v>
      </c>
      <c r="Q860" s="13" t="str">
        <f>_xlfn.XLOOKUP(tblTransactions[[#This Row],[tenant_id]],tblTenants[tenant_id],tblTenants[category],"NOT FOUND")</f>
        <v>Footwear</v>
      </c>
    </row>
    <row r="861" spans="1:17">
      <c r="A861" t="s">
        <v>905</v>
      </c>
      <c r="B861" s="2">
        <v>45692</v>
      </c>
      <c r="C861">
        <v>14</v>
      </c>
      <c r="D861" t="s">
        <v>80</v>
      </c>
      <c r="E861" t="s">
        <v>12</v>
      </c>
      <c r="F861" s="7">
        <v>1355</v>
      </c>
      <c r="G861" s="10">
        <v>0</v>
      </c>
      <c r="H861" s="7">
        <v>1355</v>
      </c>
      <c r="I861">
        <v>2</v>
      </c>
      <c r="J861" t="s">
        <v>16</v>
      </c>
      <c r="K861" s="13">
        <f>ROUND(tblTransactions[[#This Row],[gross_sales_inr]]*(1-tblTransactions[[#This Row],[discount_pct]]),2)</f>
        <v>1355</v>
      </c>
      <c r="L861" t="str">
        <f>IF(ABS(tblTransactions[[#This Row],[net_sales_inr]]-tblTransactions[[#This Row],[Recalc_Net_Sales]])&lt;0.02,"OK","CHECK")</f>
        <v>OK</v>
      </c>
      <c r="M861" s="14">
        <f>DATE(YEAR(tblTransactions[[#This Row],[date]]),MONTH(tblTransactions[[#This Row],[date]]),1)</f>
        <v>45689</v>
      </c>
      <c r="N861" t="str">
        <f>IF(WEEKDAY(tblTransactions[[#This Row],[date]],2)&gt;5,"Weekend","Weekday")</f>
        <v>Weekday</v>
      </c>
      <c r="O861" s="13" t="str">
        <f>IF(tblTransactions[[#This Row],[discount_pct]]=0,"0%",IF(tblTransactions[[#This Row],[discount_pct]]&lt;=10%,"1–
10%",IF(tblTransactions[[#This Row],[discount_pct]]&lt;=20%,"11–20%","&gt;20%")))</f>
        <v>0%</v>
      </c>
      <c r="P861" s="13" t="str">
        <f>_xlfn.XLOOKUP(tblTransactions[[#This Row],[tenant_id]],tblTenants[tenant_id],tblTenants[zone],"NOT FOUND")</f>
        <v>Food Court</v>
      </c>
      <c r="Q861" s="13" t="str">
        <f>_xlfn.XLOOKUP(tblTransactions[[#This Row],[tenant_id]],tblTenants[tenant_id],tblTenants[category],"NOT FOUND")</f>
        <v>Casual Dining</v>
      </c>
    </row>
    <row r="862" spans="1:17">
      <c r="A862" t="s">
        <v>906</v>
      </c>
      <c r="B862" s="2">
        <v>45704</v>
      </c>
      <c r="C862">
        <v>14</v>
      </c>
      <c r="D862" t="s">
        <v>59</v>
      </c>
      <c r="E862" t="s">
        <v>12</v>
      </c>
      <c r="F862" s="7">
        <v>2673.16</v>
      </c>
      <c r="G862" s="10">
        <v>0.05</v>
      </c>
      <c r="H862" s="7">
        <v>2539.5</v>
      </c>
      <c r="I862">
        <v>1</v>
      </c>
      <c r="J862" t="s">
        <v>13</v>
      </c>
      <c r="K862" s="13">
        <f>ROUND(tblTransactions[[#This Row],[gross_sales_inr]]*(1-tblTransactions[[#This Row],[discount_pct]]),2)</f>
        <v>2539.5</v>
      </c>
      <c r="L862" t="str">
        <f>IF(ABS(tblTransactions[[#This Row],[net_sales_inr]]-tblTransactions[[#This Row],[Recalc_Net_Sales]])&lt;0.02,"OK","CHECK")</f>
        <v>OK</v>
      </c>
      <c r="M862" s="14">
        <f>DATE(YEAR(tblTransactions[[#This Row],[date]]),MONTH(tblTransactions[[#This Row],[date]]),1)</f>
        <v>45689</v>
      </c>
      <c r="N862" t="str">
        <f>IF(WEEKDAY(tblTransactions[[#This Row],[date]],2)&gt;5,"Weekend","Weekday")</f>
        <v>Weekend</v>
      </c>
      <c r="O86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62" s="13" t="str">
        <f>_xlfn.XLOOKUP(tblTransactions[[#This Row],[tenant_id]],tblTenants[tenant_id],tblTenants[zone],"NOT FOUND")</f>
        <v>Fashion Avenue</v>
      </c>
      <c r="Q862" s="13" t="str">
        <f>_xlfn.XLOOKUP(tblTransactions[[#This Row],[tenant_id]],tblTenants[tenant_id],tblTenants[category],"NOT FOUND")</f>
        <v>Footwear</v>
      </c>
    </row>
    <row r="863" spans="1:17">
      <c r="A863" t="s">
        <v>907</v>
      </c>
      <c r="B863" s="2">
        <v>45806</v>
      </c>
      <c r="C863">
        <v>14</v>
      </c>
      <c r="D863" t="s">
        <v>25</v>
      </c>
      <c r="E863" t="s">
        <v>32</v>
      </c>
      <c r="F863" s="7">
        <v>746.46</v>
      </c>
      <c r="G863" s="10">
        <v>0.3</v>
      </c>
      <c r="H863" s="7">
        <v>522.52</v>
      </c>
      <c r="I863">
        <v>1</v>
      </c>
      <c r="J863" t="s">
        <v>13</v>
      </c>
      <c r="K863" s="13">
        <f>ROUND(tblTransactions[[#This Row],[gross_sales_inr]]*(1-tblTransactions[[#This Row],[discount_pct]]),2)</f>
        <v>522.52</v>
      </c>
      <c r="L863" t="str">
        <f>IF(ABS(tblTransactions[[#This Row],[net_sales_inr]]-tblTransactions[[#This Row],[Recalc_Net_Sales]])&lt;0.02,"OK","CHECK")</f>
        <v>OK</v>
      </c>
      <c r="M863" s="14">
        <f>DATE(YEAR(tblTransactions[[#This Row],[date]]),MONTH(tblTransactions[[#This Row],[date]]),1)</f>
        <v>45778</v>
      </c>
      <c r="N863" t="str">
        <f>IF(WEEKDAY(tblTransactions[[#This Row],[date]],2)&gt;5,"Weekend","Weekday")</f>
        <v>Weekday</v>
      </c>
      <c r="O863" s="13" t="str">
        <f>IF(tblTransactions[[#This Row],[discount_pct]]=0,"0%",IF(tblTransactions[[#This Row],[discount_pct]]&lt;=10%,"1–
10%",IF(tblTransactions[[#This Row],[discount_pct]]&lt;=20%,"11–20%","&gt;20%")))</f>
        <v>&gt;20%</v>
      </c>
      <c r="P863" s="13" t="str">
        <f>_xlfn.XLOOKUP(tblTransactions[[#This Row],[tenant_id]],tblTenants[tenant_id],tblTenants[zone],"NOT FOUND")</f>
        <v>Beauty &amp; Wellness</v>
      </c>
      <c r="Q863" s="13" t="str">
        <f>_xlfn.XLOOKUP(tblTransactions[[#This Row],[tenant_id]],tblTenants[tenant_id],tblTenants[category],"NOT FOUND")</f>
        <v>Beauty</v>
      </c>
    </row>
    <row r="864" spans="1:17">
      <c r="A864" t="s">
        <v>908</v>
      </c>
      <c r="B864" s="2">
        <v>45706</v>
      </c>
      <c r="C864">
        <v>14</v>
      </c>
      <c r="D864" t="s">
        <v>61</v>
      </c>
      <c r="E864" t="s">
        <v>32</v>
      </c>
      <c r="F864" s="7">
        <v>2107.09</v>
      </c>
      <c r="G864" s="10">
        <v>0</v>
      </c>
      <c r="H864" s="7">
        <v>2107.09</v>
      </c>
      <c r="I864">
        <v>1</v>
      </c>
      <c r="J864" t="s">
        <v>16</v>
      </c>
      <c r="K864" s="13">
        <f>ROUND(tblTransactions[[#This Row],[gross_sales_inr]]*(1-tblTransactions[[#This Row],[discount_pct]]),2)</f>
        <v>2107.09</v>
      </c>
      <c r="L864" t="str">
        <f>IF(ABS(tblTransactions[[#This Row],[net_sales_inr]]-tblTransactions[[#This Row],[Recalc_Net_Sales]])&lt;0.02,"OK","CHECK")</f>
        <v>OK</v>
      </c>
      <c r="M864" s="14">
        <f>DATE(YEAR(tblTransactions[[#This Row],[date]]),MONTH(tblTransactions[[#This Row],[date]]),1)</f>
        <v>45689</v>
      </c>
      <c r="N864" t="str">
        <f>IF(WEEKDAY(tblTransactions[[#This Row],[date]],2)&gt;5,"Weekend","Weekday")</f>
        <v>Weekday</v>
      </c>
      <c r="O864" s="13" t="str">
        <f>IF(tblTransactions[[#This Row],[discount_pct]]=0,"0%",IF(tblTransactions[[#This Row],[discount_pct]]&lt;=10%,"1–
10%",IF(tblTransactions[[#This Row],[discount_pct]]&lt;=20%,"11–20%","&gt;20%")))</f>
        <v>0%</v>
      </c>
      <c r="P864" s="13" t="str">
        <f>_xlfn.XLOOKUP(tblTransactions[[#This Row],[tenant_id]],tblTenants[tenant_id],tblTenants[zone],"NOT FOUND")</f>
        <v>Food Court</v>
      </c>
      <c r="Q864" s="13" t="str">
        <f>_xlfn.XLOOKUP(tblTransactions[[#This Row],[tenant_id]],tblTenants[tenant_id],tblTenants[category],"NOT FOUND")</f>
        <v>Quick Service</v>
      </c>
    </row>
    <row r="865" spans="1:17">
      <c r="A865" t="s">
        <v>909</v>
      </c>
      <c r="B865" s="2">
        <v>45817</v>
      </c>
      <c r="C865">
        <v>18</v>
      </c>
      <c r="D865" t="s">
        <v>25</v>
      </c>
      <c r="E865" t="s">
        <v>12</v>
      </c>
      <c r="F865" s="7">
        <v>1475.07</v>
      </c>
      <c r="G865" s="10">
        <v>0</v>
      </c>
      <c r="H865" s="7">
        <v>1475.07</v>
      </c>
      <c r="I865">
        <v>4</v>
      </c>
      <c r="J865" t="s">
        <v>13</v>
      </c>
      <c r="K865" s="13">
        <f>ROUND(tblTransactions[[#This Row],[gross_sales_inr]]*(1-tblTransactions[[#This Row],[discount_pct]]),2)</f>
        <v>1475.07</v>
      </c>
      <c r="L865" t="str">
        <f>IF(ABS(tblTransactions[[#This Row],[net_sales_inr]]-tblTransactions[[#This Row],[Recalc_Net_Sales]])&lt;0.02,"OK","CHECK")</f>
        <v>OK</v>
      </c>
      <c r="M865" s="14">
        <f>DATE(YEAR(tblTransactions[[#This Row],[date]]),MONTH(tblTransactions[[#This Row],[date]]),1)</f>
        <v>45809</v>
      </c>
      <c r="N865" t="str">
        <f>IF(WEEKDAY(tblTransactions[[#This Row],[date]],2)&gt;5,"Weekend","Weekday")</f>
        <v>Weekday</v>
      </c>
      <c r="O865" s="13" t="str">
        <f>IF(tblTransactions[[#This Row],[discount_pct]]=0,"0%",IF(tblTransactions[[#This Row],[discount_pct]]&lt;=10%,"1–
10%",IF(tblTransactions[[#This Row],[discount_pct]]&lt;=20%,"11–20%","&gt;20%")))</f>
        <v>0%</v>
      </c>
      <c r="P865" s="13" t="str">
        <f>_xlfn.XLOOKUP(tblTransactions[[#This Row],[tenant_id]],tblTenants[tenant_id],tblTenants[zone],"NOT FOUND")</f>
        <v>Beauty &amp; Wellness</v>
      </c>
      <c r="Q865" s="13" t="str">
        <f>_xlfn.XLOOKUP(tblTransactions[[#This Row],[tenant_id]],tblTenants[tenant_id],tblTenants[category],"NOT FOUND")</f>
        <v>Beauty</v>
      </c>
    </row>
    <row r="866" spans="1:17">
      <c r="A866" t="s">
        <v>910</v>
      </c>
      <c r="B866" s="2">
        <v>45816</v>
      </c>
      <c r="C866">
        <v>10</v>
      </c>
      <c r="D866" t="s">
        <v>72</v>
      </c>
      <c r="E866" t="s">
        <v>12</v>
      </c>
      <c r="F866" s="7">
        <v>548.97</v>
      </c>
      <c r="G866" s="10">
        <v>0</v>
      </c>
      <c r="H866" s="7">
        <v>548.97</v>
      </c>
      <c r="I866">
        <v>4</v>
      </c>
      <c r="J866" t="s">
        <v>16</v>
      </c>
      <c r="K866" s="13">
        <f>ROUND(tblTransactions[[#This Row],[gross_sales_inr]]*(1-tblTransactions[[#This Row],[discount_pct]]),2)</f>
        <v>548.97</v>
      </c>
      <c r="L866" t="str">
        <f>IF(ABS(tblTransactions[[#This Row],[net_sales_inr]]-tblTransactions[[#This Row],[Recalc_Net_Sales]])&lt;0.02,"OK","CHECK")</f>
        <v>OK</v>
      </c>
      <c r="M866" s="14">
        <f>DATE(YEAR(tblTransactions[[#This Row],[date]]),MONTH(tblTransactions[[#This Row],[date]]),1)</f>
        <v>45809</v>
      </c>
      <c r="N866" t="str">
        <f>IF(WEEKDAY(tblTransactions[[#This Row],[date]],2)&gt;5,"Weekend","Weekday")</f>
        <v>Weekend</v>
      </c>
      <c r="O866" s="13" t="str">
        <f>IF(tblTransactions[[#This Row],[discount_pct]]=0,"0%",IF(tblTransactions[[#This Row],[discount_pct]]&lt;=10%,"1–
10%",IF(tblTransactions[[#This Row],[discount_pct]]&lt;=20%,"11–20%","&gt;20%")))</f>
        <v>0%</v>
      </c>
      <c r="P866" s="13" t="str">
        <f>_xlfn.XLOOKUP(tblTransactions[[#This Row],[tenant_id]],tblTenants[tenant_id],tblTenants[zone],"NOT FOUND")</f>
        <v>Entertainment</v>
      </c>
      <c r="Q866" s="13" t="str">
        <f>_xlfn.XLOOKUP(tblTransactions[[#This Row],[tenant_id]],tblTenants[tenant_id],tblTenants[category],"NOT FOUND")</f>
        <v>Arcade</v>
      </c>
    </row>
    <row r="867" spans="1:17">
      <c r="A867" t="s">
        <v>911</v>
      </c>
      <c r="B867" s="2">
        <v>45737</v>
      </c>
      <c r="C867">
        <v>18</v>
      </c>
      <c r="D867" t="s">
        <v>25</v>
      </c>
      <c r="E867" t="s">
        <v>32</v>
      </c>
      <c r="F867" s="7">
        <v>711.95</v>
      </c>
      <c r="G867" s="10">
        <v>0.3</v>
      </c>
      <c r="H867" s="7">
        <v>498.37</v>
      </c>
      <c r="I867">
        <v>5</v>
      </c>
      <c r="J867" t="s">
        <v>16</v>
      </c>
      <c r="K867" s="13">
        <f>ROUND(tblTransactions[[#This Row],[gross_sales_inr]]*(1-tblTransactions[[#This Row],[discount_pct]]),2)</f>
        <v>498.37</v>
      </c>
      <c r="L867" t="str">
        <f>IF(ABS(tblTransactions[[#This Row],[net_sales_inr]]-tblTransactions[[#This Row],[Recalc_Net_Sales]])&lt;0.02,"OK","CHECK")</f>
        <v>OK</v>
      </c>
      <c r="M867" s="14">
        <f>DATE(YEAR(tblTransactions[[#This Row],[date]]),MONTH(tblTransactions[[#This Row],[date]]),1)</f>
        <v>45717</v>
      </c>
      <c r="N867" t="str">
        <f>IF(WEEKDAY(tblTransactions[[#This Row],[date]],2)&gt;5,"Weekend","Weekday")</f>
        <v>Weekday</v>
      </c>
      <c r="O86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867" s="13" t="str">
        <f>_xlfn.XLOOKUP(tblTransactions[[#This Row],[tenant_id]],tblTenants[tenant_id],tblTenants[zone],"NOT FOUND")</f>
        <v>Beauty &amp; Wellness</v>
      </c>
      <c r="Q867" s="13" t="str">
        <f>_xlfn.XLOOKUP(tblTransactions[[#This Row],[tenant_id]],tblTenants[tenant_id],tblTenants[category],"NOT FOUND")</f>
        <v>Beauty</v>
      </c>
    </row>
    <row r="868" spans="1:17">
      <c r="A868" t="s">
        <v>912</v>
      </c>
      <c r="B868" s="2">
        <v>45696</v>
      </c>
      <c r="C868">
        <v>16</v>
      </c>
      <c r="D868" t="s">
        <v>59</v>
      </c>
      <c r="E868" t="s">
        <v>12</v>
      </c>
      <c r="F868" s="7">
        <v>1033.8800000000001</v>
      </c>
      <c r="G868" s="10">
        <v>0.3</v>
      </c>
      <c r="H868" s="7">
        <v>723.72</v>
      </c>
      <c r="I868">
        <v>1</v>
      </c>
      <c r="J868" t="s">
        <v>16</v>
      </c>
      <c r="K868" s="13">
        <f>ROUND(tblTransactions[[#This Row],[gross_sales_inr]]*(1-tblTransactions[[#This Row],[discount_pct]]),2)</f>
        <v>723.72</v>
      </c>
      <c r="L868" t="str">
        <f>IF(ABS(tblTransactions[[#This Row],[net_sales_inr]]-tblTransactions[[#This Row],[Recalc_Net_Sales]])&lt;0.02,"OK","CHECK")</f>
        <v>OK</v>
      </c>
      <c r="M868" s="14">
        <f>DATE(YEAR(tblTransactions[[#This Row],[date]]),MONTH(tblTransactions[[#This Row],[date]]),1)</f>
        <v>45689</v>
      </c>
      <c r="N868" t="str">
        <f>IF(WEEKDAY(tblTransactions[[#This Row],[date]],2)&gt;5,"Weekend","Weekday")</f>
        <v>Weekend</v>
      </c>
      <c r="O868" s="13" t="str">
        <f>IF(tblTransactions[[#This Row],[discount_pct]]=0,"0%",IF(tblTransactions[[#This Row],[discount_pct]]&lt;=10%,"1–
10%",IF(tblTransactions[[#This Row],[discount_pct]]&lt;=20%,"11–20%","&gt;20%")))</f>
        <v>&gt;20%</v>
      </c>
      <c r="P868" s="13" t="str">
        <f>_xlfn.XLOOKUP(tblTransactions[[#This Row],[tenant_id]],tblTenants[tenant_id],tblTenants[zone],"NOT FOUND")</f>
        <v>Fashion Avenue</v>
      </c>
      <c r="Q868" s="13" t="str">
        <f>_xlfn.XLOOKUP(tblTransactions[[#This Row],[tenant_id]],tblTenants[tenant_id],tblTenants[category],"NOT FOUND")</f>
        <v>Footwear</v>
      </c>
    </row>
    <row r="869" spans="1:17">
      <c r="A869" t="s">
        <v>913</v>
      </c>
      <c r="B869" s="2">
        <v>45820</v>
      </c>
      <c r="C869">
        <v>13</v>
      </c>
      <c r="D869" t="s">
        <v>48</v>
      </c>
      <c r="E869" t="s">
        <v>32</v>
      </c>
      <c r="F869" s="7">
        <v>193.12</v>
      </c>
      <c r="G869" s="10">
        <v>0</v>
      </c>
      <c r="H869" s="7">
        <v>193.12</v>
      </c>
      <c r="I869">
        <v>2</v>
      </c>
      <c r="J869" t="s">
        <v>16</v>
      </c>
      <c r="K869" s="13">
        <f>ROUND(tblTransactions[[#This Row],[gross_sales_inr]]*(1-tblTransactions[[#This Row],[discount_pct]]),2)</f>
        <v>193.12</v>
      </c>
      <c r="L869" t="str">
        <f>IF(ABS(tblTransactions[[#This Row],[net_sales_inr]]-tblTransactions[[#This Row],[Recalc_Net_Sales]])&lt;0.02,"OK","CHECK")</f>
        <v>OK</v>
      </c>
      <c r="M869" s="14">
        <f>DATE(YEAR(tblTransactions[[#This Row],[date]]),MONTH(tblTransactions[[#This Row],[date]]),1)</f>
        <v>45809</v>
      </c>
      <c r="N869" t="str">
        <f>IF(WEEKDAY(tblTransactions[[#This Row],[date]],2)&gt;5,"Weekend","Weekday")</f>
        <v>Weekday</v>
      </c>
      <c r="O869" s="13" t="str">
        <f>IF(tblTransactions[[#This Row],[discount_pct]]=0,"0%",IF(tblTransactions[[#This Row],[discount_pct]]&lt;=10%,"1–
10%",IF(tblTransactions[[#This Row],[discount_pct]]&lt;=20%,"11–20%","&gt;20%")))</f>
        <v>0%</v>
      </c>
      <c r="P869" s="13" t="str">
        <f>_xlfn.XLOOKUP(tblTransactions[[#This Row],[tenant_id]],tblTenants[tenant_id],tblTenants[zone],"NOT FOUND")</f>
        <v>Beauty &amp; Wellness</v>
      </c>
      <c r="Q869" s="13" t="str">
        <f>_xlfn.XLOOKUP(tblTransactions[[#This Row],[tenant_id]],tblTenants[tenant_id],tblTenants[category],"NOT FOUND")</f>
        <v>Wellness</v>
      </c>
    </row>
    <row r="870" spans="1:17">
      <c r="A870" t="s">
        <v>914</v>
      </c>
      <c r="B870" s="2">
        <v>45662</v>
      </c>
      <c r="C870">
        <v>14</v>
      </c>
      <c r="D870" t="s">
        <v>48</v>
      </c>
      <c r="E870" t="s">
        <v>12</v>
      </c>
      <c r="F870" s="7">
        <v>2997.79</v>
      </c>
      <c r="G870" s="10">
        <v>0.1</v>
      </c>
      <c r="H870" s="7">
        <v>2698.01</v>
      </c>
      <c r="I870">
        <v>5</v>
      </c>
      <c r="J870" t="s">
        <v>13</v>
      </c>
      <c r="K870" s="13">
        <f>ROUND(tblTransactions[[#This Row],[gross_sales_inr]]*(1-tblTransactions[[#This Row],[discount_pct]]),2)</f>
        <v>2698.01</v>
      </c>
      <c r="L870" t="str">
        <f>IF(ABS(tblTransactions[[#This Row],[net_sales_inr]]-tblTransactions[[#This Row],[Recalc_Net_Sales]])&lt;0.02,"OK","CHECK")</f>
        <v>OK</v>
      </c>
      <c r="M870" s="14">
        <f>DATE(YEAR(tblTransactions[[#This Row],[date]]),MONTH(tblTransactions[[#This Row],[date]]),1)</f>
        <v>45658</v>
      </c>
      <c r="N870" t="str">
        <f>IF(WEEKDAY(tblTransactions[[#This Row],[date]],2)&gt;5,"Weekend","Weekday")</f>
        <v>Weekend</v>
      </c>
      <c r="O87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70" s="13" t="str">
        <f>_xlfn.XLOOKUP(tblTransactions[[#This Row],[tenant_id]],tblTenants[tenant_id],tblTenants[zone],"NOT FOUND")</f>
        <v>Beauty &amp; Wellness</v>
      </c>
      <c r="Q870" s="13" t="str">
        <f>_xlfn.XLOOKUP(tblTransactions[[#This Row],[tenant_id]],tblTenants[tenant_id],tblTenants[category],"NOT FOUND")</f>
        <v>Wellness</v>
      </c>
    </row>
    <row r="871" spans="1:17">
      <c r="A871" t="s">
        <v>915</v>
      </c>
      <c r="B871" s="2">
        <v>45737</v>
      </c>
      <c r="C871">
        <v>20</v>
      </c>
      <c r="D871" t="s">
        <v>41</v>
      </c>
      <c r="E871" t="s">
        <v>12</v>
      </c>
      <c r="F871" s="7">
        <v>156.06</v>
      </c>
      <c r="G871" s="10">
        <v>0.2</v>
      </c>
      <c r="H871" s="7">
        <v>124.85</v>
      </c>
      <c r="I871">
        <v>3</v>
      </c>
      <c r="J871" t="s">
        <v>13</v>
      </c>
      <c r="K871" s="13">
        <f>ROUND(tblTransactions[[#This Row],[gross_sales_inr]]*(1-tblTransactions[[#This Row],[discount_pct]]),2)</f>
        <v>124.85</v>
      </c>
      <c r="L871" t="str">
        <f>IF(ABS(tblTransactions[[#This Row],[net_sales_inr]]-tblTransactions[[#This Row],[Recalc_Net_Sales]])&lt;0.02,"OK","CHECK")</f>
        <v>OK</v>
      </c>
      <c r="M871" s="14">
        <f>DATE(YEAR(tblTransactions[[#This Row],[date]]),MONTH(tblTransactions[[#This Row],[date]]),1)</f>
        <v>45717</v>
      </c>
      <c r="N871" t="str">
        <f>IF(WEEKDAY(tblTransactions[[#This Row],[date]],2)&gt;5,"Weekend","Weekday")</f>
        <v>Weekday</v>
      </c>
      <c r="O87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71" s="13" t="str">
        <f>_xlfn.XLOOKUP(tblTransactions[[#This Row],[tenant_id]],tblTenants[tenant_id],tblTenants[zone],"NOT FOUND")</f>
        <v>Fashion Avenue</v>
      </c>
      <c r="Q871" s="13" t="str">
        <f>_xlfn.XLOOKUP(tblTransactions[[#This Row],[tenant_id]],tblTenants[tenant_id],tblTenants[category],"NOT FOUND")</f>
        <v>Clothing</v>
      </c>
    </row>
    <row r="872" spans="1:17">
      <c r="A872" t="s">
        <v>916</v>
      </c>
      <c r="B872" s="2">
        <v>45730</v>
      </c>
      <c r="C872">
        <v>10</v>
      </c>
      <c r="D872" t="s">
        <v>29</v>
      </c>
      <c r="E872" t="s">
        <v>32</v>
      </c>
      <c r="F872" s="7">
        <v>302.58</v>
      </c>
      <c r="G872" s="10">
        <v>0.3</v>
      </c>
      <c r="H872" s="7">
        <v>211.81</v>
      </c>
      <c r="I872">
        <v>5</v>
      </c>
      <c r="J872" t="s">
        <v>13</v>
      </c>
      <c r="K872" s="13">
        <f>ROUND(tblTransactions[[#This Row],[gross_sales_inr]]*(1-tblTransactions[[#This Row],[discount_pct]]),2)</f>
        <v>211.81</v>
      </c>
      <c r="L872" t="str">
        <f>IF(ABS(tblTransactions[[#This Row],[net_sales_inr]]-tblTransactions[[#This Row],[Recalc_Net_Sales]])&lt;0.02,"OK","CHECK")</f>
        <v>OK</v>
      </c>
      <c r="M872" s="14">
        <f>DATE(YEAR(tblTransactions[[#This Row],[date]]),MONTH(tblTransactions[[#This Row],[date]]),1)</f>
        <v>45717</v>
      </c>
      <c r="N872" t="str">
        <f>IF(WEEKDAY(tblTransactions[[#This Row],[date]],2)&gt;5,"Weekend","Weekday")</f>
        <v>Weekday</v>
      </c>
      <c r="O872" s="13" t="str">
        <f>IF(tblTransactions[[#This Row],[discount_pct]]=0,"0%",IF(tblTransactions[[#This Row],[discount_pct]]&lt;=10%,"1–
10%",IF(tblTransactions[[#This Row],[discount_pct]]&lt;=20%,"11–20%","&gt;20%")))</f>
        <v>&gt;20%</v>
      </c>
      <c r="P872" s="13" t="str">
        <f>_xlfn.XLOOKUP(tblTransactions[[#This Row],[tenant_id]],tblTenants[tenant_id],tblTenants[zone],"NOT FOUND")</f>
        <v>Entertainment</v>
      </c>
      <c r="Q872" s="13" t="str">
        <f>_xlfn.XLOOKUP(tblTransactions[[#This Row],[tenant_id]],tblTenants[tenant_id],tblTenants[category],"NOT FOUND")</f>
        <v>Cinema</v>
      </c>
    </row>
    <row r="873" spans="1:17">
      <c r="A873" t="s">
        <v>917</v>
      </c>
      <c r="B873" s="2">
        <v>45750</v>
      </c>
      <c r="C873">
        <v>20</v>
      </c>
      <c r="D873" t="s">
        <v>15</v>
      </c>
      <c r="E873" t="s">
        <v>21</v>
      </c>
      <c r="F873" s="7">
        <v>856.62</v>
      </c>
      <c r="G873" s="10">
        <v>0</v>
      </c>
      <c r="H873" s="7">
        <v>856.62</v>
      </c>
      <c r="I873">
        <v>3</v>
      </c>
      <c r="J873" t="s">
        <v>13</v>
      </c>
      <c r="K873" s="13">
        <f>ROUND(tblTransactions[[#This Row],[gross_sales_inr]]*(1-tblTransactions[[#This Row],[discount_pct]]),2)</f>
        <v>856.62</v>
      </c>
      <c r="L873" t="str">
        <f>IF(ABS(tblTransactions[[#This Row],[net_sales_inr]]-tblTransactions[[#This Row],[Recalc_Net_Sales]])&lt;0.02,"OK","CHECK")</f>
        <v>OK</v>
      </c>
      <c r="M873" s="14">
        <f>DATE(YEAR(tblTransactions[[#This Row],[date]]),MONTH(tblTransactions[[#This Row],[date]]),1)</f>
        <v>45748</v>
      </c>
      <c r="N873" t="str">
        <f>IF(WEEKDAY(tblTransactions[[#This Row],[date]],2)&gt;5,"Weekend","Weekday")</f>
        <v>Weekday</v>
      </c>
      <c r="O873" s="13" t="str">
        <f>IF(tblTransactions[[#This Row],[discount_pct]]=0,"0%",IF(tblTransactions[[#This Row],[discount_pct]]&lt;=10%,"1–
10%",IF(tblTransactions[[#This Row],[discount_pct]]&lt;=20%,"11–20%","&gt;20%")))</f>
        <v>0%</v>
      </c>
      <c r="P873" s="13" t="str">
        <f>_xlfn.XLOOKUP(tblTransactions[[#This Row],[tenant_id]],tblTenants[tenant_id],tblTenants[zone],"NOT FOUND")</f>
        <v>Fashion Avenue</v>
      </c>
      <c r="Q873" s="13" t="str">
        <f>_xlfn.XLOOKUP(tblTransactions[[#This Row],[tenant_id]],tblTenants[tenant_id],tblTenants[category],"NOT FOUND")</f>
        <v>Accessories</v>
      </c>
    </row>
    <row r="874" spans="1:17">
      <c r="A874" t="s">
        <v>918</v>
      </c>
      <c r="B874" s="2">
        <v>45675</v>
      </c>
      <c r="C874">
        <v>21</v>
      </c>
      <c r="D874" t="s">
        <v>15</v>
      </c>
      <c r="E874" t="s">
        <v>12</v>
      </c>
      <c r="F874" s="7">
        <v>884.42</v>
      </c>
      <c r="G874" s="10">
        <v>0</v>
      </c>
      <c r="H874" s="7">
        <v>884.42</v>
      </c>
      <c r="I874">
        <v>3</v>
      </c>
      <c r="J874" t="s">
        <v>13</v>
      </c>
      <c r="K874" s="13">
        <f>ROUND(tblTransactions[[#This Row],[gross_sales_inr]]*(1-tblTransactions[[#This Row],[discount_pct]]),2)</f>
        <v>884.42</v>
      </c>
      <c r="L874" t="str">
        <f>IF(ABS(tblTransactions[[#This Row],[net_sales_inr]]-tblTransactions[[#This Row],[Recalc_Net_Sales]])&lt;0.02,"OK","CHECK")</f>
        <v>OK</v>
      </c>
      <c r="M874" s="14">
        <f>DATE(YEAR(tblTransactions[[#This Row],[date]]),MONTH(tblTransactions[[#This Row],[date]]),1)</f>
        <v>45658</v>
      </c>
      <c r="N874" t="str">
        <f>IF(WEEKDAY(tblTransactions[[#This Row],[date]],2)&gt;5,"Weekend","Weekday")</f>
        <v>Weekend</v>
      </c>
      <c r="O874" s="13" t="str">
        <f>IF(tblTransactions[[#This Row],[discount_pct]]=0,"0%",IF(tblTransactions[[#This Row],[discount_pct]]&lt;=10%,"1–
10%",IF(tblTransactions[[#This Row],[discount_pct]]&lt;=20%,"11–20%","&gt;20%")))</f>
        <v>0%</v>
      </c>
      <c r="P874" s="13" t="str">
        <f>_xlfn.XLOOKUP(tblTransactions[[#This Row],[tenant_id]],tblTenants[tenant_id],tblTenants[zone],"NOT FOUND")</f>
        <v>Fashion Avenue</v>
      </c>
      <c r="Q874" s="13" t="str">
        <f>_xlfn.XLOOKUP(tblTransactions[[#This Row],[tenant_id]],tblTenants[tenant_id],tblTenants[category],"NOT FOUND")</f>
        <v>Accessories</v>
      </c>
    </row>
    <row r="875" spans="1:17">
      <c r="A875" t="s">
        <v>919</v>
      </c>
      <c r="B875" s="2">
        <v>45803</v>
      </c>
      <c r="C875">
        <v>20</v>
      </c>
      <c r="D875" t="s">
        <v>85</v>
      </c>
      <c r="E875" t="s">
        <v>12</v>
      </c>
      <c r="F875" s="7">
        <v>499</v>
      </c>
      <c r="G875" s="10">
        <v>0.15</v>
      </c>
      <c r="H875" s="7">
        <v>424.15</v>
      </c>
      <c r="I875">
        <v>1</v>
      </c>
      <c r="J875" t="s">
        <v>13</v>
      </c>
      <c r="K875" s="13">
        <f>ROUND(tblTransactions[[#This Row],[gross_sales_inr]]*(1-tblTransactions[[#This Row],[discount_pct]]),2)</f>
        <v>424.15</v>
      </c>
      <c r="L875" t="str">
        <f>IF(ABS(tblTransactions[[#This Row],[net_sales_inr]]-tblTransactions[[#This Row],[Recalc_Net_Sales]])&lt;0.02,"OK","CHECK")</f>
        <v>OK</v>
      </c>
      <c r="M875" s="14">
        <f>DATE(YEAR(tblTransactions[[#This Row],[date]]),MONTH(tblTransactions[[#This Row],[date]]),1)</f>
        <v>45778</v>
      </c>
      <c r="N875" t="str">
        <f>IF(WEEKDAY(tblTransactions[[#This Row],[date]],2)&gt;5,"Weekend","Weekday")</f>
        <v>Weekday</v>
      </c>
      <c r="O87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75" s="13" t="str">
        <f>_xlfn.XLOOKUP(tblTransactions[[#This Row],[tenant_id]],tblTenants[tenant_id],tblTenants[zone],"NOT FOUND")</f>
        <v>Home &amp; Living</v>
      </c>
      <c r="Q875" s="13" t="str">
        <f>_xlfn.XLOOKUP(tblTransactions[[#This Row],[tenant_id]],tblTenants[tenant_id],tblTenants[category],"NOT FOUND")</f>
        <v>Electronics</v>
      </c>
    </row>
    <row r="876" spans="1:17">
      <c r="A876" t="s">
        <v>920</v>
      </c>
      <c r="B876" s="2">
        <v>45719</v>
      </c>
      <c r="C876">
        <v>22</v>
      </c>
      <c r="D876" t="s">
        <v>61</v>
      </c>
      <c r="E876" t="s">
        <v>21</v>
      </c>
      <c r="F876" s="7">
        <v>539.15</v>
      </c>
      <c r="G876" s="10">
        <v>0.2</v>
      </c>
      <c r="H876" s="7">
        <v>431.32</v>
      </c>
      <c r="I876">
        <v>2</v>
      </c>
      <c r="J876" t="s">
        <v>13</v>
      </c>
      <c r="K876" s="13">
        <f>ROUND(tblTransactions[[#This Row],[gross_sales_inr]]*(1-tblTransactions[[#This Row],[discount_pct]]),2)</f>
        <v>431.32</v>
      </c>
      <c r="L876" t="str">
        <f>IF(ABS(tblTransactions[[#This Row],[net_sales_inr]]-tblTransactions[[#This Row],[Recalc_Net_Sales]])&lt;0.02,"OK","CHECK")</f>
        <v>OK</v>
      </c>
      <c r="M876" s="14">
        <f>DATE(YEAR(tblTransactions[[#This Row],[date]]),MONTH(tblTransactions[[#This Row],[date]]),1)</f>
        <v>45717</v>
      </c>
      <c r="N876" t="str">
        <f>IF(WEEKDAY(tblTransactions[[#This Row],[date]],2)&gt;5,"Weekend","Weekday")</f>
        <v>Weekday</v>
      </c>
      <c r="O87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76" s="13" t="str">
        <f>_xlfn.XLOOKUP(tblTransactions[[#This Row],[tenant_id]],tblTenants[tenant_id],tblTenants[zone],"NOT FOUND")</f>
        <v>Food Court</v>
      </c>
      <c r="Q876" s="13" t="str">
        <f>_xlfn.XLOOKUP(tblTransactions[[#This Row],[tenant_id]],tblTenants[tenant_id],tblTenants[category],"NOT FOUND")</f>
        <v>Quick Service</v>
      </c>
    </row>
    <row r="877" spans="1:17">
      <c r="A877" t="s">
        <v>921</v>
      </c>
      <c r="B877" s="2">
        <v>45666</v>
      </c>
      <c r="C877">
        <v>21</v>
      </c>
      <c r="D877" t="s">
        <v>85</v>
      </c>
      <c r="E877" t="s">
        <v>12</v>
      </c>
      <c r="F877" s="7">
        <v>2123.5100000000002</v>
      </c>
      <c r="G877" s="10">
        <v>0</v>
      </c>
      <c r="H877" s="7">
        <v>2123.5100000000002</v>
      </c>
      <c r="I877">
        <v>2</v>
      </c>
      <c r="J877" t="s">
        <v>13</v>
      </c>
      <c r="K877" s="13">
        <f>ROUND(tblTransactions[[#This Row],[gross_sales_inr]]*(1-tblTransactions[[#This Row],[discount_pct]]),2)</f>
        <v>2123.5100000000002</v>
      </c>
      <c r="L877" t="str">
        <f>IF(ABS(tblTransactions[[#This Row],[net_sales_inr]]-tblTransactions[[#This Row],[Recalc_Net_Sales]])&lt;0.02,"OK","CHECK")</f>
        <v>OK</v>
      </c>
      <c r="M877" s="14">
        <f>DATE(YEAR(tblTransactions[[#This Row],[date]]),MONTH(tblTransactions[[#This Row],[date]]),1)</f>
        <v>45658</v>
      </c>
      <c r="N877" t="str">
        <f>IF(WEEKDAY(tblTransactions[[#This Row],[date]],2)&gt;5,"Weekend","Weekday")</f>
        <v>Weekday</v>
      </c>
      <c r="O877" s="13" t="str">
        <f>IF(tblTransactions[[#This Row],[discount_pct]]=0,"0%",IF(tblTransactions[[#This Row],[discount_pct]]&lt;=10%,"1–
10%",IF(tblTransactions[[#This Row],[discount_pct]]&lt;=20%,"11–20%","&gt;20%")))</f>
        <v>0%</v>
      </c>
      <c r="P877" s="13" t="str">
        <f>_xlfn.XLOOKUP(tblTransactions[[#This Row],[tenant_id]],tblTenants[tenant_id],tblTenants[zone],"NOT FOUND")</f>
        <v>Home &amp; Living</v>
      </c>
      <c r="Q877" s="13" t="str">
        <f>_xlfn.XLOOKUP(tblTransactions[[#This Row],[tenant_id]],tblTenants[tenant_id],tblTenants[category],"NOT FOUND")</f>
        <v>Electronics</v>
      </c>
    </row>
    <row r="878" spans="1:17">
      <c r="A878" t="s">
        <v>922</v>
      </c>
      <c r="B878" s="2">
        <v>45757</v>
      </c>
      <c r="C878">
        <v>19</v>
      </c>
      <c r="D878" t="s">
        <v>29</v>
      </c>
      <c r="E878" t="s">
        <v>12</v>
      </c>
      <c r="F878" s="7">
        <v>344.58</v>
      </c>
      <c r="G878" s="10">
        <v>0</v>
      </c>
      <c r="H878" s="7">
        <v>344.58</v>
      </c>
      <c r="I878">
        <v>3</v>
      </c>
      <c r="J878" t="s">
        <v>13</v>
      </c>
      <c r="K878" s="13">
        <f>ROUND(tblTransactions[[#This Row],[gross_sales_inr]]*(1-tblTransactions[[#This Row],[discount_pct]]),2)</f>
        <v>344.58</v>
      </c>
      <c r="L878" t="str">
        <f>IF(ABS(tblTransactions[[#This Row],[net_sales_inr]]-tblTransactions[[#This Row],[Recalc_Net_Sales]])&lt;0.02,"OK","CHECK")</f>
        <v>OK</v>
      </c>
      <c r="M878" s="14">
        <f>DATE(YEAR(tblTransactions[[#This Row],[date]]),MONTH(tblTransactions[[#This Row],[date]]),1)</f>
        <v>45748</v>
      </c>
      <c r="N878" t="str">
        <f>IF(WEEKDAY(tblTransactions[[#This Row],[date]],2)&gt;5,"Weekend","Weekday")</f>
        <v>Weekday</v>
      </c>
      <c r="O878" s="13" t="str">
        <f>IF(tblTransactions[[#This Row],[discount_pct]]=0,"0%",IF(tblTransactions[[#This Row],[discount_pct]]&lt;=10%,"1–
10%",IF(tblTransactions[[#This Row],[discount_pct]]&lt;=20%,"11–20%","&gt;20%")))</f>
        <v>0%</v>
      </c>
      <c r="P878" s="13" t="str">
        <f>_xlfn.XLOOKUP(tblTransactions[[#This Row],[tenant_id]],tblTenants[tenant_id],tblTenants[zone],"NOT FOUND")</f>
        <v>Entertainment</v>
      </c>
      <c r="Q878" s="13" t="str">
        <f>_xlfn.XLOOKUP(tblTransactions[[#This Row],[tenant_id]],tblTenants[tenant_id],tblTenants[category],"NOT FOUND")</f>
        <v>Cinema</v>
      </c>
    </row>
    <row r="879" spans="1:17">
      <c r="A879" t="s">
        <v>923</v>
      </c>
      <c r="B879" s="2">
        <v>45822</v>
      </c>
      <c r="C879">
        <v>13</v>
      </c>
      <c r="D879" t="s">
        <v>23</v>
      </c>
      <c r="E879" t="s">
        <v>12</v>
      </c>
      <c r="F879" s="7">
        <v>1377.59</v>
      </c>
      <c r="G879" s="10">
        <v>0</v>
      </c>
      <c r="H879" s="7">
        <v>1377.59</v>
      </c>
      <c r="I879">
        <v>3</v>
      </c>
      <c r="J879" t="s">
        <v>13</v>
      </c>
      <c r="K879" s="13">
        <f>ROUND(tblTransactions[[#This Row],[gross_sales_inr]]*(1-tblTransactions[[#This Row],[discount_pct]]),2)</f>
        <v>1377.59</v>
      </c>
      <c r="L879" t="str">
        <f>IF(ABS(tblTransactions[[#This Row],[net_sales_inr]]-tblTransactions[[#This Row],[Recalc_Net_Sales]])&lt;0.02,"OK","CHECK")</f>
        <v>OK</v>
      </c>
      <c r="M879" s="14">
        <f>DATE(YEAR(tblTransactions[[#This Row],[date]]),MONTH(tblTransactions[[#This Row],[date]]),1)</f>
        <v>45809</v>
      </c>
      <c r="N879" t="str">
        <f>IF(WEEKDAY(tblTransactions[[#This Row],[date]],2)&gt;5,"Weekend","Weekday")</f>
        <v>Weekend</v>
      </c>
      <c r="O879" s="13" t="str">
        <f>IF(tblTransactions[[#This Row],[discount_pct]]=0,"0%",IF(tblTransactions[[#This Row],[discount_pct]]&lt;=10%,"1–
10%",IF(tblTransactions[[#This Row],[discount_pct]]&lt;=20%,"11–20%","&gt;20%")))</f>
        <v>0%</v>
      </c>
      <c r="P879" s="13" t="str">
        <f>_xlfn.XLOOKUP(tblTransactions[[#This Row],[tenant_id]],tblTenants[tenant_id],tblTenants[zone],"NOT FOUND")</f>
        <v>Entertainment</v>
      </c>
      <c r="Q879" s="13" t="str">
        <f>_xlfn.XLOOKUP(tblTransactions[[#This Row],[tenant_id]],tblTenants[tenant_id],tblTenants[category],"NOT FOUND")</f>
        <v>Cinema</v>
      </c>
    </row>
    <row r="880" spans="1:17">
      <c r="A880" t="s">
        <v>924</v>
      </c>
      <c r="B880" s="2">
        <v>45809</v>
      </c>
      <c r="C880">
        <v>16</v>
      </c>
      <c r="D880" t="s">
        <v>43</v>
      </c>
      <c r="E880" t="s">
        <v>32</v>
      </c>
      <c r="F880" s="7">
        <v>1464.67</v>
      </c>
      <c r="G880" s="10">
        <v>0</v>
      </c>
      <c r="H880" s="7">
        <v>1464.67</v>
      </c>
      <c r="I880">
        <v>4</v>
      </c>
      <c r="J880" t="s">
        <v>13</v>
      </c>
      <c r="K880" s="13">
        <f>ROUND(tblTransactions[[#This Row],[gross_sales_inr]]*(1-tblTransactions[[#This Row],[discount_pct]]),2)</f>
        <v>1464.67</v>
      </c>
      <c r="L880" t="str">
        <f>IF(ABS(tblTransactions[[#This Row],[net_sales_inr]]-tblTransactions[[#This Row],[Recalc_Net_Sales]])&lt;0.02,"OK","CHECK")</f>
        <v>OK</v>
      </c>
      <c r="M880" s="14">
        <f>DATE(YEAR(tblTransactions[[#This Row],[date]]),MONTH(tblTransactions[[#This Row],[date]]),1)</f>
        <v>45809</v>
      </c>
      <c r="N880" t="str">
        <f>IF(WEEKDAY(tblTransactions[[#This Row],[date]],2)&gt;5,"Weekend","Weekday")</f>
        <v>Weekend</v>
      </c>
      <c r="O880" s="13" t="str">
        <f>IF(tblTransactions[[#This Row],[discount_pct]]=0,"0%",IF(tblTransactions[[#This Row],[discount_pct]]&lt;=10%,"1–
10%",IF(tblTransactions[[#This Row],[discount_pct]]&lt;=20%,"11–20%","&gt;20%")))</f>
        <v>0%</v>
      </c>
      <c r="P880" s="13" t="str">
        <f>_xlfn.XLOOKUP(tblTransactions[[#This Row],[tenant_id]],tblTenants[tenant_id],tblTenants[zone],"NOT FOUND")</f>
        <v>Food Court</v>
      </c>
      <c r="Q880" s="13" t="str">
        <f>_xlfn.XLOOKUP(tblTransactions[[#This Row],[tenant_id]],tblTenants[tenant_id],tblTenants[category],"NOT FOUND")</f>
        <v>Casual Dining</v>
      </c>
    </row>
    <row r="881" spans="1:17">
      <c r="A881" t="s">
        <v>925</v>
      </c>
      <c r="B881" s="2">
        <v>45696</v>
      </c>
      <c r="C881">
        <v>11</v>
      </c>
      <c r="D881" t="s">
        <v>98</v>
      </c>
      <c r="E881" t="s">
        <v>51</v>
      </c>
      <c r="F881" s="7">
        <v>727.01</v>
      </c>
      <c r="G881" s="10">
        <v>0</v>
      </c>
      <c r="H881" s="7">
        <v>727.01</v>
      </c>
      <c r="I881">
        <v>3</v>
      </c>
      <c r="J881" t="s">
        <v>13</v>
      </c>
      <c r="K881" s="13">
        <f>ROUND(tblTransactions[[#This Row],[gross_sales_inr]]*(1-tblTransactions[[#This Row],[discount_pct]]),2)</f>
        <v>727.01</v>
      </c>
      <c r="L881" t="str">
        <f>IF(ABS(tblTransactions[[#This Row],[net_sales_inr]]-tblTransactions[[#This Row],[Recalc_Net_Sales]])&lt;0.02,"OK","CHECK")</f>
        <v>OK</v>
      </c>
      <c r="M881" s="14">
        <f>DATE(YEAR(tblTransactions[[#This Row],[date]]),MONTH(tblTransactions[[#This Row],[date]]),1)</f>
        <v>45689</v>
      </c>
      <c r="N881" t="str">
        <f>IF(WEEKDAY(tblTransactions[[#This Row],[date]],2)&gt;5,"Weekend","Weekday")</f>
        <v>Weekend</v>
      </c>
      <c r="O881" s="13" t="str">
        <f>IF(tblTransactions[[#This Row],[discount_pct]]=0,"0%",IF(tblTransactions[[#This Row],[discount_pct]]&lt;=10%,"1–
10%",IF(tblTransactions[[#This Row],[discount_pct]]&lt;=20%,"11–20%","&gt;20%")))</f>
        <v>0%</v>
      </c>
      <c r="P881" s="13" t="str">
        <f>_xlfn.XLOOKUP(tblTransactions[[#This Row],[tenant_id]],tblTenants[tenant_id],tblTenants[zone],"NOT FOUND")</f>
        <v>Fashion Avenue</v>
      </c>
      <c r="Q881" s="13" t="str">
        <f>_xlfn.XLOOKUP(tblTransactions[[#This Row],[tenant_id]],tblTenants[tenant_id],tblTenants[category],"NOT FOUND")</f>
        <v>Accessories</v>
      </c>
    </row>
    <row r="882" spans="1:17">
      <c r="A882" t="s">
        <v>926</v>
      </c>
      <c r="B882" s="2">
        <v>45743</v>
      </c>
      <c r="C882">
        <v>16</v>
      </c>
      <c r="D882" t="s">
        <v>48</v>
      </c>
      <c r="E882" t="s">
        <v>32</v>
      </c>
      <c r="F882" s="7">
        <v>201.75</v>
      </c>
      <c r="G882" s="10">
        <v>0.15</v>
      </c>
      <c r="H882" s="7">
        <v>171.49</v>
      </c>
      <c r="I882">
        <v>2</v>
      </c>
      <c r="J882" t="s">
        <v>13</v>
      </c>
      <c r="K882" s="13">
        <f>ROUND(tblTransactions[[#This Row],[gross_sales_inr]]*(1-tblTransactions[[#This Row],[discount_pct]]),2)</f>
        <v>171.49</v>
      </c>
      <c r="L882" t="str">
        <f>IF(ABS(tblTransactions[[#This Row],[net_sales_inr]]-tblTransactions[[#This Row],[Recalc_Net_Sales]])&lt;0.02,"OK","CHECK")</f>
        <v>OK</v>
      </c>
      <c r="M882" s="14">
        <f>DATE(YEAR(tblTransactions[[#This Row],[date]]),MONTH(tblTransactions[[#This Row],[date]]),1)</f>
        <v>45717</v>
      </c>
      <c r="N882" t="str">
        <f>IF(WEEKDAY(tblTransactions[[#This Row],[date]],2)&gt;5,"Weekend","Weekday")</f>
        <v>Weekday</v>
      </c>
      <c r="O88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82" s="13" t="str">
        <f>_xlfn.XLOOKUP(tblTransactions[[#This Row],[tenant_id]],tblTenants[tenant_id],tblTenants[zone],"NOT FOUND")</f>
        <v>Beauty &amp; Wellness</v>
      </c>
      <c r="Q882" s="13" t="str">
        <f>_xlfn.XLOOKUP(tblTransactions[[#This Row],[tenant_id]],tblTenants[tenant_id],tblTenants[category],"NOT FOUND")</f>
        <v>Wellness</v>
      </c>
    </row>
    <row r="883" spans="1:17">
      <c r="A883" t="s">
        <v>927</v>
      </c>
      <c r="B883" s="2">
        <v>45724</v>
      </c>
      <c r="C883">
        <v>12</v>
      </c>
      <c r="D883" t="s">
        <v>31</v>
      </c>
      <c r="E883" t="s">
        <v>12</v>
      </c>
      <c r="F883" s="7">
        <v>1366.32</v>
      </c>
      <c r="G883" s="10">
        <v>0</v>
      </c>
      <c r="H883" s="7">
        <v>1366.32</v>
      </c>
      <c r="I883">
        <v>2</v>
      </c>
      <c r="J883" t="s">
        <v>16</v>
      </c>
      <c r="K883" s="13">
        <f>ROUND(tblTransactions[[#This Row],[gross_sales_inr]]*(1-tblTransactions[[#This Row],[discount_pct]]),2)</f>
        <v>1366.32</v>
      </c>
      <c r="L883" t="str">
        <f>IF(ABS(tblTransactions[[#This Row],[net_sales_inr]]-tblTransactions[[#This Row],[Recalc_Net_Sales]])&lt;0.02,"OK","CHECK")</f>
        <v>OK</v>
      </c>
      <c r="M883" s="14">
        <f>DATE(YEAR(tblTransactions[[#This Row],[date]]),MONTH(tblTransactions[[#This Row],[date]]),1)</f>
        <v>45717</v>
      </c>
      <c r="N883" t="str">
        <f>IF(WEEKDAY(tblTransactions[[#This Row],[date]],2)&gt;5,"Weekend","Weekday")</f>
        <v>Weekend</v>
      </c>
      <c r="O883" s="13" t="str">
        <f>IF(tblTransactions[[#This Row],[discount_pct]]=0,"0%",IF(tblTransactions[[#This Row],[discount_pct]]&lt;=10%,"1–
10%",IF(tblTransactions[[#This Row],[discount_pct]]&lt;=20%,"11–20%","&gt;20%")))</f>
        <v>0%</v>
      </c>
      <c r="P883" s="13" t="str">
        <f>_xlfn.XLOOKUP(tblTransactions[[#This Row],[tenant_id]],tblTenants[tenant_id],tblTenants[zone],"NOT FOUND")</f>
        <v>Entertainment</v>
      </c>
      <c r="Q883" s="13" t="str">
        <f>_xlfn.XLOOKUP(tblTransactions[[#This Row],[tenant_id]],tblTenants[tenant_id],tblTenants[category],"NOT FOUND")</f>
        <v>Arcade</v>
      </c>
    </row>
    <row r="884" spans="1:17">
      <c r="A884" t="s">
        <v>928</v>
      </c>
      <c r="B884" s="2">
        <v>45758</v>
      </c>
      <c r="C884">
        <v>14</v>
      </c>
      <c r="D884" t="s">
        <v>85</v>
      </c>
      <c r="E884" t="s">
        <v>32</v>
      </c>
      <c r="F884" s="7">
        <v>826.39</v>
      </c>
      <c r="G884" s="10">
        <v>0.3</v>
      </c>
      <c r="H884" s="7">
        <v>578.47</v>
      </c>
      <c r="I884">
        <v>2</v>
      </c>
      <c r="J884" t="s">
        <v>13</v>
      </c>
      <c r="K884" s="13">
        <f>ROUND(tblTransactions[[#This Row],[gross_sales_inr]]*(1-tblTransactions[[#This Row],[discount_pct]]),2)</f>
        <v>578.47</v>
      </c>
      <c r="L884" t="str">
        <f>IF(ABS(tblTransactions[[#This Row],[net_sales_inr]]-tblTransactions[[#This Row],[Recalc_Net_Sales]])&lt;0.02,"OK","CHECK")</f>
        <v>OK</v>
      </c>
      <c r="M884" s="14">
        <f>DATE(YEAR(tblTransactions[[#This Row],[date]]),MONTH(tblTransactions[[#This Row],[date]]),1)</f>
        <v>45748</v>
      </c>
      <c r="N884" t="str">
        <f>IF(WEEKDAY(tblTransactions[[#This Row],[date]],2)&gt;5,"Weekend","Weekday")</f>
        <v>Weekday</v>
      </c>
      <c r="O88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884" s="13" t="str">
        <f>_xlfn.XLOOKUP(tblTransactions[[#This Row],[tenant_id]],tblTenants[tenant_id],tblTenants[zone],"NOT FOUND")</f>
        <v>Home &amp; Living</v>
      </c>
      <c r="Q884" s="13" t="str">
        <f>_xlfn.XLOOKUP(tblTransactions[[#This Row],[tenant_id]],tblTenants[tenant_id],tblTenants[category],"NOT FOUND")</f>
        <v>Electronics</v>
      </c>
    </row>
    <row r="885" spans="1:17">
      <c r="A885" t="s">
        <v>929</v>
      </c>
      <c r="B885" s="2">
        <v>45837</v>
      </c>
      <c r="C885">
        <v>10</v>
      </c>
      <c r="D885" t="s">
        <v>45</v>
      </c>
      <c r="E885" t="s">
        <v>32</v>
      </c>
      <c r="F885" s="7">
        <v>785.43</v>
      </c>
      <c r="G885" s="10">
        <v>0.05</v>
      </c>
      <c r="H885" s="7">
        <v>746.16</v>
      </c>
      <c r="I885">
        <v>2</v>
      </c>
      <c r="J885" t="s">
        <v>16</v>
      </c>
      <c r="K885" s="13">
        <f>ROUND(tblTransactions[[#This Row],[gross_sales_inr]]*(1-tblTransactions[[#This Row],[discount_pct]]),2)</f>
        <v>746.16</v>
      </c>
      <c r="L885" t="str">
        <f>IF(ABS(tblTransactions[[#This Row],[net_sales_inr]]-tblTransactions[[#This Row],[Recalc_Net_Sales]])&lt;0.02,"OK","CHECK")</f>
        <v>OK</v>
      </c>
      <c r="M885" s="14">
        <f>DATE(YEAR(tblTransactions[[#This Row],[date]]),MONTH(tblTransactions[[#This Row],[date]]),1)</f>
        <v>45809</v>
      </c>
      <c r="N885" t="str">
        <f>IF(WEEKDAY(tblTransactions[[#This Row],[date]],2)&gt;5,"Weekend","Weekday")</f>
        <v>Weekend</v>
      </c>
      <c r="O88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85" s="13" t="str">
        <f>_xlfn.XLOOKUP(tblTransactions[[#This Row],[tenant_id]],tblTenants[tenant_id],tblTenants[zone],"NOT FOUND")</f>
        <v>Home &amp; Living</v>
      </c>
      <c r="Q885" s="13" t="str">
        <f>_xlfn.XLOOKUP(tblTransactions[[#This Row],[tenant_id]],tblTenants[tenant_id],tblTenants[category],"NOT FOUND")</f>
        <v>Home Decor</v>
      </c>
    </row>
    <row r="886" spans="1:17">
      <c r="A886" t="s">
        <v>930</v>
      </c>
      <c r="B886" s="2">
        <v>45666</v>
      </c>
      <c r="C886">
        <v>22</v>
      </c>
      <c r="D886" t="s">
        <v>41</v>
      </c>
      <c r="E886" t="s">
        <v>12</v>
      </c>
      <c r="F886" s="7">
        <v>634.97</v>
      </c>
      <c r="G886" s="10">
        <v>0</v>
      </c>
      <c r="H886" s="7">
        <v>634.97</v>
      </c>
      <c r="I886">
        <v>2</v>
      </c>
      <c r="J886" t="s">
        <v>16</v>
      </c>
      <c r="K886" s="13">
        <f>ROUND(tblTransactions[[#This Row],[gross_sales_inr]]*(1-tblTransactions[[#This Row],[discount_pct]]),2)</f>
        <v>634.97</v>
      </c>
      <c r="L886" t="str">
        <f>IF(ABS(tblTransactions[[#This Row],[net_sales_inr]]-tblTransactions[[#This Row],[Recalc_Net_Sales]])&lt;0.02,"OK","CHECK")</f>
        <v>OK</v>
      </c>
      <c r="M886" s="14">
        <f>DATE(YEAR(tblTransactions[[#This Row],[date]]),MONTH(tblTransactions[[#This Row],[date]]),1)</f>
        <v>45658</v>
      </c>
      <c r="N886" t="str">
        <f>IF(WEEKDAY(tblTransactions[[#This Row],[date]],2)&gt;5,"Weekend","Weekday")</f>
        <v>Weekday</v>
      </c>
      <c r="O886" s="13" t="str">
        <f>IF(tblTransactions[[#This Row],[discount_pct]]=0,"0%",IF(tblTransactions[[#This Row],[discount_pct]]&lt;=10%,"1–
10%",IF(tblTransactions[[#This Row],[discount_pct]]&lt;=20%,"11–20%","&gt;20%")))</f>
        <v>0%</v>
      </c>
      <c r="P886" s="13" t="str">
        <f>_xlfn.XLOOKUP(tblTransactions[[#This Row],[tenant_id]],tblTenants[tenant_id],tblTenants[zone],"NOT FOUND")</f>
        <v>Fashion Avenue</v>
      </c>
      <c r="Q886" s="13" t="str">
        <f>_xlfn.XLOOKUP(tblTransactions[[#This Row],[tenant_id]],tblTenants[tenant_id],tblTenants[category],"NOT FOUND")</f>
        <v>Clothing</v>
      </c>
    </row>
    <row r="887" spans="1:17">
      <c r="A887" t="s">
        <v>931</v>
      </c>
      <c r="B887" s="2">
        <v>45698</v>
      </c>
      <c r="C887">
        <v>20</v>
      </c>
      <c r="D887" t="s">
        <v>15</v>
      </c>
      <c r="E887" t="s">
        <v>12</v>
      </c>
      <c r="F887" s="7">
        <v>1773.19</v>
      </c>
      <c r="G887" s="10">
        <v>0.1</v>
      </c>
      <c r="H887" s="7">
        <v>1595.87</v>
      </c>
      <c r="I887">
        <v>2</v>
      </c>
      <c r="J887" t="s">
        <v>13</v>
      </c>
      <c r="K887" s="13">
        <f>ROUND(tblTransactions[[#This Row],[gross_sales_inr]]*(1-tblTransactions[[#This Row],[discount_pct]]),2)</f>
        <v>1595.87</v>
      </c>
      <c r="L887" t="str">
        <f>IF(ABS(tblTransactions[[#This Row],[net_sales_inr]]-tblTransactions[[#This Row],[Recalc_Net_Sales]])&lt;0.02,"OK","CHECK")</f>
        <v>OK</v>
      </c>
      <c r="M887" s="14">
        <f>DATE(YEAR(tblTransactions[[#This Row],[date]]),MONTH(tblTransactions[[#This Row],[date]]),1)</f>
        <v>45689</v>
      </c>
      <c r="N887" t="str">
        <f>IF(WEEKDAY(tblTransactions[[#This Row],[date]],2)&gt;5,"Weekend","Weekday")</f>
        <v>Weekday</v>
      </c>
      <c r="O88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87" s="13" t="str">
        <f>_xlfn.XLOOKUP(tblTransactions[[#This Row],[tenant_id]],tblTenants[tenant_id],tblTenants[zone],"NOT FOUND")</f>
        <v>Fashion Avenue</v>
      </c>
      <c r="Q887" s="13" t="str">
        <f>_xlfn.XLOOKUP(tblTransactions[[#This Row],[tenant_id]],tblTenants[tenant_id],tblTenants[category],"NOT FOUND")</f>
        <v>Accessories</v>
      </c>
    </row>
    <row r="888" spans="1:17">
      <c r="A888" t="s">
        <v>932</v>
      </c>
      <c r="B888" s="2">
        <v>45824</v>
      </c>
      <c r="C888">
        <v>12</v>
      </c>
      <c r="D888" t="s">
        <v>25</v>
      </c>
      <c r="E888" t="s">
        <v>12</v>
      </c>
      <c r="F888" s="7">
        <v>1578.51</v>
      </c>
      <c r="G888" s="10">
        <v>0.05</v>
      </c>
      <c r="H888" s="7">
        <v>1499.58</v>
      </c>
      <c r="I888">
        <v>2</v>
      </c>
      <c r="J888" t="s">
        <v>13</v>
      </c>
      <c r="K888" s="13">
        <f>ROUND(tblTransactions[[#This Row],[gross_sales_inr]]*(1-tblTransactions[[#This Row],[discount_pct]]),2)</f>
        <v>1499.58</v>
      </c>
      <c r="L888" t="str">
        <f>IF(ABS(tblTransactions[[#This Row],[net_sales_inr]]-tblTransactions[[#This Row],[Recalc_Net_Sales]])&lt;0.02,"OK","CHECK")</f>
        <v>OK</v>
      </c>
      <c r="M888" s="14">
        <f>DATE(YEAR(tblTransactions[[#This Row],[date]]),MONTH(tblTransactions[[#This Row],[date]]),1)</f>
        <v>45809</v>
      </c>
      <c r="N888" t="str">
        <f>IF(WEEKDAY(tblTransactions[[#This Row],[date]],2)&gt;5,"Weekend","Weekday")</f>
        <v>Weekday</v>
      </c>
      <c r="O88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88" s="13" t="str">
        <f>_xlfn.XLOOKUP(tblTransactions[[#This Row],[tenant_id]],tblTenants[tenant_id],tblTenants[zone],"NOT FOUND")</f>
        <v>Beauty &amp; Wellness</v>
      </c>
      <c r="Q888" s="13" t="str">
        <f>_xlfn.XLOOKUP(tblTransactions[[#This Row],[tenant_id]],tblTenants[tenant_id],tblTenants[category],"NOT FOUND")</f>
        <v>Beauty</v>
      </c>
    </row>
    <row r="889" spans="1:17">
      <c r="A889" t="s">
        <v>933</v>
      </c>
      <c r="B889" s="2">
        <v>45690</v>
      </c>
      <c r="C889">
        <v>15</v>
      </c>
      <c r="D889" t="s">
        <v>41</v>
      </c>
      <c r="E889" t="s">
        <v>12</v>
      </c>
      <c r="F889" s="7">
        <v>1493.8</v>
      </c>
      <c r="G889" s="10">
        <v>0</v>
      </c>
      <c r="H889" s="7">
        <v>1493.8</v>
      </c>
      <c r="I889">
        <v>1</v>
      </c>
      <c r="J889" t="s">
        <v>16</v>
      </c>
      <c r="K889" s="13">
        <f>ROUND(tblTransactions[[#This Row],[gross_sales_inr]]*(1-tblTransactions[[#This Row],[discount_pct]]),2)</f>
        <v>1493.8</v>
      </c>
      <c r="L889" t="str">
        <f>IF(ABS(tblTransactions[[#This Row],[net_sales_inr]]-tblTransactions[[#This Row],[Recalc_Net_Sales]])&lt;0.02,"OK","CHECK")</f>
        <v>OK</v>
      </c>
      <c r="M889" s="14">
        <f>DATE(YEAR(tblTransactions[[#This Row],[date]]),MONTH(tblTransactions[[#This Row],[date]]),1)</f>
        <v>45689</v>
      </c>
      <c r="N889" t="str">
        <f>IF(WEEKDAY(tblTransactions[[#This Row],[date]],2)&gt;5,"Weekend","Weekday")</f>
        <v>Weekend</v>
      </c>
      <c r="O889" s="13" t="str">
        <f>IF(tblTransactions[[#This Row],[discount_pct]]=0,"0%",IF(tblTransactions[[#This Row],[discount_pct]]&lt;=10%,"1–
10%",IF(tblTransactions[[#This Row],[discount_pct]]&lt;=20%,"11–20%","&gt;20%")))</f>
        <v>0%</v>
      </c>
      <c r="P889" s="13" t="str">
        <f>_xlfn.XLOOKUP(tblTransactions[[#This Row],[tenant_id]],tblTenants[tenant_id],tblTenants[zone],"NOT FOUND")</f>
        <v>Fashion Avenue</v>
      </c>
      <c r="Q889" s="13" t="str">
        <f>_xlfn.XLOOKUP(tblTransactions[[#This Row],[tenant_id]],tblTenants[tenant_id],tblTenants[category],"NOT FOUND")</f>
        <v>Clothing</v>
      </c>
    </row>
    <row r="890" spans="1:17">
      <c r="A890" t="s">
        <v>934</v>
      </c>
      <c r="B890" s="2">
        <v>45662</v>
      </c>
      <c r="C890">
        <v>15</v>
      </c>
      <c r="D890" t="s">
        <v>57</v>
      </c>
      <c r="E890" t="s">
        <v>12</v>
      </c>
      <c r="F890" s="7">
        <v>3351.56</v>
      </c>
      <c r="G890" s="10">
        <v>0.15</v>
      </c>
      <c r="H890" s="7">
        <v>2848.83</v>
      </c>
      <c r="I890">
        <v>4</v>
      </c>
      <c r="J890" t="s">
        <v>16</v>
      </c>
      <c r="K890" s="13">
        <f>ROUND(tblTransactions[[#This Row],[gross_sales_inr]]*(1-tblTransactions[[#This Row],[discount_pct]]),2)</f>
        <v>2848.83</v>
      </c>
      <c r="L890" t="str">
        <f>IF(ABS(tblTransactions[[#This Row],[net_sales_inr]]-tblTransactions[[#This Row],[Recalc_Net_Sales]])&lt;0.02,"OK","CHECK")</f>
        <v>OK</v>
      </c>
      <c r="M890" s="14">
        <f>DATE(YEAR(tblTransactions[[#This Row],[date]]),MONTH(tblTransactions[[#This Row],[date]]),1)</f>
        <v>45658</v>
      </c>
      <c r="N890" t="str">
        <f>IF(WEEKDAY(tblTransactions[[#This Row],[date]],2)&gt;5,"Weekend","Weekday")</f>
        <v>Weekend</v>
      </c>
      <c r="O89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90" s="13" t="str">
        <f>_xlfn.XLOOKUP(tblTransactions[[#This Row],[tenant_id]],tblTenants[tenant_id],tblTenants[zone],"NOT FOUND")</f>
        <v>Food Court</v>
      </c>
      <c r="Q890" s="13" t="str">
        <f>_xlfn.XLOOKUP(tblTransactions[[#This Row],[tenant_id]],tblTenants[tenant_id],tblTenants[category],"NOT FOUND")</f>
        <v>Casual Dining</v>
      </c>
    </row>
    <row r="891" spans="1:17">
      <c r="A891" t="s">
        <v>935</v>
      </c>
      <c r="B891" s="2">
        <v>45736</v>
      </c>
      <c r="C891">
        <v>15</v>
      </c>
      <c r="D891" t="s">
        <v>57</v>
      </c>
      <c r="E891" t="s">
        <v>12</v>
      </c>
      <c r="F891" s="7">
        <v>7157.08</v>
      </c>
      <c r="G891" s="10">
        <v>0</v>
      </c>
      <c r="H891" s="7">
        <v>7157.08</v>
      </c>
      <c r="I891">
        <v>1</v>
      </c>
      <c r="J891" t="s">
        <v>13</v>
      </c>
      <c r="K891" s="13">
        <f>ROUND(tblTransactions[[#This Row],[gross_sales_inr]]*(1-tblTransactions[[#This Row],[discount_pct]]),2)</f>
        <v>7157.08</v>
      </c>
      <c r="L891" t="str">
        <f>IF(ABS(tblTransactions[[#This Row],[net_sales_inr]]-tblTransactions[[#This Row],[Recalc_Net_Sales]])&lt;0.02,"OK","CHECK")</f>
        <v>OK</v>
      </c>
      <c r="M891" s="14">
        <f>DATE(YEAR(tblTransactions[[#This Row],[date]]),MONTH(tblTransactions[[#This Row],[date]]),1)</f>
        <v>45717</v>
      </c>
      <c r="N891" t="str">
        <f>IF(WEEKDAY(tblTransactions[[#This Row],[date]],2)&gt;5,"Weekend","Weekday")</f>
        <v>Weekday</v>
      </c>
      <c r="O891" s="13" t="str">
        <f>IF(tblTransactions[[#This Row],[discount_pct]]=0,"0%",IF(tblTransactions[[#This Row],[discount_pct]]&lt;=10%,"1–
10%",IF(tblTransactions[[#This Row],[discount_pct]]&lt;=20%,"11–20%","&gt;20%")))</f>
        <v>0%</v>
      </c>
      <c r="P891" s="13" t="str">
        <f>_xlfn.XLOOKUP(tblTransactions[[#This Row],[tenant_id]],tblTenants[tenant_id],tblTenants[zone],"NOT FOUND")</f>
        <v>Food Court</v>
      </c>
      <c r="Q891" s="13" t="str">
        <f>_xlfn.XLOOKUP(tblTransactions[[#This Row],[tenant_id]],tblTenants[tenant_id],tblTenants[category],"NOT FOUND")</f>
        <v>Casual Dining</v>
      </c>
    </row>
    <row r="892" spans="1:17">
      <c r="A892" t="s">
        <v>936</v>
      </c>
      <c r="B892" s="2">
        <v>45723</v>
      </c>
      <c r="C892">
        <v>11</v>
      </c>
      <c r="D892" t="s">
        <v>48</v>
      </c>
      <c r="E892" t="s">
        <v>12</v>
      </c>
      <c r="F892" s="7">
        <v>726.56</v>
      </c>
      <c r="G892" s="10">
        <v>0</v>
      </c>
      <c r="H892" s="7">
        <v>726.56</v>
      </c>
      <c r="I892">
        <v>4</v>
      </c>
      <c r="J892" t="s">
        <v>13</v>
      </c>
      <c r="K892" s="13">
        <f>ROUND(tblTransactions[[#This Row],[gross_sales_inr]]*(1-tblTransactions[[#This Row],[discount_pct]]),2)</f>
        <v>726.56</v>
      </c>
      <c r="L892" t="str">
        <f>IF(ABS(tblTransactions[[#This Row],[net_sales_inr]]-tblTransactions[[#This Row],[Recalc_Net_Sales]])&lt;0.02,"OK","CHECK")</f>
        <v>OK</v>
      </c>
      <c r="M892" s="14">
        <f>DATE(YEAR(tblTransactions[[#This Row],[date]]),MONTH(tblTransactions[[#This Row],[date]]),1)</f>
        <v>45717</v>
      </c>
      <c r="N892" t="str">
        <f>IF(WEEKDAY(tblTransactions[[#This Row],[date]],2)&gt;5,"Weekend","Weekday")</f>
        <v>Weekday</v>
      </c>
      <c r="O892" s="13" t="str">
        <f>IF(tblTransactions[[#This Row],[discount_pct]]=0,"0%",IF(tblTransactions[[#This Row],[discount_pct]]&lt;=10%,"1–
10%",IF(tblTransactions[[#This Row],[discount_pct]]&lt;=20%,"11–20%","&gt;20%")))</f>
        <v>0%</v>
      </c>
      <c r="P892" s="13" t="str">
        <f>_xlfn.XLOOKUP(tblTransactions[[#This Row],[tenant_id]],tblTenants[tenant_id],tblTenants[zone],"NOT FOUND")</f>
        <v>Beauty &amp; Wellness</v>
      </c>
      <c r="Q892" s="13" t="str">
        <f>_xlfn.XLOOKUP(tblTransactions[[#This Row],[tenant_id]],tblTenants[tenant_id],tblTenants[category],"NOT FOUND")</f>
        <v>Wellness</v>
      </c>
    </row>
    <row r="893" spans="1:17">
      <c r="A893" t="s">
        <v>937</v>
      </c>
      <c r="B893" s="2">
        <v>45718</v>
      </c>
      <c r="C893">
        <v>19</v>
      </c>
      <c r="D893" t="s">
        <v>57</v>
      </c>
      <c r="E893" t="s">
        <v>12</v>
      </c>
      <c r="F893" s="7">
        <v>1489.5</v>
      </c>
      <c r="G893" s="10">
        <v>0</v>
      </c>
      <c r="H893" s="7">
        <v>1489.5</v>
      </c>
      <c r="I893">
        <v>2</v>
      </c>
      <c r="J893" t="s">
        <v>13</v>
      </c>
      <c r="K893" s="13">
        <f>ROUND(tblTransactions[[#This Row],[gross_sales_inr]]*(1-tblTransactions[[#This Row],[discount_pct]]),2)</f>
        <v>1489.5</v>
      </c>
      <c r="L893" t="str">
        <f>IF(ABS(tblTransactions[[#This Row],[net_sales_inr]]-tblTransactions[[#This Row],[Recalc_Net_Sales]])&lt;0.02,"OK","CHECK")</f>
        <v>OK</v>
      </c>
      <c r="M893" s="14">
        <f>DATE(YEAR(tblTransactions[[#This Row],[date]]),MONTH(tblTransactions[[#This Row],[date]]),1)</f>
        <v>45717</v>
      </c>
      <c r="N893" t="str">
        <f>IF(WEEKDAY(tblTransactions[[#This Row],[date]],2)&gt;5,"Weekend","Weekday")</f>
        <v>Weekend</v>
      </c>
      <c r="O893" s="13" t="str">
        <f>IF(tblTransactions[[#This Row],[discount_pct]]=0,"0%",IF(tblTransactions[[#This Row],[discount_pct]]&lt;=10%,"1–
10%",IF(tblTransactions[[#This Row],[discount_pct]]&lt;=20%,"11–20%","&gt;20%")))</f>
        <v>0%</v>
      </c>
      <c r="P893" s="13" t="str">
        <f>_xlfn.XLOOKUP(tblTransactions[[#This Row],[tenant_id]],tblTenants[tenant_id],tblTenants[zone],"NOT FOUND")</f>
        <v>Food Court</v>
      </c>
      <c r="Q893" s="13" t="str">
        <f>_xlfn.XLOOKUP(tblTransactions[[#This Row],[tenant_id]],tblTenants[tenant_id],tblTenants[category],"NOT FOUND")</f>
        <v>Casual Dining</v>
      </c>
    </row>
    <row r="894" spans="1:17">
      <c r="A894" t="s">
        <v>938</v>
      </c>
      <c r="B894" s="2">
        <v>45764</v>
      </c>
      <c r="C894">
        <v>19</v>
      </c>
      <c r="D894" t="s">
        <v>18</v>
      </c>
      <c r="E894" t="s">
        <v>32</v>
      </c>
      <c r="F894" s="7">
        <v>1049.18</v>
      </c>
      <c r="G894" s="10">
        <v>0.15</v>
      </c>
      <c r="H894" s="7">
        <v>891.8</v>
      </c>
      <c r="I894">
        <v>3</v>
      </c>
      <c r="J894" t="s">
        <v>16</v>
      </c>
      <c r="K894" s="13">
        <f>ROUND(tblTransactions[[#This Row],[gross_sales_inr]]*(1-tblTransactions[[#This Row],[discount_pct]]),2)</f>
        <v>891.8</v>
      </c>
      <c r="L894" t="str">
        <f>IF(ABS(tblTransactions[[#This Row],[net_sales_inr]]-tblTransactions[[#This Row],[Recalc_Net_Sales]])&lt;0.02,"OK","CHECK")</f>
        <v>OK</v>
      </c>
      <c r="M894" s="14">
        <f>DATE(YEAR(tblTransactions[[#This Row],[date]]),MONTH(tblTransactions[[#This Row],[date]]),1)</f>
        <v>45748</v>
      </c>
      <c r="N894" t="str">
        <f>IF(WEEKDAY(tblTransactions[[#This Row],[date]],2)&gt;5,"Weekend","Weekday")</f>
        <v>Weekday</v>
      </c>
      <c r="O89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94" s="13" t="str">
        <f>_xlfn.XLOOKUP(tblTransactions[[#This Row],[tenant_id]],tblTenants[tenant_id],tblTenants[zone],"NOT FOUND")</f>
        <v>Beauty &amp; Wellness</v>
      </c>
      <c r="Q894" s="13" t="str">
        <f>_xlfn.XLOOKUP(tblTransactions[[#This Row],[tenant_id]],tblTenants[tenant_id],tblTenants[category],"NOT FOUND")</f>
        <v>Beauty</v>
      </c>
    </row>
    <row r="895" spans="1:17">
      <c r="A895" t="s">
        <v>939</v>
      </c>
      <c r="B895" s="2">
        <v>45762</v>
      </c>
      <c r="C895">
        <v>20</v>
      </c>
      <c r="D895" t="s">
        <v>29</v>
      </c>
      <c r="E895" t="s">
        <v>21</v>
      </c>
      <c r="F895" s="7">
        <v>558.30999999999995</v>
      </c>
      <c r="G895" s="10">
        <v>0</v>
      </c>
      <c r="H895" s="7">
        <v>558.30999999999995</v>
      </c>
      <c r="I895">
        <v>4</v>
      </c>
      <c r="J895" t="s">
        <v>13</v>
      </c>
      <c r="K895" s="13">
        <f>ROUND(tblTransactions[[#This Row],[gross_sales_inr]]*(1-tblTransactions[[#This Row],[discount_pct]]),2)</f>
        <v>558.30999999999995</v>
      </c>
      <c r="L895" t="str">
        <f>IF(ABS(tblTransactions[[#This Row],[net_sales_inr]]-tblTransactions[[#This Row],[Recalc_Net_Sales]])&lt;0.02,"OK","CHECK")</f>
        <v>OK</v>
      </c>
      <c r="M895" s="14">
        <f>DATE(YEAR(tblTransactions[[#This Row],[date]]),MONTH(tblTransactions[[#This Row],[date]]),1)</f>
        <v>45748</v>
      </c>
      <c r="N895" t="str">
        <f>IF(WEEKDAY(tblTransactions[[#This Row],[date]],2)&gt;5,"Weekend","Weekday")</f>
        <v>Weekday</v>
      </c>
      <c r="O895" s="13" t="str">
        <f>IF(tblTransactions[[#This Row],[discount_pct]]=0,"0%",IF(tblTransactions[[#This Row],[discount_pct]]&lt;=10%,"1–
10%",IF(tblTransactions[[#This Row],[discount_pct]]&lt;=20%,"11–20%","&gt;20%")))</f>
        <v>0%</v>
      </c>
      <c r="P895" s="13" t="str">
        <f>_xlfn.XLOOKUP(tblTransactions[[#This Row],[tenant_id]],tblTenants[tenant_id],tblTenants[zone],"NOT FOUND")</f>
        <v>Entertainment</v>
      </c>
      <c r="Q895" s="13" t="str">
        <f>_xlfn.XLOOKUP(tblTransactions[[#This Row],[tenant_id]],tblTenants[tenant_id],tblTenants[category],"NOT FOUND")</f>
        <v>Cinema</v>
      </c>
    </row>
    <row r="896" spans="1:17">
      <c r="A896" t="s">
        <v>940</v>
      </c>
      <c r="B896" s="2">
        <v>45666</v>
      </c>
      <c r="C896">
        <v>13</v>
      </c>
      <c r="D896" t="s">
        <v>72</v>
      </c>
      <c r="E896" t="s">
        <v>32</v>
      </c>
      <c r="F896" s="7">
        <v>2149.23</v>
      </c>
      <c r="G896" s="10">
        <v>0</v>
      </c>
      <c r="H896" s="7">
        <v>2149.23</v>
      </c>
      <c r="I896">
        <v>2</v>
      </c>
      <c r="J896" t="s">
        <v>13</v>
      </c>
      <c r="K896" s="13">
        <f>ROUND(tblTransactions[[#This Row],[gross_sales_inr]]*(1-tblTransactions[[#This Row],[discount_pct]]),2)</f>
        <v>2149.23</v>
      </c>
      <c r="L896" t="str">
        <f>IF(ABS(tblTransactions[[#This Row],[net_sales_inr]]-tblTransactions[[#This Row],[Recalc_Net_Sales]])&lt;0.02,"OK","CHECK")</f>
        <v>OK</v>
      </c>
      <c r="M896" s="14">
        <f>DATE(YEAR(tblTransactions[[#This Row],[date]]),MONTH(tblTransactions[[#This Row],[date]]),1)</f>
        <v>45658</v>
      </c>
      <c r="N896" t="str">
        <f>IF(WEEKDAY(tblTransactions[[#This Row],[date]],2)&gt;5,"Weekend","Weekday")</f>
        <v>Weekday</v>
      </c>
      <c r="O896" s="13" t="str">
        <f>IF(tblTransactions[[#This Row],[discount_pct]]=0,"0%",IF(tblTransactions[[#This Row],[discount_pct]]&lt;=10%,"1–
10%",IF(tblTransactions[[#This Row],[discount_pct]]&lt;=20%,"11–20%","&gt;20%")))</f>
        <v>0%</v>
      </c>
      <c r="P896" s="13" t="str">
        <f>_xlfn.XLOOKUP(tblTransactions[[#This Row],[tenant_id]],tblTenants[tenant_id],tblTenants[zone],"NOT FOUND")</f>
        <v>Entertainment</v>
      </c>
      <c r="Q896" s="13" t="str">
        <f>_xlfn.XLOOKUP(tblTransactions[[#This Row],[tenant_id]],tblTenants[tenant_id],tblTenants[category],"NOT FOUND")</f>
        <v>Arcade</v>
      </c>
    </row>
    <row r="897" spans="1:17">
      <c r="A897" t="s">
        <v>941</v>
      </c>
      <c r="B897" s="2">
        <v>45720</v>
      </c>
      <c r="C897">
        <v>13</v>
      </c>
      <c r="D897" t="s">
        <v>63</v>
      </c>
      <c r="E897" t="s">
        <v>12</v>
      </c>
      <c r="F897" s="7">
        <v>832.77</v>
      </c>
      <c r="G897" s="10">
        <v>0.1</v>
      </c>
      <c r="H897" s="7">
        <v>749.49</v>
      </c>
      <c r="I897">
        <v>3</v>
      </c>
      <c r="J897" t="s">
        <v>16</v>
      </c>
      <c r="K897" s="13">
        <f>ROUND(tblTransactions[[#This Row],[gross_sales_inr]]*(1-tblTransactions[[#This Row],[discount_pct]]),2)</f>
        <v>749.49</v>
      </c>
      <c r="L897" t="str">
        <f>IF(ABS(tblTransactions[[#This Row],[net_sales_inr]]-tblTransactions[[#This Row],[Recalc_Net_Sales]])&lt;0.02,"OK","CHECK")</f>
        <v>OK</v>
      </c>
      <c r="M897" s="14">
        <f>DATE(YEAR(tblTransactions[[#This Row],[date]]),MONTH(tblTransactions[[#This Row],[date]]),1)</f>
        <v>45717</v>
      </c>
      <c r="N897" t="str">
        <f>IF(WEEKDAY(tblTransactions[[#This Row],[date]],2)&gt;5,"Weekend","Weekday")</f>
        <v>Weekday</v>
      </c>
      <c r="O89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897" s="13" t="str">
        <f>_xlfn.XLOOKUP(tblTransactions[[#This Row],[tenant_id]],tblTenants[tenant_id],tblTenants[zone],"NOT FOUND")</f>
        <v>Entertainment</v>
      </c>
      <c r="Q897" s="13" t="str">
        <f>_xlfn.XLOOKUP(tblTransactions[[#This Row],[tenant_id]],tblTenants[tenant_id],tblTenants[category],"NOT FOUND")</f>
        <v>Family Entertainment</v>
      </c>
    </row>
    <row r="898" spans="1:17">
      <c r="A898" t="s">
        <v>942</v>
      </c>
      <c r="B898" s="2">
        <v>45705</v>
      </c>
      <c r="C898">
        <v>13</v>
      </c>
      <c r="D898" t="s">
        <v>53</v>
      </c>
      <c r="E898" t="s">
        <v>12</v>
      </c>
      <c r="F898" s="7">
        <v>1738.78</v>
      </c>
      <c r="G898" s="10">
        <v>0</v>
      </c>
      <c r="H898" s="7">
        <v>1738.78</v>
      </c>
      <c r="I898">
        <v>5</v>
      </c>
      <c r="J898" t="s">
        <v>13</v>
      </c>
      <c r="K898" s="13">
        <f>ROUND(tblTransactions[[#This Row],[gross_sales_inr]]*(1-tblTransactions[[#This Row],[discount_pct]]),2)</f>
        <v>1738.78</v>
      </c>
      <c r="L898" t="str">
        <f>IF(ABS(tblTransactions[[#This Row],[net_sales_inr]]-tblTransactions[[#This Row],[Recalc_Net_Sales]])&lt;0.02,"OK","CHECK")</f>
        <v>OK</v>
      </c>
      <c r="M898" s="14">
        <f>DATE(YEAR(tblTransactions[[#This Row],[date]]),MONTH(tblTransactions[[#This Row],[date]]),1)</f>
        <v>45689</v>
      </c>
      <c r="N898" t="str">
        <f>IF(WEEKDAY(tblTransactions[[#This Row],[date]],2)&gt;5,"Weekend","Weekday")</f>
        <v>Weekday</v>
      </c>
      <c r="O898" s="13" t="str">
        <f>IF(tblTransactions[[#This Row],[discount_pct]]=0,"0%",IF(tblTransactions[[#This Row],[discount_pct]]&lt;=10%,"1–
10%",IF(tblTransactions[[#This Row],[discount_pct]]&lt;=20%,"11–20%","&gt;20%")))</f>
        <v>0%</v>
      </c>
      <c r="P898" s="13" t="str">
        <f>_xlfn.XLOOKUP(tblTransactions[[#This Row],[tenant_id]],tblTenants[tenant_id],tblTenants[zone],"NOT FOUND")</f>
        <v>Beauty &amp; Wellness</v>
      </c>
      <c r="Q898" s="13" t="str">
        <f>_xlfn.XLOOKUP(tblTransactions[[#This Row],[tenant_id]],tblTenants[tenant_id],tblTenants[category],"NOT FOUND")</f>
        <v>Beauty</v>
      </c>
    </row>
    <row r="899" spans="1:17">
      <c r="A899" t="s">
        <v>943</v>
      </c>
      <c r="B899" s="2">
        <v>45674</v>
      </c>
      <c r="C899">
        <v>15</v>
      </c>
      <c r="D899" t="s">
        <v>70</v>
      </c>
      <c r="E899" t="s">
        <v>12</v>
      </c>
      <c r="F899" s="7">
        <v>436.9</v>
      </c>
      <c r="G899" s="10">
        <v>0.2</v>
      </c>
      <c r="H899" s="7">
        <v>349.52</v>
      </c>
      <c r="I899">
        <v>3</v>
      </c>
      <c r="J899" t="s">
        <v>13</v>
      </c>
      <c r="K899" s="13">
        <f>ROUND(tblTransactions[[#This Row],[gross_sales_inr]]*(1-tblTransactions[[#This Row],[discount_pct]]),2)</f>
        <v>349.52</v>
      </c>
      <c r="L899" t="str">
        <f>IF(ABS(tblTransactions[[#This Row],[net_sales_inr]]-tblTransactions[[#This Row],[Recalc_Net_Sales]])&lt;0.02,"OK","CHECK")</f>
        <v>OK</v>
      </c>
      <c r="M899" s="14">
        <f>DATE(YEAR(tblTransactions[[#This Row],[date]]),MONTH(tblTransactions[[#This Row],[date]]),1)</f>
        <v>45658</v>
      </c>
      <c r="N899" t="str">
        <f>IF(WEEKDAY(tblTransactions[[#This Row],[date]],2)&gt;5,"Weekend","Weekday")</f>
        <v>Weekday</v>
      </c>
      <c r="O89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899" s="13" t="str">
        <f>_xlfn.XLOOKUP(tblTransactions[[#This Row],[tenant_id]],tblTenants[tenant_id],tblTenants[zone],"NOT FOUND")</f>
        <v>Food Court</v>
      </c>
      <c r="Q899" s="13" t="str">
        <f>_xlfn.XLOOKUP(tblTransactions[[#This Row],[tenant_id]],tblTenants[tenant_id],tblTenants[category],"NOT FOUND")</f>
        <v>Quick Service</v>
      </c>
    </row>
    <row r="900" spans="1:17">
      <c r="A900" t="s">
        <v>944</v>
      </c>
      <c r="B900" s="2">
        <v>45694</v>
      </c>
      <c r="C900">
        <v>13</v>
      </c>
      <c r="D900" t="s">
        <v>36</v>
      </c>
      <c r="E900" t="s">
        <v>51</v>
      </c>
      <c r="F900" s="7">
        <v>916.77</v>
      </c>
      <c r="G900" s="10">
        <v>0</v>
      </c>
      <c r="H900" s="7">
        <v>916.77</v>
      </c>
      <c r="I900">
        <v>3</v>
      </c>
      <c r="J900" t="s">
        <v>13</v>
      </c>
      <c r="K900" s="13">
        <f>ROUND(tblTransactions[[#This Row],[gross_sales_inr]]*(1-tblTransactions[[#This Row],[discount_pct]]),2)</f>
        <v>916.77</v>
      </c>
      <c r="L900" t="str">
        <f>IF(ABS(tblTransactions[[#This Row],[net_sales_inr]]-tblTransactions[[#This Row],[Recalc_Net_Sales]])&lt;0.02,"OK","CHECK")</f>
        <v>OK</v>
      </c>
      <c r="M900" s="14">
        <f>DATE(YEAR(tblTransactions[[#This Row],[date]]),MONTH(tblTransactions[[#This Row],[date]]),1)</f>
        <v>45689</v>
      </c>
      <c r="N900" t="str">
        <f>IF(WEEKDAY(tblTransactions[[#This Row],[date]],2)&gt;5,"Weekend","Weekday")</f>
        <v>Weekday</v>
      </c>
      <c r="O900" s="13" t="str">
        <f>IF(tblTransactions[[#This Row],[discount_pct]]=0,"0%",IF(tblTransactions[[#This Row],[discount_pct]]&lt;=10%,"1–
10%",IF(tblTransactions[[#This Row],[discount_pct]]&lt;=20%,"11–20%","&gt;20%")))</f>
        <v>0%</v>
      </c>
      <c r="P900" s="13" t="str">
        <f>_xlfn.XLOOKUP(tblTransactions[[#This Row],[tenant_id]],tblTenants[tenant_id],tblTenants[zone],"NOT FOUND")</f>
        <v>Home &amp; Living</v>
      </c>
      <c r="Q900" s="13" t="str">
        <f>_xlfn.XLOOKUP(tblTransactions[[#This Row],[tenant_id]],tblTenants[tenant_id],tblTenants[category],"NOT FOUND")</f>
        <v>Electronics</v>
      </c>
    </row>
    <row r="901" spans="1:17">
      <c r="A901" t="s">
        <v>945</v>
      </c>
      <c r="B901" s="2">
        <v>45726</v>
      </c>
      <c r="C901">
        <v>17</v>
      </c>
      <c r="D901" t="s">
        <v>15</v>
      </c>
      <c r="E901" t="s">
        <v>32</v>
      </c>
      <c r="F901" s="7">
        <v>360.17</v>
      </c>
      <c r="G901" s="10">
        <v>0.1</v>
      </c>
      <c r="H901" s="7">
        <v>324.14999999999998</v>
      </c>
      <c r="I901">
        <v>1</v>
      </c>
      <c r="J901" t="s">
        <v>13</v>
      </c>
      <c r="K901" s="13">
        <f>ROUND(tblTransactions[[#This Row],[gross_sales_inr]]*(1-tblTransactions[[#This Row],[discount_pct]]),2)</f>
        <v>324.14999999999998</v>
      </c>
      <c r="L901" t="str">
        <f>IF(ABS(tblTransactions[[#This Row],[net_sales_inr]]-tblTransactions[[#This Row],[Recalc_Net_Sales]])&lt;0.02,"OK","CHECK")</f>
        <v>OK</v>
      </c>
      <c r="M901" s="14">
        <f>DATE(YEAR(tblTransactions[[#This Row],[date]]),MONTH(tblTransactions[[#This Row],[date]]),1)</f>
        <v>45717</v>
      </c>
      <c r="N901" t="str">
        <f>IF(WEEKDAY(tblTransactions[[#This Row],[date]],2)&gt;5,"Weekend","Weekday")</f>
        <v>Weekday</v>
      </c>
      <c r="O90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01" s="13" t="str">
        <f>_xlfn.XLOOKUP(tblTransactions[[#This Row],[tenant_id]],tblTenants[tenant_id],tblTenants[zone],"NOT FOUND")</f>
        <v>Fashion Avenue</v>
      </c>
      <c r="Q901" s="13" t="str">
        <f>_xlfn.XLOOKUP(tblTransactions[[#This Row],[tenant_id]],tblTenants[tenant_id],tblTenants[category],"NOT FOUND")</f>
        <v>Accessories</v>
      </c>
    </row>
    <row r="902" spans="1:17">
      <c r="A902" t="s">
        <v>946</v>
      </c>
      <c r="B902" s="2">
        <v>45812</v>
      </c>
      <c r="C902">
        <v>21</v>
      </c>
      <c r="D902" t="s">
        <v>25</v>
      </c>
      <c r="E902" t="s">
        <v>12</v>
      </c>
      <c r="F902" s="7">
        <v>442.45</v>
      </c>
      <c r="G902" s="10">
        <v>0</v>
      </c>
      <c r="H902" s="7">
        <v>442.45</v>
      </c>
      <c r="I902">
        <v>1</v>
      </c>
      <c r="J902" t="s">
        <v>16</v>
      </c>
      <c r="K902" s="13">
        <f>ROUND(tblTransactions[[#This Row],[gross_sales_inr]]*(1-tblTransactions[[#This Row],[discount_pct]]),2)</f>
        <v>442.45</v>
      </c>
      <c r="L902" t="str">
        <f>IF(ABS(tblTransactions[[#This Row],[net_sales_inr]]-tblTransactions[[#This Row],[Recalc_Net_Sales]])&lt;0.02,"OK","CHECK")</f>
        <v>OK</v>
      </c>
      <c r="M902" s="14">
        <f>DATE(YEAR(tblTransactions[[#This Row],[date]]),MONTH(tblTransactions[[#This Row],[date]]),1)</f>
        <v>45809</v>
      </c>
      <c r="N902" t="str">
        <f>IF(WEEKDAY(tblTransactions[[#This Row],[date]],2)&gt;5,"Weekend","Weekday")</f>
        <v>Weekday</v>
      </c>
      <c r="O902" s="13" t="str">
        <f>IF(tblTransactions[[#This Row],[discount_pct]]=0,"0%",IF(tblTransactions[[#This Row],[discount_pct]]&lt;=10%,"1–
10%",IF(tblTransactions[[#This Row],[discount_pct]]&lt;=20%,"11–20%","&gt;20%")))</f>
        <v>0%</v>
      </c>
      <c r="P902" s="13" t="str">
        <f>_xlfn.XLOOKUP(tblTransactions[[#This Row],[tenant_id]],tblTenants[tenant_id],tblTenants[zone],"NOT FOUND")</f>
        <v>Beauty &amp; Wellness</v>
      </c>
      <c r="Q902" s="13" t="str">
        <f>_xlfn.XLOOKUP(tblTransactions[[#This Row],[tenant_id]],tblTenants[tenant_id],tblTenants[category],"NOT FOUND")</f>
        <v>Beauty</v>
      </c>
    </row>
    <row r="903" spans="1:17">
      <c r="A903" t="s">
        <v>947</v>
      </c>
      <c r="B903" s="2">
        <v>45815</v>
      </c>
      <c r="C903">
        <v>20</v>
      </c>
      <c r="D903" t="s">
        <v>25</v>
      </c>
      <c r="E903" t="s">
        <v>12</v>
      </c>
      <c r="F903" s="7">
        <v>401.72</v>
      </c>
      <c r="G903" s="10">
        <v>0.05</v>
      </c>
      <c r="H903" s="7">
        <v>381.63</v>
      </c>
      <c r="I903">
        <v>3</v>
      </c>
      <c r="J903" t="s">
        <v>13</v>
      </c>
      <c r="K903" s="13">
        <f>ROUND(tblTransactions[[#This Row],[gross_sales_inr]]*(1-tblTransactions[[#This Row],[discount_pct]]),2)</f>
        <v>381.63</v>
      </c>
      <c r="L903" t="str">
        <f>IF(ABS(tblTransactions[[#This Row],[net_sales_inr]]-tblTransactions[[#This Row],[Recalc_Net_Sales]])&lt;0.02,"OK","CHECK")</f>
        <v>OK</v>
      </c>
      <c r="M903" s="14">
        <f>DATE(YEAR(tblTransactions[[#This Row],[date]]),MONTH(tblTransactions[[#This Row],[date]]),1)</f>
        <v>45809</v>
      </c>
      <c r="N903" t="str">
        <f>IF(WEEKDAY(tblTransactions[[#This Row],[date]],2)&gt;5,"Weekend","Weekday")</f>
        <v>Weekend</v>
      </c>
      <c r="O90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03" s="13" t="str">
        <f>_xlfn.XLOOKUP(tblTransactions[[#This Row],[tenant_id]],tblTenants[tenant_id],tblTenants[zone],"NOT FOUND")</f>
        <v>Beauty &amp; Wellness</v>
      </c>
      <c r="Q903" s="13" t="str">
        <f>_xlfn.XLOOKUP(tblTransactions[[#This Row],[tenant_id]],tblTenants[tenant_id],tblTenants[category],"NOT FOUND")</f>
        <v>Beauty</v>
      </c>
    </row>
    <row r="904" spans="1:17">
      <c r="A904" t="s">
        <v>948</v>
      </c>
      <c r="B904" s="2">
        <v>45782</v>
      </c>
      <c r="C904">
        <v>20</v>
      </c>
      <c r="D904" t="s">
        <v>59</v>
      </c>
      <c r="E904" t="s">
        <v>32</v>
      </c>
      <c r="F904" s="7">
        <v>1534.81</v>
      </c>
      <c r="G904" s="10">
        <v>0</v>
      </c>
      <c r="H904" s="7">
        <v>1534.81</v>
      </c>
      <c r="I904">
        <v>3</v>
      </c>
      <c r="J904" t="s">
        <v>16</v>
      </c>
      <c r="K904" s="13">
        <f>ROUND(tblTransactions[[#This Row],[gross_sales_inr]]*(1-tblTransactions[[#This Row],[discount_pct]]),2)</f>
        <v>1534.81</v>
      </c>
      <c r="L904" t="str">
        <f>IF(ABS(tblTransactions[[#This Row],[net_sales_inr]]-tblTransactions[[#This Row],[Recalc_Net_Sales]])&lt;0.02,"OK","CHECK")</f>
        <v>OK</v>
      </c>
      <c r="M904" s="14">
        <f>DATE(YEAR(tblTransactions[[#This Row],[date]]),MONTH(tblTransactions[[#This Row],[date]]),1)</f>
        <v>45778</v>
      </c>
      <c r="N904" t="str">
        <f>IF(WEEKDAY(tblTransactions[[#This Row],[date]],2)&gt;5,"Weekend","Weekday")</f>
        <v>Weekday</v>
      </c>
      <c r="O904" s="13" t="str">
        <f>IF(tblTransactions[[#This Row],[discount_pct]]=0,"0%",IF(tblTransactions[[#This Row],[discount_pct]]&lt;=10%,"1–
10%",IF(tblTransactions[[#This Row],[discount_pct]]&lt;=20%,"11–20%","&gt;20%")))</f>
        <v>0%</v>
      </c>
      <c r="P904" s="13" t="str">
        <f>_xlfn.XLOOKUP(tblTransactions[[#This Row],[tenant_id]],tblTenants[tenant_id],tblTenants[zone],"NOT FOUND")</f>
        <v>Fashion Avenue</v>
      </c>
      <c r="Q904" s="13" t="str">
        <f>_xlfn.XLOOKUP(tblTransactions[[#This Row],[tenant_id]],tblTenants[tenant_id],tblTenants[category],"NOT FOUND")</f>
        <v>Footwear</v>
      </c>
    </row>
    <row r="905" spans="1:17">
      <c r="A905" t="s">
        <v>949</v>
      </c>
      <c r="B905" s="2">
        <v>45681</v>
      </c>
      <c r="C905">
        <v>17</v>
      </c>
      <c r="D905" t="s">
        <v>18</v>
      </c>
      <c r="E905" t="s">
        <v>32</v>
      </c>
      <c r="F905" s="7">
        <v>315.27999999999997</v>
      </c>
      <c r="G905" s="10">
        <v>0.1</v>
      </c>
      <c r="H905" s="7">
        <v>283.75</v>
      </c>
      <c r="I905">
        <v>6</v>
      </c>
      <c r="J905" t="s">
        <v>13</v>
      </c>
      <c r="K905" s="13">
        <f>ROUND(tblTransactions[[#This Row],[gross_sales_inr]]*(1-tblTransactions[[#This Row],[discount_pct]]),2)</f>
        <v>283.75</v>
      </c>
      <c r="L905" t="str">
        <f>IF(ABS(tblTransactions[[#This Row],[net_sales_inr]]-tblTransactions[[#This Row],[Recalc_Net_Sales]])&lt;0.02,"OK","CHECK")</f>
        <v>OK</v>
      </c>
      <c r="M905" s="14">
        <f>DATE(YEAR(tblTransactions[[#This Row],[date]]),MONTH(tblTransactions[[#This Row],[date]]),1)</f>
        <v>45658</v>
      </c>
      <c r="N905" t="str">
        <f>IF(WEEKDAY(tblTransactions[[#This Row],[date]],2)&gt;5,"Weekend","Weekday")</f>
        <v>Weekday</v>
      </c>
      <c r="O90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05" s="13" t="str">
        <f>_xlfn.XLOOKUP(tblTransactions[[#This Row],[tenant_id]],tblTenants[tenant_id],tblTenants[zone],"NOT FOUND")</f>
        <v>Beauty &amp; Wellness</v>
      </c>
      <c r="Q905" s="13" t="str">
        <f>_xlfn.XLOOKUP(tblTransactions[[#This Row],[tenant_id]],tblTenants[tenant_id],tblTenants[category],"NOT FOUND")</f>
        <v>Beauty</v>
      </c>
    </row>
    <row r="906" spans="1:17">
      <c r="A906" t="s">
        <v>950</v>
      </c>
      <c r="B906" s="2">
        <v>45785</v>
      </c>
      <c r="C906">
        <v>15</v>
      </c>
      <c r="D906" t="s">
        <v>25</v>
      </c>
      <c r="E906" t="s">
        <v>51</v>
      </c>
      <c r="F906" s="7">
        <v>690.12</v>
      </c>
      <c r="G906" s="10">
        <v>0</v>
      </c>
      <c r="H906" s="7">
        <v>690.12</v>
      </c>
      <c r="I906">
        <v>1</v>
      </c>
      <c r="J906" t="s">
        <v>13</v>
      </c>
      <c r="K906" s="13">
        <f>ROUND(tblTransactions[[#This Row],[gross_sales_inr]]*(1-tblTransactions[[#This Row],[discount_pct]]),2)</f>
        <v>690.12</v>
      </c>
      <c r="L906" t="str">
        <f>IF(ABS(tblTransactions[[#This Row],[net_sales_inr]]-tblTransactions[[#This Row],[Recalc_Net_Sales]])&lt;0.02,"OK","CHECK")</f>
        <v>OK</v>
      </c>
      <c r="M906" s="14">
        <f>DATE(YEAR(tblTransactions[[#This Row],[date]]),MONTH(tblTransactions[[#This Row],[date]]),1)</f>
        <v>45778</v>
      </c>
      <c r="N906" t="str">
        <f>IF(WEEKDAY(tblTransactions[[#This Row],[date]],2)&gt;5,"Weekend","Weekday")</f>
        <v>Weekday</v>
      </c>
      <c r="O906" s="13" t="str">
        <f>IF(tblTransactions[[#This Row],[discount_pct]]=0,"0%",IF(tblTransactions[[#This Row],[discount_pct]]&lt;=10%,"1–
10%",IF(tblTransactions[[#This Row],[discount_pct]]&lt;=20%,"11–20%","&gt;20%")))</f>
        <v>0%</v>
      </c>
      <c r="P906" s="13" t="str">
        <f>_xlfn.XLOOKUP(tblTransactions[[#This Row],[tenant_id]],tblTenants[tenant_id],tblTenants[zone],"NOT FOUND")</f>
        <v>Beauty &amp; Wellness</v>
      </c>
      <c r="Q906" s="13" t="str">
        <f>_xlfn.XLOOKUP(tblTransactions[[#This Row],[tenant_id]],tblTenants[tenant_id],tblTenants[category],"NOT FOUND")</f>
        <v>Beauty</v>
      </c>
    </row>
    <row r="907" spans="1:17">
      <c r="A907" t="s">
        <v>951</v>
      </c>
      <c r="B907" s="2">
        <v>45703</v>
      </c>
      <c r="C907">
        <v>11</v>
      </c>
      <c r="D907" t="s">
        <v>34</v>
      </c>
      <c r="E907" t="s">
        <v>51</v>
      </c>
      <c r="F907" s="7">
        <v>871.19</v>
      </c>
      <c r="G907" s="10">
        <v>0</v>
      </c>
      <c r="H907" s="7">
        <v>871.19</v>
      </c>
      <c r="I907">
        <v>3</v>
      </c>
      <c r="J907" t="s">
        <v>16</v>
      </c>
      <c r="K907" s="13">
        <f>ROUND(tblTransactions[[#This Row],[gross_sales_inr]]*(1-tblTransactions[[#This Row],[discount_pct]]),2)</f>
        <v>871.19</v>
      </c>
      <c r="L907" t="str">
        <f>IF(ABS(tblTransactions[[#This Row],[net_sales_inr]]-tblTransactions[[#This Row],[Recalc_Net_Sales]])&lt;0.02,"OK","CHECK")</f>
        <v>OK</v>
      </c>
      <c r="M907" s="14">
        <f>DATE(YEAR(tblTransactions[[#This Row],[date]]),MONTH(tblTransactions[[#This Row],[date]]),1)</f>
        <v>45689</v>
      </c>
      <c r="N907" t="str">
        <f>IF(WEEKDAY(tblTransactions[[#This Row],[date]],2)&gt;5,"Weekend","Weekday")</f>
        <v>Weekend</v>
      </c>
      <c r="O907" s="13" t="str">
        <f>IF(tblTransactions[[#This Row],[discount_pct]]=0,"0%",IF(tblTransactions[[#This Row],[discount_pct]]&lt;=10%,"1–
10%",IF(tblTransactions[[#This Row],[discount_pct]]&lt;=20%,"11–20%","&gt;20%")))</f>
        <v>0%</v>
      </c>
      <c r="P907" s="13" t="str">
        <f>_xlfn.XLOOKUP(tblTransactions[[#This Row],[tenant_id]],tblTenants[tenant_id],tblTenants[zone],"NOT FOUND")</f>
        <v>Home &amp; Living</v>
      </c>
      <c r="Q907" s="13" t="str">
        <f>_xlfn.XLOOKUP(tblTransactions[[#This Row],[tenant_id]],tblTenants[tenant_id],tblTenants[category],"NOT FOUND")</f>
        <v>Electronics</v>
      </c>
    </row>
    <row r="908" spans="1:17">
      <c r="A908" t="s">
        <v>952</v>
      </c>
      <c r="B908" s="2">
        <v>45732</v>
      </c>
      <c r="C908">
        <v>13</v>
      </c>
      <c r="D908" t="s">
        <v>15</v>
      </c>
      <c r="E908" t="s">
        <v>32</v>
      </c>
      <c r="F908" s="7">
        <v>262.10000000000002</v>
      </c>
      <c r="G908" s="10">
        <v>0</v>
      </c>
      <c r="H908" s="7">
        <v>262.10000000000002</v>
      </c>
      <c r="I908">
        <v>3</v>
      </c>
      <c r="J908" t="s">
        <v>16</v>
      </c>
      <c r="K908" s="13">
        <f>ROUND(tblTransactions[[#This Row],[gross_sales_inr]]*(1-tblTransactions[[#This Row],[discount_pct]]),2)</f>
        <v>262.10000000000002</v>
      </c>
      <c r="L908" t="str">
        <f>IF(ABS(tblTransactions[[#This Row],[net_sales_inr]]-tblTransactions[[#This Row],[Recalc_Net_Sales]])&lt;0.02,"OK","CHECK")</f>
        <v>OK</v>
      </c>
      <c r="M908" s="14">
        <f>DATE(YEAR(tblTransactions[[#This Row],[date]]),MONTH(tblTransactions[[#This Row],[date]]),1)</f>
        <v>45717</v>
      </c>
      <c r="N908" t="str">
        <f>IF(WEEKDAY(tblTransactions[[#This Row],[date]],2)&gt;5,"Weekend","Weekday")</f>
        <v>Weekend</v>
      </c>
      <c r="O908" s="13" t="str">
        <f>IF(tblTransactions[[#This Row],[discount_pct]]=0,"0%",IF(tblTransactions[[#This Row],[discount_pct]]&lt;=10%,"1–
10%",IF(tblTransactions[[#This Row],[discount_pct]]&lt;=20%,"11–20%","&gt;20%")))</f>
        <v>0%</v>
      </c>
      <c r="P908" s="13" t="str">
        <f>_xlfn.XLOOKUP(tblTransactions[[#This Row],[tenant_id]],tblTenants[tenant_id],tblTenants[zone],"NOT FOUND")</f>
        <v>Fashion Avenue</v>
      </c>
      <c r="Q908" s="13" t="str">
        <f>_xlfn.XLOOKUP(tblTransactions[[#This Row],[tenant_id]],tblTenants[tenant_id],tblTenants[category],"NOT FOUND")</f>
        <v>Accessories</v>
      </c>
    </row>
    <row r="909" spans="1:17">
      <c r="A909" t="s">
        <v>953</v>
      </c>
      <c r="B909" s="2">
        <v>45704</v>
      </c>
      <c r="C909">
        <v>21</v>
      </c>
      <c r="D909" t="s">
        <v>72</v>
      </c>
      <c r="E909" t="s">
        <v>32</v>
      </c>
      <c r="F909" s="7">
        <v>1050.6500000000001</v>
      </c>
      <c r="G909" s="10">
        <v>0</v>
      </c>
      <c r="H909" s="7">
        <v>1050.6500000000001</v>
      </c>
      <c r="I909">
        <v>1</v>
      </c>
      <c r="J909" t="s">
        <v>16</v>
      </c>
      <c r="K909" s="13">
        <f>ROUND(tblTransactions[[#This Row],[gross_sales_inr]]*(1-tblTransactions[[#This Row],[discount_pct]]),2)</f>
        <v>1050.6500000000001</v>
      </c>
      <c r="L909" t="str">
        <f>IF(ABS(tblTransactions[[#This Row],[net_sales_inr]]-tblTransactions[[#This Row],[Recalc_Net_Sales]])&lt;0.02,"OK","CHECK")</f>
        <v>OK</v>
      </c>
      <c r="M909" s="14">
        <f>DATE(YEAR(tblTransactions[[#This Row],[date]]),MONTH(tblTransactions[[#This Row],[date]]),1)</f>
        <v>45689</v>
      </c>
      <c r="N909" t="str">
        <f>IF(WEEKDAY(tblTransactions[[#This Row],[date]],2)&gt;5,"Weekend","Weekday")</f>
        <v>Weekend</v>
      </c>
      <c r="O909" s="13" t="str">
        <f>IF(tblTransactions[[#This Row],[discount_pct]]=0,"0%",IF(tblTransactions[[#This Row],[discount_pct]]&lt;=10%,"1–
10%",IF(tblTransactions[[#This Row],[discount_pct]]&lt;=20%,"11–20%","&gt;20%")))</f>
        <v>0%</v>
      </c>
      <c r="P909" s="13" t="str">
        <f>_xlfn.XLOOKUP(tblTransactions[[#This Row],[tenant_id]],tblTenants[tenant_id],tblTenants[zone],"NOT FOUND")</f>
        <v>Entertainment</v>
      </c>
      <c r="Q909" s="13" t="str">
        <f>_xlfn.XLOOKUP(tblTransactions[[#This Row],[tenant_id]],tblTenants[tenant_id],tblTenants[category],"NOT FOUND")</f>
        <v>Arcade</v>
      </c>
    </row>
    <row r="910" spans="1:17">
      <c r="A910" t="s">
        <v>954</v>
      </c>
      <c r="B910" s="2">
        <v>45679</v>
      </c>
      <c r="C910">
        <v>10</v>
      </c>
      <c r="D910" t="s">
        <v>20</v>
      </c>
      <c r="E910" t="s">
        <v>32</v>
      </c>
      <c r="F910" s="7">
        <v>1096.6400000000001</v>
      </c>
      <c r="G910" s="10">
        <v>0</v>
      </c>
      <c r="H910" s="7">
        <v>1096.6400000000001</v>
      </c>
      <c r="I910">
        <v>4</v>
      </c>
      <c r="J910" t="s">
        <v>13</v>
      </c>
      <c r="K910" s="13">
        <f>ROUND(tblTransactions[[#This Row],[gross_sales_inr]]*(1-tblTransactions[[#This Row],[discount_pct]]),2)</f>
        <v>1096.6400000000001</v>
      </c>
      <c r="L910" t="str">
        <f>IF(ABS(tblTransactions[[#This Row],[net_sales_inr]]-tblTransactions[[#This Row],[Recalc_Net_Sales]])&lt;0.02,"OK","CHECK")</f>
        <v>OK</v>
      </c>
      <c r="M910" s="14">
        <f>DATE(YEAR(tblTransactions[[#This Row],[date]]),MONTH(tblTransactions[[#This Row],[date]]),1)</f>
        <v>45658</v>
      </c>
      <c r="N910" t="str">
        <f>IF(WEEKDAY(tblTransactions[[#This Row],[date]],2)&gt;5,"Weekend","Weekday")</f>
        <v>Weekday</v>
      </c>
      <c r="O910" s="13" t="str">
        <f>IF(tblTransactions[[#This Row],[discount_pct]]=0,"0%",IF(tblTransactions[[#This Row],[discount_pct]]&lt;=10%,"1–
10%",IF(tblTransactions[[#This Row],[discount_pct]]&lt;=20%,"11–20%","&gt;20%")))</f>
        <v>0%</v>
      </c>
      <c r="P910" s="13" t="str">
        <f>_xlfn.XLOOKUP(tblTransactions[[#This Row],[tenant_id]],tblTenants[tenant_id],tblTenants[zone],"NOT FOUND")</f>
        <v>Fashion Avenue</v>
      </c>
      <c r="Q910" s="13" t="str">
        <f>_xlfn.XLOOKUP(tblTransactions[[#This Row],[tenant_id]],tblTenants[tenant_id],tblTenants[category],"NOT FOUND")</f>
        <v>Accessories</v>
      </c>
    </row>
    <row r="911" spans="1:17">
      <c r="A911" t="s">
        <v>955</v>
      </c>
      <c r="B911" s="2">
        <v>45784</v>
      </c>
      <c r="C911">
        <v>16</v>
      </c>
      <c r="D911" t="s">
        <v>72</v>
      </c>
      <c r="E911" t="s">
        <v>12</v>
      </c>
      <c r="F911" s="7">
        <v>865.82</v>
      </c>
      <c r="G911" s="10">
        <v>0.15</v>
      </c>
      <c r="H911" s="7">
        <v>735.95</v>
      </c>
      <c r="I911">
        <v>1</v>
      </c>
      <c r="J911" t="s">
        <v>13</v>
      </c>
      <c r="K911" s="13">
        <f>ROUND(tblTransactions[[#This Row],[gross_sales_inr]]*(1-tblTransactions[[#This Row],[discount_pct]]),2)</f>
        <v>735.95</v>
      </c>
      <c r="L911" t="str">
        <f>IF(ABS(tblTransactions[[#This Row],[net_sales_inr]]-tblTransactions[[#This Row],[Recalc_Net_Sales]])&lt;0.02,"OK","CHECK")</f>
        <v>OK</v>
      </c>
      <c r="M911" s="14">
        <f>DATE(YEAR(tblTransactions[[#This Row],[date]]),MONTH(tblTransactions[[#This Row],[date]]),1)</f>
        <v>45778</v>
      </c>
      <c r="N911" t="str">
        <f>IF(WEEKDAY(tblTransactions[[#This Row],[date]],2)&gt;5,"Weekend","Weekday")</f>
        <v>Weekday</v>
      </c>
      <c r="O91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11" s="13" t="str">
        <f>_xlfn.XLOOKUP(tblTransactions[[#This Row],[tenant_id]],tblTenants[tenant_id],tblTenants[zone],"NOT FOUND")</f>
        <v>Entertainment</v>
      </c>
      <c r="Q911" s="13" t="str">
        <f>_xlfn.XLOOKUP(tblTransactions[[#This Row],[tenant_id]],tblTenants[tenant_id],tblTenants[category],"NOT FOUND")</f>
        <v>Arcade</v>
      </c>
    </row>
    <row r="912" spans="1:17">
      <c r="A912" t="s">
        <v>956</v>
      </c>
      <c r="B912" s="2">
        <v>45666</v>
      </c>
      <c r="C912">
        <v>19</v>
      </c>
      <c r="D912" t="s">
        <v>63</v>
      </c>
      <c r="E912" t="s">
        <v>32</v>
      </c>
      <c r="F912" s="7">
        <v>1850.94</v>
      </c>
      <c r="G912" s="10">
        <v>0</v>
      </c>
      <c r="H912" s="7">
        <v>1850.94</v>
      </c>
      <c r="I912">
        <v>3</v>
      </c>
      <c r="J912" t="s">
        <v>13</v>
      </c>
      <c r="K912" s="13">
        <f>ROUND(tblTransactions[[#This Row],[gross_sales_inr]]*(1-tblTransactions[[#This Row],[discount_pct]]),2)</f>
        <v>1850.94</v>
      </c>
      <c r="L912" t="str">
        <f>IF(ABS(tblTransactions[[#This Row],[net_sales_inr]]-tblTransactions[[#This Row],[Recalc_Net_Sales]])&lt;0.02,"OK","CHECK")</f>
        <v>OK</v>
      </c>
      <c r="M912" s="14">
        <f>DATE(YEAR(tblTransactions[[#This Row],[date]]),MONTH(tblTransactions[[#This Row],[date]]),1)</f>
        <v>45658</v>
      </c>
      <c r="N912" t="str">
        <f>IF(WEEKDAY(tblTransactions[[#This Row],[date]],2)&gt;5,"Weekend","Weekday")</f>
        <v>Weekday</v>
      </c>
      <c r="O912" s="13" t="str">
        <f>IF(tblTransactions[[#This Row],[discount_pct]]=0,"0%",IF(tblTransactions[[#This Row],[discount_pct]]&lt;=10%,"1–
10%",IF(tblTransactions[[#This Row],[discount_pct]]&lt;=20%,"11–20%","&gt;20%")))</f>
        <v>0%</v>
      </c>
      <c r="P912" s="13" t="str">
        <f>_xlfn.XLOOKUP(tblTransactions[[#This Row],[tenant_id]],tblTenants[tenant_id],tblTenants[zone],"NOT FOUND")</f>
        <v>Entertainment</v>
      </c>
      <c r="Q912" s="13" t="str">
        <f>_xlfn.XLOOKUP(tblTransactions[[#This Row],[tenant_id]],tblTenants[tenant_id],tblTenants[category],"NOT FOUND")</f>
        <v>Family Entertainment</v>
      </c>
    </row>
    <row r="913" spans="1:17">
      <c r="A913" t="s">
        <v>957</v>
      </c>
      <c r="B913" s="2">
        <v>45680</v>
      </c>
      <c r="C913">
        <v>10</v>
      </c>
      <c r="D913" t="s">
        <v>27</v>
      </c>
      <c r="E913" t="s">
        <v>32</v>
      </c>
      <c r="F913" s="7">
        <v>628.27</v>
      </c>
      <c r="G913" s="10">
        <v>0.1</v>
      </c>
      <c r="H913" s="7">
        <v>565.44000000000005</v>
      </c>
      <c r="I913">
        <v>1</v>
      </c>
      <c r="J913" t="s">
        <v>16</v>
      </c>
      <c r="K913" s="13">
        <f>ROUND(tblTransactions[[#This Row],[gross_sales_inr]]*(1-tblTransactions[[#This Row],[discount_pct]]),2)</f>
        <v>565.44000000000005</v>
      </c>
      <c r="L913" t="str">
        <f>IF(ABS(tblTransactions[[#This Row],[net_sales_inr]]-tblTransactions[[#This Row],[Recalc_Net_Sales]])&lt;0.02,"OK","CHECK")</f>
        <v>OK</v>
      </c>
      <c r="M913" s="14">
        <f>DATE(YEAR(tblTransactions[[#This Row],[date]]),MONTH(tblTransactions[[#This Row],[date]]),1)</f>
        <v>45658</v>
      </c>
      <c r="N913" t="str">
        <f>IF(WEEKDAY(tblTransactions[[#This Row],[date]],2)&gt;5,"Weekend","Weekday")</f>
        <v>Weekday</v>
      </c>
      <c r="O91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13" s="13" t="str">
        <f>_xlfn.XLOOKUP(tblTransactions[[#This Row],[tenant_id]],tblTenants[tenant_id],tblTenants[zone],"NOT FOUND")</f>
        <v>Beauty &amp; Wellness</v>
      </c>
      <c r="Q913" s="13" t="str">
        <f>_xlfn.XLOOKUP(tblTransactions[[#This Row],[tenant_id]],tblTenants[tenant_id],tblTenants[category],"NOT FOUND")</f>
        <v>Wellness</v>
      </c>
    </row>
    <row r="914" spans="1:17">
      <c r="A914" t="s">
        <v>958</v>
      </c>
      <c r="B914" s="2">
        <v>45837</v>
      </c>
      <c r="C914">
        <v>22</v>
      </c>
      <c r="D914" t="s">
        <v>31</v>
      </c>
      <c r="E914" t="s">
        <v>32</v>
      </c>
      <c r="F914" s="7">
        <v>326.41000000000003</v>
      </c>
      <c r="G914" s="10">
        <v>0.05</v>
      </c>
      <c r="H914" s="7">
        <v>310.08999999999997</v>
      </c>
      <c r="I914">
        <v>4</v>
      </c>
      <c r="J914" t="s">
        <v>13</v>
      </c>
      <c r="K914" s="13">
        <f>ROUND(tblTransactions[[#This Row],[gross_sales_inr]]*(1-tblTransactions[[#This Row],[discount_pct]]),2)</f>
        <v>310.08999999999997</v>
      </c>
      <c r="L914" t="str">
        <f>IF(ABS(tblTransactions[[#This Row],[net_sales_inr]]-tblTransactions[[#This Row],[Recalc_Net_Sales]])&lt;0.02,"OK","CHECK")</f>
        <v>OK</v>
      </c>
      <c r="M914" s="14">
        <f>DATE(YEAR(tblTransactions[[#This Row],[date]]),MONTH(tblTransactions[[#This Row],[date]]),1)</f>
        <v>45809</v>
      </c>
      <c r="N914" t="str">
        <f>IF(WEEKDAY(tblTransactions[[#This Row],[date]],2)&gt;5,"Weekend","Weekday")</f>
        <v>Weekend</v>
      </c>
      <c r="O91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14" s="13" t="str">
        <f>_xlfn.XLOOKUP(tblTransactions[[#This Row],[tenant_id]],tblTenants[tenant_id],tblTenants[zone],"NOT FOUND")</f>
        <v>Entertainment</v>
      </c>
      <c r="Q914" s="13" t="str">
        <f>_xlfn.XLOOKUP(tblTransactions[[#This Row],[tenant_id]],tblTenants[tenant_id],tblTenants[category],"NOT FOUND")</f>
        <v>Arcade</v>
      </c>
    </row>
    <row r="915" spans="1:17">
      <c r="A915" t="s">
        <v>959</v>
      </c>
      <c r="B915" s="2">
        <v>45680</v>
      </c>
      <c r="C915">
        <v>22</v>
      </c>
      <c r="D915" t="s">
        <v>20</v>
      </c>
      <c r="E915" t="s">
        <v>12</v>
      </c>
      <c r="F915" s="7">
        <v>1108.1600000000001</v>
      </c>
      <c r="G915" s="10">
        <v>0</v>
      </c>
      <c r="H915" s="7">
        <v>1108.1600000000001</v>
      </c>
      <c r="I915">
        <v>3</v>
      </c>
      <c r="J915" t="s">
        <v>16</v>
      </c>
      <c r="K915" s="13">
        <f>ROUND(tblTransactions[[#This Row],[gross_sales_inr]]*(1-tblTransactions[[#This Row],[discount_pct]]),2)</f>
        <v>1108.1600000000001</v>
      </c>
      <c r="L915" t="str">
        <f>IF(ABS(tblTransactions[[#This Row],[net_sales_inr]]-tblTransactions[[#This Row],[Recalc_Net_Sales]])&lt;0.02,"OK","CHECK")</f>
        <v>OK</v>
      </c>
      <c r="M915" s="14">
        <f>DATE(YEAR(tblTransactions[[#This Row],[date]]),MONTH(tblTransactions[[#This Row],[date]]),1)</f>
        <v>45658</v>
      </c>
      <c r="N915" t="str">
        <f>IF(WEEKDAY(tblTransactions[[#This Row],[date]],2)&gt;5,"Weekend","Weekday")</f>
        <v>Weekday</v>
      </c>
      <c r="O915" s="13" t="str">
        <f>IF(tblTransactions[[#This Row],[discount_pct]]=0,"0%",IF(tblTransactions[[#This Row],[discount_pct]]&lt;=10%,"1–
10%",IF(tblTransactions[[#This Row],[discount_pct]]&lt;=20%,"11–20%","&gt;20%")))</f>
        <v>0%</v>
      </c>
      <c r="P915" s="13" t="str">
        <f>_xlfn.XLOOKUP(tblTransactions[[#This Row],[tenant_id]],tblTenants[tenant_id],tblTenants[zone],"NOT FOUND")</f>
        <v>Fashion Avenue</v>
      </c>
      <c r="Q915" s="13" t="str">
        <f>_xlfn.XLOOKUP(tblTransactions[[#This Row],[tenant_id]],tblTenants[tenant_id],tblTenants[category],"NOT FOUND")</f>
        <v>Accessories</v>
      </c>
    </row>
    <row r="916" spans="1:17">
      <c r="A916" t="s">
        <v>960</v>
      </c>
      <c r="B916" s="2">
        <v>45776</v>
      </c>
      <c r="C916">
        <v>13</v>
      </c>
      <c r="D916" t="s">
        <v>59</v>
      </c>
      <c r="E916" t="s">
        <v>32</v>
      </c>
      <c r="F916" s="7">
        <v>635.6</v>
      </c>
      <c r="G916" s="10">
        <v>0</v>
      </c>
      <c r="H916" s="7">
        <v>635.6</v>
      </c>
      <c r="I916">
        <v>2</v>
      </c>
      <c r="J916" t="s">
        <v>13</v>
      </c>
      <c r="K916" s="13">
        <f>ROUND(tblTransactions[[#This Row],[gross_sales_inr]]*(1-tblTransactions[[#This Row],[discount_pct]]),2)</f>
        <v>635.6</v>
      </c>
      <c r="L916" t="str">
        <f>IF(ABS(tblTransactions[[#This Row],[net_sales_inr]]-tblTransactions[[#This Row],[Recalc_Net_Sales]])&lt;0.02,"OK","CHECK")</f>
        <v>OK</v>
      </c>
      <c r="M916" s="14">
        <f>DATE(YEAR(tblTransactions[[#This Row],[date]]),MONTH(tblTransactions[[#This Row],[date]]),1)</f>
        <v>45748</v>
      </c>
      <c r="N916" t="str">
        <f>IF(WEEKDAY(tblTransactions[[#This Row],[date]],2)&gt;5,"Weekend","Weekday")</f>
        <v>Weekday</v>
      </c>
      <c r="O916" s="13" t="str">
        <f>IF(tblTransactions[[#This Row],[discount_pct]]=0,"0%",IF(tblTransactions[[#This Row],[discount_pct]]&lt;=10%,"1–
10%",IF(tblTransactions[[#This Row],[discount_pct]]&lt;=20%,"11–20%","&gt;20%")))</f>
        <v>0%</v>
      </c>
      <c r="P916" s="13" t="str">
        <f>_xlfn.XLOOKUP(tblTransactions[[#This Row],[tenant_id]],tblTenants[tenant_id],tblTenants[zone],"NOT FOUND")</f>
        <v>Fashion Avenue</v>
      </c>
      <c r="Q916" s="13" t="str">
        <f>_xlfn.XLOOKUP(tblTransactions[[#This Row],[tenant_id]],tblTenants[tenant_id],tblTenants[category],"NOT FOUND")</f>
        <v>Footwear</v>
      </c>
    </row>
    <row r="917" spans="1:17">
      <c r="A917" t="s">
        <v>961</v>
      </c>
      <c r="B917" s="2">
        <v>45785</v>
      </c>
      <c r="C917">
        <v>11</v>
      </c>
      <c r="D917" t="s">
        <v>104</v>
      </c>
      <c r="E917" t="s">
        <v>32</v>
      </c>
      <c r="F917" s="7">
        <v>775.69</v>
      </c>
      <c r="G917" s="10">
        <v>0</v>
      </c>
      <c r="H917" s="7">
        <v>775.69</v>
      </c>
      <c r="I917">
        <v>2</v>
      </c>
      <c r="J917" t="s">
        <v>16</v>
      </c>
      <c r="K917" s="13">
        <f>ROUND(tblTransactions[[#This Row],[gross_sales_inr]]*(1-tblTransactions[[#This Row],[discount_pct]]),2)</f>
        <v>775.69</v>
      </c>
      <c r="L917" t="str">
        <f>IF(ABS(tblTransactions[[#This Row],[net_sales_inr]]-tblTransactions[[#This Row],[Recalc_Net_Sales]])&lt;0.02,"OK","CHECK")</f>
        <v>OK</v>
      </c>
      <c r="M917" s="14">
        <f>DATE(YEAR(tblTransactions[[#This Row],[date]]),MONTH(tblTransactions[[#This Row],[date]]),1)</f>
        <v>45778</v>
      </c>
      <c r="N917" t="str">
        <f>IF(WEEKDAY(tblTransactions[[#This Row],[date]],2)&gt;5,"Weekend","Weekday")</f>
        <v>Weekday</v>
      </c>
      <c r="O917" s="13" t="str">
        <f>IF(tblTransactions[[#This Row],[discount_pct]]=0,"0%",IF(tblTransactions[[#This Row],[discount_pct]]&lt;=10%,"1–
10%",IF(tblTransactions[[#This Row],[discount_pct]]&lt;=20%,"11–20%","&gt;20%")))</f>
        <v>0%</v>
      </c>
      <c r="P917" s="13" t="str">
        <f>_xlfn.XLOOKUP(tblTransactions[[#This Row],[tenant_id]],tblTenants[tenant_id],tblTenants[zone],"NOT FOUND")</f>
        <v>Entertainment</v>
      </c>
      <c r="Q917" s="13" t="str">
        <f>_xlfn.XLOOKUP(tblTransactions[[#This Row],[tenant_id]],tblTenants[tenant_id],tblTenants[category],"NOT FOUND")</f>
        <v>Family Entertainment</v>
      </c>
    </row>
    <row r="918" spans="1:17">
      <c r="A918" t="s">
        <v>962</v>
      </c>
      <c r="B918" s="2">
        <v>45795</v>
      </c>
      <c r="C918">
        <v>19</v>
      </c>
      <c r="D918" t="s">
        <v>85</v>
      </c>
      <c r="E918" t="s">
        <v>51</v>
      </c>
      <c r="F918" s="7">
        <v>609.01</v>
      </c>
      <c r="G918" s="10">
        <v>0</v>
      </c>
      <c r="H918" s="7">
        <v>609.01</v>
      </c>
      <c r="I918">
        <v>3</v>
      </c>
      <c r="J918" t="s">
        <v>13</v>
      </c>
      <c r="K918" s="13">
        <f>ROUND(tblTransactions[[#This Row],[gross_sales_inr]]*(1-tblTransactions[[#This Row],[discount_pct]]),2)</f>
        <v>609.01</v>
      </c>
      <c r="L918" t="str">
        <f>IF(ABS(tblTransactions[[#This Row],[net_sales_inr]]-tblTransactions[[#This Row],[Recalc_Net_Sales]])&lt;0.02,"OK","CHECK")</f>
        <v>OK</v>
      </c>
      <c r="M918" s="14">
        <f>DATE(YEAR(tblTransactions[[#This Row],[date]]),MONTH(tblTransactions[[#This Row],[date]]),1)</f>
        <v>45778</v>
      </c>
      <c r="N918" t="str">
        <f>IF(WEEKDAY(tblTransactions[[#This Row],[date]],2)&gt;5,"Weekend","Weekday")</f>
        <v>Weekend</v>
      </c>
      <c r="O918" s="13" t="str">
        <f>IF(tblTransactions[[#This Row],[discount_pct]]=0,"0%",IF(tblTransactions[[#This Row],[discount_pct]]&lt;=10%,"1–
10%",IF(tblTransactions[[#This Row],[discount_pct]]&lt;=20%,"11–20%","&gt;20%")))</f>
        <v>0%</v>
      </c>
      <c r="P918" s="13" t="str">
        <f>_xlfn.XLOOKUP(tblTransactions[[#This Row],[tenant_id]],tblTenants[tenant_id],tblTenants[zone],"NOT FOUND")</f>
        <v>Home &amp; Living</v>
      </c>
      <c r="Q918" s="13" t="str">
        <f>_xlfn.XLOOKUP(tblTransactions[[#This Row],[tenant_id]],tblTenants[tenant_id],tblTenants[category],"NOT FOUND")</f>
        <v>Electronics</v>
      </c>
    </row>
    <row r="919" spans="1:17">
      <c r="A919" t="s">
        <v>963</v>
      </c>
      <c r="B919" s="2">
        <v>45770</v>
      </c>
      <c r="C919">
        <v>12</v>
      </c>
      <c r="D919" t="s">
        <v>59</v>
      </c>
      <c r="E919" t="s">
        <v>32</v>
      </c>
      <c r="F919" s="7">
        <v>2206.33</v>
      </c>
      <c r="G919" s="10">
        <v>0.15</v>
      </c>
      <c r="H919" s="7">
        <v>1875.38</v>
      </c>
      <c r="I919">
        <v>2</v>
      </c>
      <c r="J919" t="s">
        <v>13</v>
      </c>
      <c r="K919" s="13">
        <f>ROUND(tblTransactions[[#This Row],[gross_sales_inr]]*(1-tblTransactions[[#This Row],[discount_pct]]),2)</f>
        <v>1875.38</v>
      </c>
      <c r="L919" t="str">
        <f>IF(ABS(tblTransactions[[#This Row],[net_sales_inr]]-tblTransactions[[#This Row],[Recalc_Net_Sales]])&lt;0.02,"OK","CHECK")</f>
        <v>OK</v>
      </c>
      <c r="M919" s="14">
        <f>DATE(YEAR(tblTransactions[[#This Row],[date]]),MONTH(tblTransactions[[#This Row],[date]]),1)</f>
        <v>45748</v>
      </c>
      <c r="N919" t="str">
        <f>IF(WEEKDAY(tblTransactions[[#This Row],[date]],2)&gt;5,"Weekend","Weekday")</f>
        <v>Weekday</v>
      </c>
      <c r="O91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19" s="13" t="str">
        <f>_xlfn.XLOOKUP(tblTransactions[[#This Row],[tenant_id]],tblTenants[tenant_id],tblTenants[zone],"NOT FOUND")</f>
        <v>Fashion Avenue</v>
      </c>
      <c r="Q919" s="13" t="str">
        <f>_xlfn.XLOOKUP(tblTransactions[[#This Row],[tenant_id]],tblTenants[tenant_id],tblTenants[category],"NOT FOUND")</f>
        <v>Footwear</v>
      </c>
    </row>
    <row r="920" spans="1:17">
      <c r="A920" t="s">
        <v>964</v>
      </c>
      <c r="B920" s="2">
        <v>45685</v>
      </c>
      <c r="C920">
        <v>21</v>
      </c>
      <c r="D920" t="s">
        <v>48</v>
      </c>
      <c r="E920" t="s">
        <v>51</v>
      </c>
      <c r="F920" s="7">
        <v>1348.93</v>
      </c>
      <c r="G920" s="10">
        <v>0.2</v>
      </c>
      <c r="H920" s="7">
        <v>1079.1400000000001</v>
      </c>
      <c r="I920">
        <v>4</v>
      </c>
      <c r="J920" t="s">
        <v>16</v>
      </c>
      <c r="K920" s="13">
        <f>ROUND(tblTransactions[[#This Row],[gross_sales_inr]]*(1-tblTransactions[[#This Row],[discount_pct]]),2)</f>
        <v>1079.1400000000001</v>
      </c>
      <c r="L920" t="str">
        <f>IF(ABS(tblTransactions[[#This Row],[net_sales_inr]]-tblTransactions[[#This Row],[Recalc_Net_Sales]])&lt;0.02,"OK","CHECK")</f>
        <v>OK</v>
      </c>
      <c r="M920" s="14">
        <f>DATE(YEAR(tblTransactions[[#This Row],[date]]),MONTH(tblTransactions[[#This Row],[date]]),1)</f>
        <v>45658</v>
      </c>
      <c r="N920" t="str">
        <f>IF(WEEKDAY(tblTransactions[[#This Row],[date]],2)&gt;5,"Weekend","Weekday")</f>
        <v>Weekday</v>
      </c>
      <c r="O92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20" s="13" t="str">
        <f>_xlfn.XLOOKUP(tblTransactions[[#This Row],[tenant_id]],tblTenants[tenant_id],tblTenants[zone],"NOT FOUND")</f>
        <v>Beauty &amp; Wellness</v>
      </c>
      <c r="Q920" s="13" t="str">
        <f>_xlfn.XLOOKUP(tblTransactions[[#This Row],[tenant_id]],tblTenants[tenant_id],tblTenants[category],"NOT FOUND")</f>
        <v>Wellness</v>
      </c>
    </row>
    <row r="921" spans="1:17">
      <c r="A921" t="s">
        <v>965</v>
      </c>
      <c r="B921" s="2">
        <v>45820</v>
      </c>
      <c r="C921">
        <v>22</v>
      </c>
      <c r="D921" t="s">
        <v>18</v>
      </c>
      <c r="E921" t="s">
        <v>12</v>
      </c>
      <c r="F921" s="7">
        <v>466.48</v>
      </c>
      <c r="G921" s="10">
        <v>0.1</v>
      </c>
      <c r="H921" s="7">
        <v>419.83</v>
      </c>
      <c r="I921">
        <v>4</v>
      </c>
      <c r="J921" t="s">
        <v>13</v>
      </c>
      <c r="K921" s="13">
        <f>ROUND(tblTransactions[[#This Row],[gross_sales_inr]]*(1-tblTransactions[[#This Row],[discount_pct]]),2)</f>
        <v>419.83</v>
      </c>
      <c r="L921" t="str">
        <f>IF(ABS(tblTransactions[[#This Row],[net_sales_inr]]-tblTransactions[[#This Row],[Recalc_Net_Sales]])&lt;0.02,"OK","CHECK")</f>
        <v>OK</v>
      </c>
      <c r="M921" s="14">
        <f>DATE(YEAR(tblTransactions[[#This Row],[date]]),MONTH(tblTransactions[[#This Row],[date]]),1)</f>
        <v>45809</v>
      </c>
      <c r="N921" t="str">
        <f>IF(WEEKDAY(tblTransactions[[#This Row],[date]],2)&gt;5,"Weekend","Weekday")</f>
        <v>Weekday</v>
      </c>
      <c r="O92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21" s="13" t="str">
        <f>_xlfn.XLOOKUP(tblTransactions[[#This Row],[tenant_id]],tblTenants[tenant_id],tblTenants[zone],"NOT FOUND")</f>
        <v>Beauty &amp; Wellness</v>
      </c>
      <c r="Q921" s="13" t="str">
        <f>_xlfn.XLOOKUP(tblTransactions[[#This Row],[tenant_id]],tblTenants[tenant_id],tblTenants[category],"NOT FOUND")</f>
        <v>Beauty</v>
      </c>
    </row>
    <row r="922" spans="1:17">
      <c r="A922" t="s">
        <v>966</v>
      </c>
      <c r="B922" s="2">
        <v>45671</v>
      </c>
      <c r="C922">
        <v>19</v>
      </c>
      <c r="D922" t="s">
        <v>87</v>
      </c>
      <c r="E922" t="s">
        <v>12</v>
      </c>
      <c r="F922" s="7">
        <v>500.05</v>
      </c>
      <c r="G922" s="10">
        <v>0</v>
      </c>
      <c r="H922" s="7">
        <v>500.05</v>
      </c>
      <c r="I922">
        <v>3</v>
      </c>
      <c r="J922" t="s">
        <v>16</v>
      </c>
      <c r="K922" s="13">
        <f>ROUND(tblTransactions[[#This Row],[gross_sales_inr]]*(1-tblTransactions[[#This Row],[discount_pct]]),2)</f>
        <v>500.05</v>
      </c>
      <c r="L922" t="str">
        <f>IF(ABS(tblTransactions[[#This Row],[net_sales_inr]]-tblTransactions[[#This Row],[Recalc_Net_Sales]])&lt;0.02,"OK","CHECK")</f>
        <v>OK</v>
      </c>
      <c r="M922" s="14">
        <f>DATE(YEAR(tblTransactions[[#This Row],[date]]),MONTH(tblTransactions[[#This Row],[date]]),1)</f>
        <v>45658</v>
      </c>
      <c r="N922" t="str">
        <f>IF(WEEKDAY(tblTransactions[[#This Row],[date]],2)&gt;5,"Weekend","Weekday")</f>
        <v>Weekday</v>
      </c>
      <c r="O922" s="13" t="str">
        <f>IF(tblTransactions[[#This Row],[discount_pct]]=0,"0%",IF(tblTransactions[[#This Row],[discount_pct]]&lt;=10%,"1–
10%",IF(tblTransactions[[#This Row],[discount_pct]]&lt;=20%,"11–20%","&gt;20%")))</f>
        <v>0%</v>
      </c>
      <c r="P922" s="13" t="str">
        <f>_xlfn.XLOOKUP(tblTransactions[[#This Row],[tenant_id]],tblTenants[tenant_id],tblTenants[zone],"NOT FOUND")</f>
        <v>Fashion Avenue</v>
      </c>
      <c r="Q922" s="13" t="str">
        <f>_xlfn.XLOOKUP(tblTransactions[[#This Row],[tenant_id]],tblTenants[tenant_id],tblTenants[category],"NOT FOUND")</f>
        <v>Footwear</v>
      </c>
    </row>
    <row r="923" spans="1:17">
      <c r="A923" t="s">
        <v>967</v>
      </c>
      <c r="B923" s="2">
        <v>45737</v>
      </c>
      <c r="C923">
        <v>17</v>
      </c>
      <c r="D923" t="s">
        <v>23</v>
      </c>
      <c r="E923" t="s">
        <v>32</v>
      </c>
      <c r="F923" s="7">
        <v>249.59</v>
      </c>
      <c r="G923" s="10">
        <v>0</v>
      </c>
      <c r="H923" s="7">
        <v>249.59</v>
      </c>
      <c r="I923">
        <v>1</v>
      </c>
      <c r="J923" t="s">
        <v>16</v>
      </c>
      <c r="K923" s="13">
        <f>ROUND(tblTransactions[[#This Row],[gross_sales_inr]]*(1-tblTransactions[[#This Row],[discount_pct]]),2)</f>
        <v>249.59</v>
      </c>
      <c r="L923" t="str">
        <f>IF(ABS(tblTransactions[[#This Row],[net_sales_inr]]-tblTransactions[[#This Row],[Recalc_Net_Sales]])&lt;0.02,"OK","CHECK")</f>
        <v>OK</v>
      </c>
      <c r="M923" s="14">
        <f>DATE(YEAR(tblTransactions[[#This Row],[date]]),MONTH(tblTransactions[[#This Row],[date]]),1)</f>
        <v>45717</v>
      </c>
      <c r="N923" t="str">
        <f>IF(WEEKDAY(tblTransactions[[#This Row],[date]],2)&gt;5,"Weekend","Weekday")</f>
        <v>Weekday</v>
      </c>
      <c r="O923" s="13" t="str">
        <f>IF(tblTransactions[[#This Row],[discount_pct]]=0,"0%",IF(tblTransactions[[#This Row],[discount_pct]]&lt;=10%,"1–
10%",IF(tblTransactions[[#This Row],[discount_pct]]&lt;=20%,"11–20%","&gt;20%")))</f>
        <v>0%</v>
      </c>
      <c r="P923" s="13" t="str">
        <f>_xlfn.XLOOKUP(tblTransactions[[#This Row],[tenant_id]],tblTenants[tenant_id],tblTenants[zone],"NOT FOUND")</f>
        <v>Entertainment</v>
      </c>
      <c r="Q923" s="13" t="str">
        <f>_xlfn.XLOOKUP(tblTransactions[[#This Row],[tenant_id]],tblTenants[tenant_id],tblTenants[category],"NOT FOUND")</f>
        <v>Cinema</v>
      </c>
    </row>
    <row r="924" spans="1:17">
      <c r="A924" t="s">
        <v>968</v>
      </c>
      <c r="B924" s="2">
        <v>45797</v>
      </c>
      <c r="C924">
        <v>22</v>
      </c>
      <c r="D924" t="s">
        <v>43</v>
      </c>
      <c r="E924" t="s">
        <v>12</v>
      </c>
      <c r="F924" s="7">
        <v>405.87</v>
      </c>
      <c r="G924" s="10">
        <v>0.1</v>
      </c>
      <c r="H924" s="7">
        <v>365.28</v>
      </c>
      <c r="I924">
        <v>3</v>
      </c>
      <c r="J924" t="s">
        <v>13</v>
      </c>
      <c r="K924" s="13">
        <f>ROUND(tblTransactions[[#This Row],[gross_sales_inr]]*(1-tblTransactions[[#This Row],[discount_pct]]),2)</f>
        <v>365.28</v>
      </c>
      <c r="L924" t="str">
        <f>IF(ABS(tblTransactions[[#This Row],[net_sales_inr]]-tblTransactions[[#This Row],[Recalc_Net_Sales]])&lt;0.02,"OK","CHECK")</f>
        <v>OK</v>
      </c>
      <c r="M924" s="14">
        <f>DATE(YEAR(tblTransactions[[#This Row],[date]]),MONTH(tblTransactions[[#This Row],[date]]),1)</f>
        <v>45778</v>
      </c>
      <c r="N924" t="str">
        <f>IF(WEEKDAY(tblTransactions[[#This Row],[date]],2)&gt;5,"Weekend","Weekday")</f>
        <v>Weekday</v>
      </c>
      <c r="O92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24" s="13" t="str">
        <f>_xlfn.XLOOKUP(tblTransactions[[#This Row],[tenant_id]],tblTenants[tenant_id],tblTenants[zone],"NOT FOUND")</f>
        <v>Food Court</v>
      </c>
      <c r="Q924" s="13" t="str">
        <f>_xlfn.XLOOKUP(tblTransactions[[#This Row],[tenant_id]],tblTenants[tenant_id],tblTenants[category],"NOT FOUND")</f>
        <v>Casual Dining</v>
      </c>
    </row>
    <row r="925" spans="1:17">
      <c r="A925" t="s">
        <v>969</v>
      </c>
      <c r="B925" s="2">
        <v>45688</v>
      </c>
      <c r="C925">
        <v>17</v>
      </c>
      <c r="D925" t="s">
        <v>20</v>
      </c>
      <c r="E925" t="s">
        <v>12</v>
      </c>
      <c r="F925" s="7">
        <v>935.8</v>
      </c>
      <c r="G925" s="10">
        <v>0.2</v>
      </c>
      <c r="H925" s="7">
        <v>748.64</v>
      </c>
      <c r="I925">
        <v>1</v>
      </c>
      <c r="J925" t="s">
        <v>13</v>
      </c>
      <c r="K925" s="13">
        <f>ROUND(tblTransactions[[#This Row],[gross_sales_inr]]*(1-tblTransactions[[#This Row],[discount_pct]]),2)</f>
        <v>748.64</v>
      </c>
      <c r="L925" t="str">
        <f>IF(ABS(tblTransactions[[#This Row],[net_sales_inr]]-tblTransactions[[#This Row],[Recalc_Net_Sales]])&lt;0.02,"OK","CHECK")</f>
        <v>OK</v>
      </c>
      <c r="M925" s="14">
        <f>DATE(YEAR(tblTransactions[[#This Row],[date]]),MONTH(tblTransactions[[#This Row],[date]]),1)</f>
        <v>45658</v>
      </c>
      <c r="N925" t="str">
        <f>IF(WEEKDAY(tblTransactions[[#This Row],[date]],2)&gt;5,"Weekend","Weekday")</f>
        <v>Weekday</v>
      </c>
      <c r="O92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25" s="13" t="str">
        <f>_xlfn.XLOOKUP(tblTransactions[[#This Row],[tenant_id]],tblTenants[tenant_id],tblTenants[zone],"NOT FOUND")</f>
        <v>Fashion Avenue</v>
      </c>
      <c r="Q925" s="13" t="str">
        <f>_xlfn.XLOOKUP(tblTransactions[[#This Row],[tenant_id]],tblTenants[tenant_id],tblTenants[category],"NOT FOUND")</f>
        <v>Accessories</v>
      </c>
    </row>
    <row r="926" spans="1:17">
      <c r="A926" t="s">
        <v>970</v>
      </c>
      <c r="B926" s="2">
        <v>45832</v>
      </c>
      <c r="C926">
        <v>10</v>
      </c>
      <c r="D926" t="s">
        <v>25</v>
      </c>
      <c r="E926" t="s">
        <v>21</v>
      </c>
      <c r="F926" s="7">
        <v>268.13</v>
      </c>
      <c r="G926" s="10">
        <v>0.2</v>
      </c>
      <c r="H926" s="7">
        <v>214.5</v>
      </c>
      <c r="I926">
        <v>3</v>
      </c>
      <c r="J926" t="s">
        <v>16</v>
      </c>
      <c r="K926" s="13">
        <f>ROUND(tblTransactions[[#This Row],[gross_sales_inr]]*(1-tblTransactions[[#This Row],[discount_pct]]),2)</f>
        <v>214.5</v>
      </c>
      <c r="L926" t="str">
        <f>IF(ABS(tblTransactions[[#This Row],[net_sales_inr]]-tblTransactions[[#This Row],[Recalc_Net_Sales]])&lt;0.02,"OK","CHECK")</f>
        <v>OK</v>
      </c>
      <c r="M926" s="14">
        <f>DATE(YEAR(tblTransactions[[#This Row],[date]]),MONTH(tblTransactions[[#This Row],[date]]),1)</f>
        <v>45809</v>
      </c>
      <c r="N926" t="str">
        <f>IF(WEEKDAY(tblTransactions[[#This Row],[date]],2)&gt;5,"Weekend","Weekday")</f>
        <v>Weekday</v>
      </c>
      <c r="O92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26" s="13" t="str">
        <f>_xlfn.XLOOKUP(tblTransactions[[#This Row],[tenant_id]],tblTenants[tenant_id],tblTenants[zone],"NOT FOUND")</f>
        <v>Beauty &amp; Wellness</v>
      </c>
      <c r="Q926" s="13" t="str">
        <f>_xlfn.XLOOKUP(tblTransactions[[#This Row],[tenant_id]],tblTenants[tenant_id],tblTenants[category],"NOT FOUND")</f>
        <v>Beauty</v>
      </c>
    </row>
    <row r="927" spans="1:17">
      <c r="A927" t="s">
        <v>971</v>
      </c>
      <c r="B927" s="2">
        <v>45668</v>
      </c>
      <c r="C927">
        <v>13</v>
      </c>
      <c r="D927" t="s">
        <v>104</v>
      </c>
      <c r="E927" t="s">
        <v>12</v>
      </c>
      <c r="F927" s="7">
        <v>1572.06</v>
      </c>
      <c r="G927" s="10">
        <v>0.2</v>
      </c>
      <c r="H927" s="7">
        <v>1257.6500000000001</v>
      </c>
      <c r="I927">
        <v>1</v>
      </c>
      <c r="J927" t="s">
        <v>13</v>
      </c>
      <c r="K927" s="13">
        <f>ROUND(tblTransactions[[#This Row],[gross_sales_inr]]*(1-tblTransactions[[#This Row],[discount_pct]]),2)</f>
        <v>1257.6500000000001</v>
      </c>
      <c r="L927" t="str">
        <f>IF(ABS(tblTransactions[[#This Row],[net_sales_inr]]-tblTransactions[[#This Row],[Recalc_Net_Sales]])&lt;0.02,"OK","CHECK")</f>
        <v>OK</v>
      </c>
      <c r="M927" s="14">
        <f>DATE(YEAR(tblTransactions[[#This Row],[date]]),MONTH(tblTransactions[[#This Row],[date]]),1)</f>
        <v>45658</v>
      </c>
      <c r="N927" t="str">
        <f>IF(WEEKDAY(tblTransactions[[#This Row],[date]],2)&gt;5,"Weekend","Weekday")</f>
        <v>Weekend</v>
      </c>
      <c r="O92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27" s="13" t="str">
        <f>_xlfn.XLOOKUP(tblTransactions[[#This Row],[tenant_id]],tblTenants[tenant_id],tblTenants[zone],"NOT FOUND")</f>
        <v>Entertainment</v>
      </c>
      <c r="Q927" s="13" t="str">
        <f>_xlfn.XLOOKUP(tblTransactions[[#This Row],[tenant_id]],tblTenants[tenant_id],tblTenants[category],"NOT FOUND")</f>
        <v>Family Entertainment</v>
      </c>
    </row>
    <row r="928" spans="1:17">
      <c r="A928" t="s">
        <v>972</v>
      </c>
      <c r="B928" s="2">
        <v>45819</v>
      </c>
      <c r="C928">
        <v>18</v>
      </c>
      <c r="D928" t="s">
        <v>80</v>
      </c>
      <c r="E928" t="s">
        <v>21</v>
      </c>
      <c r="F928" s="7">
        <v>806.69</v>
      </c>
      <c r="G928" s="10">
        <v>0.15</v>
      </c>
      <c r="H928" s="7">
        <v>685.69</v>
      </c>
      <c r="I928">
        <v>1</v>
      </c>
      <c r="J928" t="s">
        <v>16</v>
      </c>
      <c r="K928" s="13">
        <f>ROUND(tblTransactions[[#This Row],[gross_sales_inr]]*(1-tblTransactions[[#This Row],[discount_pct]]),2)</f>
        <v>685.69</v>
      </c>
      <c r="L928" t="str">
        <f>IF(ABS(tblTransactions[[#This Row],[net_sales_inr]]-tblTransactions[[#This Row],[Recalc_Net_Sales]])&lt;0.02,"OK","CHECK")</f>
        <v>OK</v>
      </c>
      <c r="M928" s="14">
        <f>DATE(YEAR(tblTransactions[[#This Row],[date]]),MONTH(tblTransactions[[#This Row],[date]]),1)</f>
        <v>45809</v>
      </c>
      <c r="N928" t="str">
        <f>IF(WEEKDAY(tblTransactions[[#This Row],[date]],2)&gt;5,"Weekend","Weekday")</f>
        <v>Weekday</v>
      </c>
      <c r="O92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28" s="13" t="str">
        <f>_xlfn.XLOOKUP(tblTransactions[[#This Row],[tenant_id]],tblTenants[tenant_id],tblTenants[zone],"NOT FOUND")</f>
        <v>Food Court</v>
      </c>
      <c r="Q928" s="13" t="str">
        <f>_xlfn.XLOOKUP(tblTransactions[[#This Row],[tenant_id]],tblTenants[tenant_id],tblTenants[category],"NOT FOUND")</f>
        <v>Casual Dining</v>
      </c>
    </row>
    <row r="929" spans="1:17">
      <c r="A929" t="s">
        <v>973</v>
      </c>
      <c r="B929" s="2">
        <v>45749</v>
      </c>
      <c r="C929">
        <v>18</v>
      </c>
      <c r="D929" t="s">
        <v>55</v>
      </c>
      <c r="E929" t="s">
        <v>12</v>
      </c>
      <c r="F929" s="7">
        <v>1182.45</v>
      </c>
      <c r="G929" s="10">
        <v>0.05</v>
      </c>
      <c r="H929" s="7">
        <v>1123.33</v>
      </c>
      <c r="I929">
        <v>4</v>
      </c>
      <c r="J929" t="s">
        <v>13</v>
      </c>
      <c r="K929" s="13">
        <f>ROUND(tblTransactions[[#This Row],[gross_sales_inr]]*(1-tblTransactions[[#This Row],[discount_pct]]),2)</f>
        <v>1123.33</v>
      </c>
      <c r="L929" t="str">
        <f>IF(ABS(tblTransactions[[#This Row],[net_sales_inr]]-tblTransactions[[#This Row],[Recalc_Net_Sales]])&lt;0.02,"OK","CHECK")</f>
        <v>OK</v>
      </c>
      <c r="M929" s="14">
        <f>DATE(YEAR(tblTransactions[[#This Row],[date]]),MONTH(tblTransactions[[#This Row],[date]]),1)</f>
        <v>45748</v>
      </c>
      <c r="N929" t="str">
        <f>IF(WEEKDAY(tblTransactions[[#This Row],[date]],2)&gt;5,"Weekend","Weekday")</f>
        <v>Weekday</v>
      </c>
      <c r="O92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29" s="13" t="str">
        <f>_xlfn.XLOOKUP(tblTransactions[[#This Row],[tenant_id]],tblTenants[tenant_id],tblTenants[zone],"NOT FOUND")</f>
        <v>Food Court</v>
      </c>
      <c r="Q929" s="13" t="str">
        <f>_xlfn.XLOOKUP(tblTransactions[[#This Row],[tenant_id]],tblTenants[tenant_id],tblTenants[category],"NOT FOUND")</f>
        <v>Quick Service</v>
      </c>
    </row>
    <row r="930" spans="1:17">
      <c r="A930" t="s">
        <v>974</v>
      </c>
      <c r="B930" s="2">
        <v>45804</v>
      </c>
      <c r="C930">
        <v>15</v>
      </c>
      <c r="D930" t="s">
        <v>87</v>
      </c>
      <c r="E930" t="s">
        <v>12</v>
      </c>
      <c r="F930" s="7">
        <v>3818.61</v>
      </c>
      <c r="G930" s="10">
        <v>0.2</v>
      </c>
      <c r="H930" s="7">
        <v>3054.89</v>
      </c>
      <c r="I930">
        <v>5</v>
      </c>
      <c r="J930" t="s">
        <v>13</v>
      </c>
      <c r="K930" s="13">
        <f>ROUND(tblTransactions[[#This Row],[gross_sales_inr]]*(1-tblTransactions[[#This Row],[discount_pct]]),2)</f>
        <v>3054.89</v>
      </c>
      <c r="L930" t="str">
        <f>IF(ABS(tblTransactions[[#This Row],[net_sales_inr]]-tblTransactions[[#This Row],[Recalc_Net_Sales]])&lt;0.02,"OK","CHECK")</f>
        <v>OK</v>
      </c>
      <c r="M930" s="14">
        <f>DATE(YEAR(tblTransactions[[#This Row],[date]]),MONTH(tblTransactions[[#This Row],[date]]),1)</f>
        <v>45778</v>
      </c>
      <c r="N930" t="str">
        <f>IF(WEEKDAY(tblTransactions[[#This Row],[date]],2)&gt;5,"Weekend","Weekday")</f>
        <v>Weekday</v>
      </c>
      <c r="O93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30" s="13" t="str">
        <f>_xlfn.XLOOKUP(tblTransactions[[#This Row],[tenant_id]],tblTenants[tenant_id],tblTenants[zone],"NOT FOUND")</f>
        <v>Fashion Avenue</v>
      </c>
      <c r="Q930" s="13" t="str">
        <f>_xlfn.XLOOKUP(tblTransactions[[#This Row],[tenant_id]],tblTenants[tenant_id],tblTenants[category],"NOT FOUND")</f>
        <v>Footwear</v>
      </c>
    </row>
    <row r="931" spans="1:17">
      <c r="A931" t="s">
        <v>975</v>
      </c>
      <c r="B931" s="2">
        <v>45737</v>
      </c>
      <c r="C931">
        <v>22</v>
      </c>
      <c r="D931" t="s">
        <v>55</v>
      </c>
      <c r="E931" t="s">
        <v>51</v>
      </c>
      <c r="F931" s="7">
        <v>850.31</v>
      </c>
      <c r="G931" s="10">
        <v>0</v>
      </c>
      <c r="H931" s="7">
        <v>850.31</v>
      </c>
      <c r="I931">
        <v>5</v>
      </c>
      <c r="J931" t="s">
        <v>13</v>
      </c>
      <c r="K931" s="13">
        <f>ROUND(tblTransactions[[#This Row],[gross_sales_inr]]*(1-tblTransactions[[#This Row],[discount_pct]]),2)</f>
        <v>850.31</v>
      </c>
      <c r="L931" t="str">
        <f>IF(ABS(tblTransactions[[#This Row],[net_sales_inr]]-tblTransactions[[#This Row],[Recalc_Net_Sales]])&lt;0.02,"OK","CHECK")</f>
        <v>OK</v>
      </c>
      <c r="M931" s="14">
        <f>DATE(YEAR(tblTransactions[[#This Row],[date]]),MONTH(tblTransactions[[#This Row],[date]]),1)</f>
        <v>45717</v>
      </c>
      <c r="N931" t="str">
        <f>IF(WEEKDAY(tblTransactions[[#This Row],[date]],2)&gt;5,"Weekend","Weekday")</f>
        <v>Weekday</v>
      </c>
      <c r="O931" s="13" t="str">
        <f>IF(tblTransactions[[#This Row],[discount_pct]]=0,"0%",IF(tblTransactions[[#This Row],[discount_pct]]&lt;=10%,"1–
10%",IF(tblTransactions[[#This Row],[discount_pct]]&lt;=20%,"11–20%","&gt;20%")))</f>
        <v>0%</v>
      </c>
      <c r="P931" s="13" t="str">
        <f>_xlfn.XLOOKUP(tblTransactions[[#This Row],[tenant_id]],tblTenants[tenant_id],tblTenants[zone],"NOT FOUND")</f>
        <v>Food Court</v>
      </c>
      <c r="Q931" s="13" t="str">
        <f>_xlfn.XLOOKUP(tblTransactions[[#This Row],[tenant_id]],tblTenants[tenant_id],tblTenants[category],"NOT FOUND")</f>
        <v>Quick Service</v>
      </c>
    </row>
    <row r="932" spans="1:17">
      <c r="A932" t="s">
        <v>976</v>
      </c>
      <c r="B932" s="2">
        <v>45743</v>
      </c>
      <c r="C932">
        <v>13</v>
      </c>
      <c r="D932" t="s">
        <v>87</v>
      </c>
      <c r="E932" t="s">
        <v>21</v>
      </c>
      <c r="F932" s="7">
        <v>1415.19</v>
      </c>
      <c r="G932" s="10">
        <v>0.2</v>
      </c>
      <c r="H932" s="7">
        <v>1132.1500000000001</v>
      </c>
      <c r="I932">
        <v>1</v>
      </c>
      <c r="J932" t="s">
        <v>16</v>
      </c>
      <c r="K932" s="13">
        <f>ROUND(tblTransactions[[#This Row],[gross_sales_inr]]*(1-tblTransactions[[#This Row],[discount_pct]]),2)</f>
        <v>1132.1500000000001</v>
      </c>
      <c r="L932" t="str">
        <f>IF(ABS(tblTransactions[[#This Row],[net_sales_inr]]-tblTransactions[[#This Row],[Recalc_Net_Sales]])&lt;0.02,"OK","CHECK")</f>
        <v>OK</v>
      </c>
      <c r="M932" s="14">
        <f>DATE(YEAR(tblTransactions[[#This Row],[date]]),MONTH(tblTransactions[[#This Row],[date]]),1)</f>
        <v>45717</v>
      </c>
      <c r="N932" t="str">
        <f>IF(WEEKDAY(tblTransactions[[#This Row],[date]],2)&gt;5,"Weekend","Weekday")</f>
        <v>Weekday</v>
      </c>
      <c r="O93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32" s="13" t="str">
        <f>_xlfn.XLOOKUP(tblTransactions[[#This Row],[tenant_id]],tblTenants[tenant_id],tblTenants[zone],"NOT FOUND")</f>
        <v>Fashion Avenue</v>
      </c>
      <c r="Q932" s="13" t="str">
        <f>_xlfn.XLOOKUP(tblTransactions[[#This Row],[tenant_id]],tblTenants[tenant_id],tblTenants[category],"NOT FOUND")</f>
        <v>Footwear</v>
      </c>
    </row>
    <row r="933" spans="1:17">
      <c r="A933" t="s">
        <v>977</v>
      </c>
      <c r="B933" s="2">
        <v>45674</v>
      </c>
      <c r="C933">
        <v>11</v>
      </c>
      <c r="D933" t="s">
        <v>59</v>
      </c>
      <c r="E933" t="s">
        <v>51</v>
      </c>
      <c r="F933" s="7">
        <v>385.71</v>
      </c>
      <c r="G933" s="10">
        <v>0</v>
      </c>
      <c r="H933" s="7">
        <v>385.71</v>
      </c>
      <c r="I933">
        <v>2</v>
      </c>
      <c r="J933" t="s">
        <v>13</v>
      </c>
      <c r="K933" s="13">
        <f>ROUND(tblTransactions[[#This Row],[gross_sales_inr]]*(1-tblTransactions[[#This Row],[discount_pct]]),2)</f>
        <v>385.71</v>
      </c>
      <c r="L933" t="str">
        <f>IF(ABS(tblTransactions[[#This Row],[net_sales_inr]]-tblTransactions[[#This Row],[Recalc_Net_Sales]])&lt;0.02,"OK","CHECK")</f>
        <v>OK</v>
      </c>
      <c r="M933" s="14">
        <f>DATE(YEAR(tblTransactions[[#This Row],[date]]),MONTH(tblTransactions[[#This Row],[date]]),1)</f>
        <v>45658</v>
      </c>
      <c r="N933" t="str">
        <f>IF(WEEKDAY(tblTransactions[[#This Row],[date]],2)&gt;5,"Weekend","Weekday")</f>
        <v>Weekday</v>
      </c>
      <c r="O933" s="13" t="str">
        <f>IF(tblTransactions[[#This Row],[discount_pct]]=0,"0%",IF(tblTransactions[[#This Row],[discount_pct]]&lt;=10%,"1–
10%",IF(tblTransactions[[#This Row],[discount_pct]]&lt;=20%,"11–20%","&gt;20%")))</f>
        <v>0%</v>
      </c>
      <c r="P933" s="13" t="str">
        <f>_xlfn.XLOOKUP(tblTransactions[[#This Row],[tenant_id]],tblTenants[tenant_id],tblTenants[zone],"NOT FOUND")</f>
        <v>Fashion Avenue</v>
      </c>
      <c r="Q933" s="13" t="str">
        <f>_xlfn.XLOOKUP(tblTransactions[[#This Row],[tenant_id]],tblTenants[tenant_id],tblTenants[category],"NOT FOUND")</f>
        <v>Footwear</v>
      </c>
    </row>
    <row r="934" spans="1:17">
      <c r="A934" t="s">
        <v>978</v>
      </c>
      <c r="B934" s="2">
        <v>45829</v>
      </c>
      <c r="C934">
        <v>10</v>
      </c>
      <c r="D934" t="s">
        <v>36</v>
      </c>
      <c r="E934" t="s">
        <v>32</v>
      </c>
      <c r="F934" s="7">
        <v>1401.27</v>
      </c>
      <c r="G934" s="10">
        <v>0.15</v>
      </c>
      <c r="H934" s="7">
        <v>1191.08</v>
      </c>
      <c r="I934">
        <v>4</v>
      </c>
      <c r="J934" t="s">
        <v>13</v>
      </c>
      <c r="K934" s="13">
        <f>ROUND(tblTransactions[[#This Row],[gross_sales_inr]]*(1-tblTransactions[[#This Row],[discount_pct]]),2)</f>
        <v>1191.08</v>
      </c>
      <c r="L934" t="str">
        <f>IF(ABS(tblTransactions[[#This Row],[net_sales_inr]]-tblTransactions[[#This Row],[Recalc_Net_Sales]])&lt;0.02,"OK","CHECK")</f>
        <v>OK</v>
      </c>
      <c r="M934" s="14">
        <f>DATE(YEAR(tblTransactions[[#This Row],[date]]),MONTH(tblTransactions[[#This Row],[date]]),1)</f>
        <v>45809</v>
      </c>
      <c r="N934" t="str">
        <f>IF(WEEKDAY(tblTransactions[[#This Row],[date]],2)&gt;5,"Weekend","Weekday")</f>
        <v>Weekend</v>
      </c>
      <c r="O93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34" s="13" t="str">
        <f>_xlfn.XLOOKUP(tblTransactions[[#This Row],[tenant_id]],tblTenants[tenant_id],tblTenants[zone],"NOT FOUND")</f>
        <v>Home &amp; Living</v>
      </c>
      <c r="Q934" s="13" t="str">
        <f>_xlfn.XLOOKUP(tblTransactions[[#This Row],[tenant_id]],tblTenants[tenant_id],tblTenants[category],"NOT FOUND")</f>
        <v>Electronics</v>
      </c>
    </row>
    <row r="935" spans="1:17">
      <c r="A935" t="s">
        <v>979</v>
      </c>
      <c r="B935" s="2">
        <v>45784</v>
      </c>
      <c r="C935">
        <v>17</v>
      </c>
      <c r="D935" t="s">
        <v>48</v>
      </c>
      <c r="E935" t="s">
        <v>32</v>
      </c>
      <c r="F935" s="7">
        <v>1438.98</v>
      </c>
      <c r="G935" s="10">
        <v>0.1</v>
      </c>
      <c r="H935" s="7">
        <v>1295.08</v>
      </c>
      <c r="I935">
        <v>2</v>
      </c>
      <c r="J935" t="s">
        <v>16</v>
      </c>
      <c r="K935" s="13">
        <f>ROUND(tblTransactions[[#This Row],[gross_sales_inr]]*(1-tblTransactions[[#This Row],[discount_pct]]),2)</f>
        <v>1295.08</v>
      </c>
      <c r="L935" t="str">
        <f>IF(ABS(tblTransactions[[#This Row],[net_sales_inr]]-tblTransactions[[#This Row],[Recalc_Net_Sales]])&lt;0.02,"OK","CHECK")</f>
        <v>OK</v>
      </c>
      <c r="M935" s="14">
        <f>DATE(YEAR(tblTransactions[[#This Row],[date]]),MONTH(tblTransactions[[#This Row],[date]]),1)</f>
        <v>45778</v>
      </c>
      <c r="N935" t="str">
        <f>IF(WEEKDAY(tblTransactions[[#This Row],[date]],2)&gt;5,"Weekend","Weekday")</f>
        <v>Weekday</v>
      </c>
      <c r="O93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35" s="13" t="str">
        <f>_xlfn.XLOOKUP(tblTransactions[[#This Row],[tenant_id]],tblTenants[tenant_id],tblTenants[zone],"NOT FOUND")</f>
        <v>Beauty &amp; Wellness</v>
      </c>
      <c r="Q935" s="13" t="str">
        <f>_xlfn.XLOOKUP(tblTransactions[[#This Row],[tenant_id]],tblTenants[tenant_id],tblTenants[category],"NOT FOUND")</f>
        <v>Wellness</v>
      </c>
    </row>
    <row r="936" spans="1:17">
      <c r="A936" t="s">
        <v>980</v>
      </c>
      <c r="B936" s="2">
        <v>45763</v>
      </c>
      <c r="C936">
        <v>13</v>
      </c>
      <c r="D936" t="s">
        <v>31</v>
      </c>
      <c r="E936" t="s">
        <v>32</v>
      </c>
      <c r="F936" s="7">
        <v>1043.1199999999999</v>
      </c>
      <c r="G936" s="10">
        <v>0.1</v>
      </c>
      <c r="H936" s="7">
        <v>938.81</v>
      </c>
      <c r="I936">
        <v>1</v>
      </c>
      <c r="J936" t="s">
        <v>16</v>
      </c>
      <c r="K936" s="13">
        <f>ROUND(tblTransactions[[#This Row],[gross_sales_inr]]*(1-tblTransactions[[#This Row],[discount_pct]]),2)</f>
        <v>938.81</v>
      </c>
      <c r="L936" t="str">
        <f>IF(ABS(tblTransactions[[#This Row],[net_sales_inr]]-tblTransactions[[#This Row],[Recalc_Net_Sales]])&lt;0.02,"OK","CHECK")</f>
        <v>OK</v>
      </c>
      <c r="M936" s="14">
        <f>DATE(YEAR(tblTransactions[[#This Row],[date]]),MONTH(tblTransactions[[#This Row],[date]]),1)</f>
        <v>45748</v>
      </c>
      <c r="N936" t="str">
        <f>IF(WEEKDAY(tblTransactions[[#This Row],[date]],2)&gt;5,"Weekend","Weekday")</f>
        <v>Weekday</v>
      </c>
      <c r="O93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36" s="13" t="str">
        <f>_xlfn.XLOOKUP(tblTransactions[[#This Row],[tenant_id]],tblTenants[tenant_id],tblTenants[zone],"NOT FOUND")</f>
        <v>Entertainment</v>
      </c>
      <c r="Q936" s="13" t="str">
        <f>_xlfn.XLOOKUP(tblTransactions[[#This Row],[tenant_id]],tblTenants[tenant_id],tblTenants[category],"NOT FOUND")</f>
        <v>Arcade</v>
      </c>
    </row>
    <row r="937" spans="1:17">
      <c r="A937" t="s">
        <v>981</v>
      </c>
      <c r="B937" s="2">
        <v>45717</v>
      </c>
      <c r="C937">
        <v>22</v>
      </c>
      <c r="D937" t="s">
        <v>36</v>
      </c>
      <c r="E937" t="s">
        <v>32</v>
      </c>
      <c r="F937" s="7">
        <v>828.13</v>
      </c>
      <c r="G937" s="10">
        <v>0</v>
      </c>
      <c r="H937" s="7">
        <v>828.13</v>
      </c>
      <c r="I937">
        <v>2</v>
      </c>
      <c r="J937" t="s">
        <v>13</v>
      </c>
      <c r="K937" s="13">
        <f>ROUND(tblTransactions[[#This Row],[gross_sales_inr]]*(1-tblTransactions[[#This Row],[discount_pct]]),2)</f>
        <v>828.13</v>
      </c>
      <c r="L937" t="str">
        <f>IF(ABS(tblTransactions[[#This Row],[net_sales_inr]]-tblTransactions[[#This Row],[Recalc_Net_Sales]])&lt;0.02,"OK","CHECK")</f>
        <v>OK</v>
      </c>
      <c r="M937" s="14">
        <f>DATE(YEAR(tblTransactions[[#This Row],[date]]),MONTH(tblTransactions[[#This Row],[date]]),1)</f>
        <v>45717</v>
      </c>
      <c r="N937" t="str">
        <f>IF(WEEKDAY(tblTransactions[[#This Row],[date]],2)&gt;5,"Weekend","Weekday")</f>
        <v>Weekend</v>
      </c>
      <c r="O937" s="13" t="str">
        <f>IF(tblTransactions[[#This Row],[discount_pct]]=0,"0%",IF(tblTransactions[[#This Row],[discount_pct]]&lt;=10%,"1–
10%",IF(tblTransactions[[#This Row],[discount_pct]]&lt;=20%,"11–20%","&gt;20%")))</f>
        <v>0%</v>
      </c>
      <c r="P937" s="13" t="str">
        <f>_xlfn.XLOOKUP(tblTransactions[[#This Row],[tenant_id]],tblTenants[tenant_id],tblTenants[zone],"NOT FOUND")</f>
        <v>Home &amp; Living</v>
      </c>
      <c r="Q937" s="13" t="str">
        <f>_xlfn.XLOOKUP(tblTransactions[[#This Row],[tenant_id]],tblTenants[tenant_id],tblTenants[category],"NOT FOUND")</f>
        <v>Electronics</v>
      </c>
    </row>
    <row r="938" spans="1:17">
      <c r="A938" t="s">
        <v>982</v>
      </c>
      <c r="B938" s="2">
        <v>45717</v>
      </c>
      <c r="C938">
        <v>18</v>
      </c>
      <c r="D938" t="s">
        <v>85</v>
      </c>
      <c r="E938" t="s">
        <v>32</v>
      </c>
      <c r="F938" s="7">
        <v>506.9</v>
      </c>
      <c r="G938" s="10">
        <v>0.1</v>
      </c>
      <c r="H938" s="7">
        <v>456.21</v>
      </c>
      <c r="I938">
        <v>1</v>
      </c>
      <c r="J938" t="s">
        <v>16</v>
      </c>
      <c r="K938" s="13">
        <f>ROUND(tblTransactions[[#This Row],[gross_sales_inr]]*(1-tblTransactions[[#This Row],[discount_pct]]),2)</f>
        <v>456.21</v>
      </c>
      <c r="L938" t="str">
        <f>IF(ABS(tblTransactions[[#This Row],[net_sales_inr]]-tblTransactions[[#This Row],[Recalc_Net_Sales]])&lt;0.02,"OK","CHECK")</f>
        <v>OK</v>
      </c>
      <c r="M938" s="14">
        <f>DATE(YEAR(tblTransactions[[#This Row],[date]]),MONTH(tblTransactions[[#This Row],[date]]),1)</f>
        <v>45717</v>
      </c>
      <c r="N938" t="str">
        <f>IF(WEEKDAY(tblTransactions[[#This Row],[date]],2)&gt;5,"Weekend","Weekday")</f>
        <v>Weekend</v>
      </c>
      <c r="O93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38" s="13" t="str">
        <f>_xlfn.XLOOKUP(tblTransactions[[#This Row],[tenant_id]],tblTenants[tenant_id],tblTenants[zone],"NOT FOUND")</f>
        <v>Home &amp; Living</v>
      </c>
      <c r="Q938" s="13" t="str">
        <f>_xlfn.XLOOKUP(tblTransactions[[#This Row],[tenant_id]],tblTenants[tenant_id],tblTenants[category],"NOT FOUND")</f>
        <v>Electronics</v>
      </c>
    </row>
    <row r="939" spans="1:17">
      <c r="A939" t="s">
        <v>983</v>
      </c>
      <c r="B939" s="2">
        <v>45723</v>
      </c>
      <c r="C939">
        <v>21</v>
      </c>
      <c r="D939" t="s">
        <v>80</v>
      </c>
      <c r="E939" t="s">
        <v>12</v>
      </c>
      <c r="F939" s="7">
        <v>833.92</v>
      </c>
      <c r="G939" s="10">
        <v>0.05</v>
      </c>
      <c r="H939" s="7">
        <v>792.22</v>
      </c>
      <c r="I939">
        <v>4</v>
      </c>
      <c r="J939" t="s">
        <v>16</v>
      </c>
      <c r="K939" s="13">
        <f>ROUND(tblTransactions[[#This Row],[gross_sales_inr]]*(1-tblTransactions[[#This Row],[discount_pct]]),2)</f>
        <v>792.22</v>
      </c>
      <c r="L939" t="str">
        <f>IF(ABS(tblTransactions[[#This Row],[net_sales_inr]]-tblTransactions[[#This Row],[Recalc_Net_Sales]])&lt;0.02,"OK","CHECK")</f>
        <v>OK</v>
      </c>
      <c r="M939" s="14">
        <f>DATE(YEAR(tblTransactions[[#This Row],[date]]),MONTH(tblTransactions[[#This Row],[date]]),1)</f>
        <v>45717</v>
      </c>
      <c r="N939" t="str">
        <f>IF(WEEKDAY(tblTransactions[[#This Row],[date]],2)&gt;5,"Weekend","Weekday")</f>
        <v>Weekday</v>
      </c>
      <c r="O93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39" s="13" t="str">
        <f>_xlfn.XLOOKUP(tblTransactions[[#This Row],[tenant_id]],tblTenants[tenant_id],tblTenants[zone],"NOT FOUND")</f>
        <v>Food Court</v>
      </c>
      <c r="Q939" s="13" t="str">
        <f>_xlfn.XLOOKUP(tblTransactions[[#This Row],[tenant_id]],tblTenants[tenant_id],tblTenants[category],"NOT FOUND")</f>
        <v>Casual Dining</v>
      </c>
    </row>
    <row r="940" spans="1:17">
      <c r="A940" t="s">
        <v>984</v>
      </c>
      <c r="B940" s="2">
        <v>45662</v>
      </c>
      <c r="C940">
        <v>15</v>
      </c>
      <c r="D940" t="s">
        <v>104</v>
      </c>
      <c r="E940" t="s">
        <v>12</v>
      </c>
      <c r="F940" s="7">
        <v>414.36</v>
      </c>
      <c r="G940" s="10">
        <v>0.05</v>
      </c>
      <c r="H940" s="7">
        <v>393.64</v>
      </c>
      <c r="I940">
        <v>3</v>
      </c>
      <c r="J940" t="s">
        <v>13</v>
      </c>
      <c r="K940" s="13">
        <f>ROUND(tblTransactions[[#This Row],[gross_sales_inr]]*(1-tblTransactions[[#This Row],[discount_pct]]),2)</f>
        <v>393.64</v>
      </c>
      <c r="L940" t="str">
        <f>IF(ABS(tblTransactions[[#This Row],[net_sales_inr]]-tblTransactions[[#This Row],[Recalc_Net_Sales]])&lt;0.02,"OK","CHECK")</f>
        <v>OK</v>
      </c>
      <c r="M940" s="14">
        <f>DATE(YEAR(tblTransactions[[#This Row],[date]]),MONTH(tblTransactions[[#This Row],[date]]),1)</f>
        <v>45658</v>
      </c>
      <c r="N940" t="str">
        <f>IF(WEEKDAY(tblTransactions[[#This Row],[date]],2)&gt;5,"Weekend","Weekday")</f>
        <v>Weekend</v>
      </c>
      <c r="O94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40" s="13" t="str">
        <f>_xlfn.XLOOKUP(tblTransactions[[#This Row],[tenant_id]],tblTenants[tenant_id],tblTenants[zone],"NOT FOUND")</f>
        <v>Entertainment</v>
      </c>
      <c r="Q940" s="13" t="str">
        <f>_xlfn.XLOOKUP(tblTransactions[[#This Row],[tenant_id]],tblTenants[tenant_id],tblTenants[category],"NOT FOUND")</f>
        <v>Family Entertainment</v>
      </c>
    </row>
    <row r="941" spans="1:17">
      <c r="A941" t="s">
        <v>985</v>
      </c>
      <c r="B941" s="2">
        <v>45825</v>
      </c>
      <c r="C941">
        <v>17</v>
      </c>
      <c r="D941" t="s">
        <v>36</v>
      </c>
      <c r="E941" t="s">
        <v>32</v>
      </c>
      <c r="F941" s="7">
        <v>582.62</v>
      </c>
      <c r="G941" s="10">
        <v>0</v>
      </c>
      <c r="H941" s="7">
        <v>582.62</v>
      </c>
      <c r="I941">
        <v>5</v>
      </c>
      <c r="J941" t="s">
        <v>13</v>
      </c>
      <c r="K941" s="13">
        <f>ROUND(tblTransactions[[#This Row],[gross_sales_inr]]*(1-tblTransactions[[#This Row],[discount_pct]]),2)</f>
        <v>582.62</v>
      </c>
      <c r="L941" t="str">
        <f>IF(ABS(tblTransactions[[#This Row],[net_sales_inr]]-tblTransactions[[#This Row],[Recalc_Net_Sales]])&lt;0.02,"OK","CHECK")</f>
        <v>OK</v>
      </c>
      <c r="M941" s="14">
        <f>DATE(YEAR(tblTransactions[[#This Row],[date]]),MONTH(tblTransactions[[#This Row],[date]]),1)</f>
        <v>45809</v>
      </c>
      <c r="N941" t="str">
        <f>IF(WEEKDAY(tblTransactions[[#This Row],[date]],2)&gt;5,"Weekend","Weekday")</f>
        <v>Weekday</v>
      </c>
      <c r="O941" s="13" t="str">
        <f>IF(tblTransactions[[#This Row],[discount_pct]]=0,"0%",IF(tblTransactions[[#This Row],[discount_pct]]&lt;=10%,"1–
10%",IF(tblTransactions[[#This Row],[discount_pct]]&lt;=20%,"11–20%","&gt;20%")))</f>
        <v>0%</v>
      </c>
      <c r="P941" s="13" t="str">
        <f>_xlfn.XLOOKUP(tblTransactions[[#This Row],[tenant_id]],tblTenants[tenant_id],tblTenants[zone],"NOT FOUND")</f>
        <v>Home &amp; Living</v>
      </c>
      <c r="Q941" s="13" t="str">
        <f>_xlfn.XLOOKUP(tblTransactions[[#This Row],[tenant_id]],tblTenants[tenant_id],tblTenants[category],"NOT FOUND")</f>
        <v>Electronics</v>
      </c>
    </row>
    <row r="942" spans="1:17">
      <c r="A942" t="s">
        <v>986</v>
      </c>
      <c r="B942" s="2">
        <v>45796</v>
      </c>
      <c r="C942">
        <v>15</v>
      </c>
      <c r="D942" t="s">
        <v>85</v>
      </c>
      <c r="E942" t="s">
        <v>32</v>
      </c>
      <c r="F942" s="7">
        <v>479.75</v>
      </c>
      <c r="G942" s="10">
        <v>0.1</v>
      </c>
      <c r="H942" s="7">
        <v>431.78</v>
      </c>
      <c r="I942">
        <v>4</v>
      </c>
      <c r="J942" t="s">
        <v>13</v>
      </c>
      <c r="K942" s="13">
        <f>ROUND(tblTransactions[[#This Row],[gross_sales_inr]]*(1-tblTransactions[[#This Row],[discount_pct]]),2)</f>
        <v>431.78</v>
      </c>
      <c r="L942" t="str">
        <f>IF(ABS(tblTransactions[[#This Row],[net_sales_inr]]-tblTransactions[[#This Row],[Recalc_Net_Sales]])&lt;0.02,"OK","CHECK")</f>
        <v>OK</v>
      </c>
      <c r="M942" s="14">
        <f>DATE(YEAR(tblTransactions[[#This Row],[date]]),MONTH(tblTransactions[[#This Row],[date]]),1)</f>
        <v>45778</v>
      </c>
      <c r="N942" t="str">
        <f>IF(WEEKDAY(tblTransactions[[#This Row],[date]],2)&gt;5,"Weekend","Weekday")</f>
        <v>Weekday</v>
      </c>
      <c r="O94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42" s="13" t="str">
        <f>_xlfn.XLOOKUP(tblTransactions[[#This Row],[tenant_id]],tblTenants[tenant_id],tblTenants[zone],"NOT FOUND")</f>
        <v>Home &amp; Living</v>
      </c>
      <c r="Q942" s="13" t="str">
        <f>_xlfn.XLOOKUP(tblTransactions[[#This Row],[tenant_id]],tblTenants[tenant_id],tblTenants[category],"NOT FOUND")</f>
        <v>Electronics</v>
      </c>
    </row>
    <row r="943" spans="1:17">
      <c r="A943" t="s">
        <v>987</v>
      </c>
      <c r="B943" s="2">
        <v>45712</v>
      </c>
      <c r="C943">
        <v>13</v>
      </c>
      <c r="D943" t="s">
        <v>48</v>
      </c>
      <c r="E943" t="s">
        <v>51</v>
      </c>
      <c r="F943" s="7">
        <v>1665.61</v>
      </c>
      <c r="G943" s="10">
        <v>0.15</v>
      </c>
      <c r="H943" s="7">
        <v>1415.77</v>
      </c>
      <c r="I943">
        <v>1</v>
      </c>
      <c r="J943" t="s">
        <v>16</v>
      </c>
      <c r="K943" s="13">
        <f>ROUND(tblTransactions[[#This Row],[gross_sales_inr]]*(1-tblTransactions[[#This Row],[discount_pct]]),2)</f>
        <v>1415.77</v>
      </c>
      <c r="L943" t="str">
        <f>IF(ABS(tblTransactions[[#This Row],[net_sales_inr]]-tblTransactions[[#This Row],[Recalc_Net_Sales]])&lt;0.02,"OK","CHECK")</f>
        <v>OK</v>
      </c>
      <c r="M943" s="14">
        <f>DATE(YEAR(tblTransactions[[#This Row],[date]]),MONTH(tblTransactions[[#This Row],[date]]),1)</f>
        <v>45689</v>
      </c>
      <c r="N943" t="str">
        <f>IF(WEEKDAY(tblTransactions[[#This Row],[date]],2)&gt;5,"Weekend","Weekday")</f>
        <v>Weekday</v>
      </c>
      <c r="O94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43" s="13" t="str">
        <f>_xlfn.XLOOKUP(tblTransactions[[#This Row],[tenant_id]],tblTenants[tenant_id],tblTenants[zone],"NOT FOUND")</f>
        <v>Beauty &amp; Wellness</v>
      </c>
      <c r="Q943" s="13" t="str">
        <f>_xlfn.XLOOKUP(tblTransactions[[#This Row],[tenant_id]],tblTenants[tenant_id],tblTenants[category],"NOT FOUND")</f>
        <v>Wellness</v>
      </c>
    </row>
    <row r="944" spans="1:17">
      <c r="A944" t="s">
        <v>988</v>
      </c>
      <c r="B944" s="2">
        <v>45738</v>
      </c>
      <c r="C944">
        <v>10</v>
      </c>
      <c r="D944" t="s">
        <v>104</v>
      </c>
      <c r="E944" t="s">
        <v>32</v>
      </c>
      <c r="F944" s="7">
        <v>1091.6199999999999</v>
      </c>
      <c r="G944" s="10">
        <v>0.3</v>
      </c>
      <c r="H944" s="7">
        <v>764.13</v>
      </c>
      <c r="I944">
        <v>1</v>
      </c>
      <c r="J944" t="s">
        <v>13</v>
      </c>
      <c r="K944" s="13">
        <f>ROUND(tblTransactions[[#This Row],[gross_sales_inr]]*(1-tblTransactions[[#This Row],[discount_pct]]),2)</f>
        <v>764.13</v>
      </c>
      <c r="L944" t="str">
        <f>IF(ABS(tblTransactions[[#This Row],[net_sales_inr]]-tblTransactions[[#This Row],[Recalc_Net_Sales]])&lt;0.02,"OK","CHECK")</f>
        <v>OK</v>
      </c>
      <c r="M944" s="14">
        <f>DATE(YEAR(tblTransactions[[#This Row],[date]]),MONTH(tblTransactions[[#This Row],[date]]),1)</f>
        <v>45717</v>
      </c>
      <c r="N944" t="str">
        <f>IF(WEEKDAY(tblTransactions[[#This Row],[date]],2)&gt;5,"Weekend","Weekday")</f>
        <v>Weekend</v>
      </c>
      <c r="O94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944" s="13" t="str">
        <f>_xlfn.XLOOKUP(tblTransactions[[#This Row],[tenant_id]],tblTenants[tenant_id],tblTenants[zone],"NOT FOUND")</f>
        <v>Entertainment</v>
      </c>
      <c r="Q944" s="13" t="str">
        <f>_xlfn.XLOOKUP(tblTransactions[[#This Row],[tenant_id]],tblTenants[tenant_id],tblTenants[category],"NOT FOUND")</f>
        <v>Family Entertainment</v>
      </c>
    </row>
    <row r="945" spans="1:17">
      <c r="A945" t="s">
        <v>989</v>
      </c>
      <c r="B945" s="2">
        <v>45734</v>
      </c>
      <c r="C945">
        <v>22</v>
      </c>
      <c r="D945" t="s">
        <v>45</v>
      </c>
      <c r="E945" t="s">
        <v>12</v>
      </c>
      <c r="F945" s="7">
        <v>1641.87</v>
      </c>
      <c r="G945" s="10">
        <v>0</v>
      </c>
      <c r="H945" s="7">
        <v>1641.87</v>
      </c>
      <c r="I945">
        <v>6</v>
      </c>
      <c r="J945" t="s">
        <v>13</v>
      </c>
      <c r="K945" s="13">
        <f>ROUND(tblTransactions[[#This Row],[gross_sales_inr]]*(1-tblTransactions[[#This Row],[discount_pct]]),2)</f>
        <v>1641.87</v>
      </c>
      <c r="L945" t="str">
        <f>IF(ABS(tblTransactions[[#This Row],[net_sales_inr]]-tblTransactions[[#This Row],[Recalc_Net_Sales]])&lt;0.02,"OK","CHECK")</f>
        <v>OK</v>
      </c>
      <c r="M945" s="14">
        <f>DATE(YEAR(tblTransactions[[#This Row],[date]]),MONTH(tblTransactions[[#This Row],[date]]),1)</f>
        <v>45717</v>
      </c>
      <c r="N945" t="str">
        <f>IF(WEEKDAY(tblTransactions[[#This Row],[date]],2)&gt;5,"Weekend","Weekday")</f>
        <v>Weekday</v>
      </c>
      <c r="O945" s="13" t="str">
        <f>IF(tblTransactions[[#This Row],[discount_pct]]=0,"0%",IF(tblTransactions[[#This Row],[discount_pct]]&lt;=10%,"1–
10%",IF(tblTransactions[[#This Row],[discount_pct]]&lt;=20%,"11–20%","&gt;20%")))</f>
        <v>0%</v>
      </c>
      <c r="P945" s="13" t="str">
        <f>_xlfn.XLOOKUP(tblTransactions[[#This Row],[tenant_id]],tblTenants[tenant_id],tblTenants[zone],"NOT FOUND")</f>
        <v>Home &amp; Living</v>
      </c>
      <c r="Q945" s="13" t="str">
        <f>_xlfn.XLOOKUP(tblTransactions[[#This Row],[tenant_id]],tblTenants[tenant_id],tblTenants[category],"NOT FOUND")</f>
        <v>Home Decor</v>
      </c>
    </row>
    <row r="946" spans="1:17">
      <c r="A946" t="s">
        <v>990</v>
      </c>
      <c r="B946" s="2">
        <v>45766</v>
      </c>
      <c r="C946">
        <v>18</v>
      </c>
      <c r="D946" t="s">
        <v>43</v>
      </c>
      <c r="E946" t="s">
        <v>12</v>
      </c>
      <c r="F946" s="7">
        <v>445.86</v>
      </c>
      <c r="G946" s="10">
        <v>0</v>
      </c>
      <c r="H946" s="7">
        <v>445.86</v>
      </c>
      <c r="I946">
        <v>4</v>
      </c>
      <c r="J946" t="s">
        <v>13</v>
      </c>
      <c r="K946" s="13">
        <f>ROUND(tblTransactions[[#This Row],[gross_sales_inr]]*(1-tblTransactions[[#This Row],[discount_pct]]),2)</f>
        <v>445.86</v>
      </c>
      <c r="L946" t="str">
        <f>IF(ABS(tblTransactions[[#This Row],[net_sales_inr]]-tblTransactions[[#This Row],[Recalc_Net_Sales]])&lt;0.02,"OK","CHECK")</f>
        <v>OK</v>
      </c>
      <c r="M946" s="14">
        <f>DATE(YEAR(tblTransactions[[#This Row],[date]]),MONTH(tblTransactions[[#This Row],[date]]),1)</f>
        <v>45748</v>
      </c>
      <c r="N946" t="str">
        <f>IF(WEEKDAY(tblTransactions[[#This Row],[date]],2)&gt;5,"Weekend","Weekday")</f>
        <v>Weekend</v>
      </c>
      <c r="O946" s="13" t="str">
        <f>IF(tblTransactions[[#This Row],[discount_pct]]=0,"0%",IF(tblTransactions[[#This Row],[discount_pct]]&lt;=10%,"1–
10%",IF(tblTransactions[[#This Row],[discount_pct]]&lt;=20%,"11–20%","&gt;20%")))</f>
        <v>0%</v>
      </c>
      <c r="P946" s="13" t="str">
        <f>_xlfn.XLOOKUP(tblTransactions[[#This Row],[tenant_id]],tblTenants[tenant_id],tblTenants[zone],"NOT FOUND")</f>
        <v>Food Court</v>
      </c>
      <c r="Q946" s="13" t="str">
        <f>_xlfn.XLOOKUP(tblTransactions[[#This Row],[tenant_id]],tblTenants[tenant_id],tblTenants[category],"NOT FOUND")</f>
        <v>Casual Dining</v>
      </c>
    </row>
    <row r="947" spans="1:17">
      <c r="A947" t="s">
        <v>991</v>
      </c>
      <c r="B947" s="2">
        <v>45761</v>
      </c>
      <c r="C947">
        <v>12</v>
      </c>
      <c r="D947" t="s">
        <v>43</v>
      </c>
      <c r="E947" t="s">
        <v>12</v>
      </c>
      <c r="F947" s="7">
        <v>2759.32</v>
      </c>
      <c r="G947" s="10">
        <v>0</v>
      </c>
      <c r="H947" s="7">
        <v>2759.32</v>
      </c>
      <c r="I947">
        <v>1</v>
      </c>
      <c r="J947" t="s">
        <v>16</v>
      </c>
      <c r="K947" s="13">
        <f>ROUND(tblTransactions[[#This Row],[gross_sales_inr]]*(1-tblTransactions[[#This Row],[discount_pct]]),2)</f>
        <v>2759.32</v>
      </c>
      <c r="L947" t="str">
        <f>IF(ABS(tblTransactions[[#This Row],[net_sales_inr]]-tblTransactions[[#This Row],[Recalc_Net_Sales]])&lt;0.02,"OK","CHECK")</f>
        <v>OK</v>
      </c>
      <c r="M947" s="14">
        <f>DATE(YEAR(tblTransactions[[#This Row],[date]]),MONTH(tblTransactions[[#This Row],[date]]),1)</f>
        <v>45748</v>
      </c>
      <c r="N947" t="str">
        <f>IF(WEEKDAY(tblTransactions[[#This Row],[date]],2)&gt;5,"Weekend","Weekday")</f>
        <v>Weekday</v>
      </c>
      <c r="O947" s="13" t="str">
        <f>IF(tblTransactions[[#This Row],[discount_pct]]=0,"0%",IF(tblTransactions[[#This Row],[discount_pct]]&lt;=10%,"1–
10%",IF(tblTransactions[[#This Row],[discount_pct]]&lt;=20%,"11–20%","&gt;20%")))</f>
        <v>0%</v>
      </c>
      <c r="P947" s="13" t="str">
        <f>_xlfn.XLOOKUP(tblTransactions[[#This Row],[tenant_id]],tblTenants[tenant_id],tblTenants[zone],"NOT FOUND")</f>
        <v>Food Court</v>
      </c>
      <c r="Q947" s="13" t="str">
        <f>_xlfn.XLOOKUP(tblTransactions[[#This Row],[tenant_id]],tblTenants[tenant_id],tblTenants[category],"NOT FOUND")</f>
        <v>Casual Dining</v>
      </c>
    </row>
    <row r="948" spans="1:17">
      <c r="A948" t="s">
        <v>992</v>
      </c>
      <c r="B948" s="2">
        <v>45815</v>
      </c>
      <c r="C948">
        <v>15</v>
      </c>
      <c r="D948" t="s">
        <v>53</v>
      </c>
      <c r="E948" t="s">
        <v>32</v>
      </c>
      <c r="F948" s="7">
        <v>778.97</v>
      </c>
      <c r="G948" s="10">
        <v>0.2</v>
      </c>
      <c r="H948" s="7">
        <v>623.17999999999995</v>
      </c>
      <c r="I948">
        <v>2</v>
      </c>
      <c r="J948" t="s">
        <v>13</v>
      </c>
      <c r="K948" s="13">
        <f>ROUND(tblTransactions[[#This Row],[gross_sales_inr]]*(1-tblTransactions[[#This Row],[discount_pct]]),2)</f>
        <v>623.17999999999995</v>
      </c>
      <c r="L948" t="str">
        <f>IF(ABS(tblTransactions[[#This Row],[net_sales_inr]]-tblTransactions[[#This Row],[Recalc_Net_Sales]])&lt;0.02,"OK","CHECK")</f>
        <v>OK</v>
      </c>
      <c r="M948" s="14">
        <f>DATE(YEAR(tblTransactions[[#This Row],[date]]),MONTH(tblTransactions[[#This Row],[date]]),1)</f>
        <v>45809</v>
      </c>
      <c r="N948" t="str">
        <f>IF(WEEKDAY(tblTransactions[[#This Row],[date]],2)&gt;5,"Weekend","Weekday")</f>
        <v>Weekend</v>
      </c>
      <c r="O94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48" s="13" t="str">
        <f>_xlfn.XLOOKUP(tblTransactions[[#This Row],[tenant_id]],tblTenants[tenant_id],tblTenants[zone],"NOT FOUND")</f>
        <v>Beauty &amp; Wellness</v>
      </c>
      <c r="Q948" s="13" t="str">
        <f>_xlfn.XLOOKUP(tblTransactions[[#This Row],[tenant_id]],tblTenants[tenant_id],tblTenants[category],"NOT FOUND")</f>
        <v>Beauty</v>
      </c>
    </row>
    <row r="949" spans="1:17">
      <c r="A949" t="s">
        <v>993</v>
      </c>
      <c r="B949" s="2">
        <v>45671</v>
      </c>
      <c r="C949">
        <v>12</v>
      </c>
      <c r="D949" t="s">
        <v>45</v>
      </c>
      <c r="E949" t="s">
        <v>32</v>
      </c>
      <c r="F949" s="7">
        <v>377.32</v>
      </c>
      <c r="G949" s="10">
        <v>0.15</v>
      </c>
      <c r="H949" s="7">
        <v>320.72000000000003</v>
      </c>
      <c r="I949">
        <v>3</v>
      </c>
      <c r="J949" t="s">
        <v>16</v>
      </c>
      <c r="K949" s="13">
        <f>ROUND(tblTransactions[[#This Row],[gross_sales_inr]]*(1-tblTransactions[[#This Row],[discount_pct]]),2)</f>
        <v>320.72000000000003</v>
      </c>
      <c r="L949" t="str">
        <f>IF(ABS(tblTransactions[[#This Row],[net_sales_inr]]-tblTransactions[[#This Row],[Recalc_Net_Sales]])&lt;0.02,"OK","CHECK")</f>
        <v>OK</v>
      </c>
      <c r="M949" s="14">
        <f>DATE(YEAR(tblTransactions[[#This Row],[date]]),MONTH(tblTransactions[[#This Row],[date]]),1)</f>
        <v>45658</v>
      </c>
      <c r="N949" t="str">
        <f>IF(WEEKDAY(tblTransactions[[#This Row],[date]],2)&gt;5,"Weekend","Weekday")</f>
        <v>Weekday</v>
      </c>
      <c r="O94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49" s="13" t="str">
        <f>_xlfn.XLOOKUP(tblTransactions[[#This Row],[tenant_id]],tblTenants[tenant_id],tblTenants[zone],"NOT FOUND")</f>
        <v>Home &amp; Living</v>
      </c>
      <c r="Q949" s="13" t="str">
        <f>_xlfn.XLOOKUP(tblTransactions[[#This Row],[tenant_id]],tblTenants[tenant_id],tblTenants[category],"NOT FOUND")</f>
        <v>Home Decor</v>
      </c>
    </row>
    <row r="950" spans="1:17">
      <c r="A950" t="s">
        <v>994</v>
      </c>
      <c r="B950" s="2">
        <v>45795</v>
      </c>
      <c r="C950">
        <v>14</v>
      </c>
      <c r="D950" t="s">
        <v>31</v>
      </c>
      <c r="E950" t="s">
        <v>12</v>
      </c>
      <c r="F950" s="7">
        <v>365.24</v>
      </c>
      <c r="G950" s="10">
        <v>0.1</v>
      </c>
      <c r="H950" s="7">
        <v>328.72</v>
      </c>
      <c r="I950">
        <v>1</v>
      </c>
      <c r="J950" t="s">
        <v>13</v>
      </c>
      <c r="K950" s="13">
        <f>ROUND(tblTransactions[[#This Row],[gross_sales_inr]]*(1-tblTransactions[[#This Row],[discount_pct]]),2)</f>
        <v>328.72</v>
      </c>
      <c r="L950" t="str">
        <f>IF(ABS(tblTransactions[[#This Row],[net_sales_inr]]-tblTransactions[[#This Row],[Recalc_Net_Sales]])&lt;0.02,"OK","CHECK")</f>
        <v>OK</v>
      </c>
      <c r="M950" s="14">
        <f>DATE(YEAR(tblTransactions[[#This Row],[date]]),MONTH(tblTransactions[[#This Row],[date]]),1)</f>
        <v>45778</v>
      </c>
      <c r="N950" t="str">
        <f>IF(WEEKDAY(tblTransactions[[#This Row],[date]],2)&gt;5,"Weekend","Weekday")</f>
        <v>Weekend</v>
      </c>
      <c r="O95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50" s="13" t="str">
        <f>_xlfn.XLOOKUP(tblTransactions[[#This Row],[tenant_id]],tblTenants[tenant_id],tblTenants[zone],"NOT FOUND")</f>
        <v>Entertainment</v>
      </c>
      <c r="Q950" s="13" t="str">
        <f>_xlfn.XLOOKUP(tblTransactions[[#This Row],[tenant_id]],tblTenants[tenant_id],tblTenants[category],"NOT FOUND")</f>
        <v>Arcade</v>
      </c>
    </row>
    <row r="951" spans="1:17">
      <c r="A951" t="s">
        <v>995</v>
      </c>
      <c r="B951" s="2">
        <v>45766</v>
      </c>
      <c r="C951">
        <v>19</v>
      </c>
      <c r="D951" t="s">
        <v>48</v>
      </c>
      <c r="E951" t="s">
        <v>32</v>
      </c>
      <c r="F951" s="7">
        <v>1082.46</v>
      </c>
      <c r="G951" s="10">
        <v>0.2</v>
      </c>
      <c r="H951" s="7">
        <v>865.97</v>
      </c>
      <c r="I951">
        <v>2</v>
      </c>
      <c r="J951" t="s">
        <v>13</v>
      </c>
      <c r="K951" s="13">
        <f>ROUND(tblTransactions[[#This Row],[gross_sales_inr]]*(1-tblTransactions[[#This Row],[discount_pct]]),2)</f>
        <v>865.97</v>
      </c>
      <c r="L951" t="str">
        <f>IF(ABS(tblTransactions[[#This Row],[net_sales_inr]]-tblTransactions[[#This Row],[Recalc_Net_Sales]])&lt;0.02,"OK","CHECK")</f>
        <v>OK</v>
      </c>
      <c r="M951" s="14">
        <f>DATE(YEAR(tblTransactions[[#This Row],[date]]),MONTH(tblTransactions[[#This Row],[date]]),1)</f>
        <v>45748</v>
      </c>
      <c r="N951" t="str">
        <f>IF(WEEKDAY(tblTransactions[[#This Row],[date]],2)&gt;5,"Weekend","Weekday")</f>
        <v>Weekend</v>
      </c>
      <c r="O95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51" s="13" t="str">
        <f>_xlfn.XLOOKUP(tblTransactions[[#This Row],[tenant_id]],tblTenants[tenant_id],tblTenants[zone],"NOT FOUND")</f>
        <v>Beauty &amp; Wellness</v>
      </c>
      <c r="Q951" s="13" t="str">
        <f>_xlfn.XLOOKUP(tblTransactions[[#This Row],[tenant_id]],tblTenants[tenant_id],tblTenants[category],"NOT FOUND")</f>
        <v>Wellness</v>
      </c>
    </row>
    <row r="952" spans="1:17">
      <c r="A952" t="s">
        <v>996</v>
      </c>
      <c r="B952" s="2">
        <v>45718</v>
      </c>
      <c r="C952">
        <v>22</v>
      </c>
      <c r="D952" t="s">
        <v>80</v>
      </c>
      <c r="E952" t="s">
        <v>12</v>
      </c>
      <c r="F952" s="7">
        <v>1107.1400000000001</v>
      </c>
      <c r="G952" s="10">
        <v>0.1</v>
      </c>
      <c r="H952" s="7">
        <v>996.43</v>
      </c>
      <c r="I952">
        <v>5</v>
      </c>
      <c r="J952" t="s">
        <v>16</v>
      </c>
      <c r="K952" s="13">
        <f>ROUND(tblTransactions[[#This Row],[gross_sales_inr]]*(1-tblTransactions[[#This Row],[discount_pct]]),2)</f>
        <v>996.43</v>
      </c>
      <c r="L952" t="str">
        <f>IF(ABS(tblTransactions[[#This Row],[net_sales_inr]]-tblTransactions[[#This Row],[Recalc_Net_Sales]])&lt;0.02,"OK","CHECK")</f>
        <v>OK</v>
      </c>
      <c r="M952" s="14">
        <f>DATE(YEAR(tblTransactions[[#This Row],[date]]),MONTH(tblTransactions[[#This Row],[date]]),1)</f>
        <v>45717</v>
      </c>
      <c r="N952" t="str">
        <f>IF(WEEKDAY(tblTransactions[[#This Row],[date]],2)&gt;5,"Weekend","Weekday")</f>
        <v>Weekend</v>
      </c>
      <c r="O95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52" s="13" t="str">
        <f>_xlfn.XLOOKUP(tblTransactions[[#This Row],[tenant_id]],tblTenants[tenant_id],tblTenants[zone],"NOT FOUND")</f>
        <v>Food Court</v>
      </c>
      <c r="Q952" s="13" t="str">
        <f>_xlfn.XLOOKUP(tblTransactions[[#This Row],[tenant_id]],tblTenants[tenant_id],tblTenants[category],"NOT FOUND")</f>
        <v>Casual Dining</v>
      </c>
    </row>
    <row r="953" spans="1:17">
      <c r="A953" t="s">
        <v>997</v>
      </c>
      <c r="B953" s="2">
        <v>45785</v>
      </c>
      <c r="C953">
        <v>15</v>
      </c>
      <c r="D953" t="s">
        <v>104</v>
      </c>
      <c r="E953" t="s">
        <v>12</v>
      </c>
      <c r="F953" s="7">
        <v>587.80999999999995</v>
      </c>
      <c r="G953" s="10">
        <v>0.1</v>
      </c>
      <c r="H953" s="7">
        <v>529.03</v>
      </c>
      <c r="I953">
        <v>3</v>
      </c>
      <c r="J953" t="s">
        <v>13</v>
      </c>
      <c r="K953" s="13">
        <f>ROUND(tblTransactions[[#This Row],[gross_sales_inr]]*(1-tblTransactions[[#This Row],[discount_pct]]),2)</f>
        <v>529.03</v>
      </c>
      <c r="L953" t="str">
        <f>IF(ABS(tblTransactions[[#This Row],[net_sales_inr]]-tblTransactions[[#This Row],[Recalc_Net_Sales]])&lt;0.02,"OK","CHECK")</f>
        <v>OK</v>
      </c>
      <c r="M953" s="14">
        <f>DATE(YEAR(tblTransactions[[#This Row],[date]]),MONTH(tblTransactions[[#This Row],[date]]),1)</f>
        <v>45778</v>
      </c>
      <c r="N953" t="str">
        <f>IF(WEEKDAY(tblTransactions[[#This Row],[date]],2)&gt;5,"Weekend","Weekday")</f>
        <v>Weekday</v>
      </c>
      <c r="O95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53" s="13" t="str">
        <f>_xlfn.XLOOKUP(tblTransactions[[#This Row],[tenant_id]],tblTenants[tenant_id],tblTenants[zone],"NOT FOUND")</f>
        <v>Entertainment</v>
      </c>
      <c r="Q953" s="13" t="str">
        <f>_xlfn.XLOOKUP(tblTransactions[[#This Row],[tenant_id]],tblTenants[tenant_id],tblTenants[category],"NOT FOUND")</f>
        <v>Family Entertainment</v>
      </c>
    </row>
    <row r="954" spans="1:17">
      <c r="A954" t="s">
        <v>998</v>
      </c>
      <c r="B954" s="2">
        <v>45661</v>
      </c>
      <c r="C954">
        <v>10</v>
      </c>
      <c r="D954" t="s">
        <v>18</v>
      </c>
      <c r="E954" t="s">
        <v>32</v>
      </c>
      <c r="F954" s="7">
        <v>1807.16</v>
      </c>
      <c r="G954" s="10">
        <v>0</v>
      </c>
      <c r="H954" s="7">
        <v>1807.16</v>
      </c>
      <c r="I954">
        <v>1</v>
      </c>
      <c r="J954" t="s">
        <v>13</v>
      </c>
      <c r="K954" s="13">
        <f>ROUND(tblTransactions[[#This Row],[gross_sales_inr]]*(1-tblTransactions[[#This Row],[discount_pct]]),2)</f>
        <v>1807.16</v>
      </c>
      <c r="L954" t="str">
        <f>IF(ABS(tblTransactions[[#This Row],[net_sales_inr]]-tblTransactions[[#This Row],[Recalc_Net_Sales]])&lt;0.02,"OK","CHECK")</f>
        <v>OK</v>
      </c>
      <c r="M954" s="14">
        <f>DATE(YEAR(tblTransactions[[#This Row],[date]]),MONTH(tblTransactions[[#This Row],[date]]),1)</f>
        <v>45658</v>
      </c>
      <c r="N954" t="str">
        <f>IF(WEEKDAY(tblTransactions[[#This Row],[date]],2)&gt;5,"Weekend","Weekday")</f>
        <v>Weekend</v>
      </c>
      <c r="O954" s="13" t="str">
        <f>IF(tblTransactions[[#This Row],[discount_pct]]=0,"0%",IF(tblTransactions[[#This Row],[discount_pct]]&lt;=10%,"1–
10%",IF(tblTransactions[[#This Row],[discount_pct]]&lt;=20%,"11–20%","&gt;20%")))</f>
        <v>0%</v>
      </c>
      <c r="P954" s="13" t="str">
        <f>_xlfn.XLOOKUP(tblTransactions[[#This Row],[tenant_id]],tblTenants[tenant_id],tblTenants[zone],"NOT FOUND")</f>
        <v>Beauty &amp; Wellness</v>
      </c>
      <c r="Q954" s="13" t="str">
        <f>_xlfn.XLOOKUP(tblTransactions[[#This Row],[tenant_id]],tblTenants[tenant_id],tblTenants[category],"NOT FOUND")</f>
        <v>Beauty</v>
      </c>
    </row>
    <row r="955" spans="1:17">
      <c r="A955" t="s">
        <v>999</v>
      </c>
      <c r="B955" s="2">
        <v>45733</v>
      </c>
      <c r="C955">
        <v>14</v>
      </c>
      <c r="D955" t="s">
        <v>27</v>
      </c>
      <c r="E955" t="s">
        <v>12</v>
      </c>
      <c r="F955" s="7">
        <v>1393.35</v>
      </c>
      <c r="G955" s="10">
        <v>0</v>
      </c>
      <c r="H955" s="7">
        <v>1393.35</v>
      </c>
      <c r="I955">
        <v>2</v>
      </c>
      <c r="J955" t="s">
        <v>13</v>
      </c>
      <c r="K955" s="13">
        <f>ROUND(tblTransactions[[#This Row],[gross_sales_inr]]*(1-tblTransactions[[#This Row],[discount_pct]]),2)</f>
        <v>1393.35</v>
      </c>
      <c r="L955" t="str">
        <f>IF(ABS(tblTransactions[[#This Row],[net_sales_inr]]-tblTransactions[[#This Row],[Recalc_Net_Sales]])&lt;0.02,"OK","CHECK")</f>
        <v>OK</v>
      </c>
      <c r="M955" s="14">
        <f>DATE(YEAR(tblTransactions[[#This Row],[date]]),MONTH(tblTransactions[[#This Row],[date]]),1)</f>
        <v>45717</v>
      </c>
      <c r="N955" t="str">
        <f>IF(WEEKDAY(tblTransactions[[#This Row],[date]],2)&gt;5,"Weekend","Weekday")</f>
        <v>Weekday</v>
      </c>
      <c r="O955" s="13" t="str">
        <f>IF(tblTransactions[[#This Row],[discount_pct]]=0,"0%",IF(tblTransactions[[#This Row],[discount_pct]]&lt;=10%,"1–
10%",IF(tblTransactions[[#This Row],[discount_pct]]&lt;=20%,"11–20%","&gt;20%")))</f>
        <v>0%</v>
      </c>
      <c r="P955" s="13" t="str">
        <f>_xlfn.XLOOKUP(tblTransactions[[#This Row],[tenant_id]],tblTenants[tenant_id],tblTenants[zone],"NOT FOUND")</f>
        <v>Beauty &amp; Wellness</v>
      </c>
      <c r="Q955" s="13" t="str">
        <f>_xlfn.XLOOKUP(tblTransactions[[#This Row],[tenant_id]],tblTenants[tenant_id],tblTenants[category],"NOT FOUND")</f>
        <v>Wellness</v>
      </c>
    </row>
    <row r="956" spans="1:17">
      <c r="A956" t="s">
        <v>1000</v>
      </c>
      <c r="B956" s="2">
        <v>45773</v>
      </c>
      <c r="C956">
        <v>11</v>
      </c>
      <c r="D956" t="s">
        <v>29</v>
      </c>
      <c r="E956" t="s">
        <v>12</v>
      </c>
      <c r="F956" s="7">
        <v>1080.8699999999999</v>
      </c>
      <c r="G956" s="10">
        <v>0</v>
      </c>
      <c r="H956" s="7">
        <v>1080.8699999999999</v>
      </c>
      <c r="I956">
        <v>2</v>
      </c>
      <c r="J956" t="s">
        <v>13</v>
      </c>
      <c r="K956" s="13">
        <f>ROUND(tblTransactions[[#This Row],[gross_sales_inr]]*(1-tblTransactions[[#This Row],[discount_pct]]),2)</f>
        <v>1080.8699999999999</v>
      </c>
      <c r="L956" t="str">
        <f>IF(ABS(tblTransactions[[#This Row],[net_sales_inr]]-tblTransactions[[#This Row],[Recalc_Net_Sales]])&lt;0.02,"OK","CHECK")</f>
        <v>OK</v>
      </c>
      <c r="M956" s="14">
        <f>DATE(YEAR(tblTransactions[[#This Row],[date]]),MONTH(tblTransactions[[#This Row],[date]]),1)</f>
        <v>45748</v>
      </c>
      <c r="N956" t="str">
        <f>IF(WEEKDAY(tblTransactions[[#This Row],[date]],2)&gt;5,"Weekend","Weekday")</f>
        <v>Weekend</v>
      </c>
      <c r="O956" s="13" t="str">
        <f>IF(tblTransactions[[#This Row],[discount_pct]]=0,"0%",IF(tblTransactions[[#This Row],[discount_pct]]&lt;=10%,"1–
10%",IF(tblTransactions[[#This Row],[discount_pct]]&lt;=20%,"11–20%","&gt;20%")))</f>
        <v>0%</v>
      </c>
      <c r="P956" s="13" t="str">
        <f>_xlfn.XLOOKUP(tblTransactions[[#This Row],[tenant_id]],tblTenants[tenant_id],tblTenants[zone],"NOT FOUND")</f>
        <v>Entertainment</v>
      </c>
      <c r="Q956" s="13" t="str">
        <f>_xlfn.XLOOKUP(tblTransactions[[#This Row],[tenant_id]],tblTenants[tenant_id],tblTenants[category],"NOT FOUND")</f>
        <v>Cinema</v>
      </c>
    </row>
    <row r="957" spans="1:17">
      <c r="A957" t="s">
        <v>1001</v>
      </c>
      <c r="B957" s="2">
        <v>45806</v>
      </c>
      <c r="C957">
        <v>17</v>
      </c>
      <c r="D957" t="s">
        <v>15</v>
      </c>
      <c r="E957" t="s">
        <v>51</v>
      </c>
      <c r="F957" s="7">
        <v>829.88</v>
      </c>
      <c r="G957" s="10">
        <v>0.1</v>
      </c>
      <c r="H957" s="7">
        <v>746.89</v>
      </c>
      <c r="I957">
        <v>4</v>
      </c>
      <c r="J957" t="s">
        <v>16</v>
      </c>
      <c r="K957" s="13">
        <f>ROUND(tblTransactions[[#This Row],[gross_sales_inr]]*(1-tblTransactions[[#This Row],[discount_pct]]),2)</f>
        <v>746.89</v>
      </c>
      <c r="L957" t="str">
        <f>IF(ABS(tblTransactions[[#This Row],[net_sales_inr]]-tblTransactions[[#This Row],[Recalc_Net_Sales]])&lt;0.02,"OK","CHECK")</f>
        <v>OK</v>
      </c>
      <c r="M957" s="14">
        <f>DATE(YEAR(tblTransactions[[#This Row],[date]]),MONTH(tblTransactions[[#This Row],[date]]),1)</f>
        <v>45778</v>
      </c>
      <c r="N957" t="str">
        <f>IF(WEEKDAY(tblTransactions[[#This Row],[date]],2)&gt;5,"Weekend","Weekday")</f>
        <v>Weekday</v>
      </c>
      <c r="O95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57" s="13" t="str">
        <f>_xlfn.XLOOKUP(tblTransactions[[#This Row],[tenant_id]],tblTenants[tenant_id],tblTenants[zone],"NOT FOUND")</f>
        <v>Fashion Avenue</v>
      </c>
      <c r="Q957" s="13" t="str">
        <f>_xlfn.XLOOKUP(tblTransactions[[#This Row],[tenant_id]],tblTenants[tenant_id],tblTenants[category],"NOT FOUND")</f>
        <v>Accessories</v>
      </c>
    </row>
    <row r="958" spans="1:17">
      <c r="A958" t="s">
        <v>1002</v>
      </c>
      <c r="B958" s="2">
        <v>45794</v>
      </c>
      <c r="C958">
        <v>17</v>
      </c>
      <c r="D958" t="s">
        <v>31</v>
      </c>
      <c r="E958" t="s">
        <v>12</v>
      </c>
      <c r="F958" s="7">
        <v>597.54999999999995</v>
      </c>
      <c r="G958" s="10">
        <v>0</v>
      </c>
      <c r="H958" s="7">
        <v>597.54999999999995</v>
      </c>
      <c r="I958">
        <v>1</v>
      </c>
      <c r="J958" t="s">
        <v>13</v>
      </c>
      <c r="K958" s="13">
        <f>ROUND(tblTransactions[[#This Row],[gross_sales_inr]]*(1-tblTransactions[[#This Row],[discount_pct]]),2)</f>
        <v>597.54999999999995</v>
      </c>
      <c r="L958" t="str">
        <f>IF(ABS(tblTransactions[[#This Row],[net_sales_inr]]-tblTransactions[[#This Row],[Recalc_Net_Sales]])&lt;0.02,"OK","CHECK")</f>
        <v>OK</v>
      </c>
      <c r="M958" s="14">
        <f>DATE(YEAR(tblTransactions[[#This Row],[date]]),MONTH(tblTransactions[[#This Row],[date]]),1)</f>
        <v>45778</v>
      </c>
      <c r="N958" t="str">
        <f>IF(WEEKDAY(tblTransactions[[#This Row],[date]],2)&gt;5,"Weekend","Weekday")</f>
        <v>Weekend</v>
      </c>
      <c r="O958" s="13" t="str">
        <f>IF(tblTransactions[[#This Row],[discount_pct]]=0,"0%",IF(tblTransactions[[#This Row],[discount_pct]]&lt;=10%,"1–
10%",IF(tblTransactions[[#This Row],[discount_pct]]&lt;=20%,"11–20%","&gt;20%")))</f>
        <v>0%</v>
      </c>
      <c r="P958" s="13" t="str">
        <f>_xlfn.XLOOKUP(tblTransactions[[#This Row],[tenant_id]],tblTenants[tenant_id],tblTenants[zone],"NOT FOUND")</f>
        <v>Entertainment</v>
      </c>
      <c r="Q958" s="13" t="str">
        <f>_xlfn.XLOOKUP(tblTransactions[[#This Row],[tenant_id]],tblTenants[tenant_id],tblTenants[category],"NOT FOUND")</f>
        <v>Arcade</v>
      </c>
    </row>
    <row r="959" spans="1:17">
      <c r="A959" t="s">
        <v>1003</v>
      </c>
      <c r="B959" s="2">
        <v>45757</v>
      </c>
      <c r="C959">
        <v>18</v>
      </c>
      <c r="D959" t="s">
        <v>104</v>
      </c>
      <c r="E959" t="s">
        <v>12</v>
      </c>
      <c r="F959" s="7">
        <v>793.18</v>
      </c>
      <c r="G959" s="10">
        <v>0.3</v>
      </c>
      <c r="H959" s="7">
        <v>555.23</v>
      </c>
      <c r="I959">
        <v>2</v>
      </c>
      <c r="J959" t="s">
        <v>13</v>
      </c>
      <c r="K959" s="13">
        <f>ROUND(tblTransactions[[#This Row],[gross_sales_inr]]*(1-tblTransactions[[#This Row],[discount_pct]]),2)</f>
        <v>555.23</v>
      </c>
      <c r="L959" t="str">
        <f>IF(ABS(tblTransactions[[#This Row],[net_sales_inr]]-tblTransactions[[#This Row],[Recalc_Net_Sales]])&lt;0.02,"OK","CHECK")</f>
        <v>OK</v>
      </c>
      <c r="M959" s="14">
        <f>DATE(YEAR(tblTransactions[[#This Row],[date]]),MONTH(tblTransactions[[#This Row],[date]]),1)</f>
        <v>45748</v>
      </c>
      <c r="N959" t="str">
        <f>IF(WEEKDAY(tblTransactions[[#This Row],[date]],2)&gt;5,"Weekend","Weekday")</f>
        <v>Weekday</v>
      </c>
      <c r="O959" s="13" t="str">
        <f>IF(tblTransactions[[#This Row],[discount_pct]]=0,"0%",IF(tblTransactions[[#This Row],[discount_pct]]&lt;=10%,"1–
10%",IF(tblTransactions[[#This Row],[discount_pct]]&lt;=20%,"11–20%","&gt;20%")))</f>
        <v>&gt;20%</v>
      </c>
      <c r="P959" s="13" t="str">
        <f>_xlfn.XLOOKUP(tblTransactions[[#This Row],[tenant_id]],tblTenants[tenant_id],tblTenants[zone],"NOT FOUND")</f>
        <v>Entertainment</v>
      </c>
      <c r="Q959" s="13" t="str">
        <f>_xlfn.XLOOKUP(tblTransactions[[#This Row],[tenant_id]],tblTenants[tenant_id],tblTenants[category],"NOT FOUND")</f>
        <v>Family Entertainment</v>
      </c>
    </row>
    <row r="960" spans="1:17">
      <c r="A960" t="s">
        <v>1004</v>
      </c>
      <c r="B960" s="2">
        <v>45784</v>
      </c>
      <c r="C960">
        <v>12</v>
      </c>
      <c r="D960" t="s">
        <v>15</v>
      </c>
      <c r="E960" t="s">
        <v>21</v>
      </c>
      <c r="F960" s="7">
        <v>1551.01</v>
      </c>
      <c r="G960" s="10">
        <v>0.05</v>
      </c>
      <c r="H960" s="7">
        <v>1473.46</v>
      </c>
      <c r="I960">
        <v>3</v>
      </c>
      <c r="J960" t="s">
        <v>13</v>
      </c>
      <c r="K960" s="13">
        <f>ROUND(tblTransactions[[#This Row],[gross_sales_inr]]*(1-tblTransactions[[#This Row],[discount_pct]]),2)</f>
        <v>1473.46</v>
      </c>
      <c r="L960" t="str">
        <f>IF(ABS(tblTransactions[[#This Row],[net_sales_inr]]-tblTransactions[[#This Row],[Recalc_Net_Sales]])&lt;0.02,"OK","CHECK")</f>
        <v>OK</v>
      </c>
      <c r="M960" s="14">
        <f>DATE(YEAR(tblTransactions[[#This Row],[date]]),MONTH(tblTransactions[[#This Row],[date]]),1)</f>
        <v>45778</v>
      </c>
      <c r="N960" t="str">
        <f>IF(WEEKDAY(tblTransactions[[#This Row],[date]],2)&gt;5,"Weekend","Weekday")</f>
        <v>Weekday</v>
      </c>
      <c r="O96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60" s="13" t="str">
        <f>_xlfn.XLOOKUP(tblTransactions[[#This Row],[tenant_id]],tblTenants[tenant_id],tblTenants[zone],"NOT FOUND")</f>
        <v>Fashion Avenue</v>
      </c>
      <c r="Q960" s="13" t="str">
        <f>_xlfn.XLOOKUP(tblTransactions[[#This Row],[tenant_id]],tblTenants[tenant_id],tblTenants[category],"NOT FOUND")</f>
        <v>Accessories</v>
      </c>
    </row>
    <row r="961" spans="1:17">
      <c r="A961" t="s">
        <v>1005</v>
      </c>
      <c r="B961" s="2">
        <v>45671</v>
      </c>
      <c r="C961">
        <v>17</v>
      </c>
      <c r="D961" t="s">
        <v>63</v>
      </c>
      <c r="E961" t="s">
        <v>32</v>
      </c>
      <c r="F961" s="7">
        <v>1038.04</v>
      </c>
      <c r="G961" s="10">
        <v>0</v>
      </c>
      <c r="H961" s="7">
        <v>1038.04</v>
      </c>
      <c r="I961">
        <v>2</v>
      </c>
      <c r="J961" t="s">
        <v>16</v>
      </c>
      <c r="K961" s="13">
        <f>ROUND(tblTransactions[[#This Row],[gross_sales_inr]]*(1-tblTransactions[[#This Row],[discount_pct]]),2)</f>
        <v>1038.04</v>
      </c>
      <c r="L961" t="str">
        <f>IF(ABS(tblTransactions[[#This Row],[net_sales_inr]]-tblTransactions[[#This Row],[Recalc_Net_Sales]])&lt;0.02,"OK","CHECK")</f>
        <v>OK</v>
      </c>
      <c r="M961" s="14">
        <f>DATE(YEAR(tblTransactions[[#This Row],[date]]),MONTH(tblTransactions[[#This Row],[date]]),1)</f>
        <v>45658</v>
      </c>
      <c r="N961" t="str">
        <f>IF(WEEKDAY(tblTransactions[[#This Row],[date]],2)&gt;5,"Weekend","Weekday")</f>
        <v>Weekday</v>
      </c>
      <c r="O961" s="13" t="str">
        <f>IF(tblTransactions[[#This Row],[discount_pct]]=0,"0%",IF(tblTransactions[[#This Row],[discount_pct]]&lt;=10%,"1–
10%",IF(tblTransactions[[#This Row],[discount_pct]]&lt;=20%,"11–20%","&gt;20%")))</f>
        <v>0%</v>
      </c>
      <c r="P961" s="13" t="str">
        <f>_xlfn.XLOOKUP(tblTransactions[[#This Row],[tenant_id]],tblTenants[tenant_id],tblTenants[zone],"NOT FOUND")</f>
        <v>Entertainment</v>
      </c>
      <c r="Q961" s="13" t="str">
        <f>_xlfn.XLOOKUP(tblTransactions[[#This Row],[tenant_id]],tblTenants[tenant_id],tblTenants[category],"NOT FOUND")</f>
        <v>Family Entertainment</v>
      </c>
    </row>
    <row r="962" spans="1:17">
      <c r="A962" t="s">
        <v>1006</v>
      </c>
      <c r="B962" s="2">
        <v>45754</v>
      </c>
      <c r="C962">
        <v>18</v>
      </c>
      <c r="D962" t="s">
        <v>55</v>
      </c>
      <c r="E962" t="s">
        <v>32</v>
      </c>
      <c r="F962" s="7">
        <v>621.08000000000004</v>
      </c>
      <c r="G962" s="10">
        <v>0</v>
      </c>
      <c r="H962" s="7">
        <v>621.08000000000004</v>
      </c>
      <c r="I962">
        <v>4</v>
      </c>
      <c r="J962" t="s">
        <v>13</v>
      </c>
      <c r="K962" s="13">
        <f>ROUND(tblTransactions[[#This Row],[gross_sales_inr]]*(1-tblTransactions[[#This Row],[discount_pct]]),2)</f>
        <v>621.08000000000004</v>
      </c>
      <c r="L962" t="str">
        <f>IF(ABS(tblTransactions[[#This Row],[net_sales_inr]]-tblTransactions[[#This Row],[Recalc_Net_Sales]])&lt;0.02,"OK","CHECK")</f>
        <v>OK</v>
      </c>
      <c r="M962" s="14">
        <f>DATE(YEAR(tblTransactions[[#This Row],[date]]),MONTH(tblTransactions[[#This Row],[date]]),1)</f>
        <v>45748</v>
      </c>
      <c r="N962" t="str">
        <f>IF(WEEKDAY(tblTransactions[[#This Row],[date]],2)&gt;5,"Weekend","Weekday")</f>
        <v>Weekday</v>
      </c>
      <c r="O962" s="13" t="str">
        <f>IF(tblTransactions[[#This Row],[discount_pct]]=0,"0%",IF(tblTransactions[[#This Row],[discount_pct]]&lt;=10%,"1–
10%",IF(tblTransactions[[#This Row],[discount_pct]]&lt;=20%,"11–20%","&gt;20%")))</f>
        <v>0%</v>
      </c>
      <c r="P962" s="13" t="str">
        <f>_xlfn.XLOOKUP(tblTransactions[[#This Row],[tenant_id]],tblTenants[tenant_id],tblTenants[zone],"NOT FOUND")</f>
        <v>Food Court</v>
      </c>
      <c r="Q962" s="13" t="str">
        <f>_xlfn.XLOOKUP(tblTransactions[[#This Row],[tenant_id]],tblTenants[tenant_id],tblTenants[category],"NOT FOUND")</f>
        <v>Quick Service</v>
      </c>
    </row>
    <row r="963" spans="1:17">
      <c r="A963" t="s">
        <v>1007</v>
      </c>
      <c r="B963" s="2">
        <v>45732</v>
      </c>
      <c r="C963">
        <v>21</v>
      </c>
      <c r="D963" t="s">
        <v>53</v>
      </c>
      <c r="E963" t="s">
        <v>21</v>
      </c>
      <c r="F963" s="7">
        <v>464.94</v>
      </c>
      <c r="G963" s="10">
        <v>0.2</v>
      </c>
      <c r="H963" s="7">
        <v>371.95</v>
      </c>
      <c r="I963">
        <v>2</v>
      </c>
      <c r="J963" t="s">
        <v>13</v>
      </c>
      <c r="K963" s="13">
        <f>ROUND(tblTransactions[[#This Row],[gross_sales_inr]]*(1-tblTransactions[[#This Row],[discount_pct]]),2)</f>
        <v>371.95</v>
      </c>
      <c r="L963" t="str">
        <f>IF(ABS(tblTransactions[[#This Row],[net_sales_inr]]-tblTransactions[[#This Row],[Recalc_Net_Sales]])&lt;0.02,"OK","CHECK")</f>
        <v>OK</v>
      </c>
      <c r="M963" s="14">
        <f>DATE(YEAR(tblTransactions[[#This Row],[date]]),MONTH(tblTransactions[[#This Row],[date]]),1)</f>
        <v>45717</v>
      </c>
      <c r="N963" t="str">
        <f>IF(WEEKDAY(tblTransactions[[#This Row],[date]],2)&gt;5,"Weekend","Weekday")</f>
        <v>Weekend</v>
      </c>
      <c r="O96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63" s="13" t="str">
        <f>_xlfn.XLOOKUP(tblTransactions[[#This Row],[tenant_id]],tblTenants[tenant_id],tblTenants[zone],"NOT FOUND")</f>
        <v>Beauty &amp; Wellness</v>
      </c>
      <c r="Q963" s="13" t="str">
        <f>_xlfn.XLOOKUP(tblTransactions[[#This Row],[tenant_id]],tblTenants[tenant_id],tblTenants[category],"NOT FOUND")</f>
        <v>Beauty</v>
      </c>
    </row>
    <row r="964" spans="1:17">
      <c r="A964" t="s">
        <v>1008</v>
      </c>
      <c r="B964" s="2">
        <v>45797</v>
      </c>
      <c r="C964">
        <v>14</v>
      </c>
      <c r="D964" t="s">
        <v>43</v>
      </c>
      <c r="E964" t="s">
        <v>51</v>
      </c>
      <c r="F964" s="7">
        <v>2080.35</v>
      </c>
      <c r="G964" s="10">
        <v>0</v>
      </c>
      <c r="H964" s="7">
        <v>2080.35</v>
      </c>
      <c r="I964">
        <v>1</v>
      </c>
      <c r="J964" t="s">
        <v>13</v>
      </c>
      <c r="K964" s="13">
        <f>ROUND(tblTransactions[[#This Row],[gross_sales_inr]]*(1-tblTransactions[[#This Row],[discount_pct]]),2)</f>
        <v>2080.35</v>
      </c>
      <c r="L964" t="str">
        <f>IF(ABS(tblTransactions[[#This Row],[net_sales_inr]]-tblTransactions[[#This Row],[Recalc_Net_Sales]])&lt;0.02,"OK","CHECK")</f>
        <v>OK</v>
      </c>
      <c r="M964" s="14">
        <f>DATE(YEAR(tblTransactions[[#This Row],[date]]),MONTH(tblTransactions[[#This Row],[date]]),1)</f>
        <v>45778</v>
      </c>
      <c r="N964" t="str">
        <f>IF(WEEKDAY(tblTransactions[[#This Row],[date]],2)&gt;5,"Weekend","Weekday")</f>
        <v>Weekday</v>
      </c>
      <c r="O964" s="13" t="str">
        <f>IF(tblTransactions[[#This Row],[discount_pct]]=0,"0%",IF(tblTransactions[[#This Row],[discount_pct]]&lt;=10%,"1–
10%",IF(tblTransactions[[#This Row],[discount_pct]]&lt;=20%,"11–20%","&gt;20%")))</f>
        <v>0%</v>
      </c>
      <c r="P964" s="13" t="str">
        <f>_xlfn.XLOOKUP(tblTransactions[[#This Row],[tenant_id]],tblTenants[tenant_id],tblTenants[zone],"NOT FOUND")</f>
        <v>Food Court</v>
      </c>
      <c r="Q964" s="13" t="str">
        <f>_xlfn.XLOOKUP(tblTransactions[[#This Row],[tenant_id]],tblTenants[tenant_id],tblTenants[category],"NOT FOUND")</f>
        <v>Casual Dining</v>
      </c>
    </row>
    <row r="965" spans="1:17">
      <c r="A965" t="s">
        <v>1009</v>
      </c>
      <c r="B965" s="2">
        <v>45661</v>
      </c>
      <c r="C965">
        <v>13</v>
      </c>
      <c r="D965" t="s">
        <v>72</v>
      </c>
      <c r="E965" t="s">
        <v>12</v>
      </c>
      <c r="F965" s="7">
        <v>366.69</v>
      </c>
      <c r="G965" s="10">
        <v>0</v>
      </c>
      <c r="H965" s="7">
        <v>366.69</v>
      </c>
      <c r="I965">
        <v>3</v>
      </c>
      <c r="J965" t="s">
        <v>13</v>
      </c>
      <c r="K965" s="13">
        <f>ROUND(tblTransactions[[#This Row],[gross_sales_inr]]*(1-tblTransactions[[#This Row],[discount_pct]]),2)</f>
        <v>366.69</v>
      </c>
      <c r="L965" t="str">
        <f>IF(ABS(tblTransactions[[#This Row],[net_sales_inr]]-tblTransactions[[#This Row],[Recalc_Net_Sales]])&lt;0.02,"OK","CHECK")</f>
        <v>OK</v>
      </c>
      <c r="M965" s="14">
        <f>DATE(YEAR(tblTransactions[[#This Row],[date]]),MONTH(tblTransactions[[#This Row],[date]]),1)</f>
        <v>45658</v>
      </c>
      <c r="N965" t="str">
        <f>IF(WEEKDAY(tblTransactions[[#This Row],[date]],2)&gt;5,"Weekend","Weekday")</f>
        <v>Weekend</v>
      </c>
      <c r="O965" s="13" t="str">
        <f>IF(tblTransactions[[#This Row],[discount_pct]]=0,"0%",IF(tblTransactions[[#This Row],[discount_pct]]&lt;=10%,"1–
10%",IF(tblTransactions[[#This Row],[discount_pct]]&lt;=20%,"11–20%","&gt;20%")))</f>
        <v>0%</v>
      </c>
      <c r="P965" s="13" t="str">
        <f>_xlfn.XLOOKUP(tblTransactions[[#This Row],[tenant_id]],tblTenants[tenant_id],tblTenants[zone],"NOT FOUND")</f>
        <v>Entertainment</v>
      </c>
      <c r="Q965" s="13" t="str">
        <f>_xlfn.XLOOKUP(tblTransactions[[#This Row],[tenant_id]],tblTenants[tenant_id],tblTenants[category],"NOT FOUND")</f>
        <v>Arcade</v>
      </c>
    </row>
    <row r="966" spans="1:17">
      <c r="A966" t="s">
        <v>1010</v>
      </c>
      <c r="B966" s="2">
        <v>45785</v>
      </c>
      <c r="C966">
        <v>20</v>
      </c>
      <c r="D966" t="s">
        <v>104</v>
      </c>
      <c r="E966" t="s">
        <v>12</v>
      </c>
      <c r="F966" s="7">
        <v>1999.35</v>
      </c>
      <c r="G966" s="10">
        <v>0.1</v>
      </c>
      <c r="H966" s="7">
        <v>1799.41</v>
      </c>
      <c r="I966">
        <v>1</v>
      </c>
      <c r="J966" t="s">
        <v>13</v>
      </c>
      <c r="K966" s="13">
        <f>ROUND(tblTransactions[[#This Row],[gross_sales_inr]]*(1-tblTransactions[[#This Row],[discount_pct]]),2)</f>
        <v>1799.42</v>
      </c>
      <c r="L966" t="str">
        <f>IF(ABS(tblTransactions[[#This Row],[net_sales_inr]]-tblTransactions[[#This Row],[Recalc_Net_Sales]])&lt;0.02,"OK","CHECK")</f>
        <v>OK</v>
      </c>
      <c r="M966" s="14">
        <f>DATE(YEAR(tblTransactions[[#This Row],[date]]),MONTH(tblTransactions[[#This Row],[date]]),1)</f>
        <v>45778</v>
      </c>
      <c r="N966" t="str">
        <f>IF(WEEKDAY(tblTransactions[[#This Row],[date]],2)&gt;5,"Weekend","Weekday")</f>
        <v>Weekday</v>
      </c>
      <c r="O96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66" s="13" t="str">
        <f>_xlfn.XLOOKUP(tblTransactions[[#This Row],[tenant_id]],tblTenants[tenant_id],tblTenants[zone],"NOT FOUND")</f>
        <v>Entertainment</v>
      </c>
      <c r="Q966" s="13" t="str">
        <f>_xlfn.XLOOKUP(tblTransactions[[#This Row],[tenant_id]],tblTenants[tenant_id],tblTenants[category],"NOT FOUND")</f>
        <v>Family Entertainment</v>
      </c>
    </row>
    <row r="967" spans="1:17">
      <c r="A967" t="s">
        <v>1011</v>
      </c>
      <c r="B967" s="2">
        <v>45767</v>
      </c>
      <c r="C967">
        <v>17</v>
      </c>
      <c r="D967" t="s">
        <v>48</v>
      </c>
      <c r="E967" t="s">
        <v>12</v>
      </c>
      <c r="F967" s="7">
        <v>1781.06</v>
      </c>
      <c r="G967" s="10">
        <v>0.15</v>
      </c>
      <c r="H967" s="7">
        <v>1513.9</v>
      </c>
      <c r="I967">
        <v>4</v>
      </c>
      <c r="J967" t="s">
        <v>16</v>
      </c>
      <c r="K967" s="13">
        <f>ROUND(tblTransactions[[#This Row],[gross_sales_inr]]*(1-tblTransactions[[#This Row],[discount_pct]]),2)</f>
        <v>1513.9</v>
      </c>
      <c r="L967" t="str">
        <f>IF(ABS(tblTransactions[[#This Row],[net_sales_inr]]-tblTransactions[[#This Row],[Recalc_Net_Sales]])&lt;0.02,"OK","CHECK")</f>
        <v>OK</v>
      </c>
      <c r="M967" s="14">
        <f>DATE(YEAR(tblTransactions[[#This Row],[date]]),MONTH(tblTransactions[[#This Row],[date]]),1)</f>
        <v>45748</v>
      </c>
      <c r="N967" t="str">
        <f>IF(WEEKDAY(tblTransactions[[#This Row],[date]],2)&gt;5,"Weekend","Weekday")</f>
        <v>Weekend</v>
      </c>
      <c r="O96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67" s="13" t="str">
        <f>_xlfn.XLOOKUP(tblTransactions[[#This Row],[tenant_id]],tblTenants[tenant_id],tblTenants[zone],"NOT FOUND")</f>
        <v>Beauty &amp; Wellness</v>
      </c>
      <c r="Q967" s="13" t="str">
        <f>_xlfn.XLOOKUP(tblTransactions[[#This Row],[tenant_id]],tblTenants[tenant_id],tblTenants[category],"NOT FOUND")</f>
        <v>Wellness</v>
      </c>
    </row>
    <row r="968" spans="1:17">
      <c r="A968" t="s">
        <v>1012</v>
      </c>
      <c r="B968" s="2">
        <v>45677</v>
      </c>
      <c r="C968">
        <v>20</v>
      </c>
      <c r="D968" t="s">
        <v>72</v>
      </c>
      <c r="E968" t="s">
        <v>12</v>
      </c>
      <c r="F968" s="7">
        <v>1085.3499999999999</v>
      </c>
      <c r="G968" s="10">
        <v>0</v>
      </c>
      <c r="H968" s="7">
        <v>1085.3499999999999</v>
      </c>
      <c r="I968">
        <v>5</v>
      </c>
      <c r="J968" t="s">
        <v>13</v>
      </c>
      <c r="K968" s="13">
        <f>ROUND(tblTransactions[[#This Row],[gross_sales_inr]]*(1-tblTransactions[[#This Row],[discount_pct]]),2)</f>
        <v>1085.3499999999999</v>
      </c>
      <c r="L968" t="str">
        <f>IF(ABS(tblTransactions[[#This Row],[net_sales_inr]]-tblTransactions[[#This Row],[Recalc_Net_Sales]])&lt;0.02,"OK","CHECK")</f>
        <v>OK</v>
      </c>
      <c r="M968" s="14">
        <f>DATE(YEAR(tblTransactions[[#This Row],[date]]),MONTH(tblTransactions[[#This Row],[date]]),1)</f>
        <v>45658</v>
      </c>
      <c r="N968" t="str">
        <f>IF(WEEKDAY(tblTransactions[[#This Row],[date]],2)&gt;5,"Weekend","Weekday")</f>
        <v>Weekday</v>
      </c>
      <c r="O968" s="13" t="str">
        <f>IF(tblTransactions[[#This Row],[discount_pct]]=0,"0%",IF(tblTransactions[[#This Row],[discount_pct]]&lt;=10%,"1–
10%",IF(tblTransactions[[#This Row],[discount_pct]]&lt;=20%,"11–20%","&gt;20%")))</f>
        <v>0%</v>
      </c>
      <c r="P968" s="13" t="str">
        <f>_xlfn.XLOOKUP(tblTransactions[[#This Row],[tenant_id]],tblTenants[tenant_id],tblTenants[zone],"NOT FOUND")</f>
        <v>Entertainment</v>
      </c>
      <c r="Q968" s="13" t="str">
        <f>_xlfn.XLOOKUP(tblTransactions[[#This Row],[tenant_id]],tblTenants[tenant_id],tblTenants[category],"NOT FOUND")</f>
        <v>Arcade</v>
      </c>
    </row>
    <row r="969" spans="1:17">
      <c r="A969" t="s">
        <v>1013</v>
      </c>
      <c r="B969" s="2">
        <v>45783</v>
      </c>
      <c r="C969">
        <v>13</v>
      </c>
      <c r="D969" t="s">
        <v>48</v>
      </c>
      <c r="E969" t="s">
        <v>32</v>
      </c>
      <c r="F969" s="7">
        <v>327.77</v>
      </c>
      <c r="G969" s="10">
        <v>0.2</v>
      </c>
      <c r="H969" s="7">
        <v>262.22000000000003</v>
      </c>
      <c r="I969">
        <v>5</v>
      </c>
      <c r="J969" t="s">
        <v>16</v>
      </c>
      <c r="K969" s="13">
        <f>ROUND(tblTransactions[[#This Row],[gross_sales_inr]]*(1-tblTransactions[[#This Row],[discount_pct]]),2)</f>
        <v>262.22000000000003</v>
      </c>
      <c r="L969" t="str">
        <f>IF(ABS(tblTransactions[[#This Row],[net_sales_inr]]-tblTransactions[[#This Row],[Recalc_Net_Sales]])&lt;0.02,"OK","CHECK")</f>
        <v>OK</v>
      </c>
      <c r="M969" s="14">
        <f>DATE(YEAR(tblTransactions[[#This Row],[date]]),MONTH(tblTransactions[[#This Row],[date]]),1)</f>
        <v>45778</v>
      </c>
      <c r="N969" t="str">
        <f>IF(WEEKDAY(tblTransactions[[#This Row],[date]],2)&gt;5,"Weekend","Weekday")</f>
        <v>Weekday</v>
      </c>
      <c r="O96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69" s="13" t="str">
        <f>_xlfn.XLOOKUP(tblTransactions[[#This Row],[tenant_id]],tblTenants[tenant_id],tblTenants[zone],"NOT FOUND")</f>
        <v>Beauty &amp; Wellness</v>
      </c>
      <c r="Q969" s="13" t="str">
        <f>_xlfn.XLOOKUP(tblTransactions[[#This Row],[tenant_id]],tblTenants[tenant_id],tblTenants[category],"NOT FOUND")</f>
        <v>Wellness</v>
      </c>
    </row>
    <row r="970" spans="1:17">
      <c r="A970" t="s">
        <v>1014</v>
      </c>
      <c r="B970" s="2">
        <v>45835</v>
      </c>
      <c r="C970">
        <v>19</v>
      </c>
      <c r="D970" t="s">
        <v>72</v>
      </c>
      <c r="E970" t="s">
        <v>12</v>
      </c>
      <c r="F970" s="7">
        <v>1025.27</v>
      </c>
      <c r="G970" s="10">
        <v>0.1</v>
      </c>
      <c r="H970" s="7">
        <v>922.74</v>
      </c>
      <c r="I970">
        <v>5</v>
      </c>
      <c r="J970" t="s">
        <v>13</v>
      </c>
      <c r="K970" s="13">
        <f>ROUND(tblTransactions[[#This Row],[gross_sales_inr]]*(1-tblTransactions[[#This Row],[discount_pct]]),2)</f>
        <v>922.74</v>
      </c>
      <c r="L970" t="str">
        <f>IF(ABS(tblTransactions[[#This Row],[net_sales_inr]]-tblTransactions[[#This Row],[Recalc_Net_Sales]])&lt;0.02,"OK","CHECK")</f>
        <v>OK</v>
      </c>
      <c r="M970" s="14">
        <f>DATE(YEAR(tblTransactions[[#This Row],[date]]),MONTH(tblTransactions[[#This Row],[date]]),1)</f>
        <v>45809</v>
      </c>
      <c r="N970" t="str">
        <f>IF(WEEKDAY(tblTransactions[[#This Row],[date]],2)&gt;5,"Weekend","Weekday")</f>
        <v>Weekday</v>
      </c>
      <c r="O97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70" s="13" t="str">
        <f>_xlfn.XLOOKUP(tblTransactions[[#This Row],[tenant_id]],tblTenants[tenant_id],tblTenants[zone],"NOT FOUND")</f>
        <v>Entertainment</v>
      </c>
      <c r="Q970" s="13" t="str">
        <f>_xlfn.XLOOKUP(tblTransactions[[#This Row],[tenant_id]],tblTenants[tenant_id],tblTenants[category],"NOT FOUND")</f>
        <v>Arcade</v>
      </c>
    </row>
    <row r="971" spans="1:17">
      <c r="A971" t="s">
        <v>1015</v>
      </c>
      <c r="B971" s="2">
        <v>45725</v>
      </c>
      <c r="C971">
        <v>14</v>
      </c>
      <c r="D971" t="s">
        <v>36</v>
      </c>
      <c r="E971" t="s">
        <v>12</v>
      </c>
      <c r="F971" s="7">
        <v>2242.9699999999998</v>
      </c>
      <c r="G971" s="10">
        <v>0</v>
      </c>
      <c r="H971" s="7">
        <v>2242.9699999999998</v>
      </c>
      <c r="I971">
        <v>1</v>
      </c>
      <c r="J971" t="s">
        <v>13</v>
      </c>
      <c r="K971" s="13">
        <f>ROUND(tblTransactions[[#This Row],[gross_sales_inr]]*(1-tblTransactions[[#This Row],[discount_pct]]),2)</f>
        <v>2242.9699999999998</v>
      </c>
      <c r="L971" t="str">
        <f>IF(ABS(tblTransactions[[#This Row],[net_sales_inr]]-tblTransactions[[#This Row],[Recalc_Net_Sales]])&lt;0.02,"OK","CHECK")</f>
        <v>OK</v>
      </c>
      <c r="M971" s="14">
        <f>DATE(YEAR(tblTransactions[[#This Row],[date]]),MONTH(tblTransactions[[#This Row],[date]]),1)</f>
        <v>45717</v>
      </c>
      <c r="N971" t="str">
        <f>IF(WEEKDAY(tblTransactions[[#This Row],[date]],2)&gt;5,"Weekend","Weekday")</f>
        <v>Weekend</v>
      </c>
      <c r="O971" s="13" t="str">
        <f>IF(tblTransactions[[#This Row],[discount_pct]]=0,"0%",IF(tblTransactions[[#This Row],[discount_pct]]&lt;=10%,"1–
10%",IF(tblTransactions[[#This Row],[discount_pct]]&lt;=20%,"11–20%","&gt;20%")))</f>
        <v>0%</v>
      </c>
      <c r="P971" s="13" t="str">
        <f>_xlfn.XLOOKUP(tblTransactions[[#This Row],[tenant_id]],tblTenants[tenant_id],tblTenants[zone],"NOT FOUND")</f>
        <v>Home &amp; Living</v>
      </c>
      <c r="Q971" s="13" t="str">
        <f>_xlfn.XLOOKUP(tblTransactions[[#This Row],[tenant_id]],tblTenants[tenant_id],tblTenants[category],"NOT FOUND")</f>
        <v>Electronics</v>
      </c>
    </row>
    <row r="972" spans="1:17">
      <c r="A972" t="s">
        <v>1016</v>
      </c>
      <c r="B972" s="2">
        <v>45664</v>
      </c>
      <c r="C972">
        <v>20</v>
      </c>
      <c r="D972" t="s">
        <v>61</v>
      </c>
      <c r="E972" t="s">
        <v>21</v>
      </c>
      <c r="F972" s="7">
        <v>768.8</v>
      </c>
      <c r="G972" s="10">
        <v>0</v>
      </c>
      <c r="H972" s="7">
        <v>768.8</v>
      </c>
      <c r="I972">
        <v>3</v>
      </c>
      <c r="J972" t="s">
        <v>16</v>
      </c>
      <c r="K972" s="13">
        <f>ROUND(tblTransactions[[#This Row],[gross_sales_inr]]*(1-tblTransactions[[#This Row],[discount_pct]]),2)</f>
        <v>768.8</v>
      </c>
      <c r="L972" t="str">
        <f>IF(ABS(tblTransactions[[#This Row],[net_sales_inr]]-tblTransactions[[#This Row],[Recalc_Net_Sales]])&lt;0.02,"OK","CHECK")</f>
        <v>OK</v>
      </c>
      <c r="M972" s="14">
        <f>DATE(YEAR(tblTransactions[[#This Row],[date]]),MONTH(tblTransactions[[#This Row],[date]]),1)</f>
        <v>45658</v>
      </c>
      <c r="N972" t="str">
        <f>IF(WEEKDAY(tblTransactions[[#This Row],[date]],2)&gt;5,"Weekend","Weekday")</f>
        <v>Weekday</v>
      </c>
      <c r="O972" s="13" t="str">
        <f>IF(tblTransactions[[#This Row],[discount_pct]]=0,"0%",IF(tblTransactions[[#This Row],[discount_pct]]&lt;=10%,"1–
10%",IF(tblTransactions[[#This Row],[discount_pct]]&lt;=20%,"11–20%","&gt;20%")))</f>
        <v>0%</v>
      </c>
      <c r="P972" s="13" t="str">
        <f>_xlfn.XLOOKUP(tblTransactions[[#This Row],[tenant_id]],tblTenants[tenant_id],tblTenants[zone],"NOT FOUND")</f>
        <v>Food Court</v>
      </c>
      <c r="Q972" s="13" t="str">
        <f>_xlfn.XLOOKUP(tblTransactions[[#This Row],[tenant_id]],tblTenants[tenant_id],tblTenants[category],"NOT FOUND")</f>
        <v>Quick Service</v>
      </c>
    </row>
    <row r="973" spans="1:17">
      <c r="A973" t="s">
        <v>1017</v>
      </c>
      <c r="B973" s="2">
        <v>45789</v>
      </c>
      <c r="C973">
        <v>19</v>
      </c>
      <c r="D973" t="s">
        <v>57</v>
      </c>
      <c r="E973" t="s">
        <v>12</v>
      </c>
      <c r="F973" s="7">
        <v>507.78</v>
      </c>
      <c r="G973" s="10">
        <v>0</v>
      </c>
      <c r="H973" s="7">
        <v>507.78</v>
      </c>
      <c r="I973">
        <v>4</v>
      </c>
      <c r="J973" t="s">
        <v>13</v>
      </c>
      <c r="K973" s="13">
        <f>ROUND(tblTransactions[[#This Row],[gross_sales_inr]]*(1-tblTransactions[[#This Row],[discount_pct]]),2)</f>
        <v>507.78</v>
      </c>
      <c r="L973" t="str">
        <f>IF(ABS(tblTransactions[[#This Row],[net_sales_inr]]-tblTransactions[[#This Row],[Recalc_Net_Sales]])&lt;0.02,"OK","CHECK")</f>
        <v>OK</v>
      </c>
      <c r="M973" s="14">
        <f>DATE(YEAR(tblTransactions[[#This Row],[date]]),MONTH(tblTransactions[[#This Row],[date]]),1)</f>
        <v>45778</v>
      </c>
      <c r="N973" t="str">
        <f>IF(WEEKDAY(tblTransactions[[#This Row],[date]],2)&gt;5,"Weekend","Weekday")</f>
        <v>Weekday</v>
      </c>
      <c r="O973" s="13" t="str">
        <f>IF(tblTransactions[[#This Row],[discount_pct]]=0,"0%",IF(tblTransactions[[#This Row],[discount_pct]]&lt;=10%,"1–
10%",IF(tblTransactions[[#This Row],[discount_pct]]&lt;=20%,"11–20%","&gt;20%")))</f>
        <v>0%</v>
      </c>
      <c r="P973" s="13" t="str">
        <f>_xlfn.XLOOKUP(tblTransactions[[#This Row],[tenant_id]],tblTenants[tenant_id],tblTenants[zone],"NOT FOUND")</f>
        <v>Food Court</v>
      </c>
      <c r="Q973" s="13" t="str">
        <f>_xlfn.XLOOKUP(tblTransactions[[#This Row],[tenant_id]],tblTenants[tenant_id],tblTenants[category],"NOT FOUND")</f>
        <v>Casual Dining</v>
      </c>
    </row>
    <row r="974" spans="1:17">
      <c r="A974" t="s">
        <v>1018</v>
      </c>
      <c r="B974" s="2">
        <v>45824</v>
      </c>
      <c r="C974">
        <v>22</v>
      </c>
      <c r="D974" t="s">
        <v>25</v>
      </c>
      <c r="E974" t="s">
        <v>32</v>
      </c>
      <c r="F974" s="7">
        <v>466.18</v>
      </c>
      <c r="G974" s="10">
        <v>0.2</v>
      </c>
      <c r="H974" s="7">
        <v>372.94</v>
      </c>
      <c r="I974">
        <v>2</v>
      </c>
      <c r="J974" t="s">
        <v>13</v>
      </c>
      <c r="K974" s="13">
        <f>ROUND(tblTransactions[[#This Row],[gross_sales_inr]]*(1-tblTransactions[[#This Row],[discount_pct]]),2)</f>
        <v>372.94</v>
      </c>
      <c r="L974" t="str">
        <f>IF(ABS(tblTransactions[[#This Row],[net_sales_inr]]-tblTransactions[[#This Row],[Recalc_Net_Sales]])&lt;0.02,"OK","CHECK")</f>
        <v>OK</v>
      </c>
      <c r="M974" s="14">
        <f>DATE(YEAR(tblTransactions[[#This Row],[date]]),MONTH(tblTransactions[[#This Row],[date]]),1)</f>
        <v>45809</v>
      </c>
      <c r="N974" t="str">
        <f>IF(WEEKDAY(tblTransactions[[#This Row],[date]],2)&gt;5,"Weekend","Weekday")</f>
        <v>Weekday</v>
      </c>
      <c r="O97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74" s="13" t="str">
        <f>_xlfn.XLOOKUP(tblTransactions[[#This Row],[tenant_id]],tblTenants[tenant_id],tblTenants[zone],"NOT FOUND")</f>
        <v>Beauty &amp; Wellness</v>
      </c>
      <c r="Q974" s="13" t="str">
        <f>_xlfn.XLOOKUP(tblTransactions[[#This Row],[tenant_id]],tblTenants[tenant_id],tblTenants[category],"NOT FOUND")</f>
        <v>Beauty</v>
      </c>
    </row>
    <row r="975" spans="1:17">
      <c r="A975" t="s">
        <v>1019</v>
      </c>
      <c r="B975" s="2">
        <v>45693</v>
      </c>
      <c r="C975">
        <v>12</v>
      </c>
      <c r="D975" t="s">
        <v>55</v>
      </c>
      <c r="E975" t="s">
        <v>12</v>
      </c>
      <c r="F975" s="7">
        <v>3792.55</v>
      </c>
      <c r="G975" s="10">
        <v>0.1</v>
      </c>
      <c r="H975" s="7">
        <v>3413.3</v>
      </c>
      <c r="I975">
        <v>2</v>
      </c>
      <c r="J975" t="s">
        <v>13</v>
      </c>
      <c r="K975" s="13">
        <f>ROUND(tblTransactions[[#This Row],[gross_sales_inr]]*(1-tblTransactions[[#This Row],[discount_pct]]),2)</f>
        <v>3413.3</v>
      </c>
      <c r="L975" t="str">
        <f>IF(ABS(tblTransactions[[#This Row],[net_sales_inr]]-tblTransactions[[#This Row],[Recalc_Net_Sales]])&lt;0.02,"OK","CHECK")</f>
        <v>OK</v>
      </c>
      <c r="M975" s="14">
        <f>DATE(YEAR(tblTransactions[[#This Row],[date]]),MONTH(tblTransactions[[#This Row],[date]]),1)</f>
        <v>45689</v>
      </c>
      <c r="N975" t="str">
        <f>IF(WEEKDAY(tblTransactions[[#This Row],[date]],2)&gt;5,"Weekend","Weekday")</f>
        <v>Weekday</v>
      </c>
      <c r="O97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75" s="13" t="str">
        <f>_xlfn.XLOOKUP(tblTransactions[[#This Row],[tenant_id]],tblTenants[tenant_id],tblTenants[zone],"NOT FOUND")</f>
        <v>Food Court</v>
      </c>
      <c r="Q975" s="13" t="str">
        <f>_xlfn.XLOOKUP(tblTransactions[[#This Row],[tenant_id]],tblTenants[tenant_id],tblTenants[category],"NOT FOUND")</f>
        <v>Quick Service</v>
      </c>
    </row>
    <row r="976" spans="1:17">
      <c r="A976" t="s">
        <v>1020</v>
      </c>
      <c r="B976" s="2">
        <v>45811</v>
      </c>
      <c r="C976">
        <v>16</v>
      </c>
      <c r="D976" t="s">
        <v>63</v>
      </c>
      <c r="E976" t="s">
        <v>32</v>
      </c>
      <c r="F976" s="7">
        <v>586.17999999999995</v>
      </c>
      <c r="G976" s="10">
        <v>0</v>
      </c>
      <c r="H976" s="7">
        <v>586.17999999999995</v>
      </c>
      <c r="I976">
        <v>2</v>
      </c>
      <c r="J976" t="s">
        <v>13</v>
      </c>
      <c r="K976" s="13">
        <f>ROUND(tblTransactions[[#This Row],[gross_sales_inr]]*(1-tblTransactions[[#This Row],[discount_pct]]),2)</f>
        <v>586.17999999999995</v>
      </c>
      <c r="L976" t="str">
        <f>IF(ABS(tblTransactions[[#This Row],[net_sales_inr]]-tblTransactions[[#This Row],[Recalc_Net_Sales]])&lt;0.02,"OK","CHECK")</f>
        <v>OK</v>
      </c>
      <c r="M976" s="14">
        <f>DATE(YEAR(tblTransactions[[#This Row],[date]]),MONTH(tblTransactions[[#This Row],[date]]),1)</f>
        <v>45809</v>
      </c>
      <c r="N976" t="str">
        <f>IF(WEEKDAY(tblTransactions[[#This Row],[date]],2)&gt;5,"Weekend","Weekday")</f>
        <v>Weekday</v>
      </c>
      <c r="O976" s="13" t="str">
        <f>IF(tblTransactions[[#This Row],[discount_pct]]=0,"0%",IF(tblTransactions[[#This Row],[discount_pct]]&lt;=10%,"1–
10%",IF(tblTransactions[[#This Row],[discount_pct]]&lt;=20%,"11–20%","&gt;20%")))</f>
        <v>0%</v>
      </c>
      <c r="P976" s="13" t="str">
        <f>_xlfn.XLOOKUP(tblTransactions[[#This Row],[tenant_id]],tblTenants[tenant_id],tblTenants[zone],"NOT FOUND")</f>
        <v>Entertainment</v>
      </c>
      <c r="Q976" s="13" t="str">
        <f>_xlfn.XLOOKUP(tblTransactions[[#This Row],[tenant_id]],tblTenants[tenant_id],tblTenants[category],"NOT FOUND")</f>
        <v>Family Entertainment</v>
      </c>
    </row>
    <row r="977" spans="1:17">
      <c r="A977" t="s">
        <v>1021</v>
      </c>
      <c r="B977" s="2">
        <v>45743</v>
      </c>
      <c r="C977">
        <v>11</v>
      </c>
      <c r="D977" t="s">
        <v>29</v>
      </c>
      <c r="E977" t="s">
        <v>21</v>
      </c>
      <c r="F977" s="7">
        <v>1407.08</v>
      </c>
      <c r="G977" s="10">
        <v>0</v>
      </c>
      <c r="H977" s="7">
        <v>1407.08</v>
      </c>
      <c r="I977">
        <v>2</v>
      </c>
      <c r="J977" t="s">
        <v>16</v>
      </c>
      <c r="K977" s="13">
        <f>ROUND(tblTransactions[[#This Row],[gross_sales_inr]]*(1-tblTransactions[[#This Row],[discount_pct]]),2)</f>
        <v>1407.08</v>
      </c>
      <c r="L977" t="str">
        <f>IF(ABS(tblTransactions[[#This Row],[net_sales_inr]]-tblTransactions[[#This Row],[Recalc_Net_Sales]])&lt;0.02,"OK","CHECK")</f>
        <v>OK</v>
      </c>
      <c r="M977" s="14">
        <f>DATE(YEAR(tblTransactions[[#This Row],[date]]),MONTH(tblTransactions[[#This Row],[date]]),1)</f>
        <v>45717</v>
      </c>
      <c r="N977" t="str">
        <f>IF(WEEKDAY(tblTransactions[[#This Row],[date]],2)&gt;5,"Weekend","Weekday")</f>
        <v>Weekday</v>
      </c>
      <c r="O977" s="13" t="str">
        <f>IF(tblTransactions[[#This Row],[discount_pct]]=0,"0%",IF(tblTransactions[[#This Row],[discount_pct]]&lt;=10%,"1–
10%",IF(tblTransactions[[#This Row],[discount_pct]]&lt;=20%,"11–20%","&gt;20%")))</f>
        <v>0%</v>
      </c>
      <c r="P977" s="13" t="str">
        <f>_xlfn.XLOOKUP(tblTransactions[[#This Row],[tenant_id]],tblTenants[tenant_id],tblTenants[zone],"NOT FOUND")</f>
        <v>Entertainment</v>
      </c>
      <c r="Q977" s="13" t="str">
        <f>_xlfn.XLOOKUP(tblTransactions[[#This Row],[tenant_id]],tblTenants[tenant_id],tblTenants[category],"NOT FOUND")</f>
        <v>Cinema</v>
      </c>
    </row>
    <row r="978" spans="1:17">
      <c r="A978" t="s">
        <v>1022</v>
      </c>
      <c r="B978" s="2">
        <v>45834</v>
      </c>
      <c r="C978">
        <v>19</v>
      </c>
      <c r="D978" t="s">
        <v>63</v>
      </c>
      <c r="E978" t="s">
        <v>32</v>
      </c>
      <c r="F978" s="7">
        <v>1468.93</v>
      </c>
      <c r="G978" s="10">
        <v>0.05</v>
      </c>
      <c r="H978" s="7">
        <v>1395.48</v>
      </c>
      <c r="I978">
        <v>2</v>
      </c>
      <c r="J978" t="s">
        <v>13</v>
      </c>
      <c r="K978" s="13">
        <f>ROUND(tblTransactions[[#This Row],[gross_sales_inr]]*(1-tblTransactions[[#This Row],[discount_pct]]),2)</f>
        <v>1395.48</v>
      </c>
      <c r="L978" t="str">
        <f>IF(ABS(tblTransactions[[#This Row],[net_sales_inr]]-tblTransactions[[#This Row],[Recalc_Net_Sales]])&lt;0.02,"OK","CHECK")</f>
        <v>OK</v>
      </c>
      <c r="M978" s="14">
        <f>DATE(YEAR(tblTransactions[[#This Row],[date]]),MONTH(tblTransactions[[#This Row],[date]]),1)</f>
        <v>45809</v>
      </c>
      <c r="N978" t="str">
        <f>IF(WEEKDAY(tblTransactions[[#This Row],[date]],2)&gt;5,"Weekend","Weekday")</f>
        <v>Weekday</v>
      </c>
      <c r="O97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78" s="13" t="str">
        <f>_xlfn.XLOOKUP(tblTransactions[[#This Row],[tenant_id]],tblTenants[tenant_id],tblTenants[zone],"NOT FOUND")</f>
        <v>Entertainment</v>
      </c>
      <c r="Q978" s="13" t="str">
        <f>_xlfn.XLOOKUP(tblTransactions[[#This Row],[tenant_id]],tblTenants[tenant_id],tblTenants[category],"NOT FOUND")</f>
        <v>Family Entertainment</v>
      </c>
    </row>
    <row r="979" spans="1:17">
      <c r="A979" t="s">
        <v>1023</v>
      </c>
      <c r="B979" s="2">
        <v>45659</v>
      </c>
      <c r="C979">
        <v>13</v>
      </c>
      <c r="D979" t="s">
        <v>61</v>
      </c>
      <c r="E979" t="s">
        <v>32</v>
      </c>
      <c r="F979" s="7">
        <v>934.07</v>
      </c>
      <c r="G979" s="10">
        <v>0</v>
      </c>
      <c r="H979" s="7">
        <v>934.07</v>
      </c>
      <c r="I979">
        <v>2</v>
      </c>
      <c r="J979" t="s">
        <v>16</v>
      </c>
      <c r="K979" s="13">
        <f>ROUND(tblTransactions[[#This Row],[gross_sales_inr]]*(1-tblTransactions[[#This Row],[discount_pct]]),2)</f>
        <v>934.07</v>
      </c>
      <c r="L979" t="str">
        <f>IF(ABS(tblTransactions[[#This Row],[net_sales_inr]]-tblTransactions[[#This Row],[Recalc_Net_Sales]])&lt;0.02,"OK","CHECK")</f>
        <v>OK</v>
      </c>
      <c r="M979" s="14">
        <f>DATE(YEAR(tblTransactions[[#This Row],[date]]),MONTH(tblTransactions[[#This Row],[date]]),1)</f>
        <v>45658</v>
      </c>
      <c r="N979" t="str">
        <f>IF(WEEKDAY(tblTransactions[[#This Row],[date]],2)&gt;5,"Weekend","Weekday")</f>
        <v>Weekday</v>
      </c>
      <c r="O979" s="13" t="str">
        <f>IF(tblTransactions[[#This Row],[discount_pct]]=0,"0%",IF(tblTransactions[[#This Row],[discount_pct]]&lt;=10%,"1–
10%",IF(tblTransactions[[#This Row],[discount_pct]]&lt;=20%,"11–20%","&gt;20%")))</f>
        <v>0%</v>
      </c>
      <c r="P979" s="13" t="str">
        <f>_xlfn.XLOOKUP(tblTransactions[[#This Row],[tenant_id]],tblTenants[tenant_id],tblTenants[zone],"NOT FOUND")</f>
        <v>Food Court</v>
      </c>
      <c r="Q979" s="13" t="str">
        <f>_xlfn.XLOOKUP(tblTransactions[[#This Row],[tenant_id]],tblTenants[tenant_id],tblTenants[category],"NOT FOUND")</f>
        <v>Quick Service</v>
      </c>
    </row>
    <row r="980" spans="1:17">
      <c r="A980" t="s">
        <v>1024</v>
      </c>
      <c r="B980" s="2">
        <v>45761</v>
      </c>
      <c r="C980">
        <v>15</v>
      </c>
      <c r="D980" t="s">
        <v>34</v>
      </c>
      <c r="E980" t="s">
        <v>32</v>
      </c>
      <c r="F980" s="7">
        <v>914.26</v>
      </c>
      <c r="G980" s="10">
        <v>0</v>
      </c>
      <c r="H980" s="7">
        <v>914.26</v>
      </c>
      <c r="I980">
        <v>2</v>
      </c>
      <c r="J980" t="s">
        <v>13</v>
      </c>
      <c r="K980" s="13">
        <f>ROUND(tblTransactions[[#This Row],[gross_sales_inr]]*(1-tblTransactions[[#This Row],[discount_pct]]),2)</f>
        <v>914.26</v>
      </c>
      <c r="L980" t="str">
        <f>IF(ABS(tblTransactions[[#This Row],[net_sales_inr]]-tblTransactions[[#This Row],[Recalc_Net_Sales]])&lt;0.02,"OK","CHECK")</f>
        <v>OK</v>
      </c>
      <c r="M980" s="14">
        <f>DATE(YEAR(tblTransactions[[#This Row],[date]]),MONTH(tblTransactions[[#This Row],[date]]),1)</f>
        <v>45748</v>
      </c>
      <c r="N980" t="str">
        <f>IF(WEEKDAY(tblTransactions[[#This Row],[date]],2)&gt;5,"Weekend","Weekday")</f>
        <v>Weekday</v>
      </c>
      <c r="O980" s="13" t="str">
        <f>IF(tblTransactions[[#This Row],[discount_pct]]=0,"0%",IF(tblTransactions[[#This Row],[discount_pct]]&lt;=10%,"1–
10%",IF(tblTransactions[[#This Row],[discount_pct]]&lt;=20%,"11–20%","&gt;20%")))</f>
        <v>0%</v>
      </c>
      <c r="P980" s="13" t="str">
        <f>_xlfn.XLOOKUP(tblTransactions[[#This Row],[tenant_id]],tblTenants[tenant_id],tblTenants[zone],"NOT FOUND")</f>
        <v>Home &amp; Living</v>
      </c>
      <c r="Q980" s="13" t="str">
        <f>_xlfn.XLOOKUP(tblTransactions[[#This Row],[tenant_id]],tblTenants[tenant_id],tblTenants[category],"NOT FOUND")</f>
        <v>Electronics</v>
      </c>
    </row>
    <row r="981" spans="1:17">
      <c r="A981" t="s">
        <v>1025</v>
      </c>
      <c r="B981" s="2">
        <v>45782</v>
      </c>
      <c r="C981">
        <v>21</v>
      </c>
      <c r="D981" t="s">
        <v>18</v>
      </c>
      <c r="E981" t="s">
        <v>12</v>
      </c>
      <c r="F981" s="7">
        <v>1521.47</v>
      </c>
      <c r="G981" s="10">
        <v>0</v>
      </c>
      <c r="H981" s="7">
        <v>1521.47</v>
      </c>
      <c r="I981">
        <v>1</v>
      </c>
      <c r="J981" t="s">
        <v>13</v>
      </c>
      <c r="K981" s="13">
        <f>ROUND(tblTransactions[[#This Row],[gross_sales_inr]]*(1-tblTransactions[[#This Row],[discount_pct]]),2)</f>
        <v>1521.47</v>
      </c>
      <c r="L981" t="str">
        <f>IF(ABS(tblTransactions[[#This Row],[net_sales_inr]]-tblTransactions[[#This Row],[Recalc_Net_Sales]])&lt;0.02,"OK","CHECK")</f>
        <v>OK</v>
      </c>
      <c r="M981" s="14">
        <f>DATE(YEAR(tblTransactions[[#This Row],[date]]),MONTH(tblTransactions[[#This Row],[date]]),1)</f>
        <v>45778</v>
      </c>
      <c r="N981" t="str">
        <f>IF(WEEKDAY(tblTransactions[[#This Row],[date]],2)&gt;5,"Weekend","Weekday")</f>
        <v>Weekday</v>
      </c>
      <c r="O981" s="13" t="str">
        <f>IF(tblTransactions[[#This Row],[discount_pct]]=0,"0%",IF(tblTransactions[[#This Row],[discount_pct]]&lt;=10%,"1–
10%",IF(tblTransactions[[#This Row],[discount_pct]]&lt;=20%,"11–20%","&gt;20%")))</f>
        <v>0%</v>
      </c>
      <c r="P981" s="13" t="str">
        <f>_xlfn.XLOOKUP(tblTransactions[[#This Row],[tenant_id]],tblTenants[tenant_id],tblTenants[zone],"NOT FOUND")</f>
        <v>Beauty &amp; Wellness</v>
      </c>
      <c r="Q981" s="13" t="str">
        <f>_xlfn.XLOOKUP(tblTransactions[[#This Row],[tenant_id]],tblTenants[tenant_id],tblTenants[category],"NOT FOUND")</f>
        <v>Beauty</v>
      </c>
    </row>
    <row r="982" spans="1:17">
      <c r="A982" t="s">
        <v>1026</v>
      </c>
      <c r="B982" s="2">
        <v>45722</v>
      </c>
      <c r="C982">
        <v>19</v>
      </c>
      <c r="D982" t="s">
        <v>72</v>
      </c>
      <c r="E982" t="s">
        <v>12</v>
      </c>
      <c r="F982" s="7">
        <v>458.3</v>
      </c>
      <c r="G982" s="10">
        <v>0</v>
      </c>
      <c r="H982" s="7">
        <v>458.3</v>
      </c>
      <c r="I982">
        <v>2</v>
      </c>
      <c r="J982" t="s">
        <v>16</v>
      </c>
      <c r="K982" s="13">
        <f>ROUND(tblTransactions[[#This Row],[gross_sales_inr]]*(1-tblTransactions[[#This Row],[discount_pct]]),2)</f>
        <v>458.3</v>
      </c>
      <c r="L982" t="str">
        <f>IF(ABS(tblTransactions[[#This Row],[net_sales_inr]]-tblTransactions[[#This Row],[Recalc_Net_Sales]])&lt;0.02,"OK","CHECK")</f>
        <v>OK</v>
      </c>
      <c r="M982" s="14">
        <f>DATE(YEAR(tblTransactions[[#This Row],[date]]),MONTH(tblTransactions[[#This Row],[date]]),1)</f>
        <v>45717</v>
      </c>
      <c r="N982" t="str">
        <f>IF(WEEKDAY(tblTransactions[[#This Row],[date]],2)&gt;5,"Weekend","Weekday")</f>
        <v>Weekday</v>
      </c>
      <c r="O982" s="13" t="str">
        <f>IF(tblTransactions[[#This Row],[discount_pct]]=0,"0%",IF(tblTransactions[[#This Row],[discount_pct]]&lt;=10%,"1–
10%",IF(tblTransactions[[#This Row],[discount_pct]]&lt;=20%,"11–20%","&gt;20%")))</f>
        <v>0%</v>
      </c>
      <c r="P982" s="13" t="str">
        <f>_xlfn.XLOOKUP(tblTransactions[[#This Row],[tenant_id]],tblTenants[tenant_id],tblTenants[zone],"NOT FOUND")</f>
        <v>Entertainment</v>
      </c>
      <c r="Q982" s="13" t="str">
        <f>_xlfn.XLOOKUP(tblTransactions[[#This Row],[tenant_id]],tblTenants[tenant_id],tblTenants[category],"NOT FOUND")</f>
        <v>Arcade</v>
      </c>
    </row>
    <row r="983" spans="1:17">
      <c r="A983" t="s">
        <v>1027</v>
      </c>
      <c r="B983" s="2">
        <v>45735</v>
      </c>
      <c r="C983">
        <v>22</v>
      </c>
      <c r="D983" t="s">
        <v>45</v>
      </c>
      <c r="E983" t="s">
        <v>32</v>
      </c>
      <c r="F983" s="7">
        <v>2285.79</v>
      </c>
      <c r="G983" s="10">
        <v>0</v>
      </c>
      <c r="H983" s="7">
        <v>2285.79</v>
      </c>
      <c r="I983">
        <v>2</v>
      </c>
      <c r="J983" t="s">
        <v>13</v>
      </c>
      <c r="K983" s="13">
        <f>ROUND(tblTransactions[[#This Row],[gross_sales_inr]]*(1-tblTransactions[[#This Row],[discount_pct]]),2)</f>
        <v>2285.79</v>
      </c>
      <c r="L983" t="str">
        <f>IF(ABS(tblTransactions[[#This Row],[net_sales_inr]]-tblTransactions[[#This Row],[Recalc_Net_Sales]])&lt;0.02,"OK","CHECK")</f>
        <v>OK</v>
      </c>
      <c r="M983" s="14">
        <f>DATE(YEAR(tblTransactions[[#This Row],[date]]),MONTH(tblTransactions[[#This Row],[date]]),1)</f>
        <v>45717</v>
      </c>
      <c r="N983" t="str">
        <f>IF(WEEKDAY(tblTransactions[[#This Row],[date]],2)&gt;5,"Weekend","Weekday")</f>
        <v>Weekday</v>
      </c>
      <c r="O983" s="13" t="str">
        <f>IF(tblTransactions[[#This Row],[discount_pct]]=0,"0%",IF(tblTransactions[[#This Row],[discount_pct]]&lt;=10%,"1–
10%",IF(tblTransactions[[#This Row],[discount_pct]]&lt;=20%,"11–20%","&gt;20%")))</f>
        <v>0%</v>
      </c>
      <c r="P983" s="13" t="str">
        <f>_xlfn.XLOOKUP(tblTransactions[[#This Row],[tenant_id]],tblTenants[tenant_id],tblTenants[zone],"NOT FOUND")</f>
        <v>Home &amp; Living</v>
      </c>
      <c r="Q983" s="13" t="str">
        <f>_xlfn.XLOOKUP(tblTransactions[[#This Row],[tenant_id]],tblTenants[tenant_id],tblTenants[category],"NOT FOUND")</f>
        <v>Home Decor</v>
      </c>
    </row>
    <row r="984" spans="1:17">
      <c r="A984" t="s">
        <v>1028</v>
      </c>
      <c r="B984" s="2">
        <v>45796</v>
      </c>
      <c r="C984">
        <v>22</v>
      </c>
      <c r="D984" t="s">
        <v>122</v>
      </c>
      <c r="E984" t="s">
        <v>32</v>
      </c>
      <c r="F984" s="7">
        <v>555.16</v>
      </c>
      <c r="G984" s="10">
        <v>0.1</v>
      </c>
      <c r="H984" s="7">
        <v>499.64</v>
      </c>
      <c r="I984">
        <v>1</v>
      </c>
      <c r="J984" t="s">
        <v>13</v>
      </c>
      <c r="K984" s="13">
        <f>ROUND(tblTransactions[[#This Row],[gross_sales_inr]]*(1-tblTransactions[[#This Row],[discount_pct]]),2)</f>
        <v>499.64</v>
      </c>
      <c r="L984" t="str">
        <f>IF(ABS(tblTransactions[[#This Row],[net_sales_inr]]-tblTransactions[[#This Row],[Recalc_Net_Sales]])&lt;0.02,"OK","CHECK")</f>
        <v>OK</v>
      </c>
      <c r="M984" s="14">
        <f>DATE(YEAR(tblTransactions[[#This Row],[date]]),MONTH(tblTransactions[[#This Row],[date]]),1)</f>
        <v>45778</v>
      </c>
      <c r="N984" t="str">
        <f>IF(WEEKDAY(tblTransactions[[#This Row],[date]],2)&gt;5,"Weekend","Weekday")</f>
        <v>Weekday</v>
      </c>
      <c r="O98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84" s="13" t="str">
        <f>_xlfn.XLOOKUP(tblTransactions[[#This Row],[tenant_id]],tblTenants[tenant_id],tblTenants[zone],"NOT FOUND")</f>
        <v>Beauty &amp; Wellness</v>
      </c>
      <c r="Q984" s="13" t="str">
        <f>_xlfn.XLOOKUP(tblTransactions[[#This Row],[tenant_id]],tblTenants[tenant_id],tblTenants[category],"NOT FOUND")</f>
        <v>Wellness</v>
      </c>
    </row>
    <row r="985" spans="1:17">
      <c r="A985" t="s">
        <v>1029</v>
      </c>
      <c r="B985" s="2">
        <v>45672</v>
      </c>
      <c r="C985">
        <v>20</v>
      </c>
      <c r="D985" t="s">
        <v>36</v>
      </c>
      <c r="E985" t="s">
        <v>32</v>
      </c>
      <c r="F985" s="7">
        <v>1464.81</v>
      </c>
      <c r="G985" s="10">
        <v>0</v>
      </c>
      <c r="H985" s="7">
        <v>1464.81</v>
      </c>
      <c r="I985">
        <v>1</v>
      </c>
      <c r="J985" t="s">
        <v>13</v>
      </c>
      <c r="K985" s="13">
        <f>ROUND(tblTransactions[[#This Row],[gross_sales_inr]]*(1-tblTransactions[[#This Row],[discount_pct]]),2)</f>
        <v>1464.81</v>
      </c>
      <c r="L985" t="str">
        <f>IF(ABS(tblTransactions[[#This Row],[net_sales_inr]]-tblTransactions[[#This Row],[Recalc_Net_Sales]])&lt;0.02,"OK","CHECK")</f>
        <v>OK</v>
      </c>
      <c r="M985" s="14">
        <f>DATE(YEAR(tblTransactions[[#This Row],[date]]),MONTH(tblTransactions[[#This Row],[date]]),1)</f>
        <v>45658</v>
      </c>
      <c r="N985" t="str">
        <f>IF(WEEKDAY(tblTransactions[[#This Row],[date]],2)&gt;5,"Weekend","Weekday")</f>
        <v>Weekday</v>
      </c>
      <c r="O985" s="13" t="str">
        <f>IF(tblTransactions[[#This Row],[discount_pct]]=0,"0%",IF(tblTransactions[[#This Row],[discount_pct]]&lt;=10%,"1–
10%",IF(tblTransactions[[#This Row],[discount_pct]]&lt;=20%,"11–20%","&gt;20%")))</f>
        <v>0%</v>
      </c>
      <c r="P985" s="13" t="str">
        <f>_xlfn.XLOOKUP(tblTransactions[[#This Row],[tenant_id]],tblTenants[tenant_id],tblTenants[zone],"NOT FOUND")</f>
        <v>Home &amp; Living</v>
      </c>
      <c r="Q985" s="13" t="str">
        <f>_xlfn.XLOOKUP(tblTransactions[[#This Row],[tenant_id]],tblTenants[tenant_id],tblTenants[category],"NOT FOUND")</f>
        <v>Electronics</v>
      </c>
    </row>
    <row r="986" spans="1:17">
      <c r="A986" t="s">
        <v>1030</v>
      </c>
      <c r="B986" s="2">
        <v>45718</v>
      </c>
      <c r="C986">
        <v>12</v>
      </c>
      <c r="D986" t="s">
        <v>15</v>
      </c>
      <c r="E986" t="s">
        <v>32</v>
      </c>
      <c r="F986" s="7">
        <v>2073.42</v>
      </c>
      <c r="G986" s="10">
        <v>0.15</v>
      </c>
      <c r="H986" s="7">
        <v>1762.41</v>
      </c>
      <c r="I986">
        <v>1</v>
      </c>
      <c r="J986" t="s">
        <v>16</v>
      </c>
      <c r="K986" s="13">
        <f>ROUND(tblTransactions[[#This Row],[gross_sales_inr]]*(1-tblTransactions[[#This Row],[discount_pct]]),2)</f>
        <v>1762.41</v>
      </c>
      <c r="L986" t="str">
        <f>IF(ABS(tblTransactions[[#This Row],[net_sales_inr]]-tblTransactions[[#This Row],[Recalc_Net_Sales]])&lt;0.02,"OK","CHECK")</f>
        <v>OK</v>
      </c>
      <c r="M986" s="14">
        <f>DATE(YEAR(tblTransactions[[#This Row],[date]]),MONTH(tblTransactions[[#This Row],[date]]),1)</f>
        <v>45717</v>
      </c>
      <c r="N986" t="str">
        <f>IF(WEEKDAY(tblTransactions[[#This Row],[date]],2)&gt;5,"Weekend","Weekday")</f>
        <v>Weekend</v>
      </c>
      <c r="O98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86" s="13" t="str">
        <f>_xlfn.XLOOKUP(tblTransactions[[#This Row],[tenant_id]],tblTenants[tenant_id],tblTenants[zone],"NOT FOUND")</f>
        <v>Fashion Avenue</v>
      </c>
      <c r="Q986" s="13" t="str">
        <f>_xlfn.XLOOKUP(tblTransactions[[#This Row],[tenant_id]],tblTenants[tenant_id],tblTenants[category],"NOT FOUND")</f>
        <v>Accessories</v>
      </c>
    </row>
    <row r="987" spans="1:17">
      <c r="A987" t="s">
        <v>1031</v>
      </c>
      <c r="B987" s="2">
        <v>45749</v>
      </c>
      <c r="C987">
        <v>10</v>
      </c>
      <c r="D987" t="s">
        <v>41</v>
      </c>
      <c r="E987" t="s">
        <v>21</v>
      </c>
      <c r="F987" s="7">
        <v>1218</v>
      </c>
      <c r="G987" s="10">
        <v>0.2</v>
      </c>
      <c r="H987" s="7">
        <v>974.4</v>
      </c>
      <c r="I987">
        <v>1</v>
      </c>
      <c r="J987" t="s">
        <v>13</v>
      </c>
      <c r="K987" s="13">
        <f>ROUND(tblTransactions[[#This Row],[gross_sales_inr]]*(1-tblTransactions[[#This Row],[discount_pct]]),2)</f>
        <v>974.4</v>
      </c>
      <c r="L987" t="str">
        <f>IF(ABS(tblTransactions[[#This Row],[net_sales_inr]]-tblTransactions[[#This Row],[Recalc_Net_Sales]])&lt;0.02,"OK","CHECK")</f>
        <v>OK</v>
      </c>
      <c r="M987" s="14">
        <f>DATE(YEAR(tblTransactions[[#This Row],[date]]),MONTH(tblTransactions[[#This Row],[date]]),1)</f>
        <v>45748</v>
      </c>
      <c r="N987" t="str">
        <f>IF(WEEKDAY(tblTransactions[[#This Row],[date]],2)&gt;5,"Weekend","Weekday")</f>
        <v>Weekday</v>
      </c>
      <c r="O98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87" s="13" t="str">
        <f>_xlfn.XLOOKUP(tblTransactions[[#This Row],[tenant_id]],tblTenants[tenant_id],tblTenants[zone],"NOT FOUND")</f>
        <v>Fashion Avenue</v>
      </c>
      <c r="Q987" s="13" t="str">
        <f>_xlfn.XLOOKUP(tblTransactions[[#This Row],[tenant_id]],tblTenants[tenant_id],tblTenants[category],"NOT FOUND")</f>
        <v>Clothing</v>
      </c>
    </row>
    <row r="988" spans="1:17">
      <c r="A988" t="s">
        <v>1032</v>
      </c>
      <c r="B988" s="2">
        <v>45773</v>
      </c>
      <c r="C988">
        <v>15</v>
      </c>
      <c r="D988" t="s">
        <v>45</v>
      </c>
      <c r="E988" t="s">
        <v>12</v>
      </c>
      <c r="F988" s="7">
        <v>966.91</v>
      </c>
      <c r="G988" s="10">
        <v>0</v>
      </c>
      <c r="H988" s="7">
        <v>966.91</v>
      </c>
      <c r="I988">
        <v>1</v>
      </c>
      <c r="J988" t="s">
        <v>13</v>
      </c>
      <c r="K988" s="13">
        <f>ROUND(tblTransactions[[#This Row],[gross_sales_inr]]*(1-tblTransactions[[#This Row],[discount_pct]]),2)</f>
        <v>966.91</v>
      </c>
      <c r="L988" t="str">
        <f>IF(ABS(tblTransactions[[#This Row],[net_sales_inr]]-tblTransactions[[#This Row],[Recalc_Net_Sales]])&lt;0.02,"OK","CHECK")</f>
        <v>OK</v>
      </c>
      <c r="M988" s="14">
        <f>DATE(YEAR(tblTransactions[[#This Row],[date]]),MONTH(tblTransactions[[#This Row],[date]]),1)</f>
        <v>45748</v>
      </c>
      <c r="N988" t="str">
        <f>IF(WEEKDAY(tblTransactions[[#This Row],[date]],2)&gt;5,"Weekend","Weekday")</f>
        <v>Weekend</v>
      </c>
      <c r="O988" s="13" t="str">
        <f>IF(tblTransactions[[#This Row],[discount_pct]]=0,"0%",IF(tblTransactions[[#This Row],[discount_pct]]&lt;=10%,"1–
10%",IF(tblTransactions[[#This Row],[discount_pct]]&lt;=20%,"11–20%","&gt;20%")))</f>
        <v>0%</v>
      </c>
      <c r="P988" s="13" t="str">
        <f>_xlfn.XLOOKUP(tblTransactions[[#This Row],[tenant_id]],tblTenants[tenant_id],tblTenants[zone],"NOT FOUND")</f>
        <v>Home &amp; Living</v>
      </c>
      <c r="Q988" s="13" t="str">
        <f>_xlfn.XLOOKUP(tblTransactions[[#This Row],[tenant_id]],tblTenants[tenant_id],tblTenants[category],"NOT FOUND")</f>
        <v>Home Decor</v>
      </c>
    </row>
    <row r="989" spans="1:17">
      <c r="A989" t="s">
        <v>1033</v>
      </c>
      <c r="B989" s="2">
        <v>45819</v>
      </c>
      <c r="C989">
        <v>16</v>
      </c>
      <c r="D989" t="s">
        <v>122</v>
      </c>
      <c r="E989" t="s">
        <v>51</v>
      </c>
      <c r="F989" s="7">
        <v>445.19</v>
      </c>
      <c r="G989" s="10">
        <v>0.1</v>
      </c>
      <c r="H989" s="7">
        <v>400.67</v>
      </c>
      <c r="I989">
        <v>1</v>
      </c>
      <c r="J989" t="s">
        <v>13</v>
      </c>
      <c r="K989" s="13">
        <f>ROUND(tblTransactions[[#This Row],[gross_sales_inr]]*(1-tblTransactions[[#This Row],[discount_pct]]),2)</f>
        <v>400.67</v>
      </c>
      <c r="L989" t="str">
        <f>IF(ABS(tblTransactions[[#This Row],[net_sales_inr]]-tblTransactions[[#This Row],[Recalc_Net_Sales]])&lt;0.02,"OK","CHECK")</f>
        <v>OK</v>
      </c>
      <c r="M989" s="14">
        <f>DATE(YEAR(tblTransactions[[#This Row],[date]]),MONTH(tblTransactions[[#This Row],[date]]),1)</f>
        <v>45809</v>
      </c>
      <c r="N989" t="str">
        <f>IF(WEEKDAY(tblTransactions[[#This Row],[date]],2)&gt;5,"Weekend","Weekday")</f>
        <v>Weekday</v>
      </c>
      <c r="O98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89" s="13" t="str">
        <f>_xlfn.XLOOKUP(tblTransactions[[#This Row],[tenant_id]],tblTenants[tenant_id],tblTenants[zone],"NOT FOUND")</f>
        <v>Beauty &amp; Wellness</v>
      </c>
      <c r="Q989" s="13" t="str">
        <f>_xlfn.XLOOKUP(tblTransactions[[#This Row],[tenant_id]],tblTenants[tenant_id],tblTenants[category],"NOT FOUND")</f>
        <v>Wellness</v>
      </c>
    </row>
    <row r="990" spans="1:17">
      <c r="A990" t="s">
        <v>1034</v>
      </c>
      <c r="B990" s="2">
        <v>45756</v>
      </c>
      <c r="C990">
        <v>15</v>
      </c>
      <c r="D990" t="s">
        <v>59</v>
      </c>
      <c r="E990" t="s">
        <v>12</v>
      </c>
      <c r="F990" s="7">
        <v>389.42</v>
      </c>
      <c r="G990" s="10">
        <v>0</v>
      </c>
      <c r="H990" s="7">
        <v>389.42</v>
      </c>
      <c r="I990">
        <v>2</v>
      </c>
      <c r="J990" t="s">
        <v>13</v>
      </c>
      <c r="K990" s="13">
        <f>ROUND(tblTransactions[[#This Row],[gross_sales_inr]]*(1-tblTransactions[[#This Row],[discount_pct]]),2)</f>
        <v>389.42</v>
      </c>
      <c r="L990" t="str">
        <f>IF(ABS(tblTransactions[[#This Row],[net_sales_inr]]-tblTransactions[[#This Row],[Recalc_Net_Sales]])&lt;0.02,"OK","CHECK")</f>
        <v>OK</v>
      </c>
      <c r="M990" s="14">
        <f>DATE(YEAR(tblTransactions[[#This Row],[date]]),MONTH(tblTransactions[[#This Row],[date]]),1)</f>
        <v>45748</v>
      </c>
      <c r="N990" t="str">
        <f>IF(WEEKDAY(tblTransactions[[#This Row],[date]],2)&gt;5,"Weekend","Weekday")</f>
        <v>Weekday</v>
      </c>
      <c r="O990" s="13" t="str">
        <f>IF(tblTransactions[[#This Row],[discount_pct]]=0,"0%",IF(tblTransactions[[#This Row],[discount_pct]]&lt;=10%,"1–
10%",IF(tblTransactions[[#This Row],[discount_pct]]&lt;=20%,"11–20%","&gt;20%")))</f>
        <v>0%</v>
      </c>
      <c r="P990" s="13" t="str">
        <f>_xlfn.XLOOKUP(tblTransactions[[#This Row],[tenant_id]],tblTenants[tenant_id],tblTenants[zone],"NOT FOUND")</f>
        <v>Fashion Avenue</v>
      </c>
      <c r="Q990" s="13" t="str">
        <f>_xlfn.XLOOKUP(tblTransactions[[#This Row],[tenant_id]],tblTenants[tenant_id],tblTenants[category],"NOT FOUND")</f>
        <v>Footwear</v>
      </c>
    </row>
    <row r="991" spans="1:17">
      <c r="A991" t="s">
        <v>1035</v>
      </c>
      <c r="B991" s="2">
        <v>45756</v>
      </c>
      <c r="C991">
        <v>17</v>
      </c>
      <c r="D991" t="s">
        <v>57</v>
      </c>
      <c r="E991" t="s">
        <v>12</v>
      </c>
      <c r="F991" s="7">
        <v>422.18</v>
      </c>
      <c r="G991" s="10">
        <v>0.15</v>
      </c>
      <c r="H991" s="7">
        <v>358.85</v>
      </c>
      <c r="I991">
        <v>2</v>
      </c>
      <c r="J991" t="s">
        <v>13</v>
      </c>
      <c r="K991" s="13">
        <f>ROUND(tblTransactions[[#This Row],[gross_sales_inr]]*(1-tblTransactions[[#This Row],[discount_pct]]),2)</f>
        <v>358.85</v>
      </c>
      <c r="L991" t="str">
        <f>IF(ABS(tblTransactions[[#This Row],[net_sales_inr]]-tblTransactions[[#This Row],[Recalc_Net_Sales]])&lt;0.02,"OK","CHECK")</f>
        <v>OK</v>
      </c>
      <c r="M991" s="14">
        <f>DATE(YEAR(tblTransactions[[#This Row],[date]]),MONTH(tblTransactions[[#This Row],[date]]),1)</f>
        <v>45748</v>
      </c>
      <c r="N991" t="str">
        <f>IF(WEEKDAY(tblTransactions[[#This Row],[date]],2)&gt;5,"Weekend","Weekday")</f>
        <v>Weekday</v>
      </c>
      <c r="O99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91" s="13" t="str">
        <f>_xlfn.XLOOKUP(tblTransactions[[#This Row],[tenant_id]],tblTenants[tenant_id],tblTenants[zone],"NOT FOUND")</f>
        <v>Food Court</v>
      </c>
      <c r="Q991" s="13" t="str">
        <f>_xlfn.XLOOKUP(tblTransactions[[#This Row],[tenant_id]],tblTenants[tenant_id],tblTenants[category],"NOT FOUND")</f>
        <v>Casual Dining</v>
      </c>
    </row>
    <row r="992" spans="1:17">
      <c r="A992" t="s">
        <v>1036</v>
      </c>
      <c r="B992" s="2">
        <v>45680</v>
      </c>
      <c r="C992">
        <v>17</v>
      </c>
      <c r="D992" t="s">
        <v>57</v>
      </c>
      <c r="E992" t="s">
        <v>12</v>
      </c>
      <c r="F992" s="7">
        <v>330.69</v>
      </c>
      <c r="G992" s="10">
        <v>0</v>
      </c>
      <c r="H992" s="7">
        <v>330.69</v>
      </c>
      <c r="I992">
        <v>6</v>
      </c>
      <c r="J992" t="s">
        <v>13</v>
      </c>
      <c r="K992" s="13">
        <f>ROUND(tblTransactions[[#This Row],[gross_sales_inr]]*(1-tblTransactions[[#This Row],[discount_pct]]),2)</f>
        <v>330.69</v>
      </c>
      <c r="L992" t="str">
        <f>IF(ABS(tblTransactions[[#This Row],[net_sales_inr]]-tblTransactions[[#This Row],[Recalc_Net_Sales]])&lt;0.02,"OK","CHECK")</f>
        <v>OK</v>
      </c>
      <c r="M992" s="14">
        <f>DATE(YEAR(tblTransactions[[#This Row],[date]]),MONTH(tblTransactions[[#This Row],[date]]),1)</f>
        <v>45658</v>
      </c>
      <c r="N992" t="str">
        <f>IF(WEEKDAY(tblTransactions[[#This Row],[date]],2)&gt;5,"Weekend","Weekday")</f>
        <v>Weekday</v>
      </c>
      <c r="O992" s="13" t="str">
        <f>IF(tblTransactions[[#This Row],[discount_pct]]=0,"0%",IF(tblTransactions[[#This Row],[discount_pct]]&lt;=10%,"1–
10%",IF(tblTransactions[[#This Row],[discount_pct]]&lt;=20%,"11–20%","&gt;20%")))</f>
        <v>0%</v>
      </c>
      <c r="P992" s="13" t="str">
        <f>_xlfn.XLOOKUP(tblTransactions[[#This Row],[tenant_id]],tblTenants[tenant_id],tblTenants[zone],"NOT FOUND")</f>
        <v>Food Court</v>
      </c>
      <c r="Q992" s="13" t="str">
        <f>_xlfn.XLOOKUP(tblTransactions[[#This Row],[tenant_id]],tblTenants[tenant_id],tblTenants[category],"NOT FOUND")</f>
        <v>Casual Dining</v>
      </c>
    </row>
    <row r="993" spans="1:17">
      <c r="A993" t="s">
        <v>1037</v>
      </c>
      <c r="B993" s="2">
        <v>45688</v>
      </c>
      <c r="C993">
        <v>15</v>
      </c>
      <c r="D993" t="s">
        <v>57</v>
      </c>
      <c r="E993" t="s">
        <v>12</v>
      </c>
      <c r="F993" s="7">
        <v>1450.27</v>
      </c>
      <c r="G993" s="10">
        <v>0.1</v>
      </c>
      <c r="H993" s="7">
        <v>1305.24</v>
      </c>
      <c r="I993">
        <v>2</v>
      </c>
      <c r="J993" t="s">
        <v>13</v>
      </c>
      <c r="K993" s="13">
        <f>ROUND(tblTransactions[[#This Row],[gross_sales_inr]]*(1-tblTransactions[[#This Row],[discount_pct]]),2)</f>
        <v>1305.24</v>
      </c>
      <c r="L993" t="str">
        <f>IF(ABS(tblTransactions[[#This Row],[net_sales_inr]]-tblTransactions[[#This Row],[Recalc_Net_Sales]])&lt;0.02,"OK","CHECK")</f>
        <v>OK</v>
      </c>
      <c r="M993" s="14">
        <f>DATE(YEAR(tblTransactions[[#This Row],[date]]),MONTH(tblTransactions[[#This Row],[date]]),1)</f>
        <v>45658</v>
      </c>
      <c r="N993" t="str">
        <f>IF(WEEKDAY(tblTransactions[[#This Row],[date]],2)&gt;5,"Weekend","Weekday")</f>
        <v>Weekday</v>
      </c>
      <c r="O99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93" s="13" t="str">
        <f>_xlfn.XLOOKUP(tblTransactions[[#This Row],[tenant_id]],tblTenants[tenant_id],tblTenants[zone],"NOT FOUND")</f>
        <v>Food Court</v>
      </c>
      <c r="Q993" s="13" t="str">
        <f>_xlfn.XLOOKUP(tblTransactions[[#This Row],[tenant_id]],tblTenants[tenant_id],tblTenants[category],"NOT FOUND")</f>
        <v>Casual Dining</v>
      </c>
    </row>
    <row r="994" spans="1:17">
      <c r="A994" t="s">
        <v>1038</v>
      </c>
      <c r="B994" s="2">
        <v>45733</v>
      </c>
      <c r="C994">
        <v>19</v>
      </c>
      <c r="D994" t="s">
        <v>61</v>
      </c>
      <c r="E994" t="s">
        <v>51</v>
      </c>
      <c r="F994" s="7">
        <v>1937</v>
      </c>
      <c r="G994" s="10">
        <v>0.05</v>
      </c>
      <c r="H994" s="7">
        <v>1840.15</v>
      </c>
      <c r="I994">
        <v>4</v>
      </c>
      <c r="J994" t="s">
        <v>13</v>
      </c>
      <c r="K994" s="13">
        <f>ROUND(tblTransactions[[#This Row],[gross_sales_inr]]*(1-tblTransactions[[#This Row],[discount_pct]]),2)</f>
        <v>1840.15</v>
      </c>
      <c r="L994" t="str">
        <f>IF(ABS(tblTransactions[[#This Row],[net_sales_inr]]-tblTransactions[[#This Row],[Recalc_Net_Sales]])&lt;0.02,"OK","CHECK")</f>
        <v>OK</v>
      </c>
      <c r="M994" s="14">
        <f>DATE(YEAR(tblTransactions[[#This Row],[date]]),MONTH(tblTransactions[[#This Row],[date]]),1)</f>
        <v>45717</v>
      </c>
      <c r="N994" t="str">
        <f>IF(WEEKDAY(tblTransactions[[#This Row],[date]],2)&gt;5,"Weekend","Weekday")</f>
        <v>Weekday</v>
      </c>
      <c r="O99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94" s="13" t="str">
        <f>_xlfn.XLOOKUP(tblTransactions[[#This Row],[tenant_id]],tblTenants[tenant_id],tblTenants[zone],"NOT FOUND")</f>
        <v>Food Court</v>
      </c>
      <c r="Q994" s="13" t="str">
        <f>_xlfn.XLOOKUP(tblTransactions[[#This Row],[tenant_id]],tblTenants[tenant_id],tblTenants[category],"NOT FOUND")</f>
        <v>Quick Service</v>
      </c>
    </row>
    <row r="995" spans="1:17">
      <c r="A995" t="s">
        <v>1039</v>
      </c>
      <c r="B995" s="2">
        <v>45794</v>
      </c>
      <c r="C995">
        <v>12</v>
      </c>
      <c r="D995" t="s">
        <v>11</v>
      </c>
      <c r="E995" t="s">
        <v>51</v>
      </c>
      <c r="F995" s="7">
        <v>362.65</v>
      </c>
      <c r="G995" s="10">
        <v>0.15</v>
      </c>
      <c r="H995" s="7">
        <v>308.25</v>
      </c>
      <c r="I995">
        <v>4</v>
      </c>
      <c r="J995" t="s">
        <v>16</v>
      </c>
      <c r="K995" s="13">
        <f>ROUND(tblTransactions[[#This Row],[gross_sales_inr]]*(1-tblTransactions[[#This Row],[discount_pct]]),2)</f>
        <v>308.25</v>
      </c>
      <c r="L995" t="str">
        <f>IF(ABS(tblTransactions[[#This Row],[net_sales_inr]]-tblTransactions[[#This Row],[Recalc_Net_Sales]])&lt;0.02,"OK","CHECK")</f>
        <v>OK</v>
      </c>
      <c r="M995" s="14">
        <f>DATE(YEAR(tblTransactions[[#This Row],[date]]),MONTH(tblTransactions[[#This Row],[date]]),1)</f>
        <v>45778</v>
      </c>
      <c r="N995" t="str">
        <f>IF(WEEKDAY(tblTransactions[[#This Row],[date]],2)&gt;5,"Weekend","Weekday")</f>
        <v>Weekend</v>
      </c>
      <c r="O99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95" s="13" t="str">
        <f>_xlfn.XLOOKUP(tblTransactions[[#This Row],[tenant_id]],tblTenants[tenant_id],tblTenants[zone],"NOT FOUND")</f>
        <v>Home &amp; Living</v>
      </c>
      <c r="Q995" s="13" t="str">
        <f>_xlfn.XLOOKUP(tblTransactions[[#This Row],[tenant_id]],tblTenants[tenant_id],tblTenants[category],"NOT FOUND")</f>
        <v>Home Decor</v>
      </c>
    </row>
    <row r="996" spans="1:17">
      <c r="A996" t="s">
        <v>1040</v>
      </c>
      <c r="B996" s="2">
        <v>45711</v>
      </c>
      <c r="C996">
        <v>22</v>
      </c>
      <c r="D996" t="s">
        <v>80</v>
      </c>
      <c r="E996" t="s">
        <v>32</v>
      </c>
      <c r="F996" s="7">
        <v>1152.02</v>
      </c>
      <c r="G996" s="10">
        <v>0.1</v>
      </c>
      <c r="H996" s="7">
        <v>1036.82</v>
      </c>
      <c r="I996">
        <v>3</v>
      </c>
      <c r="J996" t="s">
        <v>16</v>
      </c>
      <c r="K996" s="13">
        <f>ROUND(tblTransactions[[#This Row],[gross_sales_inr]]*(1-tblTransactions[[#This Row],[discount_pct]]),2)</f>
        <v>1036.82</v>
      </c>
      <c r="L996" t="str">
        <f>IF(ABS(tblTransactions[[#This Row],[net_sales_inr]]-tblTransactions[[#This Row],[Recalc_Net_Sales]])&lt;0.02,"OK","CHECK")</f>
        <v>OK</v>
      </c>
      <c r="M996" s="14">
        <f>DATE(YEAR(tblTransactions[[#This Row],[date]]),MONTH(tblTransactions[[#This Row],[date]]),1)</f>
        <v>45689</v>
      </c>
      <c r="N996" t="str">
        <f>IF(WEEKDAY(tblTransactions[[#This Row],[date]],2)&gt;5,"Weekend","Weekday")</f>
        <v>Weekend</v>
      </c>
      <c r="O99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96" s="13" t="str">
        <f>_xlfn.XLOOKUP(tblTransactions[[#This Row],[tenant_id]],tblTenants[tenant_id],tblTenants[zone],"NOT FOUND")</f>
        <v>Food Court</v>
      </c>
      <c r="Q996" s="13" t="str">
        <f>_xlfn.XLOOKUP(tblTransactions[[#This Row],[tenant_id]],tblTenants[tenant_id],tblTenants[category],"NOT FOUND")</f>
        <v>Casual Dining</v>
      </c>
    </row>
    <row r="997" spans="1:17">
      <c r="A997" t="s">
        <v>1041</v>
      </c>
      <c r="B997" s="2">
        <v>45781</v>
      </c>
      <c r="C997">
        <v>11</v>
      </c>
      <c r="D997" t="s">
        <v>36</v>
      </c>
      <c r="E997" t="s">
        <v>21</v>
      </c>
      <c r="F997" s="7">
        <v>474.4</v>
      </c>
      <c r="G997" s="10">
        <v>0.2</v>
      </c>
      <c r="H997" s="7">
        <v>379.52</v>
      </c>
      <c r="I997">
        <v>2</v>
      </c>
      <c r="J997" t="s">
        <v>16</v>
      </c>
      <c r="K997" s="13">
        <f>ROUND(tblTransactions[[#This Row],[gross_sales_inr]]*(1-tblTransactions[[#This Row],[discount_pct]]),2)</f>
        <v>379.52</v>
      </c>
      <c r="L997" t="str">
        <f>IF(ABS(tblTransactions[[#This Row],[net_sales_inr]]-tblTransactions[[#This Row],[Recalc_Net_Sales]])&lt;0.02,"OK","CHECK")</f>
        <v>OK</v>
      </c>
      <c r="M997" s="14">
        <f>DATE(YEAR(tblTransactions[[#This Row],[date]]),MONTH(tblTransactions[[#This Row],[date]]),1)</f>
        <v>45778</v>
      </c>
      <c r="N997" t="str">
        <f>IF(WEEKDAY(tblTransactions[[#This Row],[date]],2)&gt;5,"Weekend","Weekday")</f>
        <v>Weekend</v>
      </c>
      <c r="O99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997" s="13" t="str">
        <f>_xlfn.XLOOKUP(tblTransactions[[#This Row],[tenant_id]],tblTenants[tenant_id],tblTenants[zone],"NOT FOUND")</f>
        <v>Home &amp; Living</v>
      </c>
      <c r="Q997" s="13" t="str">
        <f>_xlfn.XLOOKUP(tblTransactions[[#This Row],[tenant_id]],tblTenants[tenant_id],tblTenants[category],"NOT FOUND")</f>
        <v>Electronics</v>
      </c>
    </row>
    <row r="998" spans="1:17">
      <c r="A998" t="s">
        <v>1042</v>
      </c>
      <c r="B998" s="2">
        <v>45699</v>
      </c>
      <c r="C998">
        <v>18</v>
      </c>
      <c r="D998" t="s">
        <v>36</v>
      </c>
      <c r="E998" t="s">
        <v>12</v>
      </c>
      <c r="F998" s="7">
        <v>417.8</v>
      </c>
      <c r="G998" s="10">
        <v>0.1</v>
      </c>
      <c r="H998" s="7">
        <v>376.02</v>
      </c>
      <c r="I998">
        <v>2</v>
      </c>
      <c r="J998" t="s">
        <v>13</v>
      </c>
      <c r="K998" s="13">
        <f>ROUND(tblTransactions[[#This Row],[gross_sales_inr]]*(1-tblTransactions[[#This Row],[discount_pct]]),2)</f>
        <v>376.02</v>
      </c>
      <c r="L998" t="str">
        <f>IF(ABS(tblTransactions[[#This Row],[net_sales_inr]]-tblTransactions[[#This Row],[Recalc_Net_Sales]])&lt;0.02,"OK","CHECK")</f>
        <v>OK</v>
      </c>
      <c r="M998" s="14">
        <f>DATE(YEAR(tblTransactions[[#This Row],[date]]),MONTH(tblTransactions[[#This Row],[date]]),1)</f>
        <v>45689</v>
      </c>
      <c r="N998" t="str">
        <f>IF(WEEKDAY(tblTransactions[[#This Row],[date]],2)&gt;5,"Weekend","Weekday")</f>
        <v>Weekday</v>
      </c>
      <c r="O99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98" s="13" t="str">
        <f>_xlfn.XLOOKUP(tblTransactions[[#This Row],[tenant_id]],tblTenants[tenant_id],tblTenants[zone],"NOT FOUND")</f>
        <v>Home &amp; Living</v>
      </c>
      <c r="Q998" s="13" t="str">
        <f>_xlfn.XLOOKUP(tblTransactions[[#This Row],[tenant_id]],tblTenants[tenant_id],tblTenants[category],"NOT FOUND")</f>
        <v>Electronics</v>
      </c>
    </row>
    <row r="999" spans="1:17">
      <c r="A999" t="s">
        <v>1043</v>
      </c>
      <c r="B999" s="2">
        <v>45832</v>
      </c>
      <c r="C999">
        <v>13</v>
      </c>
      <c r="D999" t="s">
        <v>57</v>
      </c>
      <c r="E999" t="s">
        <v>12</v>
      </c>
      <c r="F999" s="7">
        <v>390.91</v>
      </c>
      <c r="G999" s="10">
        <v>0.1</v>
      </c>
      <c r="H999" s="7">
        <v>351.82</v>
      </c>
      <c r="I999">
        <v>1</v>
      </c>
      <c r="J999" t="s">
        <v>13</v>
      </c>
      <c r="K999" s="13">
        <f>ROUND(tblTransactions[[#This Row],[gross_sales_inr]]*(1-tblTransactions[[#This Row],[discount_pct]]),2)</f>
        <v>351.82</v>
      </c>
      <c r="L999" t="str">
        <f>IF(ABS(tblTransactions[[#This Row],[net_sales_inr]]-tblTransactions[[#This Row],[Recalc_Net_Sales]])&lt;0.02,"OK","CHECK")</f>
        <v>OK</v>
      </c>
      <c r="M999" s="14">
        <f>DATE(YEAR(tblTransactions[[#This Row],[date]]),MONTH(tblTransactions[[#This Row],[date]]),1)</f>
        <v>45809</v>
      </c>
      <c r="N999" t="str">
        <f>IF(WEEKDAY(tblTransactions[[#This Row],[date]],2)&gt;5,"Weekend","Weekday")</f>
        <v>Weekday</v>
      </c>
      <c r="O99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999" s="13" t="str">
        <f>_xlfn.XLOOKUP(tblTransactions[[#This Row],[tenant_id]],tblTenants[tenant_id],tblTenants[zone],"NOT FOUND")</f>
        <v>Food Court</v>
      </c>
      <c r="Q999" s="13" t="str">
        <f>_xlfn.XLOOKUP(tblTransactions[[#This Row],[tenant_id]],tblTenants[tenant_id],tblTenants[category],"NOT FOUND")</f>
        <v>Casual Dining</v>
      </c>
    </row>
    <row r="1000" spans="1:17">
      <c r="A1000" t="s">
        <v>1044</v>
      </c>
      <c r="B1000" s="2">
        <v>45738</v>
      </c>
      <c r="C1000">
        <v>13</v>
      </c>
      <c r="D1000" t="s">
        <v>25</v>
      </c>
      <c r="E1000" t="s">
        <v>32</v>
      </c>
      <c r="F1000" s="7">
        <v>1153.92</v>
      </c>
      <c r="G1000" s="10">
        <v>0.15</v>
      </c>
      <c r="H1000" s="7">
        <v>980.83</v>
      </c>
      <c r="I1000">
        <v>5</v>
      </c>
      <c r="J1000" t="s">
        <v>16</v>
      </c>
      <c r="K1000" s="13">
        <f>ROUND(tblTransactions[[#This Row],[gross_sales_inr]]*(1-tblTransactions[[#This Row],[discount_pct]]),2)</f>
        <v>980.83</v>
      </c>
      <c r="L1000" t="str">
        <f>IF(ABS(tblTransactions[[#This Row],[net_sales_inr]]-tblTransactions[[#This Row],[Recalc_Net_Sales]])&lt;0.02,"OK","CHECK")</f>
        <v>OK</v>
      </c>
      <c r="M1000" s="14">
        <f>DATE(YEAR(tblTransactions[[#This Row],[date]]),MONTH(tblTransactions[[#This Row],[date]]),1)</f>
        <v>45717</v>
      </c>
      <c r="N1000" t="str">
        <f>IF(WEEKDAY(tblTransactions[[#This Row],[date]],2)&gt;5,"Weekend","Weekday")</f>
        <v>Weekend</v>
      </c>
      <c r="O100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00" s="13" t="str">
        <f>_xlfn.XLOOKUP(tblTransactions[[#This Row],[tenant_id]],tblTenants[tenant_id],tblTenants[zone],"NOT FOUND")</f>
        <v>Beauty &amp; Wellness</v>
      </c>
      <c r="Q1000" s="13" t="str">
        <f>_xlfn.XLOOKUP(tblTransactions[[#This Row],[tenant_id]],tblTenants[tenant_id],tblTenants[category],"NOT FOUND")</f>
        <v>Beauty</v>
      </c>
    </row>
    <row r="1001" spans="1:17">
      <c r="A1001" t="s">
        <v>1045</v>
      </c>
      <c r="B1001" s="2">
        <v>45733</v>
      </c>
      <c r="C1001">
        <v>19</v>
      </c>
      <c r="D1001" t="s">
        <v>80</v>
      </c>
      <c r="E1001" t="s">
        <v>12</v>
      </c>
      <c r="F1001" s="7">
        <v>438.74</v>
      </c>
      <c r="G1001" s="10">
        <v>0</v>
      </c>
      <c r="H1001" s="7">
        <v>438.74</v>
      </c>
      <c r="I1001">
        <v>4</v>
      </c>
      <c r="J1001" t="s">
        <v>16</v>
      </c>
      <c r="K1001" s="13">
        <f>ROUND(tblTransactions[[#This Row],[gross_sales_inr]]*(1-tblTransactions[[#This Row],[discount_pct]]),2)</f>
        <v>438.74</v>
      </c>
      <c r="L1001" t="str">
        <f>IF(ABS(tblTransactions[[#This Row],[net_sales_inr]]-tblTransactions[[#This Row],[Recalc_Net_Sales]])&lt;0.02,"OK","CHECK")</f>
        <v>OK</v>
      </c>
      <c r="M1001" s="14">
        <f>DATE(YEAR(tblTransactions[[#This Row],[date]]),MONTH(tblTransactions[[#This Row],[date]]),1)</f>
        <v>45717</v>
      </c>
      <c r="N1001" t="str">
        <f>IF(WEEKDAY(tblTransactions[[#This Row],[date]],2)&gt;5,"Weekend","Weekday")</f>
        <v>Weekday</v>
      </c>
      <c r="O1001" s="13" t="str">
        <f>IF(tblTransactions[[#This Row],[discount_pct]]=0,"0%",IF(tblTransactions[[#This Row],[discount_pct]]&lt;=10%,"1–
10%",IF(tblTransactions[[#This Row],[discount_pct]]&lt;=20%,"11–20%","&gt;20%")))</f>
        <v>0%</v>
      </c>
      <c r="P1001" s="13" t="str">
        <f>_xlfn.XLOOKUP(tblTransactions[[#This Row],[tenant_id]],tblTenants[tenant_id],tblTenants[zone],"NOT FOUND")</f>
        <v>Food Court</v>
      </c>
      <c r="Q1001" s="13" t="str">
        <f>_xlfn.XLOOKUP(tblTransactions[[#This Row],[tenant_id]],tblTenants[tenant_id],tblTenants[category],"NOT FOUND")</f>
        <v>Casual Dining</v>
      </c>
    </row>
    <row r="1002" spans="1:17">
      <c r="A1002" t="s">
        <v>1046</v>
      </c>
      <c r="B1002" s="2">
        <v>45680</v>
      </c>
      <c r="C1002">
        <v>14</v>
      </c>
      <c r="D1002" t="s">
        <v>34</v>
      </c>
      <c r="E1002" t="s">
        <v>51</v>
      </c>
      <c r="F1002" s="7">
        <v>1092.06</v>
      </c>
      <c r="G1002" s="10">
        <v>0</v>
      </c>
      <c r="H1002" s="7">
        <v>1092.06</v>
      </c>
      <c r="I1002">
        <v>1</v>
      </c>
      <c r="J1002" t="s">
        <v>16</v>
      </c>
      <c r="K1002" s="13">
        <f>ROUND(tblTransactions[[#This Row],[gross_sales_inr]]*(1-tblTransactions[[#This Row],[discount_pct]]),2)</f>
        <v>1092.06</v>
      </c>
      <c r="L1002" t="str">
        <f>IF(ABS(tblTransactions[[#This Row],[net_sales_inr]]-tblTransactions[[#This Row],[Recalc_Net_Sales]])&lt;0.02,"OK","CHECK")</f>
        <v>OK</v>
      </c>
      <c r="M1002" s="14">
        <f>DATE(YEAR(tblTransactions[[#This Row],[date]]),MONTH(tblTransactions[[#This Row],[date]]),1)</f>
        <v>45658</v>
      </c>
      <c r="N1002" t="str">
        <f>IF(WEEKDAY(tblTransactions[[#This Row],[date]],2)&gt;5,"Weekend","Weekday")</f>
        <v>Weekday</v>
      </c>
      <c r="O1002" s="13" t="str">
        <f>IF(tblTransactions[[#This Row],[discount_pct]]=0,"0%",IF(tblTransactions[[#This Row],[discount_pct]]&lt;=10%,"1–
10%",IF(tblTransactions[[#This Row],[discount_pct]]&lt;=20%,"11–20%","&gt;20%")))</f>
        <v>0%</v>
      </c>
      <c r="P1002" s="13" t="str">
        <f>_xlfn.XLOOKUP(tblTransactions[[#This Row],[tenant_id]],tblTenants[tenant_id],tblTenants[zone],"NOT FOUND")</f>
        <v>Home &amp; Living</v>
      </c>
      <c r="Q1002" s="13" t="str">
        <f>_xlfn.XLOOKUP(tblTransactions[[#This Row],[tenant_id]],tblTenants[tenant_id],tblTenants[category],"NOT FOUND")</f>
        <v>Electronics</v>
      </c>
    </row>
    <row r="1003" spans="1:17">
      <c r="A1003" t="s">
        <v>1047</v>
      </c>
      <c r="B1003" s="2">
        <v>45800</v>
      </c>
      <c r="C1003">
        <v>22</v>
      </c>
      <c r="D1003" t="s">
        <v>36</v>
      </c>
      <c r="E1003" t="s">
        <v>51</v>
      </c>
      <c r="F1003" s="7">
        <v>846.9</v>
      </c>
      <c r="G1003" s="10">
        <v>0</v>
      </c>
      <c r="H1003" s="7">
        <v>846.9</v>
      </c>
      <c r="I1003">
        <v>5</v>
      </c>
      <c r="J1003" t="s">
        <v>13</v>
      </c>
      <c r="K1003" s="13">
        <f>ROUND(tblTransactions[[#This Row],[gross_sales_inr]]*(1-tblTransactions[[#This Row],[discount_pct]]),2)</f>
        <v>846.9</v>
      </c>
      <c r="L1003" t="str">
        <f>IF(ABS(tblTransactions[[#This Row],[net_sales_inr]]-tblTransactions[[#This Row],[Recalc_Net_Sales]])&lt;0.02,"OK","CHECK")</f>
        <v>OK</v>
      </c>
      <c r="M1003" s="14">
        <f>DATE(YEAR(tblTransactions[[#This Row],[date]]),MONTH(tblTransactions[[#This Row],[date]]),1)</f>
        <v>45778</v>
      </c>
      <c r="N1003" t="str">
        <f>IF(WEEKDAY(tblTransactions[[#This Row],[date]],2)&gt;5,"Weekend","Weekday")</f>
        <v>Weekday</v>
      </c>
      <c r="O1003" s="13" t="str">
        <f>IF(tblTransactions[[#This Row],[discount_pct]]=0,"0%",IF(tblTransactions[[#This Row],[discount_pct]]&lt;=10%,"1–
10%",IF(tblTransactions[[#This Row],[discount_pct]]&lt;=20%,"11–20%","&gt;20%")))</f>
        <v>0%</v>
      </c>
      <c r="P1003" s="13" t="str">
        <f>_xlfn.XLOOKUP(tblTransactions[[#This Row],[tenant_id]],tblTenants[tenant_id],tblTenants[zone],"NOT FOUND")</f>
        <v>Home &amp; Living</v>
      </c>
      <c r="Q1003" s="13" t="str">
        <f>_xlfn.XLOOKUP(tblTransactions[[#This Row],[tenant_id]],tblTenants[tenant_id],tblTenants[category],"NOT FOUND")</f>
        <v>Electronics</v>
      </c>
    </row>
    <row r="1004" spans="1:17">
      <c r="A1004" t="s">
        <v>1048</v>
      </c>
      <c r="B1004" s="2">
        <v>45784</v>
      </c>
      <c r="C1004">
        <v>17</v>
      </c>
      <c r="D1004" t="s">
        <v>57</v>
      </c>
      <c r="E1004" t="s">
        <v>21</v>
      </c>
      <c r="F1004" s="7">
        <v>583.17999999999995</v>
      </c>
      <c r="G1004" s="10">
        <v>0.1</v>
      </c>
      <c r="H1004" s="7">
        <v>524.86</v>
      </c>
      <c r="I1004">
        <v>3</v>
      </c>
      <c r="J1004" t="s">
        <v>13</v>
      </c>
      <c r="K1004" s="13">
        <f>ROUND(tblTransactions[[#This Row],[gross_sales_inr]]*(1-tblTransactions[[#This Row],[discount_pct]]),2)</f>
        <v>524.86</v>
      </c>
      <c r="L1004" t="str">
        <f>IF(ABS(tblTransactions[[#This Row],[net_sales_inr]]-tblTransactions[[#This Row],[Recalc_Net_Sales]])&lt;0.02,"OK","CHECK")</f>
        <v>OK</v>
      </c>
      <c r="M1004" s="14">
        <f>DATE(YEAR(tblTransactions[[#This Row],[date]]),MONTH(tblTransactions[[#This Row],[date]]),1)</f>
        <v>45778</v>
      </c>
      <c r="N1004" t="str">
        <f>IF(WEEKDAY(tblTransactions[[#This Row],[date]],2)&gt;5,"Weekend","Weekday")</f>
        <v>Weekday</v>
      </c>
      <c r="O100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04" s="13" t="str">
        <f>_xlfn.XLOOKUP(tblTransactions[[#This Row],[tenant_id]],tblTenants[tenant_id],tblTenants[zone],"NOT FOUND")</f>
        <v>Food Court</v>
      </c>
      <c r="Q1004" s="13" t="str">
        <f>_xlfn.XLOOKUP(tblTransactions[[#This Row],[tenant_id]],tblTenants[tenant_id],tblTenants[category],"NOT FOUND")</f>
        <v>Casual Dining</v>
      </c>
    </row>
    <row r="1005" spans="1:17">
      <c r="A1005" t="s">
        <v>1049</v>
      </c>
      <c r="B1005" s="2">
        <v>45776</v>
      </c>
      <c r="C1005">
        <v>15</v>
      </c>
      <c r="D1005" t="s">
        <v>41</v>
      </c>
      <c r="E1005" t="s">
        <v>12</v>
      </c>
      <c r="F1005" s="7">
        <v>966</v>
      </c>
      <c r="G1005" s="10">
        <v>0.05</v>
      </c>
      <c r="H1005" s="7">
        <v>917.7</v>
      </c>
      <c r="I1005">
        <v>2</v>
      </c>
      <c r="J1005" t="s">
        <v>13</v>
      </c>
      <c r="K1005" s="13">
        <f>ROUND(tblTransactions[[#This Row],[gross_sales_inr]]*(1-tblTransactions[[#This Row],[discount_pct]]),2)</f>
        <v>917.7</v>
      </c>
      <c r="L1005" t="str">
        <f>IF(ABS(tblTransactions[[#This Row],[net_sales_inr]]-tblTransactions[[#This Row],[Recalc_Net_Sales]])&lt;0.02,"OK","CHECK")</f>
        <v>OK</v>
      </c>
      <c r="M1005" s="14">
        <f>DATE(YEAR(tblTransactions[[#This Row],[date]]),MONTH(tblTransactions[[#This Row],[date]]),1)</f>
        <v>45748</v>
      </c>
      <c r="N1005" t="str">
        <f>IF(WEEKDAY(tblTransactions[[#This Row],[date]],2)&gt;5,"Weekend","Weekday")</f>
        <v>Weekday</v>
      </c>
      <c r="O100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05" s="13" t="str">
        <f>_xlfn.XLOOKUP(tblTransactions[[#This Row],[tenant_id]],tblTenants[tenant_id],tblTenants[zone],"NOT FOUND")</f>
        <v>Fashion Avenue</v>
      </c>
      <c r="Q1005" s="13" t="str">
        <f>_xlfn.XLOOKUP(tblTransactions[[#This Row],[tenant_id]],tblTenants[tenant_id],tblTenants[category],"NOT FOUND")</f>
        <v>Clothing</v>
      </c>
    </row>
    <row r="1006" spans="1:17">
      <c r="A1006" t="s">
        <v>1050</v>
      </c>
      <c r="B1006" s="2">
        <v>45803</v>
      </c>
      <c r="C1006">
        <v>15</v>
      </c>
      <c r="D1006" t="s">
        <v>104</v>
      </c>
      <c r="E1006" t="s">
        <v>32</v>
      </c>
      <c r="F1006" s="7">
        <v>1290.26</v>
      </c>
      <c r="G1006" s="10">
        <v>0</v>
      </c>
      <c r="H1006" s="7">
        <v>1290.26</v>
      </c>
      <c r="I1006">
        <v>2</v>
      </c>
      <c r="J1006" t="s">
        <v>16</v>
      </c>
      <c r="K1006" s="13">
        <f>ROUND(tblTransactions[[#This Row],[gross_sales_inr]]*(1-tblTransactions[[#This Row],[discount_pct]]),2)</f>
        <v>1290.26</v>
      </c>
      <c r="L1006" t="str">
        <f>IF(ABS(tblTransactions[[#This Row],[net_sales_inr]]-tblTransactions[[#This Row],[Recalc_Net_Sales]])&lt;0.02,"OK","CHECK")</f>
        <v>OK</v>
      </c>
      <c r="M1006" s="14">
        <f>DATE(YEAR(tblTransactions[[#This Row],[date]]),MONTH(tblTransactions[[#This Row],[date]]),1)</f>
        <v>45778</v>
      </c>
      <c r="N1006" t="str">
        <f>IF(WEEKDAY(tblTransactions[[#This Row],[date]],2)&gt;5,"Weekend","Weekday")</f>
        <v>Weekday</v>
      </c>
      <c r="O1006" s="13" t="str">
        <f>IF(tblTransactions[[#This Row],[discount_pct]]=0,"0%",IF(tblTransactions[[#This Row],[discount_pct]]&lt;=10%,"1–
10%",IF(tblTransactions[[#This Row],[discount_pct]]&lt;=20%,"11–20%","&gt;20%")))</f>
        <v>0%</v>
      </c>
      <c r="P1006" s="13" t="str">
        <f>_xlfn.XLOOKUP(tblTransactions[[#This Row],[tenant_id]],tblTenants[tenant_id],tblTenants[zone],"NOT FOUND")</f>
        <v>Entertainment</v>
      </c>
      <c r="Q1006" s="13" t="str">
        <f>_xlfn.XLOOKUP(tblTransactions[[#This Row],[tenant_id]],tblTenants[tenant_id],tblTenants[category],"NOT FOUND")</f>
        <v>Family Entertainment</v>
      </c>
    </row>
    <row r="1007" spans="1:17">
      <c r="A1007" t="s">
        <v>1051</v>
      </c>
      <c r="B1007" s="2">
        <v>45699</v>
      </c>
      <c r="C1007">
        <v>20</v>
      </c>
      <c r="D1007" t="s">
        <v>18</v>
      </c>
      <c r="E1007" t="s">
        <v>21</v>
      </c>
      <c r="F1007" s="7">
        <v>769.46</v>
      </c>
      <c r="G1007" s="10">
        <v>0</v>
      </c>
      <c r="H1007" s="7">
        <v>769.46</v>
      </c>
      <c r="I1007">
        <v>2</v>
      </c>
      <c r="J1007" t="s">
        <v>13</v>
      </c>
      <c r="K1007" s="13">
        <f>ROUND(tblTransactions[[#This Row],[gross_sales_inr]]*(1-tblTransactions[[#This Row],[discount_pct]]),2)</f>
        <v>769.46</v>
      </c>
      <c r="L1007" t="str">
        <f>IF(ABS(tblTransactions[[#This Row],[net_sales_inr]]-tblTransactions[[#This Row],[Recalc_Net_Sales]])&lt;0.02,"OK","CHECK")</f>
        <v>OK</v>
      </c>
      <c r="M1007" s="14">
        <f>DATE(YEAR(tblTransactions[[#This Row],[date]]),MONTH(tblTransactions[[#This Row],[date]]),1)</f>
        <v>45689</v>
      </c>
      <c r="N1007" t="str">
        <f>IF(WEEKDAY(tblTransactions[[#This Row],[date]],2)&gt;5,"Weekend","Weekday")</f>
        <v>Weekday</v>
      </c>
      <c r="O1007" s="13" t="str">
        <f>IF(tblTransactions[[#This Row],[discount_pct]]=0,"0%",IF(tblTransactions[[#This Row],[discount_pct]]&lt;=10%,"1–
10%",IF(tblTransactions[[#This Row],[discount_pct]]&lt;=20%,"11–20%","&gt;20%")))</f>
        <v>0%</v>
      </c>
      <c r="P1007" s="13" t="str">
        <f>_xlfn.XLOOKUP(tblTransactions[[#This Row],[tenant_id]],tblTenants[tenant_id],tblTenants[zone],"NOT FOUND")</f>
        <v>Beauty &amp; Wellness</v>
      </c>
      <c r="Q1007" s="13" t="str">
        <f>_xlfn.XLOOKUP(tblTransactions[[#This Row],[tenant_id]],tblTenants[tenant_id],tblTenants[category],"NOT FOUND")</f>
        <v>Beauty</v>
      </c>
    </row>
    <row r="1008" spans="1:17">
      <c r="A1008" t="s">
        <v>1052</v>
      </c>
      <c r="B1008" s="2">
        <v>45783</v>
      </c>
      <c r="C1008">
        <v>13</v>
      </c>
      <c r="D1008" t="s">
        <v>87</v>
      </c>
      <c r="E1008" t="s">
        <v>32</v>
      </c>
      <c r="F1008" s="7">
        <v>839.74</v>
      </c>
      <c r="G1008" s="10">
        <v>0</v>
      </c>
      <c r="H1008" s="7">
        <v>839.74</v>
      </c>
      <c r="I1008">
        <v>1</v>
      </c>
      <c r="J1008" t="s">
        <v>13</v>
      </c>
      <c r="K1008" s="13">
        <f>ROUND(tblTransactions[[#This Row],[gross_sales_inr]]*(1-tblTransactions[[#This Row],[discount_pct]]),2)</f>
        <v>839.74</v>
      </c>
      <c r="L1008" t="str">
        <f>IF(ABS(tblTransactions[[#This Row],[net_sales_inr]]-tblTransactions[[#This Row],[Recalc_Net_Sales]])&lt;0.02,"OK","CHECK")</f>
        <v>OK</v>
      </c>
      <c r="M1008" s="14">
        <f>DATE(YEAR(tblTransactions[[#This Row],[date]]),MONTH(tblTransactions[[#This Row],[date]]),1)</f>
        <v>45778</v>
      </c>
      <c r="N1008" t="str">
        <f>IF(WEEKDAY(tblTransactions[[#This Row],[date]],2)&gt;5,"Weekend","Weekday")</f>
        <v>Weekday</v>
      </c>
      <c r="O1008" s="13" t="str">
        <f>IF(tblTransactions[[#This Row],[discount_pct]]=0,"0%",IF(tblTransactions[[#This Row],[discount_pct]]&lt;=10%,"1–
10%",IF(tblTransactions[[#This Row],[discount_pct]]&lt;=20%,"11–20%","&gt;20%")))</f>
        <v>0%</v>
      </c>
      <c r="P1008" s="13" t="str">
        <f>_xlfn.XLOOKUP(tblTransactions[[#This Row],[tenant_id]],tblTenants[tenant_id],tblTenants[zone],"NOT FOUND")</f>
        <v>Fashion Avenue</v>
      </c>
      <c r="Q1008" s="13" t="str">
        <f>_xlfn.XLOOKUP(tblTransactions[[#This Row],[tenant_id]],tblTenants[tenant_id],tblTenants[category],"NOT FOUND")</f>
        <v>Footwear</v>
      </c>
    </row>
    <row r="1009" spans="1:17">
      <c r="A1009" t="s">
        <v>1053</v>
      </c>
      <c r="B1009" s="2">
        <v>45801</v>
      </c>
      <c r="C1009">
        <v>15</v>
      </c>
      <c r="D1009" t="s">
        <v>70</v>
      </c>
      <c r="E1009" t="s">
        <v>32</v>
      </c>
      <c r="F1009" s="7">
        <v>967.99</v>
      </c>
      <c r="G1009" s="10">
        <v>0.1</v>
      </c>
      <c r="H1009" s="7">
        <v>871.19</v>
      </c>
      <c r="I1009">
        <v>1</v>
      </c>
      <c r="J1009" t="s">
        <v>13</v>
      </c>
      <c r="K1009" s="13">
        <f>ROUND(tblTransactions[[#This Row],[gross_sales_inr]]*(1-tblTransactions[[#This Row],[discount_pct]]),2)</f>
        <v>871.19</v>
      </c>
      <c r="L1009" t="str">
        <f>IF(ABS(tblTransactions[[#This Row],[net_sales_inr]]-tblTransactions[[#This Row],[Recalc_Net_Sales]])&lt;0.02,"OK","CHECK")</f>
        <v>OK</v>
      </c>
      <c r="M1009" s="14">
        <f>DATE(YEAR(tblTransactions[[#This Row],[date]]),MONTH(tblTransactions[[#This Row],[date]]),1)</f>
        <v>45778</v>
      </c>
      <c r="N1009" t="str">
        <f>IF(WEEKDAY(tblTransactions[[#This Row],[date]],2)&gt;5,"Weekend","Weekday")</f>
        <v>Weekend</v>
      </c>
      <c r="O100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09" s="13" t="str">
        <f>_xlfn.XLOOKUP(tblTransactions[[#This Row],[tenant_id]],tblTenants[tenant_id],tblTenants[zone],"NOT FOUND")</f>
        <v>Food Court</v>
      </c>
      <c r="Q1009" s="13" t="str">
        <f>_xlfn.XLOOKUP(tblTransactions[[#This Row],[tenant_id]],tblTenants[tenant_id],tblTenants[category],"NOT FOUND")</f>
        <v>Quick Service</v>
      </c>
    </row>
    <row r="1010" spans="1:17">
      <c r="A1010" t="s">
        <v>1054</v>
      </c>
      <c r="B1010" s="2">
        <v>45666</v>
      </c>
      <c r="C1010">
        <v>21</v>
      </c>
      <c r="D1010" t="s">
        <v>57</v>
      </c>
      <c r="E1010" t="s">
        <v>12</v>
      </c>
      <c r="F1010" s="7">
        <v>900.22</v>
      </c>
      <c r="G1010" s="10">
        <v>0</v>
      </c>
      <c r="H1010" s="7">
        <v>900.22</v>
      </c>
      <c r="I1010">
        <v>3</v>
      </c>
      <c r="J1010" t="s">
        <v>13</v>
      </c>
      <c r="K1010" s="13">
        <f>ROUND(tblTransactions[[#This Row],[gross_sales_inr]]*(1-tblTransactions[[#This Row],[discount_pct]]),2)</f>
        <v>900.22</v>
      </c>
      <c r="L1010" t="str">
        <f>IF(ABS(tblTransactions[[#This Row],[net_sales_inr]]-tblTransactions[[#This Row],[Recalc_Net_Sales]])&lt;0.02,"OK","CHECK")</f>
        <v>OK</v>
      </c>
      <c r="M1010" s="14">
        <f>DATE(YEAR(tblTransactions[[#This Row],[date]]),MONTH(tblTransactions[[#This Row],[date]]),1)</f>
        <v>45658</v>
      </c>
      <c r="N1010" t="str">
        <f>IF(WEEKDAY(tblTransactions[[#This Row],[date]],2)&gt;5,"Weekend","Weekday")</f>
        <v>Weekday</v>
      </c>
      <c r="O1010" s="13" t="str">
        <f>IF(tblTransactions[[#This Row],[discount_pct]]=0,"0%",IF(tblTransactions[[#This Row],[discount_pct]]&lt;=10%,"1–
10%",IF(tblTransactions[[#This Row],[discount_pct]]&lt;=20%,"11–20%","&gt;20%")))</f>
        <v>0%</v>
      </c>
      <c r="P1010" s="13" t="str">
        <f>_xlfn.XLOOKUP(tblTransactions[[#This Row],[tenant_id]],tblTenants[tenant_id],tblTenants[zone],"NOT FOUND")</f>
        <v>Food Court</v>
      </c>
      <c r="Q1010" s="13" t="str">
        <f>_xlfn.XLOOKUP(tblTransactions[[#This Row],[tenant_id]],tblTenants[tenant_id],tblTenants[category],"NOT FOUND")</f>
        <v>Casual Dining</v>
      </c>
    </row>
    <row r="1011" spans="1:17">
      <c r="A1011" t="s">
        <v>1055</v>
      </c>
      <c r="B1011" s="2">
        <v>45797</v>
      </c>
      <c r="C1011">
        <v>13</v>
      </c>
      <c r="D1011" t="s">
        <v>59</v>
      </c>
      <c r="E1011" t="s">
        <v>51</v>
      </c>
      <c r="F1011" s="7">
        <v>1158.04</v>
      </c>
      <c r="G1011" s="10">
        <v>0</v>
      </c>
      <c r="H1011" s="7">
        <v>1158.04</v>
      </c>
      <c r="I1011">
        <v>4</v>
      </c>
      <c r="J1011" t="s">
        <v>16</v>
      </c>
      <c r="K1011" s="13">
        <f>ROUND(tblTransactions[[#This Row],[gross_sales_inr]]*(1-tblTransactions[[#This Row],[discount_pct]]),2)</f>
        <v>1158.04</v>
      </c>
      <c r="L1011" t="str">
        <f>IF(ABS(tblTransactions[[#This Row],[net_sales_inr]]-tblTransactions[[#This Row],[Recalc_Net_Sales]])&lt;0.02,"OK","CHECK")</f>
        <v>OK</v>
      </c>
      <c r="M1011" s="14">
        <f>DATE(YEAR(tblTransactions[[#This Row],[date]]),MONTH(tblTransactions[[#This Row],[date]]),1)</f>
        <v>45778</v>
      </c>
      <c r="N1011" t="str">
        <f>IF(WEEKDAY(tblTransactions[[#This Row],[date]],2)&gt;5,"Weekend","Weekday")</f>
        <v>Weekday</v>
      </c>
      <c r="O1011" s="13" t="str">
        <f>IF(tblTransactions[[#This Row],[discount_pct]]=0,"0%",IF(tblTransactions[[#This Row],[discount_pct]]&lt;=10%,"1–
10%",IF(tblTransactions[[#This Row],[discount_pct]]&lt;=20%,"11–20%","&gt;20%")))</f>
        <v>0%</v>
      </c>
      <c r="P1011" s="13" t="str">
        <f>_xlfn.XLOOKUP(tblTransactions[[#This Row],[tenant_id]],tblTenants[tenant_id],tblTenants[zone],"NOT FOUND")</f>
        <v>Fashion Avenue</v>
      </c>
      <c r="Q1011" s="13" t="str">
        <f>_xlfn.XLOOKUP(tblTransactions[[#This Row],[tenant_id]],tblTenants[tenant_id],tblTenants[category],"NOT FOUND")</f>
        <v>Footwear</v>
      </c>
    </row>
    <row r="1012" spans="1:17">
      <c r="A1012" t="s">
        <v>1056</v>
      </c>
      <c r="B1012" s="2">
        <v>45708</v>
      </c>
      <c r="C1012">
        <v>17</v>
      </c>
      <c r="D1012" t="s">
        <v>20</v>
      </c>
      <c r="E1012" t="s">
        <v>32</v>
      </c>
      <c r="F1012" s="7">
        <v>949.03</v>
      </c>
      <c r="G1012" s="10">
        <v>0.3</v>
      </c>
      <c r="H1012" s="7">
        <v>664.32</v>
      </c>
      <c r="I1012">
        <v>5</v>
      </c>
      <c r="J1012" t="s">
        <v>16</v>
      </c>
      <c r="K1012" s="13">
        <f>ROUND(tblTransactions[[#This Row],[gross_sales_inr]]*(1-tblTransactions[[#This Row],[discount_pct]]),2)</f>
        <v>664.32</v>
      </c>
      <c r="L1012" t="str">
        <f>IF(ABS(tblTransactions[[#This Row],[net_sales_inr]]-tblTransactions[[#This Row],[Recalc_Net_Sales]])&lt;0.02,"OK","CHECK")</f>
        <v>OK</v>
      </c>
      <c r="M1012" s="14">
        <f>DATE(YEAR(tblTransactions[[#This Row],[date]]),MONTH(tblTransactions[[#This Row],[date]]),1)</f>
        <v>45689</v>
      </c>
      <c r="N1012" t="str">
        <f>IF(WEEKDAY(tblTransactions[[#This Row],[date]],2)&gt;5,"Weekend","Weekday")</f>
        <v>Weekday</v>
      </c>
      <c r="O1012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012" s="13" t="str">
        <f>_xlfn.XLOOKUP(tblTransactions[[#This Row],[tenant_id]],tblTenants[tenant_id],tblTenants[zone],"NOT FOUND")</f>
        <v>Fashion Avenue</v>
      </c>
      <c r="Q1012" s="13" t="str">
        <f>_xlfn.XLOOKUP(tblTransactions[[#This Row],[tenant_id]],tblTenants[tenant_id],tblTenants[category],"NOT FOUND")</f>
        <v>Accessories</v>
      </c>
    </row>
    <row r="1013" spans="1:17">
      <c r="A1013" t="s">
        <v>1057</v>
      </c>
      <c r="B1013" s="2">
        <v>45728</v>
      </c>
      <c r="C1013">
        <v>17</v>
      </c>
      <c r="D1013" t="s">
        <v>53</v>
      </c>
      <c r="E1013" t="s">
        <v>12</v>
      </c>
      <c r="F1013" s="7">
        <v>1289.17</v>
      </c>
      <c r="G1013" s="10">
        <v>0.1</v>
      </c>
      <c r="H1013" s="7">
        <v>1160.25</v>
      </c>
      <c r="I1013">
        <v>6</v>
      </c>
      <c r="J1013" t="s">
        <v>13</v>
      </c>
      <c r="K1013" s="13">
        <f>ROUND(tblTransactions[[#This Row],[gross_sales_inr]]*(1-tblTransactions[[#This Row],[discount_pct]]),2)</f>
        <v>1160.25</v>
      </c>
      <c r="L1013" t="str">
        <f>IF(ABS(tblTransactions[[#This Row],[net_sales_inr]]-tblTransactions[[#This Row],[Recalc_Net_Sales]])&lt;0.02,"OK","CHECK")</f>
        <v>OK</v>
      </c>
      <c r="M1013" s="14">
        <f>DATE(YEAR(tblTransactions[[#This Row],[date]]),MONTH(tblTransactions[[#This Row],[date]]),1)</f>
        <v>45717</v>
      </c>
      <c r="N1013" t="str">
        <f>IF(WEEKDAY(tblTransactions[[#This Row],[date]],2)&gt;5,"Weekend","Weekday")</f>
        <v>Weekday</v>
      </c>
      <c r="O101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13" s="13" t="str">
        <f>_xlfn.XLOOKUP(tblTransactions[[#This Row],[tenant_id]],tblTenants[tenant_id],tblTenants[zone],"NOT FOUND")</f>
        <v>Beauty &amp; Wellness</v>
      </c>
      <c r="Q1013" s="13" t="str">
        <f>_xlfn.XLOOKUP(tblTransactions[[#This Row],[tenant_id]],tblTenants[tenant_id],tblTenants[category],"NOT FOUND")</f>
        <v>Beauty</v>
      </c>
    </row>
    <row r="1014" spans="1:17">
      <c r="A1014" t="s">
        <v>1058</v>
      </c>
      <c r="B1014" s="2">
        <v>45723</v>
      </c>
      <c r="C1014">
        <v>13</v>
      </c>
      <c r="D1014" t="s">
        <v>48</v>
      </c>
      <c r="E1014" t="s">
        <v>32</v>
      </c>
      <c r="F1014" s="7">
        <v>282.60000000000002</v>
      </c>
      <c r="G1014" s="10">
        <v>0.15</v>
      </c>
      <c r="H1014" s="7">
        <v>240.21</v>
      </c>
      <c r="I1014">
        <v>1</v>
      </c>
      <c r="J1014" t="s">
        <v>13</v>
      </c>
      <c r="K1014" s="13">
        <f>ROUND(tblTransactions[[#This Row],[gross_sales_inr]]*(1-tblTransactions[[#This Row],[discount_pct]]),2)</f>
        <v>240.21</v>
      </c>
      <c r="L1014" t="str">
        <f>IF(ABS(tblTransactions[[#This Row],[net_sales_inr]]-tblTransactions[[#This Row],[Recalc_Net_Sales]])&lt;0.02,"OK","CHECK")</f>
        <v>OK</v>
      </c>
      <c r="M1014" s="14">
        <f>DATE(YEAR(tblTransactions[[#This Row],[date]]),MONTH(tblTransactions[[#This Row],[date]]),1)</f>
        <v>45717</v>
      </c>
      <c r="N1014" t="str">
        <f>IF(WEEKDAY(tblTransactions[[#This Row],[date]],2)&gt;5,"Weekend","Weekday")</f>
        <v>Weekday</v>
      </c>
      <c r="O101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14" s="13" t="str">
        <f>_xlfn.XLOOKUP(tblTransactions[[#This Row],[tenant_id]],tblTenants[tenant_id],tblTenants[zone],"NOT FOUND")</f>
        <v>Beauty &amp; Wellness</v>
      </c>
      <c r="Q1014" s="13" t="str">
        <f>_xlfn.XLOOKUP(tblTransactions[[#This Row],[tenant_id]],tblTenants[tenant_id],tblTenants[category],"NOT FOUND")</f>
        <v>Wellness</v>
      </c>
    </row>
    <row r="1015" spans="1:17">
      <c r="A1015" t="s">
        <v>1059</v>
      </c>
      <c r="B1015" s="2">
        <v>45783</v>
      </c>
      <c r="C1015">
        <v>10</v>
      </c>
      <c r="D1015" t="s">
        <v>104</v>
      </c>
      <c r="E1015" t="s">
        <v>32</v>
      </c>
      <c r="F1015" s="7">
        <v>570.35</v>
      </c>
      <c r="G1015" s="10">
        <v>0.2</v>
      </c>
      <c r="H1015" s="7">
        <v>456.28</v>
      </c>
      <c r="I1015">
        <v>1</v>
      </c>
      <c r="J1015" t="s">
        <v>16</v>
      </c>
      <c r="K1015" s="13">
        <f>ROUND(tblTransactions[[#This Row],[gross_sales_inr]]*(1-tblTransactions[[#This Row],[discount_pct]]),2)</f>
        <v>456.28</v>
      </c>
      <c r="L1015" t="str">
        <f>IF(ABS(tblTransactions[[#This Row],[net_sales_inr]]-tblTransactions[[#This Row],[Recalc_Net_Sales]])&lt;0.02,"OK","CHECK")</f>
        <v>OK</v>
      </c>
      <c r="M1015" s="14">
        <f>DATE(YEAR(tblTransactions[[#This Row],[date]]),MONTH(tblTransactions[[#This Row],[date]]),1)</f>
        <v>45778</v>
      </c>
      <c r="N1015" t="str">
        <f>IF(WEEKDAY(tblTransactions[[#This Row],[date]],2)&gt;5,"Weekend","Weekday")</f>
        <v>Weekday</v>
      </c>
      <c r="O101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15" s="13" t="str">
        <f>_xlfn.XLOOKUP(tblTransactions[[#This Row],[tenant_id]],tblTenants[tenant_id],tblTenants[zone],"NOT FOUND")</f>
        <v>Entertainment</v>
      </c>
      <c r="Q1015" s="13" t="str">
        <f>_xlfn.XLOOKUP(tblTransactions[[#This Row],[tenant_id]],tblTenants[tenant_id],tblTenants[category],"NOT FOUND")</f>
        <v>Family Entertainment</v>
      </c>
    </row>
    <row r="1016" spans="1:17">
      <c r="A1016" t="s">
        <v>1060</v>
      </c>
      <c r="B1016" s="2">
        <v>45702</v>
      </c>
      <c r="C1016">
        <v>10</v>
      </c>
      <c r="D1016" t="s">
        <v>85</v>
      </c>
      <c r="E1016" t="s">
        <v>12</v>
      </c>
      <c r="F1016" s="7">
        <v>2162.59</v>
      </c>
      <c r="G1016" s="10">
        <v>0</v>
      </c>
      <c r="H1016" s="7">
        <v>2162.59</v>
      </c>
      <c r="I1016">
        <v>1</v>
      </c>
      <c r="J1016" t="s">
        <v>13</v>
      </c>
      <c r="K1016" s="13">
        <f>ROUND(tblTransactions[[#This Row],[gross_sales_inr]]*(1-tblTransactions[[#This Row],[discount_pct]]),2)</f>
        <v>2162.59</v>
      </c>
      <c r="L1016" t="str">
        <f>IF(ABS(tblTransactions[[#This Row],[net_sales_inr]]-tblTransactions[[#This Row],[Recalc_Net_Sales]])&lt;0.02,"OK","CHECK")</f>
        <v>OK</v>
      </c>
      <c r="M1016" s="14">
        <f>DATE(YEAR(tblTransactions[[#This Row],[date]]),MONTH(tblTransactions[[#This Row],[date]]),1)</f>
        <v>45689</v>
      </c>
      <c r="N1016" t="str">
        <f>IF(WEEKDAY(tblTransactions[[#This Row],[date]],2)&gt;5,"Weekend","Weekday")</f>
        <v>Weekday</v>
      </c>
      <c r="O1016" s="13" t="str">
        <f>IF(tblTransactions[[#This Row],[discount_pct]]=0,"0%",IF(tblTransactions[[#This Row],[discount_pct]]&lt;=10%,"1–
10%",IF(tblTransactions[[#This Row],[discount_pct]]&lt;=20%,"11–20%","&gt;20%")))</f>
        <v>0%</v>
      </c>
      <c r="P1016" s="13" t="str">
        <f>_xlfn.XLOOKUP(tblTransactions[[#This Row],[tenant_id]],tblTenants[tenant_id],tblTenants[zone],"NOT FOUND")</f>
        <v>Home &amp; Living</v>
      </c>
      <c r="Q1016" s="13" t="str">
        <f>_xlfn.XLOOKUP(tblTransactions[[#This Row],[tenant_id]],tblTenants[tenant_id],tblTenants[category],"NOT FOUND")</f>
        <v>Electronics</v>
      </c>
    </row>
    <row r="1017" spans="1:17">
      <c r="A1017" t="s">
        <v>1061</v>
      </c>
      <c r="B1017" s="2">
        <v>45690</v>
      </c>
      <c r="C1017">
        <v>14</v>
      </c>
      <c r="D1017" t="s">
        <v>87</v>
      </c>
      <c r="E1017" t="s">
        <v>32</v>
      </c>
      <c r="F1017" s="7">
        <v>1074.52</v>
      </c>
      <c r="G1017" s="10">
        <v>0.15</v>
      </c>
      <c r="H1017" s="7">
        <v>913.34</v>
      </c>
      <c r="I1017">
        <v>3</v>
      </c>
      <c r="J1017" t="s">
        <v>13</v>
      </c>
      <c r="K1017" s="13">
        <f>ROUND(tblTransactions[[#This Row],[gross_sales_inr]]*(1-tblTransactions[[#This Row],[discount_pct]]),2)</f>
        <v>913.34</v>
      </c>
      <c r="L1017" t="str">
        <f>IF(ABS(tblTransactions[[#This Row],[net_sales_inr]]-tblTransactions[[#This Row],[Recalc_Net_Sales]])&lt;0.02,"OK","CHECK")</f>
        <v>OK</v>
      </c>
      <c r="M1017" s="14">
        <f>DATE(YEAR(tblTransactions[[#This Row],[date]]),MONTH(tblTransactions[[#This Row],[date]]),1)</f>
        <v>45689</v>
      </c>
      <c r="N1017" t="str">
        <f>IF(WEEKDAY(tblTransactions[[#This Row],[date]],2)&gt;5,"Weekend","Weekday")</f>
        <v>Weekend</v>
      </c>
      <c r="O101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17" s="13" t="str">
        <f>_xlfn.XLOOKUP(tblTransactions[[#This Row],[tenant_id]],tblTenants[tenant_id],tblTenants[zone],"NOT FOUND")</f>
        <v>Fashion Avenue</v>
      </c>
      <c r="Q1017" s="13" t="str">
        <f>_xlfn.XLOOKUP(tblTransactions[[#This Row],[tenant_id]],tblTenants[tenant_id],tblTenants[category],"NOT FOUND")</f>
        <v>Footwear</v>
      </c>
    </row>
    <row r="1018" spans="1:17">
      <c r="A1018" t="s">
        <v>1062</v>
      </c>
      <c r="B1018" s="2">
        <v>45718</v>
      </c>
      <c r="C1018">
        <v>17</v>
      </c>
      <c r="D1018" t="s">
        <v>11</v>
      </c>
      <c r="E1018" t="s">
        <v>32</v>
      </c>
      <c r="F1018" s="7">
        <v>1321.39</v>
      </c>
      <c r="G1018" s="10">
        <v>0.15</v>
      </c>
      <c r="H1018" s="7">
        <v>1123.18</v>
      </c>
      <c r="I1018">
        <v>1</v>
      </c>
      <c r="J1018" t="s">
        <v>13</v>
      </c>
      <c r="K1018" s="13">
        <f>ROUND(tblTransactions[[#This Row],[gross_sales_inr]]*(1-tblTransactions[[#This Row],[discount_pct]]),2)</f>
        <v>1123.18</v>
      </c>
      <c r="L1018" t="str">
        <f>IF(ABS(tblTransactions[[#This Row],[net_sales_inr]]-tblTransactions[[#This Row],[Recalc_Net_Sales]])&lt;0.02,"OK","CHECK")</f>
        <v>OK</v>
      </c>
      <c r="M1018" s="14">
        <f>DATE(YEAR(tblTransactions[[#This Row],[date]]),MONTH(tblTransactions[[#This Row],[date]]),1)</f>
        <v>45717</v>
      </c>
      <c r="N1018" t="str">
        <f>IF(WEEKDAY(tblTransactions[[#This Row],[date]],2)&gt;5,"Weekend","Weekday")</f>
        <v>Weekend</v>
      </c>
      <c r="O101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18" s="13" t="str">
        <f>_xlfn.XLOOKUP(tblTransactions[[#This Row],[tenant_id]],tblTenants[tenant_id],tblTenants[zone],"NOT FOUND")</f>
        <v>Home &amp; Living</v>
      </c>
      <c r="Q1018" s="13" t="str">
        <f>_xlfn.XLOOKUP(tblTransactions[[#This Row],[tenant_id]],tblTenants[tenant_id],tblTenants[category],"NOT FOUND")</f>
        <v>Home Decor</v>
      </c>
    </row>
    <row r="1019" spans="1:17">
      <c r="A1019" t="s">
        <v>1063</v>
      </c>
      <c r="B1019" s="2">
        <v>45785</v>
      </c>
      <c r="C1019">
        <v>19</v>
      </c>
      <c r="D1019" t="s">
        <v>70</v>
      </c>
      <c r="E1019" t="s">
        <v>12</v>
      </c>
      <c r="F1019" s="7">
        <v>576.94000000000005</v>
      </c>
      <c r="G1019" s="10">
        <v>0.2</v>
      </c>
      <c r="H1019" s="7">
        <v>461.55</v>
      </c>
      <c r="I1019">
        <v>1</v>
      </c>
      <c r="J1019" t="s">
        <v>13</v>
      </c>
      <c r="K1019" s="13">
        <f>ROUND(tblTransactions[[#This Row],[gross_sales_inr]]*(1-tblTransactions[[#This Row],[discount_pct]]),2)</f>
        <v>461.55</v>
      </c>
      <c r="L1019" t="str">
        <f>IF(ABS(tblTransactions[[#This Row],[net_sales_inr]]-tblTransactions[[#This Row],[Recalc_Net_Sales]])&lt;0.02,"OK","CHECK")</f>
        <v>OK</v>
      </c>
      <c r="M1019" s="14">
        <f>DATE(YEAR(tblTransactions[[#This Row],[date]]),MONTH(tblTransactions[[#This Row],[date]]),1)</f>
        <v>45778</v>
      </c>
      <c r="N1019" t="str">
        <f>IF(WEEKDAY(tblTransactions[[#This Row],[date]],2)&gt;5,"Weekend","Weekday")</f>
        <v>Weekday</v>
      </c>
      <c r="O101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19" s="13" t="str">
        <f>_xlfn.XLOOKUP(tblTransactions[[#This Row],[tenant_id]],tblTenants[tenant_id],tblTenants[zone],"NOT FOUND")</f>
        <v>Food Court</v>
      </c>
      <c r="Q1019" s="13" t="str">
        <f>_xlfn.XLOOKUP(tblTransactions[[#This Row],[tenant_id]],tblTenants[tenant_id],tblTenants[category],"NOT FOUND")</f>
        <v>Quick Service</v>
      </c>
    </row>
    <row r="1020" spans="1:17">
      <c r="A1020" t="s">
        <v>1064</v>
      </c>
      <c r="B1020" s="2">
        <v>45689</v>
      </c>
      <c r="C1020">
        <v>18</v>
      </c>
      <c r="D1020" t="s">
        <v>31</v>
      </c>
      <c r="E1020" t="s">
        <v>12</v>
      </c>
      <c r="F1020" s="7">
        <v>1164.76</v>
      </c>
      <c r="G1020" s="10">
        <v>0</v>
      </c>
      <c r="H1020" s="7">
        <v>1164.76</v>
      </c>
      <c r="I1020">
        <v>3</v>
      </c>
      <c r="J1020" t="s">
        <v>13</v>
      </c>
      <c r="K1020" s="13">
        <f>ROUND(tblTransactions[[#This Row],[gross_sales_inr]]*(1-tblTransactions[[#This Row],[discount_pct]]),2)</f>
        <v>1164.76</v>
      </c>
      <c r="L1020" t="str">
        <f>IF(ABS(tblTransactions[[#This Row],[net_sales_inr]]-tblTransactions[[#This Row],[Recalc_Net_Sales]])&lt;0.02,"OK","CHECK")</f>
        <v>OK</v>
      </c>
      <c r="M1020" s="14">
        <f>DATE(YEAR(tblTransactions[[#This Row],[date]]),MONTH(tblTransactions[[#This Row],[date]]),1)</f>
        <v>45689</v>
      </c>
      <c r="N1020" t="str">
        <f>IF(WEEKDAY(tblTransactions[[#This Row],[date]],2)&gt;5,"Weekend","Weekday")</f>
        <v>Weekend</v>
      </c>
      <c r="O1020" s="13" t="str">
        <f>IF(tblTransactions[[#This Row],[discount_pct]]=0,"0%",IF(tblTransactions[[#This Row],[discount_pct]]&lt;=10%,"1–
10%",IF(tblTransactions[[#This Row],[discount_pct]]&lt;=20%,"11–20%","&gt;20%")))</f>
        <v>0%</v>
      </c>
      <c r="P1020" s="13" t="str">
        <f>_xlfn.XLOOKUP(tblTransactions[[#This Row],[tenant_id]],tblTenants[tenant_id],tblTenants[zone],"NOT FOUND")</f>
        <v>Entertainment</v>
      </c>
      <c r="Q1020" s="13" t="str">
        <f>_xlfn.XLOOKUP(tblTransactions[[#This Row],[tenant_id]],tblTenants[tenant_id],tblTenants[category],"NOT FOUND")</f>
        <v>Arcade</v>
      </c>
    </row>
    <row r="1021" spans="1:17">
      <c r="A1021" t="s">
        <v>1065</v>
      </c>
      <c r="B1021" s="2">
        <v>45819</v>
      </c>
      <c r="C1021">
        <v>18</v>
      </c>
      <c r="D1021" t="s">
        <v>59</v>
      </c>
      <c r="E1021" t="s">
        <v>12</v>
      </c>
      <c r="F1021" s="7">
        <v>652.15</v>
      </c>
      <c r="G1021" s="10">
        <v>0.15</v>
      </c>
      <c r="H1021" s="7">
        <v>554.33000000000004</v>
      </c>
      <c r="I1021">
        <v>5</v>
      </c>
      <c r="J1021" t="s">
        <v>13</v>
      </c>
      <c r="K1021" s="13">
        <f>ROUND(tblTransactions[[#This Row],[gross_sales_inr]]*(1-tblTransactions[[#This Row],[discount_pct]]),2)</f>
        <v>554.33000000000004</v>
      </c>
      <c r="L1021" t="str">
        <f>IF(ABS(tblTransactions[[#This Row],[net_sales_inr]]-tblTransactions[[#This Row],[Recalc_Net_Sales]])&lt;0.02,"OK","CHECK")</f>
        <v>OK</v>
      </c>
      <c r="M1021" s="14">
        <f>DATE(YEAR(tblTransactions[[#This Row],[date]]),MONTH(tblTransactions[[#This Row],[date]]),1)</f>
        <v>45809</v>
      </c>
      <c r="N1021" t="str">
        <f>IF(WEEKDAY(tblTransactions[[#This Row],[date]],2)&gt;5,"Weekend","Weekday")</f>
        <v>Weekday</v>
      </c>
      <c r="O102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21" s="13" t="str">
        <f>_xlfn.XLOOKUP(tblTransactions[[#This Row],[tenant_id]],tblTenants[tenant_id],tblTenants[zone],"NOT FOUND")</f>
        <v>Fashion Avenue</v>
      </c>
      <c r="Q1021" s="13" t="str">
        <f>_xlfn.XLOOKUP(tblTransactions[[#This Row],[tenant_id]],tblTenants[tenant_id],tblTenants[category],"NOT FOUND")</f>
        <v>Footwear</v>
      </c>
    </row>
    <row r="1022" spans="1:17">
      <c r="A1022" t="s">
        <v>1066</v>
      </c>
      <c r="B1022" s="2">
        <v>45780</v>
      </c>
      <c r="C1022">
        <v>10</v>
      </c>
      <c r="D1022" t="s">
        <v>41</v>
      </c>
      <c r="E1022" t="s">
        <v>32</v>
      </c>
      <c r="F1022" s="7">
        <v>1191.29</v>
      </c>
      <c r="G1022" s="10">
        <v>0.1</v>
      </c>
      <c r="H1022" s="7">
        <v>1072.1600000000001</v>
      </c>
      <c r="I1022">
        <v>2</v>
      </c>
      <c r="J1022" t="s">
        <v>13</v>
      </c>
      <c r="K1022" s="13">
        <f>ROUND(tblTransactions[[#This Row],[gross_sales_inr]]*(1-tblTransactions[[#This Row],[discount_pct]]),2)</f>
        <v>1072.1600000000001</v>
      </c>
      <c r="L1022" t="str">
        <f>IF(ABS(tblTransactions[[#This Row],[net_sales_inr]]-tblTransactions[[#This Row],[Recalc_Net_Sales]])&lt;0.02,"OK","CHECK")</f>
        <v>OK</v>
      </c>
      <c r="M1022" s="14">
        <f>DATE(YEAR(tblTransactions[[#This Row],[date]]),MONTH(tblTransactions[[#This Row],[date]]),1)</f>
        <v>45778</v>
      </c>
      <c r="N1022" t="str">
        <f>IF(WEEKDAY(tblTransactions[[#This Row],[date]],2)&gt;5,"Weekend","Weekday")</f>
        <v>Weekend</v>
      </c>
      <c r="O102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22" s="13" t="str">
        <f>_xlfn.XLOOKUP(tblTransactions[[#This Row],[tenant_id]],tblTenants[tenant_id],tblTenants[zone],"NOT FOUND")</f>
        <v>Fashion Avenue</v>
      </c>
      <c r="Q1022" s="13" t="str">
        <f>_xlfn.XLOOKUP(tblTransactions[[#This Row],[tenant_id]],tblTenants[tenant_id],tblTenants[category],"NOT FOUND")</f>
        <v>Clothing</v>
      </c>
    </row>
    <row r="1023" spans="1:17">
      <c r="A1023" t="s">
        <v>1067</v>
      </c>
      <c r="B1023" s="2">
        <v>45686</v>
      </c>
      <c r="C1023">
        <v>10</v>
      </c>
      <c r="D1023" t="s">
        <v>27</v>
      </c>
      <c r="E1023" t="s">
        <v>12</v>
      </c>
      <c r="F1023" s="7">
        <v>3295.01</v>
      </c>
      <c r="G1023" s="10">
        <v>0</v>
      </c>
      <c r="H1023" s="7">
        <v>3295.01</v>
      </c>
      <c r="I1023">
        <v>2</v>
      </c>
      <c r="J1023" t="s">
        <v>13</v>
      </c>
      <c r="K1023" s="13">
        <f>ROUND(tblTransactions[[#This Row],[gross_sales_inr]]*(1-tblTransactions[[#This Row],[discount_pct]]),2)</f>
        <v>3295.01</v>
      </c>
      <c r="L1023" t="str">
        <f>IF(ABS(tblTransactions[[#This Row],[net_sales_inr]]-tblTransactions[[#This Row],[Recalc_Net_Sales]])&lt;0.02,"OK","CHECK")</f>
        <v>OK</v>
      </c>
      <c r="M1023" s="14">
        <f>DATE(YEAR(tblTransactions[[#This Row],[date]]),MONTH(tblTransactions[[#This Row],[date]]),1)</f>
        <v>45658</v>
      </c>
      <c r="N1023" t="str">
        <f>IF(WEEKDAY(tblTransactions[[#This Row],[date]],2)&gt;5,"Weekend","Weekday")</f>
        <v>Weekday</v>
      </c>
      <c r="O1023" s="13" t="str">
        <f>IF(tblTransactions[[#This Row],[discount_pct]]=0,"0%",IF(tblTransactions[[#This Row],[discount_pct]]&lt;=10%,"1–
10%",IF(tblTransactions[[#This Row],[discount_pct]]&lt;=20%,"11–20%","&gt;20%")))</f>
        <v>0%</v>
      </c>
      <c r="P1023" s="13" t="str">
        <f>_xlfn.XLOOKUP(tblTransactions[[#This Row],[tenant_id]],tblTenants[tenant_id],tblTenants[zone],"NOT FOUND")</f>
        <v>Beauty &amp; Wellness</v>
      </c>
      <c r="Q1023" s="13" t="str">
        <f>_xlfn.XLOOKUP(tblTransactions[[#This Row],[tenant_id]],tblTenants[tenant_id],tblTenants[category],"NOT FOUND")</f>
        <v>Wellness</v>
      </c>
    </row>
    <row r="1024" spans="1:17">
      <c r="A1024" t="s">
        <v>1068</v>
      </c>
      <c r="B1024" s="2">
        <v>45831</v>
      </c>
      <c r="C1024">
        <v>15</v>
      </c>
      <c r="D1024" t="s">
        <v>25</v>
      </c>
      <c r="E1024" t="s">
        <v>12</v>
      </c>
      <c r="F1024" s="7">
        <v>1171.02</v>
      </c>
      <c r="G1024" s="10">
        <v>0</v>
      </c>
      <c r="H1024" s="7">
        <v>1171.02</v>
      </c>
      <c r="I1024">
        <v>1</v>
      </c>
      <c r="J1024" t="s">
        <v>13</v>
      </c>
      <c r="K1024" s="13">
        <f>ROUND(tblTransactions[[#This Row],[gross_sales_inr]]*(1-tblTransactions[[#This Row],[discount_pct]]),2)</f>
        <v>1171.02</v>
      </c>
      <c r="L1024" t="str">
        <f>IF(ABS(tblTransactions[[#This Row],[net_sales_inr]]-tblTransactions[[#This Row],[Recalc_Net_Sales]])&lt;0.02,"OK","CHECK")</f>
        <v>OK</v>
      </c>
      <c r="M1024" s="14">
        <f>DATE(YEAR(tblTransactions[[#This Row],[date]]),MONTH(tblTransactions[[#This Row],[date]]),1)</f>
        <v>45809</v>
      </c>
      <c r="N1024" t="str">
        <f>IF(WEEKDAY(tblTransactions[[#This Row],[date]],2)&gt;5,"Weekend","Weekday")</f>
        <v>Weekday</v>
      </c>
      <c r="O1024" s="13" t="str">
        <f>IF(tblTransactions[[#This Row],[discount_pct]]=0,"0%",IF(tblTransactions[[#This Row],[discount_pct]]&lt;=10%,"1–
10%",IF(tblTransactions[[#This Row],[discount_pct]]&lt;=20%,"11–20%","&gt;20%")))</f>
        <v>0%</v>
      </c>
      <c r="P1024" s="13" t="str">
        <f>_xlfn.XLOOKUP(tblTransactions[[#This Row],[tenant_id]],tblTenants[tenant_id],tblTenants[zone],"NOT FOUND")</f>
        <v>Beauty &amp; Wellness</v>
      </c>
      <c r="Q1024" s="13" t="str">
        <f>_xlfn.XLOOKUP(tblTransactions[[#This Row],[tenant_id]],tblTenants[tenant_id],tblTenants[category],"NOT FOUND")</f>
        <v>Beauty</v>
      </c>
    </row>
    <row r="1025" spans="1:17">
      <c r="A1025" t="s">
        <v>1069</v>
      </c>
      <c r="B1025" s="2">
        <v>45814</v>
      </c>
      <c r="C1025">
        <v>18</v>
      </c>
      <c r="D1025" t="s">
        <v>53</v>
      </c>
      <c r="E1025" t="s">
        <v>12</v>
      </c>
      <c r="F1025" s="7">
        <v>815.07</v>
      </c>
      <c r="G1025" s="10">
        <v>0</v>
      </c>
      <c r="H1025" s="7">
        <v>815.07</v>
      </c>
      <c r="I1025">
        <v>2</v>
      </c>
      <c r="J1025" t="s">
        <v>16</v>
      </c>
      <c r="K1025" s="13">
        <f>ROUND(tblTransactions[[#This Row],[gross_sales_inr]]*(1-tblTransactions[[#This Row],[discount_pct]]),2)</f>
        <v>815.07</v>
      </c>
      <c r="L1025" t="str">
        <f>IF(ABS(tblTransactions[[#This Row],[net_sales_inr]]-tblTransactions[[#This Row],[Recalc_Net_Sales]])&lt;0.02,"OK","CHECK")</f>
        <v>OK</v>
      </c>
      <c r="M1025" s="14">
        <f>DATE(YEAR(tblTransactions[[#This Row],[date]]),MONTH(tblTransactions[[#This Row],[date]]),1)</f>
        <v>45809</v>
      </c>
      <c r="N1025" t="str">
        <f>IF(WEEKDAY(tblTransactions[[#This Row],[date]],2)&gt;5,"Weekend","Weekday")</f>
        <v>Weekday</v>
      </c>
      <c r="O1025" s="13" t="str">
        <f>IF(tblTransactions[[#This Row],[discount_pct]]=0,"0%",IF(tblTransactions[[#This Row],[discount_pct]]&lt;=10%,"1–
10%",IF(tblTransactions[[#This Row],[discount_pct]]&lt;=20%,"11–20%","&gt;20%")))</f>
        <v>0%</v>
      </c>
      <c r="P1025" s="13" t="str">
        <f>_xlfn.XLOOKUP(tblTransactions[[#This Row],[tenant_id]],tblTenants[tenant_id],tblTenants[zone],"NOT FOUND")</f>
        <v>Beauty &amp; Wellness</v>
      </c>
      <c r="Q1025" s="13" t="str">
        <f>_xlfn.XLOOKUP(tblTransactions[[#This Row],[tenant_id]],tblTenants[tenant_id],tblTenants[category],"NOT FOUND")</f>
        <v>Beauty</v>
      </c>
    </row>
    <row r="1026" spans="1:17">
      <c r="A1026" t="s">
        <v>1070</v>
      </c>
      <c r="B1026" s="2">
        <v>45694</v>
      </c>
      <c r="C1026">
        <v>18</v>
      </c>
      <c r="D1026" t="s">
        <v>36</v>
      </c>
      <c r="E1026" t="s">
        <v>12</v>
      </c>
      <c r="F1026" s="7">
        <v>448.8</v>
      </c>
      <c r="G1026" s="10">
        <v>0.1</v>
      </c>
      <c r="H1026" s="7">
        <v>403.92</v>
      </c>
      <c r="I1026">
        <v>3</v>
      </c>
      <c r="J1026" t="s">
        <v>16</v>
      </c>
      <c r="K1026" s="13">
        <f>ROUND(tblTransactions[[#This Row],[gross_sales_inr]]*(1-tblTransactions[[#This Row],[discount_pct]]),2)</f>
        <v>403.92</v>
      </c>
      <c r="L1026" t="str">
        <f>IF(ABS(tblTransactions[[#This Row],[net_sales_inr]]-tblTransactions[[#This Row],[Recalc_Net_Sales]])&lt;0.02,"OK","CHECK")</f>
        <v>OK</v>
      </c>
      <c r="M1026" s="14">
        <f>DATE(YEAR(tblTransactions[[#This Row],[date]]),MONTH(tblTransactions[[#This Row],[date]]),1)</f>
        <v>45689</v>
      </c>
      <c r="N1026" t="str">
        <f>IF(WEEKDAY(tblTransactions[[#This Row],[date]],2)&gt;5,"Weekend","Weekday")</f>
        <v>Weekday</v>
      </c>
      <c r="O102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26" s="13" t="str">
        <f>_xlfn.XLOOKUP(tblTransactions[[#This Row],[tenant_id]],tblTenants[tenant_id],tblTenants[zone],"NOT FOUND")</f>
        <v>Home &amp; Living</v>
      </c>
      <c r="Q1026" s="13" t="str">
        <f>_xlfn.XLOOKUP(tblTransactions[[#This Row],[tenant_id]],tblTenants[tenant_id],tblTenants[category],"NOT FOUND")</f>
        <v>Electronics</v>
      </c>
    </row>
    <row r="1027" spans="1:17">
      <c r="A1027" t="s">
        <v>1071</v>
      </c>
      <c r="B1027" s="2">
        <v>45733</v>
      </c>
      <c r="C1027">
        <v>12</v>
      </c>
      <c r="D1027" t="s">
        <v>70</v>
      </c>
      <c r="E1027" t="s">
        <v>32</v>
      </c>
      <c r="F1027" s="7">
        <v>1060.73</v>
      </c>
      <c r="G1027" s="10">
        <v>0.1</v>
      </c>
      <c r="H1027" s="7">
        <v>954.66</v>
      </c>
      <c r="I1027">
        <v>1</v>
      </c>
      <c r="J1027" t="s">
        <v>16</v>
      </c>
      <c r="K1027" s="13">
        <f>ROUND(tblTransactions[[#This Row],[gross_sales_inr]]*(1-tblTransactions[[#This Row],[discount_pct]]),2)</f>
        <v>954.66</v>
      </c>
      <c r="L1027" t="str">
        <f>IF(ABS(tblTransactions[[#This Row],[net_sales_inr]]-tblTransactions[[#This Row],[Recalc_Net_Sales]])&lt;0.02,"OK","CHECK")</f>
        <v>OK</v>
      </c>
      <c r="M1027" s="14">
        <f>DATE(YEAR(tblTransactions[[#This Row],[date]]),MONTH(tblTransactions[[#This Row],[date]]),1)</f>
        <v>45717</v>
      </c>
      <c r="N1027" t="str">
        <f>IF(WEEKDAY(tblTransactions[[#This Row],[date]],2)&gt;5,"Weekend","Weekday")</f>
        <v>Weekday</v>
      </c>
      <c r="O102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27" s="13" t="str">
        <f>_xlfn.XLOOKUP(tblTransactions[[#This Row],[tenant_id]],tblTenants[tenant_id],tblTenants[zone],"NOT FOUND")</f>
        <v>Food Court</v>
      </c>
      <c r="Q1027" s="13" t="str">
        <f>_xlfn.XLOOKUP(tblTransactions[[#This Row],[tenant_id]],tblTenants[tenant_id],tblTenants[category],"NOT FOUND")</f>
        <v>Quick Service</v>
      </c>
    </row>
    <row r="1028" spans="1:17">
      <c r="A1028" t="s">
        <v>1072</v>
      </c>
      <c r="B1028" s="2">
        <v>45830</v>
      </c>
      <c r="C1028">
        <v>20</v>
      </c>
      <c r="D1028" t="s">
        <v>25</v>
      </c>
      <c r="E1028" t="s">
        <v>32</v>
      </c>
      <c r="F1028" s="7">
        <v>1832.04</v>
      </c>
      <c r="G1028" s="10">
        <v>0.1</v>
      </c>
      <c r="H1028" s="7">
        <v>1648.84</v>
      </c>
      <c r="I1028">
        <v>5</v>
      </c>
      <c r="J1028" t="s">
        <v>13</v>
      </c>
      <c r="K1028" s="13">
        <f>ROUND(tblTransactions[[#This Row],[gross_sales_inr]]*(1-tblTransactions[[#This Row],[discount_pct]]),2)</f>
        <v>1648.84</v>
      </c>
      <c r="L1028" t="str">
        <f>IF(ABS(tblTransactions[[#This Row],[net_sales_inr]]-tblTransactions[[#This Row],[Recalc_Net_Sales]])&lt;0.02,"OK","CHECK")</f>
        <v>OK</v>
      </c>
      <c r="M1028" s="14">
        <f>DATE(YEAR(tblTransactions[[#This Row],[date]]),MONTH(tblTransactions[[#This Row],[date]]),1)</f>
        <v>45809</v>
      </c>
      <c r="N1028" t="str">
        <f>IF(WEEKDAY(tblTransactions[[#This Row],[date]],2)&gt;5,"Weekend","Weekday")</f>
        <v>Weekend</v>
      </c>
      <c r="O102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28" s="13" t="str">
        <f>_xlfn.XLOOKUP(tblTransactions[[#This Row],[tenant_id]],tblTenants[tenant_id],tblTenants[zone],"NOT FOUND")</f>
        <v>Beauty &amp; Wellness</v>
      </c>
      <c r="Q1028" s="13" t="str">
        <f>_xlfn.XLOOKUP(tblTransactions[[#This Row],[tenant_id]],tblTenants[tenant_id],tblTenants[category],"NOT FOUND")</f>
        <v>Beauty</v>
      </c>
    </row>
    <row r="1029" spans="1:17">
      <c r="A1029" t="s">
        <v>1073</v>
      </c>
      <c r="B1029" s="2">
        <v>45690</v>
      </c>
      <c r="C1029">
        <v>12</v>
      </c>
      <c r="D1029" t="s">
        <v>204</v>
      </c>
      <c r="E1029" t="s">
        <v>12</v>
      </c>
      <c r="F1029" s="7">
        <v>976.69</v>
      </c>
      <c r="G1029" s="10">
        <v>0</v>
      </c>
      <c r="H1029" s="7">
        <v>976.69</v>
      </c>
      <c r="I1029">
        <v>1</v>
      </c>
      <c r="J1029" t="s">
        <v>13</v>
      </c>
      <c r="K1029" s="13">
        <f>ROUND(tblTransactions[[#This Row],[gross_sales_inr]]*(1-tblTransactions[[#This Row],[discount_pct]]),2)</f>
        <v>976.69</v>
      </c>
      <c r="L1029" t="str">
        <f>IF(ABS(tblTransactions[[#This Row],[net_sales_inr]]-tblTransactions[[#This Row],[Recalc_Net_Sales]])&lt;0.02,"OK","CHECK")</f>
        <v>OK</v>
      </c>
      <c r="M1029" s="14">
        <f>DATE(YEAR(tblTransactions[[#This Row],[date]]),MONTH(tblTransactions[[#This Row],[date]]),1)</f>
        <v>45689</v>
      </c>
      <c r="N1029" t="str">
        <f>IF(WEEKDAY(tblTransactions[[#This Row],[date]],2)&gt;5,"Weekend","Weekday")</f>
        <v>Weekend</v>
      </c>
      <c r="O1029" s="13" t="str">
        <f>IF(tblTransactions[[#This Row],[discount_pct]]=0,"0%",IF(tblTransactions[[#This Row],[discount_pct]]&lt;=10%,"1–
10%",IF(tblTransactions[[#This Row],[discount_pct]]&lt;=20%,"11–20%","&gt;20%")))</f>
        <v>0%</v>
      </c>
      <c r="P1029" s="13" t="str">
        <f>_xlfn.XLOOKUP(tblTransactions[[#This Row],[tenant_id]],tblTenants[tenant_id],tblTenants[zone],"NOT FOUND")</f>
        <v>Home &amp; Living</v>
      </c>
      <c r="Q1029" s="13" t="str">
        <f>_xlfn.XLOOKUP(tblTransactions[[#This Row],[tenant_id]],tblTenants[tenant_id],tblTenants[category],"NOT FOUND")</f>
        <v>Home Decor</v>
      </c>
    </row>
    <row r="1030" spans="1:17">
      <c r="A1030" t="s">
        <v>1074</v>
      </c>
      <c r="B1030" s="2">
        <v>45703</v>
      </c>
      <c r="C1030">
        <v>14</v>
      </c>
      <c r="D1030" t="s">
        <v>104</v>
      </c>
      <c r="E1030" t="s">
        <v>12</v>
      </c>
      <c r="F1030" s="7">
        <v>2381.19</v>
      </c>
      <c r="G1030" s="10">
        <v>0.05</v>
      </c>
      <c r="H1030" s="7">
        <v>2262.13</v>
      </c>
      <c r="I1030">
        <v>3</v>
      </c>
      <c r="J1030" t="s">
        <v>16</v>
      </c>
      <c r="K1030" s="13">
        <f>ROUND(tblTransactions[[#This Row],[gross_sales_inr]]*(1-tblTransactions[[#This Row],[discount_pct]]),2)</f>
        <v>2262.13</v>
      </c>
      <c r="L1030" t="str">
        <f>IF(ABS(tblTransactions[[#This Row],[net_sales_inr]]-tblTransactions[[#This Row],[Recalc_Net_Sales]])&lt;0.02,"OK","CHECK")</f>
        <v>OK</v>
      </c>
      <c r="M1030" s="14">
        <f>DATE(YEAR(tblTransactions[[#This Row],[date]]),MONTH(tblTransactions[[#This Row],[date]]),1)</f>
        <v>45689</v>
      </c>
      <c r="N1030" t="str">
        <f>IF(WEEKDAY(tblTransactions[[#This Row],[date]],2)&gt;5,"Weekend","Weekday")</f>
        <v>Weekend</v>
      </c>
      <c r="O103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30" s="13" t="str">
        <f>_xlfn.XLOOKUP(tblTransactions[[#This Row],[tenant_id]],tblTenants[tenant_id],tblTenants[zone],"NOT FOUND")</f>
        <v>Entertainment</v>
      </c>
      <c r="Q1030" s="13" t="str">
        <f>_xlfn.XLOOKUP(tblTransactions[[#This Row],[tenant_id]],tblTenants[tenant_id],tblTenants[category],"NOT FOUND")</f>
        <v>Family Entertainment</v>
      </c>
    </row>
    <row r="1031" spans="1:17">
      <c r="A1031" t="s">
        <v>1075</v>
      </c>
      <c r="B1031" s="2">
        <v>45751</v>
      </c>
      <c r="C1031">
        <v>16</v>
      </c>
      <c r="D1031" t="s">
        <v>23</v>
      </c>
      <c r="E1031" t="s">
        <v>32</v>
      </c>
      <c r="F1031" s="7">
        <v>993.88</v>
      </c>
      <c r="G1031" s="10">
        <v>0</v>
      </c>
      <c r="H1031" s="7">
        <v>993.88</v>
      </c>
      <c r="I1031">
        <v>1</v>
      </c>
      <c r="J1031" t="s">
        <v>16</v>
      </c>
      <c r="K1031" s="13">
        <f>ROUND(tblTransactions[[#This Row],[gross_sales_inr]]*(1-tblTransactions[[#This Row],[discount_pct]]),2)</f>
        <v>993.88</v>
      </c>
      <c r="L1031" t="str">
        <f>IF(ABS(tblTransactions[[#This Row],[net_sales_inr]]-tblTransactions[[#This Row],[Recalc_Net_Sales]])&lt;0.02,"OK","CHECK")</f>
        <v>OK</v>
      </c>
      <c r="M1031" s="14">
        <f>DATE(YEAR(tblTransactions[[#This Row],[date]]),MONTH(tblTransactions[[#This Row],[date]]),1)</f>
        <v>45748</v>
      </c>
      <c r="N1031" t="str">
        <f>IF(WEEKDAY(tblTransactions[[#This Row],[date]],2)&gt;5,"Weekend","Weekday")</f>
        <v>Weekday</v>
      </c>
      <c r="O1031" s="13" t="str">
        <f>IF(tblTransactions[[#This Row],[discount_pct]]=0,"0%",IF(tblTransactions[[#This Row],[discount_pct]]&lt;=10%,"1–
10%",IF(tblTransactions[[#This Row],[discount_pct]]&lt;=20%,"11–20%","&gt;20%")))</f>
        <v>0%</v>
      </c>
      <c r="P1031" s="13" t="str">
        <f>_xlfn.XLOOKUP(tblTransactions[[#This Row],[tenant_id]],tblTenants[tenant_id],tblTenants[zone],"NOT FOUND")</f>
        <v>Entertainment</v>
      </c>
      <c r="Q1031" s="13" t="str">
        <f>_xlfn.XLOOKUP(tblTransactions[[#This Row],[tenant_id]],tblTenants[tenant_id],tblTenants[category],"NOT FOUND")</f>
        <v>Cinema</v>
      </c>
    </row>
    <row r="1032" spans="1:17">
      <c r="A1032" t="s">
        <v>1076</v>
      </c>
      <c r="B1032" s="2">
        <v>45750</v>
      </c>
      <c r="C1032">
        <v>12</v>
      </c>
      <c r="D1032" t="s">
        <v>53</v>
      </c>
      <c r="E1032" t="s">
        <v>12</v>
      </c>
      <c r="F1032" s="7">
        <v>1536.09</v>
      </c>
      <c r="G1032" s="10">
        <v>0</v>
      </c>
      <c r="H1032" s="7">
        <v>1536.09</v>
      </c>
      <c r="I1032">
        <v>3</v>
      </c>
      <c r="J1032" t="s">
        <v>16</v>
      </c>
      <c r="K1032" s="13">
        <f>ROUND(tblTransactions[[#This Row],[gross_sales_inr]]*(1-tblTransactions[[#This Row],[discount_pct]]),2)</f>
        <v>1536.09</v>
      </c>
      <c r="L1032" t="str">
        <f>IF(ABS(tblTransactions[[#This Row],[net_sales_inr]]-tblTransactions[[#This Row],[Recalc_Net_Sales]])&lt;0.02,"OK","CHECK")</f>
        <v>OK</v>
      </c>
      <c r="M1032" s="14">
        <f>DATE(YEAR(tblTransactions[[#This Row],[date]]),MONTH(tblTransactions[[#This Row],[date]]),1)</f>
        <v>45748</v>
      </c>
      <c r="N1032" t="str">
        <f>IF(WEEKDAY(tblTransactions[[#This Row],[date]],2)&gt;5,"Weekend","Weekday")</f>
        <v>Weekday</v>
      </c>
      <c r="O1032" s="13" t="str">
        <f>IF(tblTransactions[[#This Row],[discount_pct]]=0,"0%",IF(tblTransactions[[#This Row],[discount_pct]]&lt;=10%,"1–
10%",IF(tblTransactions[[#This Row],[discount_pct]]&lt;=20%,"11–20%","&gt;20%")))</f>
        <v>0%</v>
      </c>
      <c r="P1032" s="13" t="str">
        <f>_xlfn.XLOOKUP(tblTransactions[[#This Row],[tenant_id]],tblTenants[tenant_id],tblTenants[zone],"NOT FOUND")</f>
        <v>Beauty &amp; Wellness</v>
      </c>
      <c r="Q1032" s="13" t="str">
        <f>_xlfn.XLOOKUP(tblTransactions[[#This Row],[tenant_id]],tblTenants[tenant_id],tblTenants[category],"NOT FOUND")</f>
        <v>Beauty</v>
      </c>
    </row>
    <row r="1033" spans="1:17">
      <c r="A1033" t="s">
        <v>1077</v>
      </c>
      <c r="B1033" s="2">
        <v>45715</v>
      </c>
      <c r="C1033">
        <v>15</v>
      </c>
      <c r="D1033" t="s">
        <v>104</v>
      </c>
      <c r="E1033" t="s">
        <v>51</v>
      </c>
      <c r="F1033" s="7">
        <v>1120.3900000000001</v>
      </c>
      <c r="G1033" s="10">
        <v>0</v>
      </c>
      <c r="H1033" s="7">
        <v>1120.3900000000001</v>
      </c>
      <c r="I1033">
        <v>6</v>
      </c>
      <c r="J1033" t="s">
        <v>16</v>
      </c>
      <c r="K1033" s="13">
        <f>ROUND(tblTransactions[[#This Row],[gross_sales_inr]]*(1-tblTransactions[[#This Row],[discount_pct]]),2)</f>
        <v>1120.3900000000001</v>
      </c>
      <c r="L1033" t="str">
        <f>IF(ABS(tblTransactions[[#This Row],[net_sales_inr]]-tblTransactions[[#This Row],[Recalc_Net_Sales]])&lt;0.02,"OK","CHECK")</f>
        <v>OK</v>
      </c>
      <c r="M1033" s="14">
        <f>DATE(YEAR(tblTransactions[[#This Row],[date]]),MONTH(tblTransactions[[#This Row],[date]]),1)</f>
        <v>45689</v>
      </c>
      <c r="N1033" t="str">
        <f>IF(WEEKDAY(tblTransactions[[#This Row],[date]],2)&gt;5,"Weekend","Weekday")</f>
        <v>Weekday</v>
      </c>
      <c r="O1033" s="13" t="str">
        <f>IF(tblTransactions[[#This Row],[discount_pct]]=0,"0%",IF(tblTransactions[[#This Row],[discount_pct]]&lt;=10%,"1–
10%",IF(tblTransactions[[#This Row],[discount_pct]]&lt;=20%,"11–20%","&gt;20%")))</f>
        <v>0%</v>
      </c>
      <c r="P1033" s="13" t="str">
        <f>_xlfn.XLOOKUP(tblTransactions[[#This Row],[tenant_id]],tblTenants[tenant_id],tblTenants[zone],"NOT FOUND")</f>
        <v>Entertainment</v>
      </c>
      <c r="Q1033" s="13" t="str">
        <f>_xlfn.XLOOKUP(tblTransactions[[#This Row],[tenant_id]],tblTenants[tenant_id],tblTenants[category],"NOT FOUND")</f>
        <v>Family Entertainment</v>
      </c>
    </row>
    <row r="1034" spans="1:17">
      <c r="A1034" t="s">
        <v>1078</v>
      </c>
      <c r="B1034" s="2">
        <v>45696</v>
      </c>
      <c r="C1034">
        <v>18</v>
      </c>
      <c r="D1034" t="s">
        <v>59</v>
      </c>
      <c r="E1034" t="s">
        <v>32</v>
      </c>
      <c r="F1034" s="7">
        <v>4049.61</v>
      </c>
      <c r="G1034" s="10">
        <v>0</v>
      </c>
      <c r="H1034" s="7">
        <v>4049.61</v>
      </c>
      <c r="I1034">
        <v>2</v>
      </c>
      <c r="J1034" t="s">
        <v>16</v>
      </c>
      <c r="K1034" s="13">
        <f>ROUND(tblTransactions[[#This Row],[gross_sales_inr]]*(1-tblTransactions[[#This Row],[discount_pct]]),2)</f>
        <v>4049.61</v>
      </c>
      <c r="L1034" t="str">
        <f>IF(ABS(tblTransactions[[#This Row],[net_sales_inr]]-tblTransactions[[#This Row],[Recalc_Net_Sales]])&lt;0.02,"OK","CHECK")</f>
        <v>OK</v>
      </c>
      <c r="M1034" s="14">
        <f>DATE(YEAR(tblTransactions[[#This Row],[date]]),MONTH(tblTransactions[[#This Row],[date]]),1)</f>
        <v>45689</v>
      </c>
      <c r="N1034" t="str">
        <f>IF(WEEKDAY(tblTransactions[[#This Row],[date]],2)&gt;5,"Weekend","Weekday")</f>
        <v>Weekend</v>
      </c>
      <c r="O1034" s="13" t="str">
        <f>IF(tblTransactions[[#This Row],[discount_pct]]=0,"0%",IF(tblTransactions[[#This Row],[discount_pct]]&lt;=10%,"1–
10%",IF(tblTransactions[[#This Row],[discount_pct]]&lt;=20%,"11–20%","&gt;20%")))</f>
        <v>0%</v>
      </c>
      <c r="P1034" s="13" t="str">
        <f>_xlfn.XLOOKUP(tblTransactions[[#This Row],[tenant_id]],tblTenants[tenant_id],tblTenants[zone],"NOT FOUND")</f>
        <v>Fashion Avenue</v>
      </c>
      <c r="Q1034" s="13" t="str">
        <f>_xlfn.XLOOKUP(tblTransactions[[#This Row],[tenant_id]],tblTenants[tenant_id],tblTenants[category],"NOT FOUND")</f>
        <v>Footwear</v>
      </c>
    </row>
    <row r="1035" spans="1:17">
      <c r="A1035" t="s">
        <v>1079</v>
      </c>
      <c r="B1035" s="2">
        <v>45746</v>
      </c>
      <c r="C1035">
        <v>13</v>
      </c>
      <c r="D1035" t="s">
        <v>55</v>
      </c>
      <c r="E1035" t="s">
        <v>12</v>
      </c>
      <c r="F1035" s="7">
        <v>1777.95</v>
      </c>
      <c r="G1035" s="10">
        <v>0.2</v>
      </c>
      <c r="H1035" s="7">
        <v>1422.36</v>
      </c>
      <c r="I1035">
        <v>3</v>
      </c>
      <c r="J1035" t="s">
        <v>13</v>
      </c>
      <c r="K1035" s="13">
        <f>ROUND(tblTransactions[[#This Row],[gross_sales_inr]]*(1-tblTransactions[[#This Row],[discount_pct]]),2)</f>
        <v>1422.36</v>
      </c>
      <c r="L1035" t="str">
        <f>IF(ABS(tblTransactions[[#This Row],[net_sales_inr]]-tblTransactions[[#This Row],[Recalc_Net_Sales]])&lt;0.02,"OK","CHECK")</f>
        <v>OK</v>
      </c>
      <c r="M1035" s="14">
        <f>DATE(YEAR(tblTransactions[[#This Row],[date]]),MONTH(tblTransactions[[#This Row],[date]]),1)</f>
        <v>45717</v>
      </c>
      <c r="N1035" t="str">
        <f>IF(WEEKDAY(tblTransactions[[#This Row],[date]],2)&gt;5,"Weekend","Weekday")</f>
        <v>Weekend</v>
      </c>
      <c r="O103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35" s="13" t="str">
        <f>_xlfn.XLOOKUP(tblTransactions[[#This Row],[tenant_id]],tblTenants[tenant_id],tblTenants[zone],"NOT FOUND")</f>
        <v>Food Court</v>
      </c>
      <c r="Q1035" s="13" t="str">
        <f>_xlfn.XLOOKUP(tblTransactions[[#This Row],[tenant_id]],tblTenants[tenant_id],tblTenants[category],"NOT FOUND")</f>
        <v>Quick Service</v>
      </c>
    </row>
    <row r="1036" spans="1:17">
      <c r="A1036" t="s">
        <v>1080</v>
      </c>
      <c r="B1036" s="2">
        <v>45746</v>
      </c>
      <c r="C1036">
        <v>11</v>
      </c>
      <c r="D1036" t="s">
        <v>15</v>
      </c>
      <c r="E1036" t="s">
        <v>12</v>
      </c>
      <c r="F1036" s="7">
        <v>457.99</v>
      </c>
      <c r="G1036" s="10">
        <v>0.2</v>
      </c>
      <c r="H1036" s="7">
        <v>366.39</v>
      </c>
      <c r="I1036">
        <v>6</v>
      </c>
      <c r="J1036" t="s">
        <v>16</v>
      </c>
      <c r="K1036" s="13">
        <f>ROUND(tblTransactions[[#This Row],[gross_sales_inr]]*(1-tblTransactions[[#This Row],[discount_pct]]),2)</f>
        <v>366.39</v>
      </c>
      <c r="L1036" t="str">
        <f>IF(ABS(tblTransactions[[#This Row],[net_sales_inr]]-tblTransactions[[#This Row],[Recalc_Net_Sales]])&lt;0.02,"OK","CHECK")</f>
        <v>OK</v>
      </c>
      <c r="M1036" s="14">
        <f>DATE(YEAR(tblTransactions[[#This Row],[date]]),MONTH(tblTransactions[[#This Row],[date]]),1)</f>
        <v>45717</v>
      </c>
      <c r="N1036" t="str">
        <f>IF(WEEKDAY(tblTransactions[[#This Row],[date]],2)&gt;5,"Weekend","Weekday")</f>
        <v>Weekend</v>
      </c>
      <c r="O103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36" s="13" t="str">
        <f>_xlfn.XLOOKUP(tblTransactions[[#This Row],[tenant_id]],tblTenants[tenant_id],tblTenants[zone],"NOT FOUND")</f>
        <v>Fashion Avenue</v>
      </c>
      <c r="Q1036" s="13" t="str">
        <f>_xlfn.XLOOKUP(tblTransactions[[#This Row],[tenant_id]],tblTenants[tenant_id],tblTenants[category],"NOT FOUND")</f>
        <v>Accessories</v>
      </c>
    </row>
    <row r="1037" spans="1:17">
      <c r="A1037" t="s">
        <v>1081</v>
      </c>
      <c r="B1037" s="2">
        <v>45670</v>
      </c>
      <c r="C1037">
        <v>11</v>
      </c>
      <c r="D1037" t="s">
        <v>55</v>
      </c>
      <c r="E1037" t="s">
        <v>32</v>
      </c>
      <c r="F1037" s="7">
        <v>1359.23</v>
      </c>
      <c r="G1037" s="10">
        <v>0.15</v>
      </c>
      <c r="H1037" s="7">
        <v>1155.3499999999999</v>
      </c>
      <c r="I1037">
        <v>4</v>
      </c>
      <c r="J1037" t="s">
        <v>13</v>
      </c>
      <c r="K1037" s="13">
        <f>ROUND(tblTransactions[[#This Row],[gross_sales_inr]]*(1-tblTransactions[[#This Row],[discount_pct]]),2)</f>
        <v>1155.3499999999999</v>
      </c>
      <c r="L1037" t="str">
        <f>IF(ABS(tblTransactions[[#This Row],[net_sales_inr]]-tblTransactions[[#This Row],[Recalc_Net_Sales]])&lt;0.02,"OK","CHECK")</f>
        <v>OK</v>
      </c>
      <c r="M1037" s="14">
        <f>DATE(YEAR(tblTransactions[[#This Row],[date]]),MONTH(tblTransactions[[#This Row],[date]]),1)</f>
        <v>45658</v>
      </c>
      <c r="N1037" t="str">
        <f>IF(WEEKDAY(tblTransactions[[#This Row],[date]],2)&gt;5,"Weekend","Weekday")</f>
        <v>Weekday</v>
      </c>
      <c r="O103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37" s="13" t="str">
        <f>_xlfn.XLOOKUP(tblTransactions[[#This Row],[tenant_id]],tblTenants[tenant_id],tblTenants[zone],"NOT FOUND")</f>
        <v>Food Court</v>
      </c>
      <c r="Q1037" s="13" t="str">
        <f>_xlfn.XLOOKUP(tblTransactions[[#This Row],[tenant_id]],tblTenants[tenant_id],tblTenants[category],"NOT FOUND")</f>
        <v>Quick Service</v>
      </c>
    </row>
    <row r="1038" spans="1:17">
      <c r="A1038" t="s">
        <v>1082</v>
      </c>
      <c r="B1038" s="2">
        <v>45691</v>
      </c>
      <c r="C1038">
        <v>14</v>
      </c>
      <c r="D1038" t="s">
        <v>48</v>
      </c>
      <c r="E1038" t="s">
        <v>12</v>
      </c>
      <c r="F1038" s="7">
        <v>326.51</v>
      </c>
      <c r="G1038" s="10">
        <v>0.15</v>
      </c>
      <c r="H1038" s="7">
        <v>277.52999999999997</v>
      </c>
      <c r="I1038">
        <v>1</v>
      </c>
      <c r="J1038" t="s">
        <v>13</v>
      </c>
      <c r="K1038" s="13">
        <f>ROUND(tblTransactions[[#This Row],[gross_sales_inr]]*(1-tblTransactions[[#This Row],[discount_pct]]),2)</f>
        <v>277.52999999999997</v>
      </c>
      <c r="L1038" t="str">
        <f>IF(ABS(tblTransactions[[#This Row],[net_sales_inr]]-tblTransactions[[#This Row],[Recalc_Net_Sales]])&lt;0.02,"OK","CHECK")</f>
        <v>OK</v>
      </c>
      <c r="M1038" s="14">
        <f>DATE(YEAR(tblTransactions[[#This Row],[date]]),MONTH(tblTransactions[[#This Row],[date]]),1)</f>
        <v>45689</v>
      </c>
      <c r="N1038" t="str">
        <f>IF(WEEKDAY(tblTransactions[[#This Row],[date]],2)&gt;5,"Weekend","Weekday")</f>
        <v>Weekday</v>
      </c>
      <c r="O103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38" s="13" t="str">
        <f>_xlfn.XLOOKUP(tblTransactions[[#This Row],[tenant_id]],tblTenants[tenant_id],tblTenants[zone],"NOT FOUND")</f>
        <v>Beauty &amp; Wellness</v>
      </c>
      <c r="Q1038" s="13" t="str">
        <f>_xlfn.XLOOKUP(tblTransactions[[#This Row],[tenant_id]],tblTenants[tenant_id],tblTenants[category],"NOT FOUND")</f>
        <v>Wellness</v>
      </c>
    </row>
    <row r="1039" spans="1:17">
      <c r="A1039" t="s">
        <v>1083</v>
      </c>
      <c r="B1039" s="2">
        <v>45813</v>
      </c>
      <c r="C1039">
        <v>13</v>
      </c>
      <c r="D1039" t="s">
        <v>45</v>
      </c>
      <c r="E1039" t="s">
        <v>32</v>
      </c>
      <c r="F1039" s="7">
        <v>1070.9100000000001</v>
      </c>
      <c r="G1039" s="10">
        <v>0.15</v>
      </c>
      <c r="H1039" s="7">
        <v>910.27</v>
      </c>
      <c r="I1039">
        <v>2</v>
      </c>
      <c r="J1039" t="s">
        <v>16</v>
      </c>
      <c r="K1039" s="13">
        <f>ROUND(tblTransactions[[#This Row],[gross_sales_inr]]*(1-tblTransactions[[#This Row],[discount_pct]]),2)</f>
        <v>910.27</v>
      </c>
      <c r="L1039" t="str">
        <f>IF(ABS(tblTransactions[[#This Row],[net_sales_inr]]-tblTransactions[[#This Row],[Recalc_Net_Sales]])&lt;0.02,"OK","CHECK")</f>
        <v>OK</v>
      </c>
      <c r="M1039" s="14">
        <f>DATE(YEAR(tblTransactions[[#This Row],[date]]),MONTH(tblTransactions[[#This Row],[date]]),1)</f>
        <v>45809</v>
      </c>
      <c r="N1039" t="str">
        <f>IF(WEEKDAY(tblTransactions[[#This Row],[date]],2)&gt;5,"Weekend","Weekday")</f>
        <v>Weekday</v>
      </c>
      <c r="O103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39" s="13" t="str">
        <f>_xlfn.XLOOKUP(tblTransactions[[#This Row],[tenant_id]],tblTenants[tenant_id],tblTenants[zone],"NOT FOUND")</f>
        <v>Home &amp; Living</v>
      </c>
      <c r="Q1039" s="13" t="str">
        <f>_xlfn.XLOOKUP(tblTransactions[[#This Row],[tenant_id]],tblTenants[tenant_id],tblTenants[category],"NOT FOUND")</f>
        <v>Home Decor</v>
      </c>
    </row>
    <row r="1040" spans="1:17">
      <c r="A1040" t="s">
        <v>1084</v>
      </c>
      <c r="B1040" s="2">
        <v>45778</v>
      </c>
      <c r="C1040">
        <v>12</v>
      </c>
      <c r="D1040" t="s">
        <v>61</v>
      </c>
      <c r="E1040" t="s">
        <v>12</v>
      </c>
      <c r="F1040" s="7">
        <v>610.96</v>
      </c>
      <c r="G1040" s="10">
        <v>0.05</v>
      </c>
      <c r="H1040" s="7">
        <v>580.41</v>
      </c>
      <c r="I1040">
        <v>1</v>
      </c>
      <c r="J1040" t="s">
        <v>16</v>
      </c>
      <c r="K1040" s="13">
        <f>ROUND(tblTransactions[[#This Row],[gross_sales_inr]]*(1-tblTransactions[[#This Row],[discount_pct]]),2)</f>
        <v>580.41</v>
      </c>
      <c r="L1040" t="str">
        <f>IF(ABS(tblTransactions[[#This Row],[net_sales_inr]]-tblTransactions[[#This Row],[Recalc_Net_Sales]])&lt;0.02,"OK","CHECK")</f>
        <v>OK</v>
      </c>
      <c r="M1040" s="14">
        <f>DATE(YEAR(tblTransactions[[#This Row],[date]]),MONTH(tblTransactions[[#This Row],[date]]),1)</f>
        <v>45778</v>
      </c>
      <c r="N1040" t="str">
        <f>IF(WEEKDAY(tblTransactions[[#This Row],[date]],2)&gt;5,"Weekend","Weekday")</f>
        <v>Weekday</v>
      </c>
      <c r="O104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40" s="13" t="str">
        <f>_xlfn.XLOOKUP(tblTransactions[[#This Row],[tenant_id]],tblTenants[tenant_id],tblTenants[zone],"NOT FOUND")</f>
        <v>Food Court</v>
      </c>
      <c r="Q1040" s="13" t="str">
        <f>_xlfn.XLOOKUP(tblTransactions[[#This Row],[tenant_id]],tblTenants[tenant_id],tblTenants[category],"NOT FOUND")</f>
        <v>Quick Service</v>
      </c>
    </row>
    <row r="1041" spans="1:17">
      <c r="A1041" t="s">
        <v>1085</v>
      </c>
      <c r="B1041" s="2">
        <v>45684</v>
      </c>
      <c r="C1041">
        <v>13</v>
      </c>
      <c r="D1041" t="s">
        <v>104</v>
      </c>
      <c r="E1041" t="s">
        <v>12</v>
      </c>
      <c r="F1041" s="7">
        <v>805.27</v>
      </c>
      <c r="G1041" s="10">
        <v>0</v>
      </c>
      <c r="H1041" s="7">
        <v>805.27</v>
      </c>
      <c r="I1041">
        <v>2</v>
      </c>
      <c r="J1041" t="s">
        <v>13</v>
      </c>
      <c r="K1041" s="13">
        <f>ROUND(tblTransactions[[#This Row],[gross_sales_inr]]*(1-tblTransactions[[#This Row],[discount_pct]]),2)</f>
        <v>805.27</v>
      </c>
      <c r="L1041" t="str">
        <f>IF(ABS(tblTransactions[[#This Row],[net_sales_inr]]-tblTransactions[[#This Row],[Recalc_Net_Sales]])&lt;0.02,"OK","CHECK")</f>
        <v>OK</v>
      </c>
      <c r="M1041" s="14">
        <f>DATE(YEAR(tblTransactions[[#This Row],[date]]),MONTH(tblTransactions[[#This Row],[date]]),1)</f>
        <v>45658</v>
      </c>
      <c r="N1041" t="str">
        <f>IF(WEEKDAY(tblTransactions[[#This Row],[date]],2)&gt;5,"Weekend","Weekday")</f>
        <v>Weekday</v>
      </c>
      <c r="O1041" s="13" t="str">
        <f>IF(tblTransactions[[#This Row],[discount_pct]]=0,"0%",IF(tblTransactions[[#This Row],[discount_pct]]&lt;=10%,"1–
10%",IF(tblTransactions[[#This Row],[discount_pct]]&lt;=20%,"11–20%","&gt;20%")))</f>
        <v>0%</v>
      </c>
      <c r="P1041" s="13" t="str">
        <f>_xlfn.XLOOKUP(tblTransactions[[#This Row],[tenant_id]],tblTenants[tenant_id],tblTenants[zone],"NOT FOUND")</f>
        <v>Entertainment</v>
      </c>
      <c r="Q1041" s="13" t="str">
        <f>_xlfn.XLOOKUP(tblTransactions[[#This Row],[tenant_id]],tblTenants[tenant_id],tblTenants[category],"NOT FOUND")</f>
        <v>Family Entertainment</v>
      </c>
    </row>
    <row r="1042" spans="1:17">
      <c r="A1042" t="s">
        <v>1086</v>
      </c>
      <c r="B1042" s="2">
        <v>45762</v>
      </c>
      <c r="C1042">
        <v>12</v>
      </c>
      <c r="D1042" t="s">
        <v>204</v>
      </c>
      <c r="E1042" t="s">
        <v>32</v>
      </c>
      <c r="F1042" s="7">
        <v>1081.73</v>
      </c>
      <c r="G1042" s="10">
        <v>0</v>
      </c>
      <c r="H1042" s="7">
        <v>1081.73</v>
      </c>
      <c r="I1042">
        <v>1</v>
      </c>
      <c r="J1042" t="s">
        <v>13</v>
      </c>
      <c r="K1042" s="13">
        <f>ROUND(tblTransactions[[#This Row],[gross_sales_inr]]*(1-tblTransactions[[#This Row],[discount_pct]]),2)</f>
        <v>1081.73</v>
      </c>
      <c r="L1042" t="str">
        <f>IF(ABS(tblTransactions[[#This Row],[net_sales_inr]]-tblTransactions[[#This Row],[Recalc_Net_Sales]])&lt;0.02,"OK","CHECK")</f>
        <v>OK</v>
      </c>
      <c r="M1042" s="14">
        <f>DATE(YEAR(tblTransactions[[#This Row],[date]]),MONTH(tblTransactions[[#This Row],[date]]),1)</f>
        <v>45748</v>
      </c>
      <c r="N1042" t="str">
        <f>IF(WEEKDAY(tblTransactions[[#This Row],[date]],2)&gt;5,"Weekend","Weekday")</f>
        <v>Weekday</v>
      </c>
      <c r="O1042" s="13" t="str">
        <f>IF(tblTransactions[[#This Row],[discount_pct]]=0,"0%",IF(tblTransactions[[#This Row],[discount_pct]]&lt;=10%,"1–
10%",IF(tblTransactions[[#This Row],[discount_pct]]&lt;=20%,"11–20%","&gt;20%")))</f>
        <v>0%</v>
      </c>
      <c r="P1042" s="13" t="str">
        <f>_xlfn.XLOOKUP(tblTransactions[[#This Row],[tenant_id]],tblTenants[tenant_id],tblTenants[zone],"NOT FOUND")</f>
        <v>Home &amp; Living</v>
      </c>
      <c r="Q1042" s="13" t="str">
        <f>_xlfn.XLOOKUP(tblTransactions[[#This Row],[tenant_id]],tblTenants[tenant_id],tblTenants[category],"NOT FOUND")</f>
        <v>Home Decor</v>
      </c>
    </row>
    <row r="1043" spans="1:17">
      <c r="A1043" t="s">
        <v>1087</v>
      </c>
      <c r="B1043" s="2">
        <v>45721</v>
      </c>
      <c r="C1043">
        <v>19</v>
      </c>
      <c r="D1043" t="s">
        <v>23</v>
      </c>
      <c r="E1043" t="s">
        <v>12</v>
      </c>
      <c r="F1043" s="7">
        <v>921.26</v>
      </c>
      <c r="G1043" s="10">
        <v>0</v>
      </c>
      <c r="H1043" s="7">
        <v>921.26</v>
      </c>
      <c r="I1043">
        <v>1</v>
      </c>
      <c r="J1043" t="s">
        <v>13</v>
      </c>
      <c r="K1043" s="13">
        <f>ROUND(tblTransactions[[#This Row],[gross_sales_inr]]*(1-tblTransactions[[#This Row],[discount_pct]]),2)</f>
        <v>921.26</v>
      </c>
      <c r="L1043" t="str">
        <f>IF(ABS(tblTransactions[[#This Row],[net_sales_inr]]-tblTransactions[[#This Row],[Recalc_Net_Sales]])&lt;0.02,"OK","CHECK")</f>
        <v>OK</v>
      </c>
      <c r="M1043" s="14">
        <f>DATE(YEAR(tblTransactions[[#This Row],[date]]),MONTH(tblTransactions[[#This Row],[date]]),1)</f>
        <v>45717</v>
      </c>
      <c r="N1043" t="str">
        <f>IF(WEEKDAY(tblTransactions[[#This Row],[date]],2)&gt;5,"Weekend","Weekday")</f>
        <v>Weekday</v>
      </c>
      <c r="O1043" s="13" t="str">
        <f>IF(tblTransactions[[#This Row],[discount_pct]]=0,"0%",IF(tblTransactions[[#This Row],[discount_pct]]&lt;=10%,"1–
10%",IF(tblTransactions[[#This Row],[discount_pct]]&lt;=20%,"11–20%","&gt;20%")))</f>
        <v>0%</v>
      </c>
      <c r="P1043" s="13" t="str">
        <f>_xlfn.XLOOKUP(tblTransactions[[#This Row],[tenant_id]],tblTenants[tenant_id],tblTenants[zone],"NOT FOUND")</f>
        <v>Entertainment</v>
      </c>
      <c r="Q1043" s="13" t="str">
        <f>_xlfn.XLOOKUP(tblTransactions[[#This Row],[tenant_id]],tblTenants[tenant_id],tblTenants[category],"NOT FOUND")</f>
        <v>Cinema</v>
      </c>
    </row>
    <row r="1044" spans="1:17">
      <c r="A1044" t="s">
        <v>1088</v>
      </c>
      <c r="B1044" s="2">
        <v>45836</v>
      </c>
      <c r="C1044">
        <v>20</v>
      </c>
      <c r="D1044" t="s">
        <v>61</v>
      </c>
      <c r="E1044" t="s">
        <v>32</v>
      </c>
      <c r="F1044" s="7">
        <v>2002.87</v>
      </c>
      <c r="G1044" s="10">
        <v>0.05</v>
      </c>
      <c r="H1044" s="7">
        <v>1902.73</v>
      </c>
      <c r="I1044">
        <v>2</v>
      </c>
      <c r="J1044" t="s">
        <v>13</v>
      </c>
      <c r="K1044" s="13">
        <f>ROUND(tblTransactions[[#This Row],[gross_sales_inr]]*(1-tblTransactions[[#This Row],[discount_pct]]),2)</f>
        <v>1902.73</v>
      </c>
      <c r="L1044" t="str">
        <f>IF(ABS(tblTransactions[[#This Row],[net_sales_inr]]-tblTransactions[[#This Row],[Recalc_Net_Sales]])&lt;0.02,"OK","CHECK")</f>
        <v>OK</v>
      </c>
      <c r="M1044" s="14">
        <f>DATE(YEAR(tblTransactions[[#This Row],[date]]),MONTH(tblTransactions[[#This Row],[date]]),1)</f>
        <v>45809</v>
      </c>
      <c r="N1044" t="str">
        <f>IF(WEEKDAY(tblTransactions[[#This Row],[date]],2)&gt;5,"Weekend","Weekday")</f>
        <v>Weekend</v>
      </c>
      <c r="O104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44" s="13" t="str">
        <f>_xlfn.XLOOKUP(tblTransactions[[#This Row],[tenant_id]],tblTenants[tenant_id],tblTenants[zone],"NOT FOUND")</f>
        <v>Food Court</v>
      </c>
      <c r="Q1044" s="13" t="str">
        <f>_xlfn.XLOOKUP(tblTransactions[[#This Row],[tenant_id]],tblTenants[tenant_id],tblTenants[category],"NOT FOUND")</f>
        <v>Quick Service</v>
      </c>
    </row>
    <row r="1045" spans="1:17">
      <c r="A1045" t="s">
        <v>1089</v>
      </c>
      <c r="B1045" s="2">
        <v>45789</v>
      </c>
      <c r="C1045">
        <v>22</v>
      </c>
      <c r="D1045" t="s">
        <v>70</v>
      </c>
      <c r="E1045" t="s">
        <v>12</v>
      </c>
      <c r="F1045" s="7">
        <v>519.75</v>
      </c>
      <c r="G1045" s="10">
        <v>0</v>
      </c>
      <c r="H1045" s="7">
        <v>519.75</v>
      </c>
      <c r="I1045">
        <v>1</v>
      </c>
      <c r="J1045" t="s">
        <v>13</v>
      </c>
      <c r="K1045" s="13">
        <f>ROUND(tblTransactions[[#This Row],[gross_sales_inr]]*(1-tblTransactions[[#This Row],[discount_pct]]),2)</f>
        <v>519.75</v>
      </c>
      <c r="L1045" t="str">
        <f>IF(ABS(tblTransactions[[#This Row],[net_sales_inr]]-tblTransactions[[#This Row],[Recalc_Net_Sales]])&lt;0.02,"OK","CHECK")</f>
        <v>OK</v>
      </c>
      <c r="M1045" s="14">
        <f>DATE(YEAR(tblTransactions[[#This Row],[date]]),MONTH(tblTransactions[[#This Row],[date]]),1)</f>
        <v>45778</v>
      </c>
      <c r="N1045" t="str">
        <f>IF(WEEKDAY(tblTransactions[[#This Row],[date]],2)&gt;5,"Weekend","Weekday")</f>
        <v>Weekday</v>
      </c>
      <c r="O1045" s="13" t="str">
        <f>IF(tblTransactions[[#This Row],[discount_pct]]=0,"0%",IF(tblTransactions[[#This Row],[discount_pct]]&lt;=10%,"1–
10%",IF(tblTransactions[[#This Row],[discount_pct]]&lt;=20%,"11–20%","&gt;20%")))</f>
        <v>0%</v>
      </c>
      <c r="P1045" s="13" t="str">
        <f>_xlfn.XLOOKUP(tblTransactions[[#This Row],[tenant_id]],tblTenants[tenant_id],tblTenants[zone],"NOT FOUND")</f>
        <v>Food Court</v>
      </c>
      <c r="Q1045" s="13" t="str">
        <f>_xlfn.XLOOKUP(tblTransactions[[#This Row],[tenant_id]],tblTenants[tenant_id],tblTenants[category],"NOT FOUND")</f>
        <v>Quick Service</v>
      </c>
    </row>
    <row r="1046" spans="1:17">
      <c r="A1046" t="s">
        <v>1090</v>
      </c>
      <c r="B1046" s="2">
        <v>45764</v>
      </c>
      <c r="C1046">
        <v>10</v>
      </c>
      <c r="D1046" t="s">
        <v>55</v>
      </c>
      <c r="E1046" t="s">
        <v>32</v>
      </c>
      <c r="F1046" s="7">
        <v>4717.4399999999996</v>
      </c>
      <c r="G1046" s="10">
        <v>0.15</v>
      </c>
      <c r="H1046" s="7">
        <v>4009.82</v>
      </c>
      <c r="I1046">
        <v>2</v>
      </c>
      <c r="J1046" t="s">
        <v>13</v>
      </c>
      <c r="K1046" s="13">
        <f>ROUND(tblTransactions[[#This Row],[gross_sales_inr]]*(1-tblTransactions[[#This Row],[discount_pct]]),2)</f>
        <v>4009.82</v>
      </c>
      <c r="L1046" t="str">
        <f>IF(ABS(tblTransactions[[#This Row],[net_sales_inr]]-tblTransactions[[#This Row],[Recalc_Net_Sales]])&lt;0.02,"OK","CHECK")</f>
        <v>OK</v>
      </c>
      <c r="M1046" s="14">
        <f>DATE(YEAR(tblTransactions[[#This Row],[date]]),MONTH(tblTransactions[[#This Row],[date]]),1)</f>
        <v>45748</v>
      </c>
      <c r="N1046" t="str">
        <f>IF(WEEKDAY(tblTransactions[[#This Row],[date]],2)&gt;5,"Weekend","Weekday")</f>
        <v>Weekday</v>
      </c>
      <c r="O104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46" s="13" t="str">
        <f>_xlfn.XLOOKUP(tblTransactions[[#This Row],[tenant_id]],tblTenants[tenant_id],tblTenants[zone],"NOT FOUND")</f>
        <v>Food Court</v>
      </c>
      <c r="Q1046" s="13" t="str">
        <f>_xlfn.XLOOKUP(tblTransactions[[#This Row],[tenant_id]],tblTenants[tenant_id],tblTenants[category],"NOT FOUND")</f>
        <v>Quick Service</v>
      </c>
    </row>
    <row r="1047" spans="1:17">
      <c r="A1047" t="s">
        <v>1091</v>
      </c>
      <c r="B1047" s="2">
        <v>45707</v>
      </c>
      <c r="C1047">
        <v>18</v>
      </c>
      <c r="D1047" t="s">
        <v>45</v>
      </c>
      <c r="E1047" t="s">
        <v>12</v>
      </c>
      <c r="F1047" s="7">
        <v>1007.49</v>
      </c>
      <c r="G1047" s="10">
        <v>0.1</v>
      </c>
      <c r="H1047" s="7">
        <v>906.74</v>
      </c>
      <c r="I1047">
        <v>3</v>
      </c>
      <c r="J1047" t="s">
        <v>13</v>
      </c>
      <c r="K1047" s="13">
        <f>ROUND(tblTransactions[[#This Row],[gross_sales_inr]]*(1-tblTransactions[[#This Row],[discount_pct]]),2)</f>
        <v>906.74</v>
      </c>
      <c r="L1047" t="str">
        <f>IF(ABS(tblTransactions[[#This Row],[net_sales_inr]]-tblTransactions[[#This Row],[Recalc_Net_Sales]])&lt;0.02,"OK","CHECK")</f>
        <v>OK</v>
      </c>
      <c r="M1047" s="14">
        <f>DATE(YEAR(tblTransactions[[#This Row],[date]]),MONTH(tblTransactions[[#This Row],[date]]),1)</f>
        <v>45689</v>
      </c>
      <c r="N1047" t="str">
        <f>IF(WEEKDAY(tblTransactions[[#This Row],[date]],2)&gt;5,"Weekend","Weekday")</f>
        <v>Weekday</v>
      </c>
      <c r="O104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47" s="13" t="str">
        <f>_xlfn.XLOOKUP(tblTransactions[[#This Row],[tenant_id]],tblTenants[tenant_id],tblTenants[zone],"NOT FOUND")</f>
        <v>Home &amp; Living</v>
      </c>
      <c r="Q1047" s="13" t="str">
        <f>_xlfn.XLOOKUP(tblTransactions[[#This Row],[tenant_id]],tblTenants[tenant_id],tblTenants[category],"NOT FOUND")</f>
        <v>Home Decor</v>
      </c>
    </row>
    <row r="1048" spans="1:17">
      <c r="A1048" t="s">
        <v>1092</v>
      </c>
      <c r="B1048" s="2">
        <v>45789</v>
      </c>
      <c r="C1048">
        <v>10</v>
      </c>
      <c r="D1048" t="s">
        <v>104</v>
      </c>
      <c r="E1048" t="s">
        <v>32</v>
      </c>
      <c r="F1048" s="7">
        <v>1646.31</v>
      </c>
      <c r="G1048" s="10">
        <v>0.2</v>
      </c>
      <c r="H1048" s="7">
        <v>1317.05</v>
      </c>
      <c r="I1048">
        <v>3</v>
      </c>
      <c r="J1048" t="s">
        <v>13</v>
      </c>
      <c r="K1048" s="13">
        <f>ROUND(tblTransactions[[#This Row],[gross_sales_inr]]*(1-tblTransactions[[#This Row],[discount_pct]]),2)</f>
        <v>1317.05</v>
      </c>
      <c r="L1048" t="str">
        <f>IF(ABS(tblTransactions[[#This Row],[net_sales_inr]]-tblTransactions[[#This Row],[Recalc_Net_Sales]])&lt;0.02,"OK","CHECK")</f>
        <v>OK</v>
      </c>
      <c r="M1048" s="14">
        <f>DATE(YEAR(tblTransactions[[#This Row],[date]]),MONTH(tblTransactions[[#This Row],[date]]),1)</f>
        <v>45778</v>
      </c>
      <c r="N1048" t="str">
        <f>IF(WEEKDAY(tblTransactions[[#This Row],[date]],2)&gt;5,"Weekend","Weekday")</f>
        <v>Weekday</v>
      </c>
      <c r="O104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48" s="13" t="str">
        <f>_xlfn.XLOOKUP(tblTransactions[[#This Row],[tenant_id]],tblTenants[tenant_id],tblTenants[zone],"NOT FOUND")</f>
        <v>Entertainment</v>
      </c>
      <c r="Q1048" s="13" t="str">
        <f>_xlfn.XLOOKUP(tblTransactions[[#This Row],[tenant_id]],tblTenants[tenant_id],tblTenants[category],"NOT FOUND")</f>
        <v>Family Entertainment</v>
      </c>
    </row>
    <row r="1049" spans="1:17">
      <c r="A1049" t="s">
        <v>1093</v>
      </c>
      <c r="B1049" s="2">
        <v>45798</v>
      </c>
      <c r="C1049">
        <v>20</v>
      </c>
      <c r="D1049" t="s">
        <v>18</v>
      </c>
      <c r="E1049" t="s">
        <v>12</v>
      </c>
      <c r="F1049" s="7">
        <v>3896.73</v>
      </c>
      <c r="G1049" s="10">
        <v>0</v>
      </c>
      <c r="H1049" s="7">
        <v>3896.73</v>
      </c>
      <c r="I1049">
        <v>1</v>
      </c>
      <c r="J1049" t="s">
        <v>16</v>
      </c>
      <c r="K1049" s="13">
        <f>ROUND(tblTransactions[[#This Row],[gross_sales_inr]]*(1-tblTransactions[[#This Row],[discount_pct]]),2)</f>
        <v>3896.73</v>
      </c>
      <c r="L1049" t="str">
        <f>IF(ABS(tblTransactions[[#This Row],[net_sales_inr]]-tblTransactions[[#This Row],[Recalc_Net_Sales]])&lt;0.02,"OK","CHECK")</f>
        <v>OK</v>
      </c>
      <c r="M1049" s="14">
        <f>DATE(YEAR(tblTransactions[[#This Row],[date]]),MONTH(tblTransactions[[#This Row],[date]]),1)</f>
        <v>45778</v>
      </c>
      <c r="N1049" t="str">
        <f>IF(WEEKDAY(tblTransactions[[#This Row],[date]],2)&gt;5,"Weekend","Weekday")</f>
        <v>Weekday</v>
      </c>
      <c r="O1049" s="13" t="str">
        <f>IF(tblTransactions[[#This Row],[discount_pct]]=0,"0%",IF(tblTransactions[[#This Row],[discount_pct]]&lt;=10%,"1–
10%",IF(tblTransactions[[#This Row],[discount_pct]]&lt;=20%,"11–20%","&gt;20%")))</f>
        <v>0%</v>
      </c>
      <c r="P1049" s="13" t="str">
        <f>_xlfn.XLOOKUP(tblTransactions[[#This Row],[tenant_id]],tblTenants[tenant_id],tblTenants[zone],"NOT FOUND")</f>
        <v>Beauty &amp; Wellness</v>
      </c>
      <c r="Q1049" s="13" t="str">
        <f>_xlfn.XLOOKUP(tblTransactions[[#This Row],[tenant_id]],tblTenants[tenant_id],tblTenants[category],"NOT FOUND")</f>
        <v>Beauty</v>
      </c>
    </row>
    <row r="1050" spans="1:17">
      <c r="A1050" t="s">
        <v>1094</v>
      </c>
      <c r="B1050" s="2">
        <v>45686</v>
      </c>
      <c r="C1050">
        <v>10</v>
      </c>
      <c r="D1050" t="s">
        <v>55</v>
      </c>
      <c r="E1050" t="s">
        <v>12</v>
      </c>
      <c r="F1050" s="7">
        <v>1741.78</v>
      </c>
      <c r="G1050" s="10">
        <v>0.1</v>
      </c>
      <c r="H1050" s="7">
        <v>1567.6</v>
      </c>
      <c r="I1050">
        <v>3</v>
      </c>
      <c r="J1050" t="s">
        <v>13</v>
      </c>
      <c r="K1050" s="13">
        <f>ROUND(tblTransactions[[#This Row],[gross_sales_inr]]*(1-tblTransactions[[#This Row],[discount_pct]]),2)</f>
        <v>1567.6</v>
      </c>
      <c r="L1050" t="str">
        <f>IF(ABS(tblTransactions[[#This Row],[net_sales_inr]]-tblTransactions[[#This Row],[Recalc_Net_Sales]])&lt;0.02,"OK","CHECK")</f>
        <v>OK</v>
      </c>
      <c r="M1050" s="14">
        <f>DATE(YEAR(tblTransactions[[#This Row],[date]]),MONTH(tblTransactions[[#This Row],[date]]),1)</f>
        <v>45658</v>
      </c>
      <c r="N1050" t="str">
        <f>IF(WEEKDAY(tblTransactions[[#This Row],[date]],2)&gt;5,"Weekend","Weekday")</f>
        <v>Weekday</v>
      </c>
      <c r="O105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50" s="13" t="str">
        <f>_xlfn.XLOOKUP(tblTransactions[[#This Row],[tenant_id]],tblTenants[tenant_id],tblTenants[zone],"NOT FOUND")</f>
        <v>Food Court</v>
      </c>
      <c r="Q1050" s="13" t="str">
        <f>_xlfn.XLOOKUP(tblTransactions[[#This Row],[tenant_id]],tblTenants[tenant_id],tblTenants[category],"NOT FOUND")</f>
        <v>Quick Service</v>
      </c>
    </row>
    <row r="1051" spans="1:17">
      <c r="A1051" t="s">
        <v>1095</v>
      </c>
      <c r="B1051" s="2">
        <v>45676</v>
      </c>
      <c r="C1051">
        <v>15</v>
      </c>
      <c r="D1051" t="s">
        <v>63</v>
      </c>
      <c r="E1051" t="s">
        <v>32</v>
      </c>
      <c r="F1051" s="7">
        <v>2113.7199999999998</v>
      </c>
      <c r="G1051" s="10">
        <v>0.3</v>
      </c>
      <c r="H1051" s="7">
        <v>1479.6</v>
      </c>
      <c r="I1051">
        <v>1</v>
      </c>
      <c r="J1051" t="s">
        <v>16</v>
      </c>
      <c r="K1051" s="13">
        <f>ROUND(tblTransactions[[#This Row],[gross_sales_inr]]*(1-tblTransactions[[#This Row],[discount_pct]]),2)</f>
        <v>1479.6</v>
      </c>
      <c r="L1051" t="str">
        <f>IF(ABS(tblTransactions[[#This Row],[net_sales_inr]]-tblTransactions[[#This Row],[Recalc_Net_Sales]])&lt;0.02,"OK","CHECK")</f>
        <v>OK</v>
      </c>
      <c r="M1051" s="14">
        <f>DATE(YEAR(tblTransactions[[#This Row],[date]]),MONTH(tblTransactions[[#This Row],[date]]),1)</f>
        <v>45658</v>
      </c>
      <c r="N1051" t="str">
        <f>IF(WEEKDAY(tblTransactions[[#This Row],[date]],2)&gt;5,"Weekend","Weekday")</f>
        <v>Weekend</v>
      </c>
      <c r="O1051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051" s="13" t="str">
        <f>_xlfn.XLOOKUP(tblTransactions[[#This Row],[tenant_id]],tblTenants[tenant_id],tblTenants[zone],"NOT FOUND")</f>
        <v>Entertainment</v>
      </c>
      <c r="Q1051" s="13" t="str">
        <f>_xlfn.XLOOKUP(tblTransactions[[#This Row],[tenant_id]],tblTenants[tenant_id],tblTenants[category],"NOT FOUND")</f>
        <v>Family Entertainment</v>
      </c>
    </row>
    <row r="1052" spans="1:17">
      <c r="A1052" t="s">
        <v>1096</v>
      </c>
      <c r="B1052" s="2">
        <v>45706</v>
      </c>
      <c r="C1052">
        <v>11</v>
      </c>
      <c r="D1052" t="s">
        <v>53</v>
      </c>
      <c r="E1052" t="s">
        <v>12</v>
      </c>
      <c r="F1052" s="7">
        <v>1023.22</v>
      </c>
      <c r="G1052" s="10">
        <v>0.15</v>
      </c>
      <c r="H1052" s="7">
        <v>869.74</v>
      </c>
      <c r="I1052">
        <v>2</v>
      </c>
      <c r="J1052" t="s">
        <v>13</v>
      </c>
      <c r="K1052" s="13">
        <f>ROUND(tblTransactions[[#This Row],[gross_sales_inr]]*(1-tblTransactions[[#This Row],[discount_pct]]),2)</f>
        <v>869.74</v>
      </c>
      <c r="L1052" t="str">
        <f>IF(ABS(tblTransactions[[#This Row],[net_sales_inr]]-tblTransactions[[#This Row],[Recalc_Net_Sales]])&lt;0.02,"OK","CHECK")</f>
        <v>OK</v>
      </c>
      <c r="M1052" s="14">
        <f>DATE(YEAR(tblTransactions[[#This Row],[date]]),MONTH(tblTransactions[[#This Row],[date]]),1)</f>
        <v>45689</v>
      </c>
      <c r="N1052" t="str">
        <f>IF(WEEKDAY(tblTransactions[[#This Row],[date]],2)&gt;5,"Weekend","Weekday")</f>
        <v>Weekday</v>
      </c>
      <c r="O105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52" s="13" t="str">
        <f>_xlfn.XLOOKUP(tblTransactions[[#This Row],[tenant_id]],tblTenants[tenant_id],tblTenants[zone],"NOT FOUND")</f>
        <v>Beauty &amp; Wellness</v>
      </c>
      <c r="Q1052" s="13" t="str">
        <f>_xlfn.XLOOKUP(tblTransactions[[#This Row],[tenant_id]],tblTenants[tenant_id],tblTenants[category],"NOT FOUND")</f>
        <v>Beauty</v>
      </c>
    </row>
    <row r="1053" spans="1:17">
      <c r="A1053" t="s">
        <v>1097</v>
      </c>
      <c r="B1053" s="2">
        <v>45779</v>
      </c>
      <c r="C1053">
        <v>21</v>
      </c>
      <c r="D1053" t="s">
        <v>27</v>
      </c>
      <c r="E1053" t="s">
        <v>12</v>
      </c>
      <c r="F1053" s="7">
        <v>489.05</v>
      </c>
      <c r="G1053" s="10">
        <v>0.1</v>
      </c>
      <c r="H1053" s="7">
        <v>440.15</v>
      </c>
      <c r="I1053">
        <v>5</v>
      </c>
      <c r="J1053" t="s">
        <v>16</v>
      </c>
      <c r="K1053" s="13">
        <f>ROUND(tblTransactions[[#This Row],[gross_sales_inr]]*(1-tblTransactions[[#This Row],[discount_pct]]),2)</f>
        <v>440.15</v>
      </c>
      <c r="L1053" t="str">
        <f>IF(ABS(tblTransactions[[#This Row],[net_sales_inr]]-tblTransactions[[#This Row],[Recalc_Net_Sales]])&lt;0.02,"OK","CHECK")</f>
        <v>OK</v>
      </c>
      <c r="M1053" s="14">
        <f>DATE(YEAR(tblTransactions[[#This Row],[date]]),MONTH(tblTransactions[[#This Row],[date]]),1)</f>
        <v>45778</v>
      </c>
      <c r="N1053" t="str">
        <f>IF(WEEKDAY(tblTransactions[[#This Row],[date]],2)&gt;5,"Weekend","Weekday")</f>
        <v>Weekday</v>
      </c>
      <c r="O105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53" s="13" t="str">
        <f>_xlfn.XLOOKUP(tblTransactions[[#This Row],[tenant_id]],tblTenants[tenant_id],tblTenants[zone],"NOT FOUND")</f>
        <v>Beauty &amp; Wellness</v>
      </c>
      <c r="Q1053" s="13" t="str">
        <f>_xlfn.XLOOKUP(tblTransactions[[#This Row],[tenant_id]],tblTenants[tenant_id],tblTenants[category],"NOT FOUND")</f>
        <v>Wellness</v>
      </c>
    </row>
    <row r="1054" spans="1:17">
      <c r="A1054" t="s">
        <v>1098</v>
      </c>
      <c r="B1054" s="2">
        <v>45744</v>
      </c>
      <c r="C1054">
        <v>11</v>
      </c>
      <c r="D1054" t="s">
        <v>80</v>
      </c>
      <c r="E1054" t="s">
        <v>12</v>
      </c>
      <c r="F1054" s="7">
        <v>2801</v>
      </c>
      <c r="G1054" s="10">
        <v>0.1</v>
      </c>
      <c r="H1054" s="7">
        <v>2520.9</v>
      </c>
      <c r="I1054">
        <v>4</v>
      </c>
      <c r="J1054" t="s">
        <v>13</v>
      </c>
      <c r="K1054" s="13">
        <f>ROUND(tblTransactions[[#This Row],[gross_sales_inr]]*(1-tblTransactions[[#This Row],[discount_pct]]),2)</f>
        <v>2520.9</v>
      </c>
      <c r="L1054" t="str">
        <f>IF(ABS(tblTransactions[[#This Row],[net_sales_inr]]-tblTransactions[[#This Row],[Recalc_Net_Sales]])&lt;0.02,"OK","CHECK")</f>
        <v>OK</v>
      </c>
      <c r="M1054" s="14">
        <f>DATE(YEAR(tblTransactions[[#This Row],[date]]),MONTH(tblTransactions[[#This Row],[date]]),1)</f>
        <v>45717</v>
      </c>
      <c r="N1054" t="str">
        <f>IF(WEEKDAY(tblTransactions[[#This Row],[date]],2)&gt;5,"Weekend","Weekday")</f>
        <v>Weekday</v>
      </c>
      <c r="O105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54" s="13" t="str">
        <f>_xlfn.XLOOKUP(tblTransactions[[#This Row],[tenant_id]],tblTenants[tenant_id],tblTenants[zone],"NOT FOUND")</f>
        <v>Food Court</v>
      </c>
      <c r="Q1054" s="13" t="str">
        <f>_xlfn.XLOOKUP(tblTransactions[[#This Row],[tenant_id]],tblTenants[tenant_id],tblTenants[category],"NOT FOUND")</f>
        <v>Casual Dining</v>
      </c>
    </row>
    <row r="1055" spans="1:17">
      <c r="A1055" t="s">
        <v>1099</v>
      </c>
      <c r="B1055" s="2">
        <v>45776</v>
      </c>
      <c r="C1055">
        <v>21</v>
      </c>
      <c r="D1055" t="s">
        <v>31</v>
      </c>
      <c r="E1055" t="s">
        <v>32</v>
      </c>
      <c r="F1055" s="7">
        <v>1393.78</v>
      </c>
      <c r="G1055" s="10">
        <v>0.15</v>
      </c>
      <c r="H1055" s="7">
        <v>1184.71</v>
      </c>
      <c r="I1055">
        <v>3</v>
      </c>
      <c r="J1055" t="s">
        <v>13</v>
      </c>
      <c r="K1055" s="13">
        <f>ROUND(tblTransactions[[#This Row],[gross_sales_inr]]*(1-tblTransactions[[#This Row],[discount_pct]]),2)</f>
        <v>1184.71</v>
      </c>
      <c r="L1055" t="str">
        <f>IF(ABS(tblTransactions[[#This Row],[net_sales_inr]]-tblTransactions[[#This Row],[Recalc_Net_Sales]])&lt;0.02,"OK","CHECK")</f>
        <v>OK</v>
      </c>
      <c r="M1055" s="14">
        <f>DATE(YEAR(tblTransactions[[#This Row],[date]]),MONTH(tblTransactions[[#This Row],[date]]),1)</f>
        <v>45748</v>
      </c>
      <c r="N1055" t="str">
        <f>IF(WEEKDAY(tblTransactions[[#This Row],[date]],2)&gt;5,"Weekend","Weekday")</f>
        <v>Weekday</v>
      </c>
      <c r="O105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55" s="13" t="str">
        <f>_xlfn.XLOOKUP(tblTransactions[[#This Row],[tenant_id]],tblTenants[tenant_id],tblTenants[zone],"NOT FOUND")</f>
        <v>Entertainment</v>
      </c>
      <c r="Q1055" s="13" t="str">
        <f>_xlfn.XLOOKUP(tblTransactions[[#This Row],[tenant_id]],tblTenants[tenant_id],tblTenants[category],"NOT FOUND")</f>
        <v>Arcade</v>
      </c>
    </row>
    <row r="1056" spans="1:17">
      <c r="A1056" t="s">
        <v>1100</v>
      </c>
      <c r="B1056" s="2">
        <v>45763</v>
      </c>
      <c r="C1056">
        <v>12</v>
      </c>
      <c r="D1056" t="s">
        <v>11</v>
      </c>
      <c r="E1056" t="s">
        <v>12</v>
      </c>
      <c r="F1056" s="7">
        <v>993.18</v>
      </c>
      <c r="G1056" s="10">
        <v>0</v>
      </c>
      <c r="H1056" s="7">
        <v>993.18</v>
      </c>
      <c r="I1056">
        <v>1</v>
      </c>
      <c r="J1056" t="s">
        <v>16</v>
      </c>
      <c r="K1056" s="13">
        <f>ROUND(tblTransactions[[#This Row],[gross_sales_inr]]*(1-tblTransactions[[#This Row],[discount_pct]]),2)</f>
        <v>993.18</v>
      </c>
      <c r="L1056" t="str">
        <f>IF(ABS(tblTransactions[[#This Row],[net_sales_inr]]-tblTransactions[[#This Row],[Recalc_Net_Sales]])&lt;0.02,"OK","CHECK")</f>
        <v>OK</v>
      </c>
      <c r="M1056" s="14">
        <f>DATE(YEAR(tblTransactions[[#This Row],[date]]),MONTH(tblTransactions[[#This Row],[date]]),1)</f>
        <v>45748</v>
      </c>
      <c r="N1056" t="str">
        <f>IF(WEEKDAY(tblTransactions[[#This Row],[date]],2)&gt;5,"Weekend","Weekday")</f>
        <v>Weekday</v>
      </c>
      <c r="O1056" s="13" t="str">
        <f>IF(tblTransactions[[#This Row],[discount_pct]]=0,"0%",IF(tblTransactions[[#This Row],[discount_pct]]&lt;=10%,"1–
10%",IF(tblTransactions[[#This Row],[discount_pct]]&lt;=20%,"11–20%","&gt;20%")))</f>
        <v>0%</v>
      </c>
      <c r="P1056" s="13" t="str">
        <f>_xlfn.XLOOKUP(tblTransactions[[#This Row],[tenant_id]],tblTenants[tenant_id],tblTenants[zone],"NOT FOUND")</f>
        <v>Home &amp; Living</v>
      </c>
      <c r="Q1056" s="13" t="str">
        <f>_xlfn.XLOOKUP(tblTransactions[[#This Row],[tenant_id]],tblTenants[tenant_id],tblTenants[category],"NOT FOUND")</f>
        <v>Home Decor</v>
      </c>
    </row>
    <row r="1057" spans="1:17">
      <c r="A1057" t="s">
        <v>1101</v>
      </c>
      <c r="B1057" s="2">
        <v>45689</v>
      </c>
      <c r="C1057">
        <v>20</v>
      </c>
      <c r="D1057" t="s">
        <v>55</v>
      </c>
      <c r="E1057" t="s">
        <v>32</v>
      </c>
      <c r="F1057" s="7">
        <v>911.57</v>
      </c>
      <c r="G1057" s="10">
        <v>0</v>
      </c>
      <c r="H1057" s="7">
        <v>911.57</v>
      </c>
      <c r="I1057">
        <v>5</v>
      </c>
      <c r="J1057" t="s">
        <v>13</v>
      </c>
      <c r="K1057" s="13">
        <f>ROUND(tblTransactions[[#This Row],[gross_sales_inr]]*(1-tblTransactions[[#This Row],[discount_pct]]),2)</f>
        <v>911.57</v>
      </c>
      <c r="L1057" t="str">
        <f>IF(ABS(tblTransactions[[#This Row],[net_sales_inr]]-tblTransactions[[#This Row],[Recalc_Net_Sales]])&lt;0.02,"OK","CHECK")</f>
        <v>OK</v>
      </c>
      <c r="M1057" s="14">
        <f>DATE(YEAR(tblTransactions[[#This Row],[date]]),MONTH(tblTransactions[[#This Row],[date]]),1)</f>
        <v>45689</v>
      </c>
      <c r="N1057" t="str">
        <f>IF(WEEKDAY(tblTransactions[[#This Row],[date]],2)&gt;5,"Weekend","Weekday")</f>
        <v>Weekend</v>
      </c>
      <c r="O1057" s="13" t="str">
        <f>IF(tblTransactions[[#This Row],[discount_pct]]=0,"0%",IF(tblTransactions[[#This Row],[discount_pct]]&lt;=10%,"1–
10%",IF(tblTransactions[[#This Row],[discount_pct]]&lt;=20%,"11–20%","&gt;20%")))</f>
        <v>0%</v>
      </c>
      <c r="P1057" s="13" t="str">
        <f>_xlfn.XLOOKUP(tblTransactions[[#This Row],[tenant_id]],tblTenants[tenant_id],tblTenants[zone],"NOT FOUND")</f>
        <v>Food Court</v>
      </c>
      <c r="Q1057" s="13" t="str">
        <f>_xlfn.XLOOKUP(tblTransactions[[#This Row],[tenant_id]],tblTenants[tenant_id],tblTenants[category],"NOT FOUND")</f>
        <v>Quick Service</v>
      </c>
    </row>
    <row r="1058" spans="1:17">
      <c r="A1058" t="s">
        <v>1102</v>
      </c>
      <c r="B1058" s="2">
        <v>45837</v>
      </c>
      <c r="C1058">
        <v>10</v>
      </c>
      <c r="D1058" t="s">
        <v>18</v>
      </c>
      <c r="E1058" t="s">
        <v>51</v>
      </c>
      <c r="F1058" s="7">
        <v>535.5</v>
      </c>
      <c r="G1058" s="10">
        <v>0.1</v>
      </c>
      <c r="H1058" s="7">
        <v>481.95</v>
      </c>
      <c r="I1058">
        <v>1</v>
      </c>
      <c r="J1058" t="s">
        <v>13</v>
      </c>
      <c r="K1058" s="13">
        <f>ROUND(tblTransactions[[#This Row],[gross_sales_inr]]*(1-tblTransactions[[#This Row],[discount_pct]]),2)</f>
        <v>481.95</v>
      </c>
      <c r="L1058" t="str">
        <f>IF(ABS(tblTransactions[[#This Row],[net_sales_inr]]-tblTransactions[[#This Row],[Recalc_Net_Sales]])&lt;0.02,"OK","CHECK")</f>
        <v>OK</v>
      </c>
      <c r="M1058" s="14">
        <f>DATE(YEAR(tblTransactions[[#This Row],[date]]),MONTH(tblTransactions[[#This Row],[date]]),1)</f>
        <v>45809</v>
      </c>
      <c r="N1058" t="str">
        <f>IF(WEEKDAY(tblTransactions[[#This Row],[date]],2)&gt;5,"Weekend","Weekday")</f>
        <v>Weekend</v>
      </c>
      <c r="O105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58" s="13" t="str">
        <f>_xlfn.XLOOKUP(tblTransactions[[#This Row],[tenant_id]],tblTenants[tenant_id],tblTenants[zone],"NOT FOUND")</f>
        <v>Beauty &amp; Wellness</v>
      </c>
      <c r="Q1058" s="13" t="str">
        <f>_xlfn.XLOOKUP(tblTransactions[[#This Row],[tenant_id]],tblTenants[tenant_id],tblTenants[category],"NOT FOUND")</f>
        <v>Beauty</v>
      </c>
    </row>
    <row r="1059" spans="1:17">
      <c r="A1059" t="s">
        <v>1103</v>
      </c>
      <c r="B1059" s="2">
        <v>45831</v>
      </c>
      <c r="C1059">
        <v>20</v>
      </c>
      <c r="D1059" t="s">
        <v>57</v>
      </c>
      <c r="E1059" t="s">
        <v>12</v>
      </c>
      <c r="F1059" s="7">
        <v>681.61</v>
      </c>
      <c r="G1059" s="10">
        <v>0.2</v>
      </c>
      <c r="H1059" s="7">
        <v>545.29</v>
      </c>
      <c r="I1059">
        <v>2</v>
      </c>
      <c r="J1059" t="s">
        <v>13</v>
      </c>
      <c r="K1059" s="13">
        <f>ROUND(tblTransactions[[#This Row],[gross_sales_inr]]*(1-tblTransactions[[#This Row],[discount_pct]]),2)</f>
        <v>545.29</v>
      </c>
      <c r="L1059" t="str">
        <f>IF(ABS(tblTransactions[[#This Row],[net_sales_inr]]-tblTransactions[[#This Row],[Recalc_Net_Sales]])&lt;0.02,"OK","CHECK")</f>
        <v>OK</v>
      </c>
      <c r="M1059" s="14">
        <f>DATE(YEAR(tblTransactions[[#This Row],[date]]),MONTH(tblTransactions[[#This Row],[date]]),1)</f>
        <v>45809</v>
      </c>
      <c r="N1059" t="str">
        <f>IF(WEEKDAY(tblTransactions[[#This Row],[date]],2)&gt;5,"Weekend","Weekday")</f>
        <v>Weekday</v>
      </c>
      <c r="O105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59" s="13" t="str">
        <f>_xlfn.XLOOKUP(tblTransactions[[#This Row],[tenant_id]],tblTenants[tenant_id],tblTenants[zone],"NOT FOUND")</f>
        <v>Food Court</v>
      </c>
      <c r="Q1059" s="13" t="str">
        <f>_xlfn.XLOOKUP(tblTransactions[[#This Row],[tenant_id]],tblTenants[tenant_id],tblTenants[category],"NOT FOUND")</f>
        <v>Casual Dining</v>
      </c>
    </row>
    <row r="1060" spans="1:17">
      <c r="A1060" t="s">
        <v>1104</v>
      </c>
      <c r="B1060" s="2">
        <v>45793</v>
      </c>
      <c r="C1060">
        <v>10</v>
      </c>
      <c r="D1060" t="s">
        <v>63</v>
      </c>
      <c r="E1060" t="s">
        <v>51</v>
      </c>
      <c r="F1060" s="7">
        <v>979.61</v>
      </c>
      <c r="G1060" s="10">
        <v>0.2</v>
      </c>
      <c r="H1060" s="7">
        <v>783.69</v>
      </c>
      <c r="I1060">
        <v>1</v>
      </c>
      <c r="J1060" t="s">
        <v>13</v>
      </c>
      <c r="K1060" s="13">
        <f>ROUND(tblTransactions[[#This Row],[gross_sales_inr]]*(1-tblTransactions[[#This Row],[discount_pct]]),2)</f>
        <v>783.69</v>
      </c>
      <c r="L1060" t="str">
        <f>IF(ABS(tblTransactions[[#This Row],[net_sales_inr]]-tblTransactions[[#This Row],[Recalc_Net_Sales]])&lt;0.02,"OK","CHECK")</f>
        <v>OK</v>
      </c>
      <c r="M1060" s="14">
        <f>DATE(YEAR(tblTransactions[[#This Row],[date]]),MONTH(tblTransactions[[#This Row],[date]]),1)</f>
        <v>45778</v>
      </c>
      <c r="N1060" t="str">
        <f>IF(WEEKDAY(tblTransactions[[#This Row],[date]],2)&gt;5,"Weekend","Weekday")</f>
        <v>Weekday</v>
      </c>
      <c r="O106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60" s="13" t="str">
        <f>_xlfn.XLOOKUP(tblTransactions[[#This Row],[tenant_id]],tblTenants[tenant_id],tblTenants[zone],"NOT FOUND")</f>
        <v>Entertainment</v>
      </c>
      <c r="Q1060" s="13" t="str">
        <f>_xlfn.XLOOKUP(tblTransactions[[#This Row],[tenant_id]],tblTenants[tenant_id],tblTenants[category],"NOT FOUND")</f>
        <v>Family Entertainment</v>
      </c>
    </row>
    <row r="1061" spans="1:17">
      <c r="A1061" t="s">
        <v>1105</v>
      </c>
      <c r="B1061" s="2">
        <v>45787</v>
      </c>
      <c r="C1061">
        <v>10</v>
      </c>
      <c r="D1061" t="s">
        <v>41</v>
      </c>
      <c r="E1061" t="s">
        <v>32</v>
      </c>
      <c r="F1061" s="7">
        <v>1805.82</v>
      </c>
      <c r="G1061" s="10">
        <v>0</v>
      </c>
      <c r="H1061" s="7">
        <v>1805.82</v>
      </c>
      <c r="I1061">
        <v>2</v>
      </c>
      <c r="J1061" t="s">
        <v>16</v>
      </c>
      <c r="K1061" s="13">
        <f>ROUND(tblTransactions[[#This Row],[gross_sales_inr]]*(1-tblTransactions[[#This Row],[discount_pct]]),2)</f>
        <v>1805.82</v>
      </c>
      <c r="L1061" t="str">
        <f>IF(ABS(tblTransactions[[#This Row],[net_sales_inr]]-tblTransactions[[#This Row],[Recalc_Net_Sales]])&lt;0.02,"OK","CHECK")</f>
        <v>OK</v>
      </c>
      <c r="M1061" s="14">
        <f>DATE(YEAR(tblTransactions[[#This Row],[date]]),MONTH(tblTransactions[[#This Row],[date]]),1)</f>
        <v>45778</v>
      </c>
      <c r="N1061" t="str">
        <f>IF(WEEKDAY(tblTransactions[[#This Row],[date]],2)&gt;5,"Weekend","Weekday")</f>
        <v>Weekend</v>
      </c>
      <c r="O1061" s="13" t="str">
        <f>IF(tblTransactions[[#This Row],[discount_pct]]=0,"0%",IF(tblTransactions[[#This Row],[discount_pct]]&lt;=10%,"1–
10%",IF(tblTransactions[[#This Row],[discount_pct]]&lt;=20%,"11–20%","&gt;20%")))</f>
        <v>0%</v>
      </c>
      <c r="P1061" s="13" t="str">
        <f>_xlfn.XLOOKUP(tblTransactions[[#This Row],[tenant_id]],tblTenants[tenant_id],tblTenants[zone],"NOT FOUND")</f>
        <v>Fashion Avenue</v>
      </c>
      <c r="Q1061" s="13" t="str">
        <f>_xlfn.XLOOKUP(tblTransactions[[#This Row],[tenant_id]],tblTenants[tenant_id],tblTenants[category],"NOT FOUND")</f>
        <v>Clothing</v>
      </c>
    </row>
    <row r="1062" spans="1:17">
      <c r="A1062" t="s">
        <v>1106</v>
      </c>
      <c r="B1062" s="2">
        <v>45760</v>
      </c>
      <c r="C1062">
        <v>17</v>
      </c>
      <c r="D1062" t="s">
        <v>25</v>
      </c>
      <c r="E1062" t="s">
        <v>12</v>
      </c>
      <c r="F1062" s="7">
        <v>2900.73</v>
      </c>
      <c r="G1062" s="10">
        <v>0</v>
      </c>
      <c r="H1062" s="7">
        <v>2900.73</v>
      </c>
      <c r="I1062">
        <v>1</v>
      </c>
      <c r="J1062" t="s">
        <v>16</v>
      </c>
      <c r="K1062" s="13">
        <f>ROUND(tblTransactions[[#This Row],[gross_sales_inr]]*(1-tblTransactions[[#This Row],[discount_pct]]),2)</f>
        <v>2900.73</v>
      </c>
      <c r="L1062" t="str">
        <f>IF(ABS(tblTransactions[[#This Row],[net_sales_inr]]-tblTransactions[[#This Row],[Recalc_Net_Sales]])&lt;0.02,"OK","CHECK")</f>
        <v>OK</v>
      </c>
      <c r="M1062" s="14">
        <f>DATE(YEAR(tblTransactions[[#This Row],[date]]),MONTH(tblTransactions[[#This Row],[date]]),1)</f>
        <v>45748</v>
      </c>
      <c r="N1062" t="str">
        <f>IF(WEEKDAY(tblTransactions[[#This Row],[date]],2)&gt;5,"Weekend","Weekday")</f>
        <v>Weekend</v>
      </c>
      <c r="O1062" s="13" t="str">
        <f>IF(tblTransactions[[#This Row],[discount_pct]]=0,"0%",IF(tblTransactions[[#This Row],[discount_pct]]&lt;=10%,"1–
10%",IF(tblTransactions[[#This Row],[discount_pct]]&lt;=20%,"11–20%","&gt;20%")))</f>
        <v>0%</v>
      </c>
      <c r="P1062" s="13" t="str">
        <f>_xlfn.XLOOKUP(tblTransactions[[#This Row],[tenant_id]],tblTenants[tenant_id],tblTenants[zone],"NOT FOUND")</f>
        <v>Beauty &amp; Wellness</v>
      </c>
      <c r="Q1062" s="13" t="str">
        <f>_xlfn.XLOOKUP(tblTransactions[[#This Row],[tenant_id]],tblTenants[tenant_id],tblTenants[category],"NOT FOUND")</f>
        <v>Beauty</v>
      </c>
    </row>
    <row r="1063" spans="1:17">
      <c r="A1063" t="s">
        <v>1107</v>
      </c>
      <c r="B1063" s="2">
        <v>45782</v>
      </c>
      <c r="C1063">
        <v>17</v>
      </c>
      <c r="D1063" t="s">
        <v>70</v>
      </c>
      <c r="E1063" t="s">
        <v>21</v>
      </c>
      <c r="F1063" s="7">
        <v>1110.96</v>
      </c>
      <c r="G1063" s="10">
        <v>0.1</v>
      </c>
      <c r="H1063" s="7">
        <v>999.86</v>
      </c>
      <c r="I1063">
        <v>3</v>
      </c>
      <c r="J1063" t="s">
        <v>13</v>
      </c>
      <c r="K1063" s="13">
        <f>ROUND(tblTransactions[[#This Row],[gross_sales_inr]]*(1-tblTransactions[[#This Row],[discount_pct]]),2)</f>
        <v>999.86</v>
      </c>
      <c r="L1063" t="str">
        <f>IF(ABS(tblTransactions[[#This Row],[net_sales_inr]]-tblTransactions[[#This Row],[Recalc_Net_Sales]])&lt;0.02,"OK","CHECK")</f>
        <v>OK</v>
      </c>
      <c r="M1063" s="14">
        <f>DATE(YEAR(tblTransactions[[#This Row],[date]]),MONTH(tblTransactions[[#This Row],[date]]),1)</f>
        <v>45778</v>
      </c>
      <c r="N1063" t="str">
        <f>IF(WEEKDAY(tblTransactions[[#This Row],[date]],2)&gt;5,"Weekend","Weekday")</f>
        <v>Weekday</v>
      </c>
      <c r="O106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63" s="13" t="str">
        <f>_xlfn.XLOOKUP(tblTransactions[[#This Row],[tenant_id]],tblTenants[tenant_id],tblTenants[zone],"NOT FOUND")</f>
        <v>Food Court</v>
      </c>
      <c r="Q1063" s="13" t="str">
        <f>_xlfn.XLOOKUP(tblTransactions[[#This Row],[tenant_id]],tblTenants[tenant_id],tblTenants[category],"NOT FOUND")</f>
        <v>Quick Service</v>
      </c>
    </row>
    <row r="1064" spans="1:17">
      <c r="A1064" t="s">
        <v>1108</v>
      </c>
      <c r="B1064" s="2">
        <v>45689</v>
      </c>
      <c r="C1064">
        <v>13</v>
      </c>
      <c r="D1064" t="s">
        <v>53</v>
      </c>
      <c r="E1064" t="s">
        <v>32</v>
      </c>
      <c r="F1064" s="7">
        <v>1517.1</v>
      </c>
      <c r="G1064" s="10">
        <v>0</v>
      </c>
      <c r="H1064" s="7">
        <v>1517.1</v>
      </c>
      <c r="I1064">
        <v>2</v>
      </c>
      <c r="J1064" t="s">
        <v>16</v>
      </c>
      <c r="K1064" s="13">
        <f>ROUND(tblTransactions[[#This Row],[gross_sales_inr]]*(1-tblTransactions[[#This Row],[discount_pct]]),2)</f>
        <v>1517.1</v>
      </c>
      <c r="L1064" t="str">
        <f>IF(ABS(tblTransactions[[#This Row],[net_sales_inr]]-tblTransactions[[#This Row],[Recalc_Net_Sales]])&lt;0.02,"OK","CHECK")</f>
        <v>OK</v>
      </c>
      <c r="M1064" s="14">
        <f>DATE(YEAR(tblTransactions[[#This Row],[date]]),MONTH(tblTransactions[[#This Row],[date]]),1)</f>
        <v>45689</v>
      </c>
      <c r="N1064" t="str">
        <f>IF(WEEKDAY(tblTransactions[[#This Row],[date]],2)&gt;5,"Weekend","Weekday")</f>
        <v>Weekend</v>
      </c>
      <c r="O1064" s="13" t="str">
        <f>IF(tblTransactions[[#This Row],[discount_pct]]=0,"0%",IF(tblTransactions[[#This Row],[discount_pct]]&lt;=10%,"1–
10%",IF(tblTransactions[[#This Row],[discount_pct]]&lt;=20%,"11–20%","&gt;20%")))</f>
        <v>0%</v>
      </c>
      <c r="P1064" s="13" t="str">
        <f>_xlfn.XLOOKUP(tblTransactions[[#This Row],[tenant_id]],tblTenants[tenant_id],tblTenants[zone],"NOT FOUND")</f>
        <v>Beauty &amp; Wellness</v>
      </c>
      <c r="Q1064" s="13" t="str">
        <f>_xlfn.XLOOKUP(tblTransactions[[#This Row],[tenant_id]],tblTenants[tenant_id],tblTenants[category],"NOT FOUND")</f>
        <v>Beauty</v>
      </c>
    </row>
    <row r="1065" spans="1:17">
      <c r="A1065" t="s">
        <v>1109</v>
      </c>
      <c r="B1065" s="2">
        <v>45682</v>
      </c>
      <c r="C1065">
        <v>21</v>
      </c>
      <c r="D1065" t="s">
        <v>36</v>
      </c>
      <c r="E1065" t="s">
        <v>12</v>
      </c>
      <c r="F1065" s="7">
        <v>2850.76</v>
      </c>
      <c r="G1065" s="10">
        <v>0</v>
      </c>
      <c r="H1065" s="7">
        <v>2850.76</v>
      </c>
      <c r="I1065">
        <v>1</v>
      </c>
      <c r="J1065" t="s">
        <v>13</v>
      </c>
      <c r="K1065" s="13">
        <f>ROUND(tblTransactions[[#This Row],[gross_sales_inr]]*(1-tblTransactions[[#This Row],[discount_pct]]),2)</f>
        <v>2850.76</v>
      </c>
      <c r="L1065" t="str">
        <f>IF(ABS(tblTransactions[[#This Row],[net_sales_inr]]-tblTransactions[[#This Row],[Recalc_Net_Sales]])&lt;0.02,"OK","CHECK")</f>
        <v>OK</v>
      </c>
      <c r="M1065" s="14">
        <f>DATE(YEAR(tblTransactions[[#This Row],[date]]),MONTH(tblTransactions[[#This Row],[date]]),1)</f>
        <v>45658</v>
      </c>
      <c r="N1065" t="str">
        <f>IF(WEEKDAY(tblTransactions[[#This Row],[date]],2)&gt;5,"Weekend","Weekday")</f>
        <v>Weekend</v>
      </c>
      <c r="O1065" s="13" t="str">
        <f>IF(tblTransactions[[#This Row],[discount_pct]]=0,"0%",IF(tblTransactions[[#This Row],[discount_pct]]&lt;=10%,"1–
10%",IF(tblTransactions[[#This Row],[discount_pct]]&lt;=20%,"11–20%","&gt;20%")))</f>
        <v>0%</v>
      </c>
      <c r="P1065" s="13" t="str">
        <f>_xlfn.XLOOKUP(tblTransactions[[#This Row],[tenant_id]],tblTenants[tenant_id],tblTenants[zone],"NOT FOUND")</f>
        <v>Home &amp; Living</v>
      </c>
      <c r="Q1065" s="13" t="str">
        <f>_xlfn.XLOOKUP(tblTransactions[[#This Row],[tenant_id]],tblTenants[tenant_id],tblTenants[category],"NOT FOUND")</f>
        <v>Electronics</v>
      </c>
    </row>
    <row r="1066" spans="1:17">
      <c r="A1066" t="s">
        <v>1110</v>
      </c>
      <c r="B1066" s="2">
        <v>45832</v>
      </c>
      <c r="C1066">
        <v>16</v>
      </c>
      <c r="D1066" t="s">
        <v>87</v>
      </c>
      <c r="E1066" t="s">
        <v>12</v>
      </c>
      <c r="F1066" s="7">
        <v>341.89</v>
      </c>
      <c r="G1066" s="10">
        <v>0</v>
      </c>
      <c r="H1066" s="7">
        <v>341.89</v>
      </c>
      <c r="I1066">
        <v>2</v>
      </c>
      <c r="J1066" t="s">
        <v>13</v>
      </c>
      <c r="K1066" s="13">
        <f>ROUND(tblTransactions[[#This Row],[gross_sales_inr]]*(1-tblTransactions[[#This Row],[discount_pct]]),2)</f>
        <v>341.89</v>
      </c>
      <c r="L1066" t="str">
        <f>IF(ABS(tblTransactions[[#This Row],[net_sales_inr]]-tblTransactions[[#This Row],[Recalc_Net_Sales]])&lt;0.02,"OK","CHECK")</f>
        <v>OK</v>
      </c>
      <c r="M1066" s="14">
        <f>DATE(YEAR(tblTransactions[[#This Row],[date]]),MONTH(tblTransactions[[#This Row],[date]]),1)</f>
        <v>45809</v>
      </c>
      <c r="N1066" t="str">
        <f>IF(WEEKDAY(tblTransactions[[#This Row],[date]],2)&gt;5,"Weekend","Weekday")</f>
        <v>Weekday</v>
      </c>
      <c r="O1066" s="13" t="str">
        <f>IF(tblTransactions[[#This Row],[discount_pct]]=0,"0%",IF(tblTransactions[[#This Row],[discount_pct]]&lt;=10%,"1–
10%",IF(tblTransactions[[#This Row],[discount_pct]]&lt;=20%,"11–20%","&gt;20%")))</f>
        <v>0%</v>
      </c>
      <c r="P1066" s="13" t="str">
        <f>_xlfn.XLOOKUP(tblTransactions[[#This Row],[tenant_id]],tblTenants[tenant_id],tblTenants[zone],"NOT FOUND")</f>
        <v>Fashion Avenue</v>
      </c>
      <c r="Q1066" s="13" t="str">
        <f>_xlfn.XLOOKUP(tblTransactions[[#This Row],[tenant_id]],tblTenants[tenant_id],tblTenants[category],"NOT FOUND")</f>
        <v>Footwear</v>
      </c>
    </row>
    <row r="1067" spans="1:17">
      <c r="A1067" t="s">
        <v>1111</v>
      </c>
      <c r="B1067" s="2">
        <v>45743</v>
      </c>
      <c r="C1067">
        <v>18</v>
      </c>
      <c r="D1067" t="s">
        <v>122</v>
      </c>
      <c r="E1067" t="s">
        <v>12</v>
      </c>
      <c r="F1067" s="7">
        <v>1398.4</v>
      </c>
      <c r="G1067" s="10">
        <v>0.2</v>
      </c>
      <c r="H1067" s="7">
        <v>1118.72</v>
      </c>
      <c r="I1067">
        <v>4</v>
      </c>
      <c r="J1067" t="s">
        <v>16</v>
      </c>
      <c r="K1067" s="13">
        <f>ROUND(tblTransactions[[#This Row],[gross_sales_inr]]*(1-tblTransactions[[#This Row],[discount_pct]]),2)</f>
        <v>1118.72</v>
      </c>
      <c r="L1067" t="str">
        <f>IF(ABS(tblTransactions[[#This Row],[net_sales_inr]]-tblTransactions[[#This Row],[Recalc_Net_Sales]])&lt;0.02,"OK","CHECK")</f>
        <v>OK</v>
      </c>
      <c r="M1067" s="14">
        <f>DATE(YEAR(tblTransactions[[#This Row],[date]]),MONTH(tblTransactions[[#This Row],[date]]),1)</f>
        <v>45717</v>
      </c>
      <c r="N1067" t="str">
        <f>IF(WEEKDAY(tblTransactions[[#This Row],[date]],2)&gt;5,"Weekend","Weekday")</f>
        <v>Weekday</v>
      </c>
      <c r="O106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67" s="13" t="str">
        <f>_xlfn.XLOOKUP(tblTransactions[[#This Row],[tenant_id]],tblTenants[tenant_id],tblTenants[zone],"NOT FOUND")</f>
        <v>Beauty &amp; Wellness</v>
      </c>
      <c r="Q1067" s="13" t="str">
        <f>_xlfn.XLOOKUP(tblTransactions[[#This Row],[tenant_id]],tblTenants[tenant_id],tblTenants[category],"NOT FOUND")</f>
        <v>Wellness</v>
      </c>
    </row>
    <row r="1068" spans="1:17">
      <c r="A1068" t="s">
        <v>1112</v>
      </c>
      <c r="B1068" s="2">
        <v>45804</v>
      </c>
      <c r="C1068">
        <v>17</v>
      </c>
      <c r="D1068" t="s">
        <v>27</v>
      </c>
      <c r="E1068" t="s">
        <v>32</v>
      </c>
      <c r="F1068" s="7">
        <v>966.36</v>
      </c>
      <c r="G1068" s="10">
        <v>0.1</v>
      </c>
      <c r="H1068" s="7">
        <v>869.72</v>
      </c>
      <c r="I1068">
        <v>3</v>
      </c>
      <c r="J1068" t="s">
        <v>13</v>
      </c>
      <c r="K1068" s="13">
        <f>ROUND(tblTransactions[[#This Row],[gross_sales_inr]]*(1-tblTransactions[[#This Row],[discount_pct]]),2)</f>
        <v>869.72</v>
      </c>
      <c r="L1068" t="str">
        <f>IF(ABS(tblTransactions[[#This Row],[net_sales_inr]]-tblTransactions[[#This Row],[Recalc_Net_Sales]])&lt;0.02,"OK","CHECK")</f>
        <v>OK</v>
      </c>
      <c r="M1068" s="14">
        <f>DATE(YEAR(tblTransactions[[#This Row],[date]]),MONTH(tblTransactions[[#This Row],[date]]),1)</f>
        <v>45778</v>
      </c>
      <c r="N1068" t="str">
        <f>IF(WEEKDAY(tblTransactions[[#This Row],[date]],2)&gt;5,"Weekend","Weekday")</f>
        <v>Weekday</v>
      </c>
      <c r="O106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68" s="13" t="str">
        <f>_xlfn.XLOOKUP(tblTransactions[[#This Row],[tenant_id]],tblTenants[tenant_id],tblTenants[zone],"NOT FOUND")</f>
        <v>Beauty &amp; Wellness</v>
      </c>
      <c r="Q1068" s="13" t="str">
        <f>_xlfn.XLOOKUP(tblTransactions[[#This Row],[tenant_id]],tblTenants[tenant_id],tblTenants[category],"NOT FOUND")</f>
        <v>Wellness</v>
      </c>
    </row>
    <row r="1069" spans="1:17">
      <c r="A1069" t="s">
        <v>1113</v>
      </c>
      <c r="B1069" s="2">
        <v>45688</v>
      </c>
      <c r="C1069">
        <v>18</v>
      </c>
      <c r="D1069" t="s">
        <v>18</v>
      </c>
      <c r="E1069" t="s">
        <v>12</v>
      </c>
      <c r="F1069" s="7">
        <v>829.87</v>
      </c>
      <c r="G1069" s="10">
        <v>0.05</v>
      </c>
      <c r="H1069" s="7">
        <v>788.38</v>
      </c>
      <c r="I1069">
        <v>1</v>
      </c>
      <c r="J1069" t="s">
        <v>13</v>
      </c>
      <c r="K1069" s="13">
        <f>ROUND(tblTransactions[[#This Row],[gross_sales_inr]]*(1-tblTransactions[[#This Row],[discount_pct]]),2)</f>
        <v>788.38</v>
      </c>
      <c r="L1069" t="str">
        <f>IF(ABS(tblTransactions[[#This Row],[net_sales_inr]]-tblTransactions[[#This Row],[Recalc_Net_Sales]])&lt;0.02,"OK","CHECK")</f>
        <v>OK</v>
      </c>
      <c r="M1069" s="14">
        <f>DATE(YEAR(tblTransactions[[#This Row],[date]]),MONTH(tblTransactions[[#This Row],[date]]),1)</f>
        <v>45658</v>
      </c>
      <c r="N1069" t="str">
        <f>IF(WEEKDAY(tblTransactions[[#This Row],[date]],2)&gt;5,"Weekend","Weekday")</f>
        <v>Weekday</v>
      </c>
      <c r="O106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69" s="13" t="str">
        <f>_xlfn.XLOOKUP(tblTransactions[[#This Row],[tenant_id]],tblTenants[tenant_id],tblTenants[zone],"NOT FOUND")</f>
        <v>Beauty &amp; Wellness</v>
      </c>
      <c r="Q1069" s="13" t="str">
        <f>_xlfn.XLOOKUP(tblTransactions[[#This Row],[tenant_id]],tblTenants[tenant_id],tblTenants[category],"NOT FOUND")</f>
        <v>Beauty</v>
      </c>
    </row>
    <row r="1070" spans="1:17">
      <c r="A1070" t="s">
        <v>1114</v>
      </c>
      <c r="B1070" s="2">
        <v>45807</v>
      </c>
      <c r="C1070">
        <v>11</v>
      </c>
      <c r="D1070" t="s">
        <v>45</v>
      </c>
      <c r="E1070" t="s">
        <v>32</v>
      </c>
      <c r="F1070" s="7">
        <v>1042.49</v>
      </c>
      <c r="G1070" s="10">
        <v>0.15</v>
      </c>
      <c r="H1070" s="7">
        <v>886.12</v>
      </c>
      <c r="I1070">
        <v>1</v>
      </c>
      <c r="J1070" t="s">
        <v>13</v>
      </c>
      <c r="K1070" s="13">
        <f>ROUND(tblTransactions[[#This Row],[gross_sales_inr]]*(1-tblTransactions[[#This Row],[discount_pct]]),2)</f>
        <v>886.12</v>
      </c>
      <c r="L1070" t="str">
        <f>IF(ABS(tblTransactions[[#This Row],[net_sales_inr]]-tblTransactions[[#This Row],[Recalc_Net_Sales]])&lt;0.02,"OK","CHECK")</f>
        <v>OK</v>
      </c>
      <c r="M1070" s="14">
        <f>DATE(YEAR(tblTransactions[[#This Row],[date]]),MONTH(tblTransactions[[#This Row],[date]]),1)</f>
        <v>45778</v>
      </c>
      <c r="N1070" t="str">
        <f>IF(WEEKDAY(tblTransactions[[#This Row],[date]],2)&gt;5,"Weekend","Weekday")</f>
        <v>Weekday</v>
      </c>
      <c r="O107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70" s="13" t="str">
        <f>_xlfn.XLOOKUP(tblTransactions[[#This Row],[tenant_id]],tblTenants[tenant_id],tblTenants[zone],"NOT FOUND")</f>
        <v>Home &amp; Living</v>
      </c>
      <c r="Q1070" s="13" t="str">
        <f>_xlfn.XLOOKUP(tblTransactions[[#This Row],[tenant_id]],tblTenants[tenant_id],tblTenants[category],"NOT FOUND")</f>
        <v>Home Decor</v>
      </c>
    </row>
    <row r="1071" spans="1:17">
      <c r="A1071" t="s">
        <v>1115</v>
      </c>
      <c r="B1071" s="2">
        <v>45785</v>
      </c>
      <c r="C1071">
        <v>11</v>
      </c>
      <c r="D1071" t="s">
        <v>20</v>
      </c>
      <c r="E1071" t="s">
        <v>12</v>
      </c>
      <c r="F1071" s="7">
        <v>655.01</v>
      </c>
      <c r="G1071" s="10">
        <v>0</v>
      </c>
      <c r="H1071" s="7">
        <v>655.01</v>
      </c>
      <c r="I1071">
        <v>1</v>
      </c>
      <c r="J1071" t="s">
        <v>16</v>
      </c>
      <c r="K1071" s="13">
        <f>ROUND(tblTransactions[[#This Row],[gross_sales_inr]]*(1-tblTransactions[[#This Row],[discount_pct]]),2)</f>
        <v>655.01</v>
      </c>
      <c r="L1071" t="str">
        <f>IF(ABS(tblTransactions[[#This Row],[net_sales_inr]]-tblTransactions[[#This Row],[Recalc_Net_Sales]])&lt;0.02,"OK","CHECK")</f>
        <v>OK</v>
      </c>
      <c r="M1071" s="14">
        <f>DATE(YEAR(tblTransactions[[#This Row],[date]]),MONTH(tblTransactions[[#This Row],[date]]),1)</f>
        <v>45778</v>
      </c>
      <c r="N1071" t="str">
        <f>IF(WEEKDAY(tblTransactions[[#This Row],[date]],2)&gt;5,"Weekend","Weekday")</f>
        <v>Weekday</v>
      </c>
      <c r="O1071" s="13" t="str">
        <f>IF(tblTransactions[[#This Row],[discount_pct]]=0,"0%",IF(tblTransactions[[#This Row],[discount_pct]]&lt;=10%,"1–
10%",IF(tblTransactions[[#This Row],[discount_pct]]&lt;=20%,"11–20%","&gt;20%")))</f>
        <v>0%</v>
      </c>
      <c r="P1071" s="13" t="str">
        <f>_xlfn.XLOOKUP(tblTransactions[[#This Row],[tenant_id]],tblTenants[tenant_id],tblTenants[zone],"NOT FOUND")</f>
        <v>Fashion Avenue</v>
      </c>
      <c r="Q1071" s="13" t="str">
        <f>_xlfn.XLOOKUP(tblTransactions[[#This Row],[tenant_id]],tblTenants[tenant_id],tblTenants[category],"NOT FOUND")</f>
        <v>Accessories</v>
      </c>
    </row>
    <row r="1072" spans="1:17">
      <c r="A1072" t="s">
        <v>1116</v>
      </c>
      <c r="B1072" s="2">
        <v>45733</v>
      </c>
      <c r="C1072">
        <v>14</v>
      </c>
      <c r="D1072" t="s">
        <v>72</v>
      </c>
      <c r="E1072" t="s">
        <v>12</v>
      </c>
      <c r="F1072" s="7">
        <v>705.37</v>
      </c>
      <c r="G1072" s="10">
        <v>0</v>
      </c>
      <c r="H1072" s="7">
        <v>705.37</v>
      </c>
      <c r="I1072">
        <v>2</v>
      </c>
      <c r="J1072" t="s">
        <v>13</v>
      </c>
      <c r="K1072" s="13">
        <f>ROUND(tblTransactions[[#This Row],[gross_sales_inr]]*(1-tblTransactions[[#This Row],[discount_pct]]),2)</f>
        <v>705.37</v>
      </c>
      <c r="L1072" t="str">
        <f>IF(ABS(tblTransactions[[#This Row],[net_sales_inr]]-tblTransactions[[#This Row],[Recalc_Net_Sales]])&lt;0.02,"OK","CHECK")</f>
        <v>OK</v>
      </c>
      <c r="M1072" s="14">
        <f>DATE(YEAR(tblTransactions[[#This Row],[date]]),MONTH(tblTransactions[[#This Row],[date]]),1)</f>
        <v>45717</v>
      </c>
      <c r="N1072" t="str">
        <f>IF(WEEKDAY(tblTransactions[[#This Row],[date]],2)&gt;5,"Weekend","Weekday")</f>
        <v>Weekday</v>
      </c>
      <c r="O1072" s="13" t="str">
        <f>IF(tblTransactions[[#This Row],[discount_pct]]=0,"0%",IF(tblTransactions[[#This Row],[discount_pct]]&lt;=10%,"1–
10%",IF(tblTransactions[[#This Row],[discount_pct]]&lt;=20%,"11–20%","&gt;20%")))</f>
        <v>0%</v>
      </c>
      <c r="P1072" s="13" t="str">
        <f>_xlfn.XLOOKUP(tblTransactions[[#This Row],[tenant_id]],tblTenants[tenant_id],tblTenants[zone],"NOT FOUND")</f>
        <v>Entertainment</v>
      </c>
      <c r="Q1072" s="13" t="str">
        <f>_xlfn.XLOOKUP(tblTransactions[[#This Row],[tenant_id]],tblTenants[tenant_id],tblTenants[category],"NOT FOUND")</f>
        <v>Arcade</v>
      </c>
    </row>
    <row r="1073" spans="1:17">
      <c r="A1073" t="s">
        <v>1117</v>
      </c>
      <c r="B1073" s="2">
        <v>45828</v>
      </c>
      <c r="C1073">
        <v>15</v>
      </c>
      <c r="D1073" t="s">
        <v>70</v>
      </c>
      <c r="E1073" t="s">
        <v>32</v>
      </c>
      <c r="F1073" s="7">
        <v>382.81</v>
      </c>
      <c r="G1073" s="10">
        <v>0</v>
      </c>
      <c r="H1073" s="7">
        <v>382.81</v>
      </c>
      <c r="I1073">
        <v>3</v>
      </c>
      <c r="J1073" t="s">
        <v>13</v>
      </c>
      <c r="K1073" s="13">
        <f>ROUND(tblTransactions[[#This Row],[gross_sales_inr]]*(1-tblTransactions[[#This Row],[discount_pct]]),2)</f>
        <v>382.81</v>
      </c>
      <c r="L1073" t="str">
        <f>IF(ABS(tblTransactions[[#This Row],[net_sales_inr]]-tblTransactions[[#This Row],[Recalc_Net_Sales]])&lt;0.02,"OK","CHECK")</f>
        <v>OK</v>
      </c>
      <c r="M1073" s="14">
        <f>DATE(YEAR(tblTransactions[[#This Row],[date]]),MONTH(tblTransactions[[#This Row],[date]]),1)</f>
        <v>45809</v>
      </c>
      <c r="N1073" t="str">
        <f>IF(WEEKDAY(tblTransactions[[#This Row],[date]],2)&gt;5,"Weekend","Weekday")</f>
        <v>Weekday</v>
      </c>
      <c r="O1073" s="13" t="str">
        <f>IF(tblTransactions[[#This Row],[discount_pct]]=0,"0%",IF(tblTransactions[[#This Row],[discount_pct]]&lt;=10%,"1–
10%",IF(tblTransactions[[#This Row],[discount_pct]]&lt;=20%,"11–20%","&gt;20%")))</f>
        <v>0%</v>
      </c>
      <c r="P1073" s="13" t="str">
        <f>_xlfn.XLOOKUP(tblTransactions[[#This Row],[tenant_id]],tblTenants[tenant_id],tblTenants[zone],"NOT FOUND")</f>
        <v>Food Court</v>
      </c>
      <c r="Q1073" s="13" t="str">
        <f>_xlfn.XLOOKUP(tblTransactions[[#This Row],[tenant_id]],tblTenants[tenant_id],tblTenants[category],"NOT FOUND")</f>
        <v>Quick Service</v>
      </c>
    </row>
    <row r="1074" spans="1:17">
      <c r="A1074" t="s">
        <v>1118</v>
      </c>
      <c r="B1074" s="2">
        <v>45799</v>
      </c>
      <c r="C1074">
        <v>22</v>
      </c>
      <c r="D1074" t="s">
        <v>104</v>
      </c>
      <c r="E1074" t="s">
        <v>21</v>
      </c>
      <c r="F1074" s="7">
        <v>820.23</v>
      </c>
      <c r="G1074" s="10">
        <v>0.05</v>
      </c>
      <c r="H1074" s="7">
        <v>779.22</v>
      </c>
      <c r="I1074">
        <v>3</v>
      </c>
      <c r="J1074" t="s">
        <v>13</v>
      </c>
      <c r="K1074" s="13">
        <f>ROUND(tblTransactions[[#This Row],[gross_sales_inr]]*(1-tblTransactions[[#This Row],[discount_pct]]),2)</f>
        <v>779.22</v>
      </c>
      <c r="L1074" t="str">
        <f>IF(ABS(tblTransactions[[#This Row],[net_sales_inr]]-tblTransactions[[#This Row],[Recalc_Net_Sales]])&lt;0.02,"OK","CHECK")</f>
        <v>OK</v>
      </c>
      <c r="M1074" s="14">
        <f>DATE(YEAR(tblTransactions[[#This Row],[date]]),MONTH(tblTransactions[[#This Row],[date]]),1)</f>
        <v>45778</v>
      </c>
      <c r="N1074" t="str">
        <f>IF(WEEKDAY(tblTransactions[[#This Row],[date]],2)&gt;5,"Weekend","Weekday")</f>
        <v>Weekday</v>
      </c>
      <c r="O107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74" s="13" t="str">
        <f>_xlfn.XLOOKUP(tblTransactions[[#This Row],[tenant_id]],tblTenants[tenant_id],tblTenants[zone],"NOT FOUND")</f>
        <v>Entertainment</v>
      </c>
      <c r="Q1074" s="13" t="str">
        <f>_xlfn.XLOOKUP(tblTransactions[[#This Row],[tenant_id]],tblTenants[tenant_id],tblTenants[category],"NOT FOUND")</f>
        <v>Family Entertainment</v>
      </c>
    </row>
    <row r="1075" spans="1:17">
      <c r="A1075" t="s">
        <v>1119</v>
      </c>
      <c r="B1075" s="2">
        <v>45697</v>
      </c>
      <c r="C1075">
        <v>19</v>
      </c>
      <c r="D1075" t="s">
        <v>25</v>
      </c>
      <c r="E1075" t="s">
        <v>12</v>
      </c>
      <c r="F1075" s="7">
        <v>1163.4000000000001</v>
      </c>
      <c r="G1075" s="10">
        <v>0</v>
      </c>
      <c r="H1075" s="7">
        <v>1163.4000000000001</v>
      </c>
      <c r="I1075">
        <v>2</v>
      </c>
      <c r="J1075" t="s">
        <v>13</v>
      </c>
      <c r="K1075" s="13">
        <f>ROUND(tblTransactions[[#This Row],[gross_sales_inr]]*(1-tblTransactions[[#This Row],[discount_pct]]),2)</f>
        <v>1163.4000000000001</v>
      </c>
      <c r="L1075" t="str">
        <f>IF(ABS(tblTransactions[[#This Row],[net_sales_inr]]-tblTransactions[[#This Row],[Recalc_Net_Sales]])&lt;0.02,"OK","CHECK")</f>
        <v>OK</v>
      </c>
      <c r="M1075" s="14">
        <f>DATE(YEAR(tblTransactions[[#This Row],[date]]),MONTH(tblTransactions[[#This Row],[date]]),1)</f>
        <v>45689</v>
      </c>
      <c r="N1075" t="str">
        <f>IF(WEEKDAY(tblTransactions[[#This Row],[date]],2)&gt;5,"Weekend","Weekday")</f>
        <v>Weekend</v>
      </c>
      <c r="O1075" s="13" t="str">
        <f>IF(tblTransactions[[#This Row],[discount_pct]]=0,"0%",IF(tblTransactions[[#This Row],[discount_pct]]&lt;=10%,"1–
10%",IF(tblTransactions[[#This Row],[discount_pct]]&lt;=20%,"11–20%","&gt;20%")))</f>
        <v>0%</v>
      </c>
      <c r="P1075" s="13" t="str">
        <f>_xlfn.XLOOKUP(tblTransactions[[#This Row],[tenant_id]],tblTenants[tenant_id],tblTenants[zone],"NOT FOUND")</f>
        <v>Beauty &amp; Wellness</v>
      </c>
      <c r="Q1075" s="13" t="str">
        <f>_xlfn.XLOOKUP(tblTransactions[[#This Row],[tenant_id]],tblTenants[tenant_id],tblTenants[category],"NOT FOUND")</f>
        <v>Beauty</v>
      </c>
    </row>
    <row r="1076" spans="1:17">
      <c r="A1076" t="s">
        <v>1120</v>
      </c>
      <c r="B1076" s="2">
        <v>45788</v>
      </c>
      <c r="C1076">
        <v>21</v>
      </c>
      <c r="D1076" t="s">
        <v>85</v>
      </c>
      <c r="E1076" t="s">
        <v>12</v>
      </c>
      <c r="F1076" s="7">
        <v>1137.29</v>
      </c>
      <c r="G1076" s="10">
        <v>0</v>
      </c>
      <c r="H1076" s="7">
        <v>1137.29</v>
      </c>
      <c r="I1076">
        <v>1</v>
      </c>
      <c r="J1076" t="s">
        <v>13</v>
      </c>
      <c r="K1076" s="13">
        <f>ROUND(tblTransactions[[#This Row],[gross_sales_inr]]*(1-tblTransactions[[#This Row],[discount_pct]]),2)</f>
        <v>1137.29</v>
      </c>
      <c r="L1076" t="str">
        <f>IF(ABS(tblTransactions[[#This Row],[net_sales_inr]]-tblTransactions[[#This Row],[Recalc_Net_Sales]])&lt;0.02,"OK","CHECK")</f>
        <v>OK</v>
      </c>
      <c r="M1076" s="14">
        <f>DATE(YEAR(tblTransactions[[#This Row],[date]]),MONTH(tblTransactions[[#This Row],[date]]),1)</f>
        <v>45778</v>
      </c>
      <c r="N1076" t="str">
        <f>IF(WEEKDAY(tblTransactions[[#This Row],[date]],2)&gt;5,"Weekend","Weekday")</f>
        <v>Weekend</v>
      </c>
      <c r="O1076" s="13" t="str">
        <f>IF(tblTransactions[[#This Row],[discount_pct]]=0,"0%",IF(tblTransactions[[#This Row],[discount_pct]]&lt;=10%,"1–
10%",IF(tblTransactions[[#This Row],[discount_pct]]&lt;=20%,"11–20%","&gt;20%")))</f>
        <v>0%</v>
      </c>
      <c r="P1076" s="13" t="str">
        <f>_xlfn.XLOOKUP(tblTransactions[[#This Row],[tenant_id]],tblTenants[tenant_id],tblTenants[zone],"NOT FOUND")</f>
        <v>Home &amp; Living</v>
      </c>
      <c r="Q1076" s="13" t="str">
        <f>_xlfn.XLOOKUP(tblTransactions[[#This Row],[tenant_id]],tblTenants[tenant_id],tblTenants[category],"NOT FOUND")</f>
        <v>Electronics</v>
      </c>
    </row>
    <row r="1077" spans="1:17">
      <c r="A1077" t="s">
        <v>1121</v>
      </c>
      <c r="B1077" s="2">
        <v>45767</v>
      </c>
      <c r="C1077">
        <v>20</v>
      </c>
      <c r="D1077" t="s">
        <v>11</v>
      </c>
      <c r="E1077" t="s">
        <v>12</v>
      </c>
      <c r="F1077" s="7">
        <v>2571.15</v>
      </c>
      <c r="G1077" s="10">
        <v>0</v>
      </c>
      <c r="H1077" s="7">
        <v>2571.15</v>
      </c>
      <c r="I1077">
        <v>2</v>
      </c>
      <c r="J1077" t="s">
        <v>13</v>
      </c>
      <c r="K1077" s="13">
        <f>ROUND(tblTransactions[[#This Row],[gross_sales_inr]]*(1-tblTransactions[[#This Row],[discount_pct]]),2)</f>
        <v>2571.15</v>
      </c>
      <c r="L1077" t="str">
        <f>IF(ABS(tblTransactions[[#This Row],[net_sales_inr]]-tblTransactions[[#This Row],[Recalc_Net_Sales]])&lt;0.02,"OK","CHECK")</f>
        <v>OK</v>
      </c>
      <c r="M1077" s="14">
        <f>DATE(YEAR(tblTransactions[[#This Row],[date]]),MONTH(tblTransactions[[#This Row],[date]]),1)</f>
        <v>45748</v>
      </c>
      <c r="N1077" t="str">
        <f>IF(WEEKDAY(tblTransactions[[#This Row],[date]],2)&gt;5,"Weekend","Weekday")</f>
        <v>Weekend</v>
      </c>
      <c r="O1077" s="13" t="str">
        <f>IF(tblTransactions[[#This Row],[discount_pct]]=0,"0%",IF(tblTransactions[[#This Row],[discount_pct]]&lt;=10%,"1–
10%",IF(tblTransactions[[#This Row],[discount_pct]]&lt;=20%,"11–20%","&gt;20%")))</f>
        <v>0%</v>
      </c>
      <c r="P1077" s="13" t="str">
        <f>_xlfn.XLOOKUP(tblTransactions[[#This Row],[tenant_id]],tblTenants[tenant_id],tblTenants[zone],"NOT FOUND")</f>
        <v>Home &amp; Living</v>
      </c>
      <c r="Q1077" s="13" t="str">
        <f>_xlfn.XLOOKUP(tblTransactions[[#This Row],[tenant_id]],tblTenants[tenant_id],tblTenants[category],"NOT FOUND")</f>
        <v>Home Decor</v>
      </c>
    </row>
    <row r="1078" spans="1:17">
      <c r="A1078" t="s">
        <v>1122</v>
      </c>
      <c r="B1078" s="2">
        <v>45777</v>
      </c>
      <c r="C1078">
        <v>13</v>
      </c>
      <c r="D1078" t="s">
        <v>48</v>
      </c>
      <c r="E1078" t="s">
        <v>32</v>
      </c>
      <c r="F1078" s="7">
        <v>1756.55</v>
      </c>
      <c r="G1078" s="10">
        <v>0</v>
      </c>
      <c r="H1078" s="7">
        <v>1756.55</v>
      </c>
      <c r="I1078">
        <v>3</v>
      </c>
      <c r="J1078" t="s">
        <v>16</v>
      </c>
      <c r="K1078" s="13">
        <f>ROUND(tblTransactions[[#This Row],[gross_sales_inr]]*(1-tblTransactions[[#This Row],[discount_pct]]),2)</f>
        <v>1756.55</v>
      </c>
      <c r="L1078" t="str">
        <f>IF(ABS(tblTransactions[[#This Row],[net_sales_inr]]-tblTransactions[[#This Row],[Recalc_Net_Sales]])&lt;0.02,"OK","CHECK")</f>
        <v>OK</v>
      </c>
      <c r="M1078" s="14">
        <f>DATE(YEAR(tblTransactions[[#This Row],[date]]),MONTH(tblTransactions[[#This Row],[date]]),1)</f>
        <v>45748</v>
      </c>
      <c r="N1078" t="str">
        <f>IF(WEEKDAY(tblTransactions[[#This Row],[date]],2)&gt;5,"Weekend","Weekday")</f>
        <v>Weekday</v>
      </c>
      <c r="O1078" s="13" t="str">
        <f>IF(tblTransactions[[#This Row],[discount_pct]]=0,"0%",IF(tblTransactions[[#This Row],[discount_pct]]&lt;=10%,"1–
10%",IF(tblTransactions[[#This Row],[discount_pct]]&lt;=20%,"11–20%","&gt;20%")))</f>
        <v>0%</v>
      </c>
      <c r="P1078" s="13" t="str">
        <f>_xlfn.XLOOKUP(tblTransactions[[#This Row],[tenant_id]],tblTenants[tenant_id],tblTenants[zone],"NOT FOUND")</f>
        <v>Beauty &amp; Wellness</v>
      </c>
      <c r="Q1078" s="13" t="str">
        <f>_xlfn.XLOOKUP(tblTransactions[[#This Row],[tenant_id]],tblTenants[tenant_id],tblTenants[category],"NOT FOUND")</f>
        <v>Wellness</v>
      </c>
    </row>
    <row r="1079" spans="1:17">
      <c r="A1079" t="s">
        <v>1123</v>
      </c>
      <c r="B1079" s="2">
        <v>45795</v>
      </c>
      <c r="C1079">
        <v>19</v>
      </c>
      <c r="D1079" t="s">
        <v>72</v>
      </c>
      <c r="E1079" t="s">
        <v>12</v>
      </c>
      <c r="F1079" s="7">
        <v>763.69</v>
      </c>
      <c r="G1079" s="10">
        <v>0</v>
      </c>
      <c r="H1079" s="7">
        <v>763.69</v>
      </c>
      <c r="I1079">
        <v>2</v>
      </c>
      <c r="J1079" t="s">
        <v>16</v>
      </c>
      <c r="K1079" s="13">
        <f>ROUND(tblTransactions[[#This Row],[gross_sales_inr]]*(1-tblTransactions[[#This Row],[discount_pct]]),2)</f>
        <v>763.69</v>
      </c>
      <c r="L1079" t="str">
        <f>IF(ABS(tblTransactions[[#This Row],[net_sales_inr]]-tblTransactions[[#This Row],[Recalc_Net_Sales]])&lt;0.02,"OK","CHECK")</f>
        <v>OK</v>
      </c>
      <c r="M1079" s="14">
        <f>DATE(YEAR(tblTransactions[[#This Row],[date]]),MONTH(tblTransactions[[#This Row],[date]]),1)</f>
        <v>45778</v>
      </c>
      <c r="N1079" t="str">
        <f>IF(WEEKDAY(tblTransactions[[#This Row],[date]],2)&gt;5,"Weekend","Weekday")</f>
        <v>Weekend</v>
      </c>
      <c r="O1079" s="13" t="str">
        <f>IF(tblTransactions[[#This Row],[discount_pct]]=0,"0%",IF(tblTransactions[[#This Row],[discount_pct]]&lt;=10%,"1–
10%",IF(tblTransactions[[#This Row],[discount_pct]]&lt;=20%,"11–20%","&gt;20%")))</f>
        <v>0%</v>
      </c>
      <c r="P1079" s="13" t="str">
        <f>_xlfn.XLOOKUP(tblTransactions[[#This Row],[tenant_id]],tblTenants[tenant_id],tblTenants[zone],"NOT FOUND")</f>
        <v>Entertainment</v>
      </c>
      <c r="Q1079" s="13" t="str">
        <f>_xlfn.XLOOKUP(tblTransactions[[#This Row],[tenant_id]],tblTenants[tenant_id],tblTenants[category],"NOT FOUND")</f>
        <v>Arcade</v>
      </c>
    </row>
    <row r="1080" spans="1:17">
      <c r="A1080" t="s">
        <v>1124</v>
      </c>
      <c r="B1080" s="2">
        <v>45689</v>
      </c>
      <c r="C1080">
        <v>12</v>
      </c>
      <c r="D1080" t="s">
        <v>53</v>
      </c>
      <c r="E1080" t="s">
        <v>32</v>
      </c>
      <c r="F1080" s="7">
        <v>660.08</v>
      </c>
      <c r="G1080" s="10">
        <v>0</v>
      </c>
      <c r="H1080" s="7">
        <v>660.08</v>
      </c>
      <c r="I1080">
        <v>1</v>
      </c>
      <c r="J1080" t="s">
        <v>13</v>
      </c>
      <c r="K1080" s="13">
        <f>ROUND(tblTransactions[[#This Row],[gross_sales_inr]]*(1-tblTransactions[[#This Row],[discount_pct]]),2)</f>
        <v>660.08</v>
      </c>
      <c r="L1080" t="str">
        <f>IF(ABS(tblTransactions[[#This Row],[net_sales_inr]]-tblTransactions[[#This Row],[Recalc_Net_Sales]])&lt;0.02,"OK","CHECK")</f>
        <v>OK</v>
      </c>
      <c r="M1080" s="14">
        <f>DATE(YEAR(tblTransactions[[#This Row],[date]]),MONTH(tblTransactions[[#This Row],[date]]),1)</f>
        <v>45689</v>
      </c>
      <c r="N1080" t="str">
        <f>IF(WEEKDAY(tblTransactions[[#This Row],[date]],2)&gt;5,"Weekend","Weekday")</f>
        <v>Weekend</v>
      </c>
      <c r="O1080" s="13" t="str">
        <f>IF(tblTransactions[[#This Row],[discount_pct]]=0,"0%",IF(tblTransactions[[#This Row],[discount_pct]]&lt;=10%,"1–
10%",IF(tblTransactions[[#This Row],[discount_pct]]&lt;=20%,"11–20%","&gt;20%")))</f>
        <v>0%</v>
      </c>
      <c r="P1080" s="13" t="str">
        <f>_xlfn.XLOOKUP(tblTransactions[[#This Row],[tenant_id]],tblTenants[tenant_id],tblTenants[zone],"NOT FOUND")</f>
        <v>Beauty &amp; Wellness</v>
      </c>
      <c r="Q1080" s="13" t="str">
        <f>_xlfn.XLOOKUP(tblTransactions[[#This Row],[tenant_id]],tblTenants[tenant_id],tblTenants[category],"NOT FOUND")</f>
        <v>Beauty</v>
      </c>
    </row>
    <row r="1081" spans="1:17">
      <c r="A1081" t="s">
        <v>1125</v>
      </c>
      <c r="B1081" s="2">
        <v>45779</v>
      </c>
      <c r="C1081">
        <v>13</v>
      </c>
      <c r="D1081" t="s">
        <v>104</v>
      </c>
      <c r="E1081" t="s">
        <v>32</v>
      </c>
      <c r="F1081" s="7">
        <v>942.45</v>
      </c>
      <c r="G1081" s="10">
        <v>0.1</v>
      </c>
      <c r="H1081" s="7">
        <v>848.21</v>
      </c>
      <c r="I1081">
        <v>2</v>
      </c>
      <c r="J1081" t="s">
        <v>16</v>
      </c>
      <c r="K1081" s="13">
        <f>ROUND(tblTransactions[[#This Row],[gross_sales_inr]]*(1-tblTransactions[[#This Row],[discount_pct]]),2)</f>
        <v>848.21</v>
      </c>
      <c r="L1081" t="str">
        <f>IF(ABS(tblTransactions[[#This Row],[net_sales_inr]]-tblTransactions[[#This Row],[Recalc_Net_Sales]])&lt;0.02,"OK","CHECK")</f>
        <v>OK</v>
      </c>
      <c r="M1081" s="14">
        <f>DATE(YEAR(tblTransactions[[#This Row],[date]]),MONTH(tblTransactions[[#This Row],[date]]),1)</f>
        <v>45778</v>
      </c>
      <c r="N1081" t="str">
        <f>IF(WEEKDAY(tblTransactions[[#This Row],[date]],2)&gt;5,"Weekend","Weekday")</f>
        <v>Weekday</v>
      </c>
      <c r="O108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81" s="13" t="str">
        <f>_xlfn.XLOOKUP(tblTransactions[[#This Row],[tenant_id]],tblTenants[tenant_id],tblTenants[zone],"NOT FOUND")</f>
        <v>Entertainment</v>
      </c>
      <c r="Q1081" s="13" t="str">
        <f>_xlfn.XLOOKUP(tblTransactions[[#This Row],[tenant_id]],tblTenants[tenant_id],tblTenants[category],"NOT FOUND")</f>
        <v>Family Entertainment</v>
      </c>
    </row>
    <row r="1082" spans="1:17">
      <c r="A1082" t="s">
        <v>1126</v>
      </c>
      <c r="B1082" s="2">
        <v>45827</v>
      </c>
      <c r="C1082">
        <v>19</v>
      </c>
      <c r="D1082" t="s">
        <v>20</v>
      </c>
      <c r="E1082" t="s">
        <v>21</v>
      </c>
      <c r="F1082" s="7">
        <v>2078.8000000000002</v>
      </c>
      <c r="G1082" s="10">
        <v>0.2</v>
      </c>
      <c r="H1082" s="7">
        <v>1663.04</v>
      </c>
      <c r="I1082">
        <v>2</v>
      </c>
      <c r="J1082" t="s">
        <v>13</v>
      </c>
      <c r="K1082" s="13">
        <f>ROUND(tblTransactions[[#This Row],[gross_sales_inr]]*(1-tblTransactions[[#This Row],[discount_pct]]),2)</f>
        <v>1663.04</v>
      </c>
      <c r="L1082" t="str">
        <f>IF(ABS(tblTransactions[[#This Row],[net_sales_inr]]-tblTransactions[[#This Row],[Recalc_Net_Sales]])&lt;0.02,"OK","CHECK")</f>
        <v>OK</v>
      </c>
      <c r="M1082" s="14">
        <f>DATE(YEAR(tblTransactions[[#This Row],[date]]),MONTH(tblTransactions[[#This Row],[date]]),1)</f>
        <v>45809</v>
      </c>
      <c r="N1082" t="str">
        <f>IF(WEEKDAY(tblTransactions[[#This Row],[date]],2)&gt;5,"Weekend","Weekday")</f>
        <v>Weekday</v>
      </c>
      <c r="O108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82" s="13" t="str">
        <f>_xlfn.XLOOKUP(tblTransactions[[#This Row],[tenant_id]],tblTenants[tenant_id],tblTenants[zone],"NOT FOUND")</f>
        <v>Fashion Avenue</v>
      </c>
      <c r="Q1082" s="13" t="str">
        <f>_xlfn.XLOOKUP(tblTransactions[[#This Row],[tenant_id]],tblTenants[tenant_id],tblTenants[category],"NOT FOUND")</f>
        <v>Accessories</v>
      </c>
    </row>
    <row r="1083" spans="1:17">
      <c r="A1083" t="s">
        <v>1127</v>
      </c>
      <c r="B1083" s="2">
        <v>45754</v>
      </c>
      <c r="C1083">
        <v>10</v>
      </c>
      <c r="D1083" t="s">
        <v>87</v>
      </c>
      <c r="E1083" t="s">
        <v>12</v>
      </c>
      <c r="F1083" s="7">
        <v>2355.1</v>
      </c>
      <c r="G1083" s="10">
        <v>0</v>
      </c>
      <c r="H1083" s="7">
        <v>2355.1</v>
      </c>
      <c r="I1083">
        <v>5</v>
      </c>
      <c r="J1083" t="s">
        <v>13</v>
      </c>
      <c r="K1083" s="13">
        <f>ROUND(tblTransactions[[#This Row],[gross_sales_inr]]*(1-tblTransactions[[#This Row],[discount_pct]]),2)</f>
        <v>2355.1</v>
      </c>
      <c r="L1083" t="str">
        <f>IF(ABS(tblTransactions[[#This Row],[net_sales_inr]]-tblTransactions[[#This Row],[Recalc_Net_Sales]])&lt;0.02,"OK","CHECK")</f>
        <v>OK</v>
      </c>
      <c r="M1083" s="14">
        <f>DATE(YEAR(tblTransactions[[#This Row],[date]]),MONTH(tblTransactions[[#This Row],[date]]),1)</f>
        <v>45748</v>
      </c>
      <c r="N1083" t="str">
        <f>IF(WEEKDAY(tblTransactions[[#This Row],[date]],2)&gt;5,"Weekend","Weekday")</f>
        <v>Weekday</v>
      </c>
      <c r="O1083" s="13" t="str">
        <f>IF(tblTransactions[[#This Row],[discount_pct]]=0,"0%",IF(tblTransactions[[#This Row],[discount_pct]]&lt;=10%,"1–
10%",IF(tblTransactions[[#This Row],[discount_pct]]&lt;=20%,"11–20%","&gt;20%")))</f>
        <v>0%</v>
      </c>
      <c r="P1083" s="13" t="str">
        <f>_xlfn.XLOOKUP(tblTransactions[[#This Row],[tenant_id]],tblTenants[tenant_id],tblTenants[zone],"NOT FOUND")</f>
        <v>Fashion Avenue</v>
      </c>
      <c r="Q1083" s="13" t="str">
        <f>_xlfn.XLOOKUP(tblTransactions[[#This Row],[tenant_id]],tblTenants[tenant_id],tblTenants[category],"NOT FOUND")</f>
        <v>Footwear</v>
      </c>
    </row>
    <row r="1084" spans="1:17">
      <c r="A1084" t="s">
        <v>1128</v>
      </c>
      <c r="B1084" s="2">
        <v>45710</v>
      </c>
      <c r="C1084">
        <v>14</v>
      </c>
      <c r="D1084" t="s">
        <v>11</v>
      </c>
      <c r="E1084" t="s">
        <v>21</v>
      </c>
      <c r="F1084" s="7">
        <v>822.47</v>
      </c>
      <c r="G1084" s="10">
        <v>0.1</v>
      </c>
      <c r="H1084" s="7">
        <v>740.22</v>
      </c>
      <c r="I1084">
        <v>3</v>
      </c>
      <c r="J1084" t="s">
        <v>13</v>
      </c>
      <c r="K1084" s="13">
        <f>ROUND(tblTransactions[[#This Row],[gross_sales_inr]]*(1-tblTransactions[[#This Row],[discount_pct]]),2)</f>
        <v>740.22</v>
      </c>
      <c r="L1084" t="str">
        <f>IF(ABS(tblTransactions[[#This Row],[net_sales_inr]]-tblTransactions[[#This Row],[Recalc_Net_Sales]])&lt;0.02,"OK","CHECK")</f>
        <v>OK</v>
      </c>
      <c r="M1084" s="14">
        <f>DATE(YEAR(tblTransactions[[#This Row],[date]]),MONTH(tblTransactions[[#This Row],[date]]),1)</f>
        <v>45689</v>
      </c>
      <c r="N1084" t="str">
        <f>IF(WEEKDAY(tblTransactions[[#This Row],[date]],2)&gt;5,"Weekend","Weekday")</f>
        <v>Weekend</v>
      </c>
      <c r="O108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84" s="13" t="str">
        <f>_xlfn.XLOOKUP(tblTransactions[[#This Row],[tenant_id]],tblTenants[tenant_id],tblTenants[zone],"NOT FOUND")</f>
        <v>Home &amp; Living</v>
      </c>
      <c r="Q1084" s="13" t="str">
        <f>_xlfn.XLOOKUP(tblTransactions[[#This Row],[tenant_id]],tblTenants[tenant_id],tblTenants[category],"NOT FOUND")</f>
        <v>Home Decor</v>
      </c>
    </row>
    <row r="1085" spans="1:17">
      <c r="A1085" t="s">
        <v>1129</v>
      </c>
      <c r="B1085" s="2">
        <v>45772</v>
      </c>
      <c r="C1085">
        <v>13</v>
      </c>
      <c r="D1085" t="s">
        <v>20</v>
      </c>
      <c r="E1085" t="s">
        <v>12</v>
      </c>
      <c r="F1085" s="7">
        <v>446.54</v>
      </c>
      <c r="G1085" s="10">
        <v>0</v>
      </c>
      <c r="H1085" s="7">
        <v>446.54</v>
      </c>
      <c r="I1085">
        <v>4</v>
      </c>
      <c r="J1085" t="s">
        <v>16</v>
      </c>
      <c r="K1085" s="13">
        <f>ROUND(tblTransactions[[#This Row],[gross_sales_inr]]*(1-tblTransactions[[#This Row],[discount_pct]]),2)</f>
        <v>446.54</v>
      </c>
      <c r="L1085" t="str">
        <f>IF(ABS(tblTransactions[[#This Row],[net_sales_inr]]-tblTransactions[[#This Row],[Recalc_Net_Sales]])&lt;0.02,"OK","CHECK")</f>
        <v>OK</v>
      </c>
      <c r="M1085" s="14">
        <f>DATE(YEAR(tblTransactions[[#This Row],[date]]),MONTH(tblTransactions[[#This Row],[date]]),1)</f>
        <v>45748</v>
      </c>
      <c r="N1085" t="str">
        <f>IF(WEEKDAY(tblTransactions[[#This Row],[date]],2)&gt;5,"Weekend","Weekday")</f>
        <v>Weekday</v>
      </c>
      <c r="O1085" s="13" t="str">
        <f>IF(tblTransactions[[#This Row],[discount_pct]]=0,"0%",IF(tblTransactions[[#This Row],[discount_pct]]&lt;=10%,"1–
10%",IF(tblTransactions[[#This Row],[discount_pct]]&lt;=20%,"11–20%","&gt;20%")))</f>
        <v>0%</v>
      </c>
      <c r="P1085" s="13" t="str">
        <f>_xlfn.XLOOKUP(tblTransactions[[#This Row],[tenant_id]],tblTenants[tenant_id],tblTenants[zone],"NOT FOUND")</f>
        <v>Fashion Avenue</v>
      </c>
      <c r="Q1085" s="13" t="str">
        <f>_xlfn.XLOOKUP(tblTransactions[[#This Row],[tenant_id]],tblTenants[tenant_id],tblTenants[category],"NOT FOUND")</f>
        <v>Accessories</v>
      </c>
    </row>
    <row r="1086" spans="1:17">
      <c r="A1086" t="s">
        <v>1130</v>
      </c>
      <c r="B1086" s="2">
        <v>45807</v>
      </c>
      <c r="C1086">
        <v>20</v>
      </c>
      <c r="D1086" t="s">
        <v>48</v>
      </c>
      <c r="E1086" t="s">
        <v>21</v>
      </c>
      <c r="F1086" s="7">
        <v>162.16999999999999</v>
      </c>
      <c r="G1086" s="10">
        <v>0</v>
      </c>
      <c r="H1086" s="7">
        <v>162.16999999999999</v>
      </c>
      <c r="I1086">
        <v>2</v>
      </c>
      <c r="J1086" t="s">
        <v>13</v>
      </c>
      <c r="K1086" s="13">
        <f>ROUND(tblTransactions[[#This Row],[gross_sales_inr]]*(1-tblTransactions[[#This Row],[discount_pct]]),2)</f>
        <v>162.16999999999999</v>
      </c>
      <c r="L1086" t="str">
        <f>IF(ABS(tblTransactions[[#This Row],[net_sales_inr]]-tblTransactions[[#This Row],[Recalc_Net_Sales]])&lt;0.02,"OK","CHECK")</f>
        <v>OK</v>
      </c>
      <c r="M1086" s="14">
        <f>DATE(YEAR(tblTransactions[[#This Row],[date]]),MONTH(tblTransactions[[#This Row],[date]]),1)</f>
        <v>45778</v>
      </c>
      <c r="N1086" t="str">
        <f>IF(WEEKDAY(tblTransactions[[#This Row],[date]],2)&gt;5,"Weekend","Weekday")</f>
        <v>Weekday</v>
      </c>
      <c r="O1086" s="13" t="str">
        <f>IF(tblTransactions[[#This Row],[discount_pct]]=0,"0%",IF(tblTransactions[[#This Row],[discount_pct]]&lt;=10%,"1–
10%",IF(tblTransactions[[#This Row],[discount_pct]]&lt;=20%,"11–20%","&gt;20%")))</f>
        <v>0%</v>
      </c>
      <c r="P1086" s="13" t="str">
        <f>_xlfn.XLOOKUP(tblTransactions[[#This Row],[tenant_id]],tblTenants[tenant_id],tblTenants[zone],"NOT FOUND")</f>
        <v>Beauty &amp; Wellness</v>
      </c>
      <c r="Q1086" s="13" t="str">
        <f>_xlfn.XLOOKUP(tblTransactions[[#This Row],[tenant_id]],tblTenants[tenant_id],tblTenants[category],"NOT FOUND")</f>
        <v>Wellness</v>
      </c>
    </row>
    <row r="1087" spans="1:17">
      <c r="A1087" t="s">
        <v>1131</v>
      </c>
      <c r="B1087" s="2">
        <v>45826</v>
      </c>
      <c r="C1087">
        <v>18</v>
      </c>
      <c r="D1087" t="s">
        <v>45</v>
      </c>
      <c r="E1087" t="s">
        <v>32</v>
      </c>
      <c r="F1087" s="7">
        <v>341.05</v>
      </c>
      <c r="G1087" s="10">
        <v>0</v>
      </c>
      <c r="H1087" s="7">
        <v>341.05</v>
      </c>
      <c r="I1087">
        <v>1</v>
      </c>
      <c r="J1087" t="s">
        <v>16</v>
      </c>
      <c r="K1087" s="13">
        <f>ROUND(tblTransactions[[#This Row],[gross_sales_inr]]*(1-tblTransactions[[#This Row],[discount_pct]]),2)</f>
        <v>341.05</v>
      </c>
      <c r="L1087" t="str">
        <f>IF(ABS(tblTransactions[[#This Row],[net_sales_inr]]-tblTransactions[[#This Row],[Recalc_Net_Sales]])&lt;0.02,"OK","CHECK")</f>
        <v>OK</v>
      </c>
      <c r="M1087" s="14">
        <f>DATE(YEAR(tblTransactions[[#This Row],[date]]),MONTH(tblTransactions[[#This Row],[date]]),1)</f>
        <v>45809</v>
      </c>
      <c r="N1087" t="str">
        <f>IF(WEEKDAY(tblTransactions[[#This Row],[date]],2)&gt;5,"Weekend","Weekday")</f>
        <v>Weekday</v>
      </c>
      <c r="O1087" s="13" t="str">
        <f>IF(tblTransactions[[#This Row],[discount_pct]]=0,"0%",IF(tblTransactions[[#This Row],[discount_pct]]&lt;=10%,"1–
10%",IF(tblTransactions[[#This Row],[discount_pct]]&lt;=20%,"11–20%","&gt;20%")))</f>
        <v>0%</v>
      </c>
      <c r="P1087" s="13" t="str">
        <f>_xlfn.XLOOKUP(tblTransactions[[#This Row],[tenant_id]],tblTenants[tenant_id],tblTenants[zone],"NOT FOUND")</f>
        <v>Home &amp; Living</v>
      </c>
      <c r="Q1087" s="13" t="str">
        <f>_xlfn.XLOOKUP(tblTransactions[[#This Row],[tenant_id]],tblTenants[tenant_id],tblTenants[category],"NOT FOUND")</f>
        <v>Home Decor</v>
      </c>
    </row>
    <row r="1088" spans="1:17">
      <c r="A1088" t="s">
        <v>1132</v>
      </c>
      <c r="B1088" s="2">
        <v>45800</v>
      </c>
      <c r="C1088">
        <v>21</v>
      </c>
      <c r="D1088" t="s">
        <v>80</v>
      </c>
      <c r="E1088" t="s">
        <v>12</v>
      </c>
      <c r="F1088" s="7">
        <v>2074.2600000000002</v>
      </c>
      <c r="G1088" s="10">
        <v>0.05</v>
      </c>
      <c r="H1088" s="7">
        <v>1970.55</v>
      </c>
      <c r="I1088">
        <v>2</v>
      </c>
      <c r="J1088" t="s">
        <v>13</v>
      </c>
      <c r="K1088" s="13">
        <f>ROUND(tblTransactions[[#This Row],[gross_sales_inr]]*(1-tblTransactions[[#This Row],[discount_pct]]),2)</f>
        <v>1970.55</v>
      </c>
      <c r="L1088" t="str">
        <f>IF(ABS(tblTransactions[[#This Row],[net_sales_inr]]-tblTransactions[[#This Row],[Recalc_Net_Sales]])&lt;0.02,"OK","CHECK")</f>
        <v>OK</v>
      </c>
      <c r="M1088" s="14">
        <f>DATE(YEAR(tblTransactions[[#This Row],[date]]),MONTH(tblTransactions[[#This Row],[date]]),1)</f>
        <v>45778</v>
      </c>
      <c r="N1088" t="str">
        <f>IF(WEEKDAY(tblTransactions[[#This Row],[date]],2)&gt;5,"Weekend","Weekday")</f>
        <v>Weekday</v>
      </c>
      <c r="O108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88" s="13" t="str">
        <f>_xlfn.XLOOKUP(tblTransactions[[#This Row],[tenant_id]],tblTenants[tenant_id],tblTenants[zone],"NOT FOUND")</f>
        <v>Food Court</v>
      </c>
      <c r="Q1088" s="13" t="str">
        <f>_xlfn.XLOOKUP(tblTransactions[[#This Row],[tenant_id]],tblTenants[tenant_id],tblTenants[category],"NOT FOUND")</f>
        <v>Casual Dining</v>
      </c>
    </row>
    <row r="1089" spans="1:17">
      <c r="A1089" t="s">
        <v>1133</v>
      </c>
      <c r="B1089" s="2">
        <v>45783</v>
      </c>
      <c r="C1089">
        <v>21</v>
      </c>
      <c r="D1089" t="s">
        <v>23</v>
      </c>
      <c r="E1089" t="s">
        <v>21</v>
      </c>
      <c r="F1089" s="7">
        <v>751.21</v>
      </c>
      <c r="G1089" s="10">
        <v>0.3</v>
      </c>
      <c r="H1089" s="7">
        <v>525.85</v>
      </c>
      <c r="I1089">
        <v>3</v>
      </c>
      <c r="J1089" t="s">
        <v>13</v>
      </c>
      <c r="K1089" s="13">
        <f>ROUND(tblTransactions[[#This Row],[gross_sales_inr]]*(1-tblTransactions[[#This Row],[discount_pct]]),2)</f>
        <v>525.85</v>
      </c>
      <c r="L1089" t="str">
        <f>IF(ABS(tblTransactions[[#This Row],[net_sales_inr]]-tblTransactions[[#This Row],[Recalc_Net_Sales]])&lt;0.02,"OK","CHECK")</f>
        <v>OK</v>
      </c>
      <c r="M1089" s="14">
        <f>DATE(YEAR(tblTransactions[[#This Row],[date]]),MONTH(tblTransactions[[#This Row],[date]]),1)</f>
        <v>45778</v>
      </c>
      <c r="N1089" t="str">
        <f>IF(WEEKDAY(tblTransactions[[#This Row],[date]],2)&gt;5,"Weekend","Weekday")</f>
        <v>Weekday</v>
      </c>
      <c r="O1089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089" s="13" t="str">
        <f>_xlfn.XLOOKUP(tblTransactions[[#This Row],[tenant_id]],tblTenants[tenant_id],tblTenants[zone],"NOT FOUND")</f>
        <v>Entertainment</v>
      </c>
      <c r="Q1089" s="13" t="str">
        <f>_xlfn.XLOOKUP(tblTransactions[[#This Row],[tenant_id]],tblTenants[tenant_id],tblTenants[category],"NOT FOUND")</f>
        <v>Cinema</v>
      </c>
    </row>
    <row r="1090" spans="1:17">
      <c r="A1090" t="s">
        <v>1134</v>
      </c>
      <c r="B1090" s="2">
        <v>45770</v>
      </c>
      <c r="C1090">
        <v>13</v>
      </c>
      <c r="D1090" t="s">
        <v>80</v>
      </c>
      <c r="E1090" t="s">
        <v>21</v>
      </c>
      <c r="F1090" s="7">
        <v>1295.03</v>
      </c>
      <c r="G1090" s="10">
        <v>0</v>
      </c>
      <c r="H1090" s="7">
        <v>1295.03</v>
      </c>
      <c r="I1090">
        <v>2</v>
      </c>
      <c r="J1090" t="s">
        <v>13</v>
      </c>
      <c r="K1090" s="13">
        <f>ROUND(tblTransactions[[#This Row],[gross_sales_inr]]*(1-tblTransactions[[#This Row],[discount_pct]]),2)</f>
        <v>1295.03</v>
      </c>
      <c r="L1090" t="str">
        <f>IF(ABS(tblTransactions[[#This Row],[net_sales_inr]]-tblTransactions[[#This Row],[Recalc_Net_Sales]])&lt;0.02,"OK","CHECK")</f>
        <v>OK</v>
      </c>
      <c r="M1090" s="14">
        <f>DATE(YEAR(tblTransactions[[#This Row],[date]]),MONTH(tblTransactions[[#This Row],[date]]),1)</f>
        <v>45748</v>
      </c>
      <c r="N1090" t="str">
        <f>IF(WEEKDAY(tblTransactions[[#This Row],[date]],2)&gt;5,"Weekend","Weekday")</f>
        <v>Weekday</v>
      </c>
      <c r="O1090" s="13" t="str">
        <f>IF(tblTransactions[[#This Row],[discount_pct]]=0,"0%",IF(tblTransactions[[#This Row],[discount_pct]]&lt;=10%,"1–
10%",IF(tblTransactions[[#This Row],[discount_pct]]&lt;=20%,"11–20%","&gt;20%")))</f>
        <v>0%</v>
      </c>
      <c r="P1090" s="13" t="str">
        <f>_xlfn.XLOOKUP(tblTransactions[[#This Row],[tenant_id]],tblTenants[tenant_id],tblTenants[zone],"NOT FOUND")</f>
        <v>Food Court</v>
      </c>
      <c r="Q1090" s="13" t="str">
        <f>_xlfn.XLOOKUP(tblTransactions[[#This Row],[tenant_id]],tblTenants[tenant_id],tblTenants[category],"NOT FOUND")</f>
        <v>Casual Dining</v>
      </c>
    </row>
    <row r="1091" spans="1:17">
      <c r="A1091" t="s">
        <v>1135</v>
      </c>
      <c r="B1091" s="2">
        <v>45836</v>
      </c>
      <c r="C1091">
        <v>16</v>
      </c>
      <c r="D1091" t="s">
        <v>43</v>
      </c>
      <c r="E1091" t="s">
        <v>12</v>
      </c>
      <c r="F1091" s="7">
        <v>1035.3800000000001</v>
      </c>
      <c r="G1091" s="10">
        <v>0.15</v>
      </c>
      <c r="H1091" s="7">
        <v>880.07</v>
      </c>
      <c r="I1091">
        <v>1</v>
      </c>
      <c r="J1091" t="s">
        <v>16</v>
      </c>
      <c r="K1091" s="13">
        <f>ROUND(tblTransactions[[#This Row],[gross_sales_inr]]*(1-tblTransactions[[#This Row],[discount_pct]]),2)</f>
        <v>880.07</v>
      </c>
      <c r="L1091" t="str">
        <f>IF(ABS(tblTransactions[[#This Row],[net_sales_inr]]-tblTransactions[[#This Row],[Recalc_Net_Sales]])&lt;0.02,"OK","CHECK")</f>
        <v>OK</v>
      </c>
      <c r="M1091" s="14">
        <f>DATE(YEAR(tblTransactions[[#This Row],[date]]),MONTH(tblTransactions[[#This Row],[date]]),1)</f>
        <v>45809</v>
      </c>
      <c r="N1091" t="str">
        <f>IF(WEEKDAY(tblTransactions[[#This Row],[date]],2)&gt;5,"Weekend","Weekday")</f>
        <v>Weekend</v>
      </c>
      <c r="O109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91" s="13" t="str">
        <f>_xlfn.XLOOKUP(tblTransactions[[#This Row],[tenant_id]],tblTenants[tenant_id],tblTenants[zone],"NOT FOUND")</f>
        <v>Food Court</v>
      </c>
      <c r="Q1091" s="13" t="str">
        <f>_xlfn.XLOOKUP(tblTransactions[[#This Row],[tenant_id]],tblTenants[tenant_id],tblTenants[category],"NOT FOUND")</f>
        <v>Casual Dining</v>
      </c>
    </row>
    <row r="1092" spans="1:17">
      <c r="A1092" t="s">
        <v>1136</v>
      </c>
      <c r="B1092" s="2">
        <v>45751</v>
      </c>
      <c r="C1092">
        <v>14</v>
      </c>
      <c r="D1092" t="s">
        <v>72</v>
      </c>
      <c r="E1092" t="s">
        <v>12</v>
      </c>
      <c r="F1092" s="7">
        <v>788.32</v>
      </c>
      <c r="G1092" s="10">
        <v>0.2</v>
      </c>
      <c r="H1092" s="7">
        <v>630.66</v>
      </c>
      <c r="I1092">
        <v>5</v>
      </c>
      <c r="J1092" t="s">
        <v>13</v>
      </c>
      <c r="K1092" s="13">
        <f>ROUND(tblTransactions[[#This Row],[gross_sales_inr]]*(1-tblTransactions[[#This Row],[discount_pct]]),2)</f>
        <v>630.66</v>
      </c>
      <c r="L1092" t="str">
        <f>IF(ABS(tblTransactions[[#This Row],[net_sales_inr]]-tblTransactions[[#This Row],[Recalc_Net_Sales]])&lt;0.02,"OK","CHECK")</f>
        <v>OK</v>
      </c>
      <c r="M1092" s="14">
        <f>DATE(YEAR(tblTransactions[[#This Row],[date]]),MONTH(tblTransactions[[#This Row],[date]]),1)</f>
        <v>45748</v>
      </c>
      <c r="N1092" t="str">
        <f>IF(WEEKDAY(tblTransactions[[#This Row],[date]],2)&gt;5,"Weekend","Weekday")</f>
        <v>Weekday</v>
      </c>
      <c r="O109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92" s="13" t="str">
        <f>_xlfn.XLOOKUP(tblTransactions[[#This Row],[tenant_id]],tblTenants[tenant_id],tblTenants[zone],"NOT FOUND")</f>
        <v>Entertainment</v>
      </c>
      <c r="Q1092" s="13" t="str">
        <f>_xlfn.XLOOKUP(tblTransactions[[#This Row],[tenant_id]],tblTenants[tenant_id],tblTenants[category],"NOT FOUND")</f>
        <v>Arcade</v>
      </c>
    </row>
    <row r="1093" spans="1:17">
      <c r="A1093" t="s">
        <v>1137</v>
      </c>
      <c r="B1093" s="2">
        <v>45741</v>
      </c>
      <c r="C1093">
        <v>14</v>
      </c>
      <c r="D1093" t="s">
        <v>70</v>
      </c>
      <c r="E1093" t="s">
        <v>12</v>
      </c>
      <c r="F1093" s="7">
        <v>1473.23</v>
      </c>
      <c r="G1093" s="10">
        <v>0</v>
      </c>
      <c r="H1093" s="7">
        <v>1473.23</v>
      </c>
      <c r="I1093">
        <v>2</v>
      </c>
      <c r="J1093" t="s">
        <v>13</v>
      </c>
      <c r="K1093" s="13">
        <f>ROUND(tblTransactions[[#This Row],[gross_sales_inr]]*(1-tblTransactions[[#This Row],[discount_pct]]),2)</f>
        <v>1473.23</v>
      </c>
      <c r="L1093" t="str">
        <f>IF(ABS(tblTransactions[[#This Row],[net_sales_inr]]-tblTransactions[[#This Row],[Recalc_Net_Sales]])&lt;0.02,"OK","CHECK")</f>
        <v>OK</v>
      </c>
      <c r="M1093" s="14">
        <f>DATE(YEAR(tblTransactions[[#This Row],[date]]),MONTH(tblTransactions[[#This Row],[date]]),1)</f>
        <v>45717</v>
      </c>
      <c r="N1093" t="str">
        <f>IF(WEEKDAY(tblTransactions[[#This Row],[date]],2)&gt;5,"Weekend","Weekday")</f>
        <v>Weekday</v>
      </c>
      <c r="O1093" s="13" t="str">
        <f>IF(tblTransactions[[#This Row],[discount_pct]]=0,"0%",IF(tblTransactions[[#This Row],[discount_pct]]&lt;=10%,"1–
10%",IF(tblTransactions[[#This Row],[discount_pct]]&lt;=20%,"11–20%","&gt;20%")))</f>
        <v>0%</v>
      </c>
      <c r="P1093" s="13" t="str">
        <f>_xlfn.XLOOKUP(tblTransactions[[#This Row],[tenant_id]],tblTenants[tenant_id],tblTenants[zone],"NOT FOUND")</f>
        <v>Food Court</v>
      </c>
      <c r="Q1093" s="13" t="str">
        <f>_xlfn.XLOOKUP(tblTransactions[[#This Row],[tenant_id]],tblTenants[tenant_id],tblTenants[category],"NOT FOUND")</f>
        <v>Quick Service</v>
      </c>
    </row>
    <row r="1094" spans="1:17">
      <c r="A1094" t="s">
        <v>1138</v>
      </c>
      <c r="B1094" s="2">
        <v>45660</v>
      </c>
      <c r="C1094">
        <v>11</v>
      </c>
      <c r="D1094" t="s">
        <v>27</v>
      </c>
      <c r="E1094" t="s">
        <v>51</v>
      </c>
      <c r="F1094" s="7">
        <v>322.91000000000003</v>
      </c>
      <c r="G1094" s="10">
        <v>0</v>
      </c>
      <c r="H1094" s="7">
        <v>322.91000000000003</v>
      </c>
      <c r="I1094">
        <v>2</v>
      </c>
      <c r="J1094" t="s">
        <v>16</v>
      </c>
      <c r="K1094" s="13">
        <f>ROUND(tblTransactions[[#This Row],[gross_sales_inr]]*(1-tblTransactions[[#This Row],[discount_pct]]),2)</f>
        <v>322.91000000000003</v>
      </c>
      <c r="L1094" t="str">
        <f>IF(ABS(tblTransactions[[#This Row],[net_sales_inr]]-tblTransactions[[#This Row],[Recalc_Net_Sales]])&lt;0.02,"OK","CHECK")</f>
        <v>OK</v>
      </c>
      <c r="M1094" s="14">
        <f>DATE(YEAR(tblTransactions[[#This Row],[date]]),MONTH(tblTransactions[[#This Row],[date]]),1)</f>
        <v>45658</v>
      </c>
      <c r="N1094" t="str">
        <f>IF(WEEKDAY(tblTransactions[[#This Row],[date]],2)&gt;5,"Weekend","Weekday")</f>
        <v>Weekday</v>
      </c>
      <c r="O1094" s="13" t="str">
        <f>IF(tblTransactions[[#This Row],[discount_pct]]=0,"0%",IF(tblTransactions[[#This Row],[discount_pct]]&lt;=10%,"1–
10%",IF(tblTransactions[[#This Row],[discount_pct]]&lt;=20%,"11–20%","&gt;20%")))</f>
        <v>0%</v>
      </c>
      <c r="P1094" s="13" t="str">
        <f>_xlfn.XLOOKUP(tblTransactions[[#This Row],[tenant_id]],tblTenants[tenant_id],tblTenants[zone],"NOT FOUND")</f>
        <v>Beauty &amp; Wellness</v>
      </c>
      <c r="Q1094" s="13" t="str">
        <f>_xlfn.XLOOKUP(tblTransactions[[#This Row],[tenant_id]],tblTenants[tenant_id],tblTenants[category],"NOT FOUND")</f>
        <v>Wellness</v>
      </c>
    </row>
    <row r="1095" spans="1:17">
      <c r="A1095" t="s">
        <v>1139</v>
      </c>
      <c r="B1095" s="2">
        <v>45731</v>
      </c>
      <c r="C1095">
        <v>17</v>
      </c>
      <c r="D1095" t="s">
        <v>55</v>
      </c>
      <c r="E1095" t="s">
        <v>21</v>
      </c>
      <c r="F1095" s="7">
        <v>754.54</v>
      </c>
      <c r="G1095" s="10">
        <v>0.15</v>
      </c>
      <c r="H1095" s="7">
        <v>641.36</v>
      </c>
      <c r="I1095">
        <v>5</v>
      </c>
      <c r="J1095" t="s">
        <v>13</v>
      </c>
      <c r="K1095" s="13">
        <f>ROUND(tblTransactions[[#This Row],[gross_sales_inr]]*(1-tblTransactions[[#This Row],[discount_pct]]),2)</f>
        <v>641.36</v>
      </c>
      <c r="L1095" t="str">
        <f>IF(ABS(tblTransactions[[#This Row],[net_sales_inr]]-tblTransactions[[#This Row],[Recalc_Net_Sales]])&lt;0.02,"OK","CHECK")</f>
        <v>OK</v>
      </c>
      <c r="M1095" s="14">
        <f>DATE(YEAR(tblTransactions[[#This Row],[date]]),MONTH(tblTransactions[[#This Row],[date]]),1)</f>
        <v>45717</v>
      </c>
      <c r="N1095" t="str">
        <f>IF(WEEKDAY(tblTransactions[[#This Row],[date]],2)&gt;5,"Weekend","Weekday")</f>
        <v>Weekend</v>
      </c>
      <c r="O109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95" s="13" t="str">
        <f>_xlfn.XLOOKUP(tblTransactions[[#This Row],[tenant_id]],tblTenants[tenant_id],tblTenants[zone],"NOT FOUND")</f>
        <v>Food Court</v>
      </c>
      <c r="Q1095" s="13" t="str">
        <f>_xlfn.XLOOKUP(tblTransactions[[#This Row],[tenant_id]],tblTenants[tenant_id],tblTenants[category],"NOT FOUND")</f>
        <v>Quick Service</v>
      </c>
    </row>
    <row r="1096" spans="1:17">
      <c r="A1096" t="s">
        <v>1140</v>
      </c>
      <c r="B1096" s="2">
        <v>45694</v>
      </c>
      <c r="C1096">
        <v>21</v>
      </c>
      <c r="D1096" t="s">
        <v>53</v>
      </c>
      <c r="E1096" t="s">
        <v>21</v>
      </c>
      <c r="F1096" s="7">
        <v>1216.8900000000001</v>
      </c>
      <c r="G1096" s="10">
        <v>0.15</v>
      </c>
      <c r="H1096" s="7">
        <v>1034.3599999999999</v>
      </c>
      <c r="I1096">
        <v>2</v>
      </c>
      <c r="J1096" t="s">
        <v>13</v>
      </c>
      <c r="K1096" s="13">
        <f>ROUND(tblTransactions[[#This Row],[gross_sales_inr]]*(1-tblTransactions[[#This Row],[discount_pct]]),2)</f>
        <v>1034.3599999999999</v>
      </c>
      <c r="L1096" t="str">
        <f>IF(ABS(tblTransactions[[#This Row],[net_sales_inr]]-tblTransactions[[#This Row],[Recalc_Net_Sales]])&lt;0.02,"OK","CHECK")</f>
        <v>OK</v>
      </c>
      <c r="M1096" s="14">
        <f>DATE(YEAR(tblTransactions[[#This Row],[date]]),MONTH(tblTransactions[[#This Row],[date]]),1)</f>
        <v>45689</v>
      </c>
      <c r="N1096" t="str">
        <f>IF(WEEKDAY(tblTransactions[[#This Row],[date]],2)&gt;5,"Weekend","Weekday")</f>
        <v>Weekday</v>
      </c>
      <c r="O109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096" s="13" t="str">
        <f>_xlfn.XLOOKUP(tblTransactions[[#This Row],[tenant_id]],tblTenants[tenant_id],tblTenants[zone],"NOT FOUND")</f>
        <v>Beauty &amp; Wellness</v>
      </c>
      <c r="Q1096" s="13" t="str">
        <f>_xlfn.XLOOKUP(tblTransactions[[#This Row],[tenant_id]],tblTenants[tenant_id],tblTenants[category],"NOT FOUND")</f>
        <v>Beauty</v>
      </c>
    </row>
    <row r="1097" spans="1:17">
      <c r="A1097" t="s">
        <v>1141</v>
      </c>
      <c r="B1097" s="2">
        <v>45812</v>
      </c>
      <c r="C1097">
        <v>12</v>
      </c>
      <c r="D1097" t="s">
        <v>27</v>
      </c>
      <c r="E1097" t="s">
        <v>32</v>
      </c>
      <c r="F1097" s="7">
        <v>375.83</v>
      </c>
      <c r="G1097" s="10">
        <v>0</v>
      </c>
      <c r="H1097" s="7">
        <v>375.83</v>
      </c>
      <c r="I1097">
        <v>3</v>
      </c>
      <c r="J1097" t="s">
        <v>16</v>
      </c>
      <c r="K1097" s="13">
        <f>ROUND(tblTransactions[[#This Row],[gross_sales_inr]]*(1-tblTransactions[[#This Row],[discount_pct]]),2)</f>
        <v>375.83</v>
      </c>
      <c r="L1097" t="str">
        <f>IF(ABS(tblTransactions[[#This Row],[net_sales_inr]]-tblTransactions[[#This Row],[Recalc_Net_Sales]])&lt;0.02,"OK","CHECK")</f>
        <v>OK</v>
      </c>
      <c r="M1097" s="14">
        <f>DATE(YEAR(tblTransactions[[#This Row],[date]]),MONTH(tblTransactions[[#This Row],[date]]),1)</f>
        <v>45809</v>
      </c>
      <c r="N1097" t="str">
        <f>IF(WEEKDAY(tblTransactions[[#This Row],[date]],2)&gt;5,"Weekend","Weekday")</f>
        <v>Weekday</v>
      </c>
      <c r="O1097" s="13" t="str">
        <f>IF(tblTransactions[[#This Row],[discount_pct]]=0,"0%",IF(tblTransactions[[#This Row],[discount_pct]]&lt;=10%,"1–
10%",IF(tblTransactions[[#This Row],[discount_pct]]&lt;=20%,"11–20%","&gt;20%")))</f>
        <v>0%</v>
      </c>
      <c r="P1097" s="13" t="str">
        <f>_xlfn.XLOOKUP(tblTransactions[[#This Row],[tenant_id]],tblTenants[tenant_id],tblTenants[zone],"NOT FOUND")</f>
        <v>Beauty &amp; Wellness</v>
      </c>
      <c r="Q1097" s="13" t="str">
        <f>_xlfn.XLOOKUP(tblTransactions[[#This Row],[tenant_id]],tblTenants[tenant_id],tblTenants[category],"NOT FOUND")</f>
        <v>Wellness</v>
      </c>
    </row>
    <row r="1098" spans="1:17">
      <c r="A1098" t="s">
        <v>1142</v>
      </c>
      <c r="B1098" s="2">
        <v>45774</v>
      </c>
      <c r="C1098">
        <v>11</v>
      </c>
      <c r="D1098" t="s">
        <v>43</v>
      </c>
      <c r="E1098" t="s">
        <v>32</v>
      </c>
      <c r="F1098" s="7">
        <v>1479.84</v>
      </c>
      <c r="G1098" s="10">
        <v>0.1</v>
      </c>
      <c r="H1098" s="7">
        <v>1331.86</v>
      </c>
      <c r="I1098">
        <v>1</v>
      </c>
      <c r="J1098" t="s">
        <v>13</v>
      </c>
      <c r="K1098" s="13">
        <f>ROUND(tblTransactions[[#This Row],[gross_sales_inr]]*(1-tblTransactions[[#This Row],[discount_pct]]),2)</f>
        <v>1331.86</v>
      </c>
      <c r="L1098" t="str">
        <f>IF(ABS(tblTransactions[[#This Row],[net_sales_inr]]-tblTransactions[[#This Row],[Recalc_Net_Sales]])&lt;0.02,"OK","CHECK")</f>
        <v>OK</v>
      </c>
      <c r="M1098" s="14">
        <f>DATE(YEAR(tblTransactions[[#This Row],[date]]),MONTH(tblTransactions[[#This Row],[date]]),1)</f>
        <v>45748</v>
      </c>
      <c r="N1098" t="str">
        <f>IF(WEEKDAY(tblTransactions[[#This Row],[date]],2)&gt;5,"Weekend","Weekday")</f>
        <v>Weekend</v>
      </c>
      <c r="O109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098" s="13" t="str">
        <f>_xlfn.XLOOKUP(tblTransactions[[#This Row],[tenant_id]],tblTenants[tenant_id],tblTenants[zone],"NOT FOUND")</f>
        <v>Food Court</v>
      </c>
      <c r="Q1098" s="13" t="str">
        <f>_xlfn.XLOOKUP(tblTransactions[[#This Row],[tenant_id]],tblTenants[tenant_id],tblTenants[category],"NOT FOUND")</f>
        <v>Casual Dining</v>
      </c>
    </row>
    <row r="1099" spans="1:17">
      <c r="A1099" t="s">
        <v>1143</v>
      </c>
      <c r="B1099" s="2">
        <v>45779</v>
      </c>
      <c r="C1099">
        <v>18</v>
      </c>
      <c r="D1099" t="s">
        <v>104</v>
      </c>
      <c r="E1099" t="s">
        <v>12</v>
      </c>
      <c r="F1099" s="7">
        <v>672.78</v>
      </c>
      <c r="G1099" s="10">
        <v>0</v>
      </c>
      <c r="H1099" s="7">
        <v>672.78</v>
      </c>
      <c r="I1099">
        <v>2</v>
      </c>
      <c r="J1099" t="s">
        <v>16</v>
      </c>
      <c r="K1099" s="13">
        <f>ROUND(tblTransactions[[#This Row],[gross_sales_inr]]*(1-tblTransactions[[#This Row],[discount_pct]]),2)</f>
        <v>672.78</v>
      </c>
      <c r="L1099" t="str">
        <f>IF(ABS(tblTransactions[[#This Row],[net_sales_inr]]-tblTransactions[[#This Row],[Recalc_Net_Sales]])&lt;0.02,"OK","CHECK")</f>
        <v>OK</v>
      </c>
      <c r="M1099" s="14">
        <f>DATE(YEAR(tblTransactions[[#This Row],[date]]),MONTH(tblTransactions[[#This Row],[date]]),1)</f>
        <v>45778</v>
      </c>
      <c r="N1099" t="str">
        <f>IF(WEEKDAY(tblTransactions[[#This Row],[date]],2)&gt;5,"Weekend","Weekday")</f>
        <v>Weekday</v>
      </c>
      <c r="O1099" s="13" t="str">
        <f>IF(tblTransactions[[#This Row],[discount_pct]]=0,"0%",IF(tblTransactions[[#This Row],[discount_pct]]&lt;=10%,"1–
10%",IF(tblTransactions[[#This Row],[discount_pct]]&lt;=20%,"11–20%","&gt;20%")))</f>
        <v>0%</v>
      </c>
      <c r="P1099" s="13" t="str">
        <f>_xlfn.XLOOKUP(tblTransactions[[#This Row],[tenant_id]],tblTenants[tenant_id],tblTenants[zone],"NOT FOUND")</f>
        <v>Entertainment</v>
      </c>
      <c r="Q1099" s="13" t="str">
        <f>_xlfn.XLOOKUP(tblTransactions[[#This Row],[tenant_id]],tblTenants[tenant_id],tblTenants[category],"NOT FOUND")</f>
        <v>Family Entertainment</v>
      </c>
    </row>
    <row r="1100" spans="1:17">
      <c r="A1100" t="s">
        <v>1144</v>
      </c>
      <c r="B1100" s="2">
        <v>45819</v>
      </c>
      <c r="C1100">
        <v>17</v>
      </c>
      <c r="D1100" t="s">
        <v>43</v>
      </c>
      <c r="E1100" t="s">
        <v>21</v>
      </c>
      <c r="F1100" s="7">
        <v>872.37</v>
      </c>
      <c r="G1100" s="10">
        <v>0</v>
      </c>
      <c r="H1100" s="7">
        <v>872.37</v>
      </c>
      <c r="I1100">
        <v>2</v>
      </c>
      <c r="J1100" t="s">
        <v>13</v>
      </c>
      <c r="K1100" s="13">
        <f>ROUND(tblTransactions[[#This Row],[gross_sales_inr]]*(1-tblTransactions[[#This Row],[discount_pct]]),2)</f>
        <v>872.37</v>
      </c>
      <c r="L1100" t="str">
        <f>IF(ABS(tblTransactions[[#This Row],[net_sales_inr]]-tblTransactions[[#This Row],[Recalc_Net_Sales]])&lt;0.02,"OK","CHECK")</f>
        <v>OK</v>
      </c>
      <c r="M1100" s="14">
        <f>DATE(YEAR(tblTransactions[[#This Row],[date]]),MONTH(tblTransactions[[#This Row],[date]]),1)</f>
        <v>45809</v>
      </c>
      <c r="N1100" t="str">
        <f>IF(WEEKDAY(tblTransactions[[#This Row],[date]],2)&gt;5,"Weekend","Weekday")</f>
        <v>Weekday</v>
      </c>
      <c r="O1100" s="13" t="str">
        <f>IF(tblTransactions[[#This Row],[discount_pct]]=0,"0%",IF(tblTransactions[[#This Row],[discount_pct]]&lt;=10%,"1–
10%",IF(tblTransactions[[#This Row],[discount_pct]]&lt;=20%,"11–20%","&gt;20%")))</f>
        <v>0%</v>
      </c>
      <c r="P1100" s="13" t="str">
        <f>_xlfn.XLOOKUP(tblTransactions[[#This Row],[tenant_id]],tblTenants[tenant_id],tblTenants[zone],"NOT FOUND")</f>
        <v>Food Court</v>
      </c>
      <c r="Q1100" s="13" t="str">
        <f>_xlfn.XLOOKUP(tblTransactions[[#This Row],[tenant_id]],tblTenants[tenant_id],tblTenants[category],"NOT FOUND")</f>
        <v>Casual Dining</v>
      </c>
    </row>
    <row r="1101" spans="1:17">
      <c r="A1101" t="s">
        <v>1145</v>
      </c>
      <c r="B1101" s="2">
        <v>45705</v>
      </c>
      <c r="C1101">
        <v>18</v>
      </c>
      <c r="D1101" t="s">
        <v>72</v>
      </c>
      <c r="E1101" t="s">
        <v>12</v>
      </c>
      <c r="F1101" s="7">
        <v>901.03</v>
      </c>
      <c r="G1101" s="10">
        <v>0</v>
      </c>
      <c r="H1101" s="7">
        <v>901.03</v>
      </c>
      <c r="I1101">
        <v>3</v>
      </c>
      <c r="J1101" t="s">
        <v>13</v>
      </c>
      <c r="K1101" s="13">
        <f>ROUND(tblTransactions[[#This Row],[gross_sales_inr]]*(1-tblTransactions[[#This Row],[discount_pct]]),2)</f>
        <v>901.03</v>
      </c>
      <c r="L1101" t="str">
        <f>IF(ABS(tblTransactions[[#This Row],[net_sales_inr]]-tblTransactions[[#This Row],[Recalc_Net_Sales]])&lt;0.02,"OK","CHECK")</f>
        <v>OK</v>
      </c>
      <c r="M1101" s="14">
        <f>DATE(YEAR(tblTransactions[[#This Row],[date]]),MONTH(tblTransactions[[#This Row],[date]]),1)</f>
        <v>45689</v>
      </c>
      <c r="N1101" t="str">
        <f>IF(WEEKDAY(tblTransactions[[#This Row],[date]],2)&gt;5,"Weekend","Weekday")</f>
        <v>Weekday</v>
      </c>
      <c r="O1101" s="13" t="str">
        <f>IF(tblTransactions[[#This Row],[discount_pct]]=0,"0%",IF(tblTransactions[[#This Row],[discount_pct]]&lt;=10%,"1–
10%",IF(tblTransactions[[#This Row],[discount_pct]]&lt;=20%,"11–20%","&gt;20%")))</f>
        <v>0%</v>
      </c>
      <c r="P1101" s="13" t="str">
        <f>_xlfn.XLOOKUP(tblTransactions[[#This Row],[tenant_id]],tblTenants[tenant_id],tblTenants[zone],"NOT FOUND")</f>
        <v>Entertainment</v>
      </c>
      <c r="Q1101" s="13" t="str">
        <f>_xlfn.XLOOKUP(tblTransactions[[#This Row],[tenant_id]],tblTenants[tenant_id],tblTenants[category],"NOT FOUND")</f>
        <v>Arcade</v>
      </c>
    </row>
    <row r="1102" spans="1:17">
      <c r="A1102" t="s">
        <v>1146</v>
      </c>
      <c r="B1102" s="2">
        <v>45679</v>
      </c>
      <c r="C1102">
        <v>14</v>
      </c>
      <c r="D1102" t="s">
        <v>55</v>
      </c>
      <c r="E1102" t="s">
        <v>32</v>
      </c>
      <c r="F1102" s="7">
        <v>660.69</v>
      </c>
      <c r="G1102" s="10">
        <v>0.3</v>
      </c>
      <c r="H1102" s="7">
        <v>462.48</v>
      </c>
      <c r="I1102">
        <v>2</v>
      </c>
      <c r="J1102" t="s">
        <v>13</v>
      </c>
      <c r="K1102" s="13">
        <f>ROUND(tblTransactions[[#This Row],[gross_sales_inr]]*(1-tblTransactions[[#This Row],[discount_pct]]),2)</f>
        <v>462.48</v>
      </c>
      <c r="L1102" t="str">
        <f>IF(ABS(tblTransactions[[#This Row],[net_sales_inr]]-tblTransactions[[#This Row],[Recalc_Net_Sales]])&lt;0.02,"OK","CHECK")</f>
        <v>OK</v>
      </c>
      <c r="M1102" s="14">
        <f>DATE(YEAR(tblTransactions[[#This Row],[date]]),MONTH(tblTransactions[[#This Row],[date]]),1)</f>
        <v>45658</v>
      </c>
      <c r="N1102" t="str">
        <f>IF(WEEKDAY(tblTransactions[[#This Row],[date]],2)&gt;5,"Weekend","Weekday")</f>
        <v>Weekday</v>
      </c>
      <c r="O1102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102" s="13" t="str">
        <f>_xlfn.XLOOKUP(tblTransactions[[#This Row],[tenant_id]],tblTenants[tenant_id],tblTenants[zone],"NOT FOUND")</f>
        <v>Food Court</v>
      </c>
      <c r="Q1102" s="13" t="str">
        <f>_xlfn.XLOOKUP(tblTransactions[[#This Row],[tenant_id]],tblTenants[tenant_id],tblTenants[category],"NOT FOUND")</f>
        <v>Quick Service</v>
      </c>
    </row>
    <row r="1103" spans="1:17">
      <c r="A1103" t="s">
        <v>1147</v>
      </c>
      <c r="B1103" s="2">
        <v>45714</v>
      </c>
      <c r="C1103">
        <v>19</v>
      </c>
      <c r="D1103" t="s">
        <v>29</v>
      </c>
      <c r="E1103" t="s">
        <v>12</v>
      </c>
      <c r="F1103" s="7">
        <v>1379.09</v>
      </c>
      <c r="G1103" s="10">
        <v>0</v>
      </c>
      <c r="H1103" s="7">
        <v>1379.09</v>
      </c>
      <c r="I1103">
        <v>4</v>
      </c>
      <c r="J1103" t="s">
        <v>13</v>
      </c>
      <c r="K1103" s="13">
        <f>ROUND(tblTransactions[[#This Row],[gross_sales_inr]]*(1-tblTransactions[[#This Row],[discount_pct]]),2)</f>
        <v>1379.09</v>
      </c>
      <c r="L1103" t="str">
        <f>IF(ABS(tblTransactions[[#This Row],[net_sales_inr]]-tblTransactions[[#This Row],[Recalc_Net_Sales]])&lt;0.02,"OK","CHECK")</f>
        <v>OK</v>
      </c>
      <c r="M1103" s="14">
        <f>DATE(YEAR(tblTransactions[[#This Row],[date]]),MONTH(tblTransactions[[#This Row],[date]]),1)</f>
        <v>45689</v>
      </c>
      <c r="N1103" t="str">
        <f>IF(WEEKDAY(tblTransactions[[#This Row],[date]],2)&gt;5,"Weekend","Weekday")</f>
        <v>Weekday</v>
      </c>
      <c r="O1103" s="13" t="str">
        <f>IF(tblTransactions[[#This Row],[discount_pct]]=0,"0%",IF(tblTransactions[[#This Row],[discount_pct]]&lt;=10%,"1–
10%",IF(tblTransactions[[#This Row],[discount_pct]]&lt;=20%,"11–20%","&gt;20%")))</f>
        <v>0%</v>
      </c>
      <c r="P1103" s="13" t="str">
        <f>_xlfn.XLOOKUP(tblTransactions[[#This Row],[tenant_id]],tblTenants[tenant_id],tblTenants[zone],"NOT FOUND")</f>
        <v>Entertainment</v>
      </c>
      <c r="Q1103" s="13" t="str">
        <f>_xlfn.XLOOKUP(tblTransactions[[#This Row],[tenant_id]],tblTenants[tenant_id],tblTenants[category],"NOT FOUND")</f>
        <v>Cinema</v>
      </c>
    </row>
    <row r="1104" spans="1:17">
      <c r="A1104" t="s">
        <v>1148</v>
      </c>
      <c r="B1104" s="2">
        <v>45780</v>
      </c>
      <c r="C1104">
        <v>20</v>
      </c>
      <c r="D1104" t="s">
        <v>53</v>
      </c>
      <c r="E1104" t="s">
        <v>12</v>
      </c>
      <c r="F1104" s="7">
        <v>4322.07</v>
      </c>
      <c r="G1104" s="10">
        <v>0.05</v>
      </c>
      <c r="H1104" s="7">
        <v>4105.97</v>
      </c>
      <c r="I1104">
        <v>4</v>
      </c>
      <c r="J1104" t="s">
        <v>16</v>
      </c>
      <c r="K1104" s="13">
        <f>ROUND(tblTransactions[[#This Row],[gross_sales_inr]]*(1-tblTransactions[[#This Row],[discount_pct]]),2)</f>
        <v>4105.97</v>
      </c>
      <c r="L1104" t="str">
        <f>IF(ABS(tblTransactions[[#This Row],[net_sales_inr]]-tblTransactions[[#This Row],[Recalc_Net_Sales]])&lt;0.02,"OK","CHECK")</f>
        <v>OK</v>
      </c>
      <c r="M1104" s="14">
        <f>DATE(YEAR(tblTransactions[[#This Row],[date]]),MONTH(tblTransactions[[#This Row],[date]]),1)</f>
        <v>45778</v>
      </c>
      <c r="N1104" t="str">
        <f>IF(WEEKDAY(tblTransactions[[#This Row],[date]],2)&gt;5,"Weekend","Weekday")</f>
        <v>Weekend</v>
      </c>
      <c r="O110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04" s="13" t="str">
        <f>_xlfn.XLOOKUP(tblTransactions[[#This Row],[tenant_id]],tblTenants[tenant_id],tblTenants[zone],"NOT FOUND")</f>
        <v>Beauty &amp; Wellness</v>
      </c>
      <c r="Q1104" s="13" t="str">
        <f>_xlfn.XLOOKUP(tblTransactions[[#This Row],[tenant_id]],tblTenants[tenant_id],tblTenants[category],"NOT FOUND")</f>
        <v>Beauty</v>
      </c>
    </row>
    <row r="1105" spans="1:17">
      <c r="A1105" t="s">
        <v>1149</v>
      </c>
      <c r="B1105" s="2">
        <v>45743</v>
      </c>
      <c r="C1105">
        <v>17</v>
      </c>
      <c r="D1105" t="s">
        <v>48</v>
      </c>
      <c r="E1105" t="s">
        <v>32</v>
      </c>
      <c r="F1105" s="7">
        <v>257.94</v>
      </c>
      <c r="G1105" s="10">
        <v>0.2</v>
      </c>
      <c r="H1105" s="7">
        <v>206.35</v>
      </c>
      <c r="I1105">
        <v>6</v>
      </c>
      <c r="J1105" t="s">
        <v>13</v>
      </c>
      <c r="K1105" s="13">
        <f>ROUND(tblTransactions[[#This Row],[gross_sales_inr]]*(1-tblTransactions[[#This Row],[discount_pct]]),2)</f>
        <v>206.35</v>
      </c>
      <c r="L1105" t="str">
        <f>IF(ABS(tblTransactions[[#This Row],[net_sales_inr]]-tblTransactions[[#This Row],[Recalc_Net_Sales]])&lt;0.02,"OK","CHECK")</f>
        <v>OK</v>
      </c>
      <c r="M1105" s="14">
        <f>DATE(YEAR(tblTransactions[[#This Row],[date]]),MONTH(tblTransactions[[#This Row],[date]]),1)</f>
        <v>45717</v>
      </c>
      <c r="N1105" t="str">
        <f>IF(WEEKDAY(tblTransactions[[#This Row],[date]],2)&gt;5,"Weekend","Weekday")</f>
        <v>Weekday</v>
      </c>
      <c r="O110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05" s="13" t="str">
        <f>_xlfn.XLOOKUP(tblTransactions[[#This Row],[tenant_id]],tblTenants[tenant_id],tblTenants[zone],"NOT FOUND")</f>
        <v>Beauty &amp; Wellness</v>
      </c>
      <c r="Q1105" s="13" t="str">
        <f>_xlfn.XLOOKUP(tblTransactions[[#This Row],[tenant_id]],tblTenants[tenant_id],tblTenants[category],"NOT FOUND")</f>
        <v>Wellness</v>
      </c>
    </row>
    <row r="1106" spans="1:17">
      <c r="A1106" t="s">
        <v>1150</v>
      </c>
      <c r="B1106" s="2">
        <v>45835</v>
      </c>
      <c r="C1106">
        <v>19</v>
      </c>
      <c r="D1106" t="s">
        <v>59</v>
      </c>
      <c r="E1106" t="s">
        <v>32</v>
      </c>
      <c r="F1106" s="7">
        <v>1318.32</v>
      </c>
      <c r="G1106" s="10">
        <v>0.3</v>
      </c>
      <c r="H1106" s="7">
        <v>922.82</v>
      </c>
      <c r="I1106">
        <v>1</v>
      </c>
      <c r="J1106" t="s">
        <v>13</v>
      </c>
      <c r="K1106" s="13">
        <f>ROUND(tblTransactions[[#This Row],[gross_sales_inr]]*(1-tblTransactions[[#This Row],[discount_pct]]),2)</f>
        <v>922.82</v>
      </c>
      <c r="L1106" t="str">
        <f>IF(ABS(tblTransactions[[#This Row],[net_sales_inr]]-tblTransactions[[#This Row],[Recalc_Net_Sales]])&lt;0.02,"OK","CHECK")</f>
        <v>OK</v>
      </c>
      <c r="M1106" s="14">
        <f>DATE(YEAR(tblTransactions[[#This Row],[date]]),MONTH(tblTransactions[[#This Row],[date]]),1)</f>
        <v>45809</v>
      </c>
      <c r="N1106" t="str">
        <f>IF(WEEKDAY(tblTransactions[[#This Row],[date]],2)&gt;5,"Weekend","Weekday")</f>
        <v>Weekday</v>
      </c>
      <c r="O1106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106" s="13" t="str">
        <f>_xlfn.XLOOKUP(tblTransactions[[#This Row],[tenant_id]],tblTenants[tenant_id],tblTenants[zone],"NOT FOUND")</f>
        <v>Fashion Avenue</v>
      </c>
      <c r="Q1106" s="13" t="str">
        <f>_xlfn.XLOOKUP(tblTransactions[[#This Row],[tenant_id]],tblTenants[tenant_id],tblTenants[category],"NOT FOUND")</f>
        <v>Footwear</v>
      </c>
    </row>
    <row r="1107" spans="1:17">
      <c r="A1107" t="s">
        <v>1151</v>
      </c>
      <c r="B1107" s="2">
        <v>45704</v>
      </c>
      <c r="C1107">
        <v>11</v>
      </c>
      <c r="D1107" t="s">
        <v>61</v>
      </c>
      <c r="E1107" t="s">
        <v>32</v>
      </c>
      <c r="F1107" s="7">
        <v>1583.16</v>
      </c>
      <c r="G1107" s="10">
        <v>0</v>
      </c>
      <c r="H1107" s="7">
        <v>1583.16</v>
      </c>
      <c r="I1107">
        <v>1</v>
      </c>
      <c r="J1107" t="s">
        <v>13</v>
      </c>
      <c r="K1107" s="13">
        <f>ROUND(tblTransactions[[#This Row],[gross_sales_inr]]*(1-tblTransactions[[#This Row],[discount_pct]]),2)</f>
        <v>1583.16</v>
      </c>
      <c r="L1107" t="str">
        <f>IF(ABS(tblTransactions[[#This Row],[net_sales_inr]]-tblTransactions[[#This Row],[Recalc_Net_Sales]])&lt;0.02,"OK","CHECK")</f>
        <v>OK</v>
      </c>
      <c r="M1107" s="14">
        <f>DATE(YEAR(tblTransactions[[#This Row],[date]]),MONTH(tblTransactions[[#This Row],[date]]),1)</f>
        <v>45689</v>
      </c>
      <c r="N1107" t="str">
        <f>IF(WEEKDAY(tblTransactions[[#This Row],[date]],2)&gt;5,"Weekend","Weekday")</f>
        <v>Weekend</v>
      </c>
      <c r="O1107" s="13" t="str">
        <f>IF(tblTransactions[[#This Row],[discount_pct]]=0,"0%",IF(tblTransactions[[#This Row],[discount_pct]]&lt;=10%,"1–
10%",IF(tblTransactions[[#This Row],[discount_pct]]&lt;=20%,"11–20%","&gt;20%")))</f>
        <v>0%</v>
      </c>
      <c r="P1107" s="13" t="str">
        <f>_xlfn.XLOOKUP(tblTransactions[[#This Row],[tenant_id]],tblTenants[tenant_id],tblTenants[zone],"NOT FOUND")</f>
        <v>Food Court</v>
      </c>
      <c r="Q1107" s="13" t="str">
        <f>_xlfn.XLOOKUP(tblTransactions[[#This Row],[tenant_id]],tblTenants[tenant_id],tblTenants[category],"NOT FOUND")</f>
        <v>Quick Service</v>
      </c>
    </row>
    <row r="1108" spans="1:17">
      <c r="A1108" t="s">
        <v>1152</v>
      </c>
      <c r="B1108" s="2">
        <v>45677</v>
      </c>
      <c r="C1108">
        <v>22</v>
      </c>
      <c r="D1108" t="s">
        <v>122</v>
      </c>
      <c r="E1108" t="s">
        <v>12</v>
      </c>
      <c r="F1108" s="7">
        <v>943.03</v>
      </c>
      <c r="G1108" s="10">
        <v>0</v>
      </c>
      <c r="H1108" s="7">
        <v>943.03</v>
      </c>
      <c r="I1108">
        <v>5</v>
      </c>
      <c r="J1108" t="s">
        <v>16</v>
      </c>
      <c r="K1108" s="13">
        <f>ROUND(tblTransactions[[#This Row],[gross_sales_inr]]*(1-tblTransactions[[#This Row],[discount_pct]]),2)</f>
        <v>943.03</v>
      </c>
      <c r="L1108" t="str">
        <f>IF(ABS(tblTransactions[[#This Row],[net_sales_inr]]-tblTransactions[[#This Row],[Recalc_Net_Sales]])&lt;0.02,"OK","CHECK")</f>
        <v>OK</v>
      </c>
      <c r="M1108" s="14">
        <f>DATE(YEAR(tblTransactions[[#This Row],[date]]),MONTH(tblTransactions[[#This Row],[date]]),1)</f>
        <v>45658</v>
      </c>
      <c r="N1108" t="str">
        <f>IF(WEEKDAY(tblTransactions[[#This Row],[date]],2)&gt;5,"Weekend","Weekday")</f>
        <v>Weekday</v>
      </c>
      <c r="O1108" s="13" t="str">
        <f>IF(tblTransactions[[#This Row],[discount_pct]]=0,"0%",IF(tblTransactions[[#This Row],[discount_pct]]&lt;=10%,"1–
10%",IF(tblTransactions[[#This Row],[discount_pct]]&lt;=20%,"11–20%","&gt;20%")))</f>
        <v>0%</v>
      </c>
      <c r="P1108" s="13" t="str">
        <f>_xlfn.XLOOKUP(tblTransactions[[#This Row],[tenant_id]],tblTenants[tenant_id],tblTenants[zone],"NOT FOUND")</f>
        <v>Beauty &amp; Wellness</v>
      </c>
      <c r="Q1108" s="13" t="str">
        <f>_xlfn.XLOOKUP(tblTransactions[[#This Row],[tenant_id]],tblTenants[tenant_id],tblTenants[category],"NOT FOUND")</f>
        <v>Wellness</v>
      </c>
    </row>
    <row r="1109" spans="1:17">
      <c r="A1109" t="s">
        <v>1153</v>
      </c>
      <c r="B1109" s="2">
        <v>45684</v>
      </c>
      <c r="C1109">
        <v>18</v>
      </c>
      <c r="D1109" t="s">
        <v>61</v>
      </c>
      <c r="E1109" t="s">
        <v>12</v>
      </c>
      <c r="F1109" s="7">
        <v>762.27</v>
      </c>
      <c r="G1109" s="10">
        <v>0.1</v>
      </c>
      <c r="H1109" s="7">
        <v>686.04</v>
      </c>
      <c r="I1109">
        <v>2</v>
      </c>
      <c r="J1109" t="s">
        <v>16</v>
      </c>
      <c r="K1109" s="13">
        <f>ROUND(tblTransactions[[#This Row],[gross_sales_inr]]*(1-tblTransactions[[#This Row],[discount_pct]]),2)</f>
        <v>686.04</v>
      </c>
      <c r="L1109" t="str">
        <f>IF(ABS(tblTransactions[[#This Row],[net_sales_inr]]-tblTransactions[[#This Row],[Recalc_Net_Sales]])&lt;0.02,"OK","CHECK")</f>
        <v>OK</v>
      </c>
      <c r="M1109" s="14">
        <f>DATE(YEAR(tblTransactions[[#This Row],[date]]),MONTH(tblTransactions[[#This Row],[date]]),1)</f>
        <v>45658</v>
      </c>
      <c r="N1109" t="str">
        <f>IF(WEEKDAY(tblTransactions[[#This Row],[date]],2)&gt;5,"Weekend","Weekday")</f>
        <v>Weekday</v>
      </c>
      <c r="O110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09" s="13" t="str">
        <f>_xlfn.XLOOKUP(tblTransactions[[#This Row],[tenant_id]],tblTenants[tenant_id],tblTenants[zone],"NOT FOUND")</f>
        <v>Food Court</v>
      </c>
      <c r="Q1109" s="13" t="str">
        <f>_xlfn.XLOOKUP(tblTransactions[[#This Row],[tenant_id]],tblTenants[tenant_id],tblTenants[category],"NOT FOUND")</f>
        <v>Quick Service</v>
      </c>
    </row>
    <row r="1110" spans="1:17">
      <c r="A1110" t="s">
        <v>1154</v>
      </c>
      <c r="B1110" s="2">
        <v>45697</v>
      </c>
      <c r="C1110">
        <v>18</v>
      </c>
      <c r="D1110" t="s">
        <v>204</v>
      </c>
      <c r="E1110" t="s">
        <v>51</v>
      </c>
      <c r="F1110" s="7">
        <v>511.27</v>
      </c>
      <c r="G1110" s="10">
        <v>0</v>
      </c>
      <c r="H1110" s="7">
        <v>511.27</v>
      </c>
      <c r="I1110">
        <v>2</v>
      </c>
      <c r="J1110" t="s">
        <v>13</v>
      </c>
      <c r="K1110" s="13">
        <f>ROUND(tblTransactions[[#This Row],[gross_sales_inr]]*(1-tblTransactions[[#This Row],[discount_pct]]),2)</f>
        <v>511.27</v>
      </c>
      <c r="L1110" t="str">
        <f>IF(ABS(tblTransactions[[#This Row],[net_sales_inr]]-tblTransactions[[#This Row],[Recalc_Net_Sales]])&lt;0.02,"OK","CHECK")</f>
        <v>OK</v>
      </c>
      <c r="M1110" s="14">
        <f>DATE(YEAR(tblTransactions[[#This Row],[date]]),MONTH(tblTransactions[[#This Row],[date]]),1)</f>
        <v>45689</v>
      </c>
      <c r="N1110" t="str">
        <f>IF(WEEKDAY(tblTransactions[[#This Row],[date]],2)&gt;5,"Weekend","Weekday")</f>
        <v>Weekend</v>
      </c>
      <c r="O1110" s="13" t="str">
        <f>IF(tblTransactions[[#This Row],[discount_pct]]=0,"0%",IF(tblTransactions[[#This Row],[discount_pct]]&lt;=10%,"1–
10%",IF(tblTransactions[[#This Row],[discount_pct]]&lt;=20%,"11–20%","&gt;20%")))</f>
        <v>0%</v>
      </c>
      <c r="P1110" s="13" t="str">
        <f>_xlfn.XLOOKUP(tblTransactions[[#This Row],[tenant_id]],tblTenants[tenant_id],tblTenants[zone],"NOT FOUND")</f>
        <v>Home &amp; Living</v>
      </c>
      <c r="Q1110" s="13" t="str">
        <f>_xlfn.XLOOKUP(tblTransactions[[#This Row],[tenant_id]],tblTenants[tenant_id],tblTenants[category],"NOT FOUND")</f>
        <v>Home Decor</v>
      </c>
    </row>
    <row r="1111" spans="1:17">
      <c r="A1111" t="s">
        <v>1155</v>
      </c>
      <c r="B1111" s="2">
        <v>45751</v>
      </c>
      <c r="C1111">
        <v>16</v>
      </c>
      <c r="D1111" t="s">
        <v>63</v>
      </c>
      <c r="E1111" t="s">
        <v>12</v>
      </c>
      <c r="F1111" s="7">
        <v>221.82</v>
      </c>
      <c r="G1111" s="10">
        <v>0</v>
      </c>
      <c r="H1111" s="7">
        <v>221.82</v>
      </c>
      <c r="I1111">
        <v>2</v>
      </c>
      <c r="J1111" t="s">
        <v>13</v>
      </c>
      <c r="K1111" s="13">
        <f>ROUND(tblTransactions[[#This Row],[gross_sales_inr]]*(1-tblTransactions[[#This Row],[discount_pct]]),2)</f>
        <v>221.82</v>
      </c>
      <c r="L1111" t="str">
        <f>IF(ABS(tblTransactions[[#This Row],[net_sales_inr]]-tblTransactions[[#This Row],[Recalc_Net_Sales]])&lt;0.02,"OK","CHECK")</f>
        <v>OK</v>
      </c>
      <c r="M1111" s="14">
        <f>DATE(YEAR(tblTransactions[[#This Row],[date]]),MONTH(tblTransactions[[#This Row],[date]]),1)</f>
        <v>45748</v>
      </c>
      <c r="N1111" t="str">
        <f>IF(WEEKDAY(tblTransactions[[#This Row],[date]],2)&gt;5,"Weekend","Weekday")</f>
        <v>Weekday</v>
      </c>
      <c r="O1111" s="13" t="str">
        <f>IF(tblTransactions[[#This Row],[discount_pct]]=0,"0%",IF(tblTransactions[[#This Row],[discount_pct]]&lt;=10%,"1–
10%",IF(tblTransactions[[#This Row],[discount_pct]]&lt;=20%,"11–20%","&gt;20%")))</f>
        <v>0%</v>
      </c>
      <c r="P1111" s="13" t="str">
        <f>_xlfn.XLOOKUP(tblTransactions[[#This Row],[tenant_id]],tblTenants[tenant_id],tblTenants[zone],"NOT FOUND")</f>
        <v>Entertainment</v>
      </c>
      <c r="Q1111" s="13" t="str">
        <f>_xlfn.XLOOKUP(tblTransactions[[#This Row],[tenant_id]],tblTenants[tenant_id],tblTenants[category],"NOT FOUND")</f>
        <v>Family Entertainment</v>
      </c>
    </row>
    <row r="1112" spans="1:17">
      <c r="A1112" t="s">
        <v>1156</v>
      </c>
      <c r="B1112" s="2">
        <v>45659</v>
      </c>
      <c r="C1112">
        <v>12</v>
      </c>
      <c r="D1112" t="s">
        <v>15</v>
      </c>
      <c r="E1112" t="s">
        <v>32</v>
      </c>
      <c r="F1112" s="7">
        <v>392.35</v>
      </c>
      <c r="G1112" s="10">
        <v>0.05</v>
      </c>
      <c r="H1112" s="7">
        <v>372.73</v>
      </c>
      <c r="I1112">
        <v>1</v>
      </c>
      <c r="J1112" t="s">
        <v>16</v>
      </c>
      <c r="K1112" s="13">
        <f>ROUND(tblTransactions[[#This Row],[gross_sales_inr]]*(1-tblTransactions[[#This Row],[discount_pct]]),2)</f>
        <v>372.73</v>
      </c>
      <c r="L1112" t="str">
        <f>IF(ABS(tblTransactions[[#This Row],[net_sales_inr]]-tblTransactions[[#This Row],[Recalc_Net_Sales]])&lt;0.02,"OK","CHECK")</f>
        <v>OK</v>
      </c>
      <c r="M1112" s="14">
        <f>DATE(YEAR(tblTransactions[[#This Row],[date]]),MONTH(tblTransactions[[#This Row],[date]]),1)</f>
        <v>45658</v>
      </c>
      <c r="N1112" t="str">
        <f>IF(WEEKDAY(tblTransactions[[#This Row],[date]],2)&gt;5,"Weekend","Weekday")</f>
        <v>Weekday</v>
      </c>
      <c r="O111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12" s="13" t="str">
        <f>_xlfn.XLOOKUP(tblTransactions[[#This Row],[tenant_id]],tblTenants[tenant_id],tblTenants[zone],"NOT FOUND")</f>
        <v>Fashion Avenue</v>
      </c>
      <c r="Q1112" s="13" t="str">
        <f>_xlfn.XLOOKUP(tblTransactions[[#This Row],[tenant_id]],tblTenants[tenant_id],tblTenants[category],"NOT FOUND")</f>
        <v>Accessories</v>
      </c>
    </row>
    <row r="1113" spans="1:17">
      <c r="A1113" t="s">
        <v>1157</v>
      </c>
      <c r="B1113" s="2">
        <v>45729</v>
      </c>
      <c r="C1113">
        <v>13</v>
      </c>
      <c r="D1113" t="s">
        <v>80</v>
      </c>
      <c r="E1113" t="s">
        <v>12</v>
      </c>
      <c r="F1113" s="7">
        <v>839.61</v>
      </c>
      <c r="G1113" s="10">
        <v>0.1</v>
      </c>
      <c r="H1113" s="7">
        <v>755.65</v>
      </c>
      <c r="I1113">
        <v>1</v>
      </c>
      <c r="J1113" t="s">
        <v>13</v>
      </c>
      <c r="K1113" s="13">
        <f>ROUND(tblTransactions[[#This Row],[gross_sales_inr]]*(1-tblTransactions[[#This Row],[discount_pct]]),2)</f>
        <v>755.65</v>
      </c>
      <c r="L1113" t="str">
        <f>IF(ABS(tblTransactions[[#This Row],[net_sales_inr]]-tblTransactions[[#This Row],[Recalc_Net_Sales]])&lt;0.02,"OK","CHECK")</f>
        <v>OK</v>
      </c>
      <c r="M1113" s="14">
        <f>DATE(YEAR(tblTransactions[[#This Row],[date]]),MONTH(tblTransactions[[#This Row],[date]]),1)</f>
        <v>45717</v>
      </c>
      <c r="N1113" t="str">
        <f>IF(WEEKDAY(tblTransactions[[#This Row],[date]],2)&gt;5,"Weekend","Weekday")</f>
        <v>Weekday</v>
      </c>
      <c r="O111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13" s="13" t="str">
        <f>_xlfn.XLOOKUP(tblTransactions[[#This Row],[tenant_id]],tblTenants[tenant_id],tblTenants[zone],"NOT FOUND")</f>
        <v>Food Court</v>
      </c>
      <c r="Q1113" s="13" t="str">
        <f>_xlfn.XLOOKUP(tblTransactions[[#This Row],[tenant_id]],tblTenants[tenant_id],tblTenants[category],"NOT FOUND")</f>
        <v>Casual Dining</v>
      </c>
    </row>
    <row r="1114" spans="1:17">
      <c r="A1114" t="s">
        <v>1158</v>
      </c>
      <c r="B1114" s="2">
        <v>45831</v>
      </c>
      <c r="C1114">
        <v>17</v>
      </c>
      <c r="D1114" t="s">
        <v>53</v>
      </c>
      <c r="E1114" t="s">
        <v>12</v>
      </c>
      <c r="F1114" s="7">
        <v>3215.09</v>
      </c>
      <c r="G1114" s="10">
        <v>0.05</v>
      </c>
      <c r="H1114" s="7">
        <v>3054.34</v>
      </c>
      <c r="I1114">
        <v>2</v>
      </c>
      <c r="J1114" t="s">
        <v>16</v>
      </c>
      <c r="K1114" s="13">
        <f>ROUND(tblTransactions[[#This Row],[gross_sales_inr]]*(1-tblTransactions[[#This Row],[discount_pct]]),2)</f>
        <v>3054.34</v>
      </c>
      <c r="L1114" t="str">
        <f>IF(ABS(tblTransactions[[#This Row],[net_sales_inr]]-tblTransactions[[#This Row],[Recalc_Net_Sales]])&lt;0.02,"OK","CHECK")</f>
        <v>OK</v>
      </c>
      <c r="M1114" s="14">
        <f>DATE(YEAR(tblTransactions[[#This Row],[date]]),MONTH(tblTransactions[[#This Row],[date]]),1)</f>
        <v>45809</v>
      </c>
      <c r="N1114" t="str">
        <f>IF(WEEKDAY(tblTransactions[[#This Row],[date]],2)&gt;5,"Weekend","Weekday")</f>
        <v>Weekday</v>
      </c>
      <c r="O111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14" s="13" t="str">
        <f>_xlfn.XLOOKUP(tblTransactions[[#This Row],[tenant_id]],tblTenants[tenant_id],tblTenants[zone],"NOT FOUND")</f>
        <v>Beauty &amp; Wellness</v>
      </c>
      <c r="Q1114" s="13" t="str">
        <f>_xlfn.XLOOKUP(tblTransactions[[#This Row],[tenant_id]],tblTenants[tenant_id],tblTenants[category],"NOT FOUND")</f>
        <v>Beauty</v>
      </c>
    </row>
    <row r="1115" spans="1:17">
      <c r="A1115" t="s">
        <v>1159</v>
      </c>
      <c r="B1115" s="2">
        <v>45797</v>
      </c>
      <c r="C1115">
        <v>15</v>
      </c>
      <c r="D1115" t="s">
        <v>11</v>
      </c>
      <c r="E1115" t="s">
        <v>51</v>
      </c>
      <c r="F1115" s="7">
        <v>397.43</v>
      </c>
      <c r="G1115" s="10">
        <v>0.15</v>
      </c>
      <c r="H1115" s="7">
        <v>337.82</v>
      </c>
      <c r="I1115">
        <v>3</v>
      </c>
      <c r="J1115" t="s">
        <v>13</v>
      </c>
      <c r="K1115" s="13">
        <f>ROUND(tblTransactions[[#This Row],[gross_sales_inr]]*(1-tblTransactions[[#This Row],[discount_pct]]),2)</f>
        <v>337.82</v>
      </c>
      <c r="L1115" t="str">
        <f>IF(ABS(tblTransactions[[#This Row],[net_sales_inr]]-tblTransactions[[#This Row],[Recalc_Net_Sales]])&lt;0.02,"OK","CHECK")</f>
        <v>OK</v>
      </c>
      <c r="M1115" s="14">
        <f>DATE(YEAR(tblTransactions[[#This Row],[date]]),MONTH(tblTransactions[[#This Row],[date]]),1)</f>
        <v>45778</v>
      </c>
      <c r="N1115" t="str">
        <f>IF(WEEKDAY(tblTransactions[[#This Row],[date]],2)&gt;5,"Weekend","Weekday")</f>
        <v>Weekday</v>
      </c>
      <c r="O111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15" s="13" t="str">
        <f>_xlfn.XLOOKUP(tblTransactions[[#This Row],[tenant_id]],tblTenants[tenant_id],tblTenants[zone],"NOT FOUND")</f>
        <v>Home &amp; Living</v>
      </c>
      <c r="Q1115" s="13" t="str">
        <f>_xlfn.XLOOKUP(tblTransactions[[#This Row],[tenant_id]],tblTenants[tenant_id],tblTenants[category],"NOT FOUND")</f>
        <v>Home Decor</v>
      </c>
    </row>
    <row r="1116" spans="1:17">
      <c r="A1116" t="s">
        <v>1160</v>
      </c>
      <c r="B1116" s="2">
        <v>45727</v>
      </c>
      <c r="C1116">
        <v>11</v>
      </c>
      <c r="D1116" t="s">
        <v>63</v>
      </c>
      <c r="E1116" t="s">
        <v>32</v>
      </c>
      <c r="F1116" s="7">
        <v>1080.1099999999999</v>
      </c>
      <c r="G1116" s="10">
        <v>0.05</v>
      </c>
      <c r="H1116" s="7">
        <v>1026.0999999999999</v>
      </c>
      <c r="I1116">
        <v>1</v>
      </c>
      <c r="J1116" t="s">
        <v>13</v>
      </c>
      <c r="K1116" s="13">
        <f>ROUND(tblTransactions[[#This Row],[gross_sales_inr]]*(1-tblTransactions[[#This Row],[discount_pct]]),2)</f>
        <v>1026.0999999999999</v>
      </c>
      <c r="L1116" t="str">
        <f>IF(ABS(tblTransactions[[#This Row],[net_sales_inr]]-tblTransactions[[#This Row],[Recalc_Net_Sales]])&lt;0.02,"OK","CHECK")</f>
        <v>OK</v>
      </c>
      <c r="M1116" s="14">
        <f>DATE(YEAR(tblTransactions[[#This Row],[date]]),MONTH(tblTransactions[[#This Row],[date]]),1)</f>
        <v>45717</v>
      </c>
      <c r="N1116" t="str">
        <f>IF(WEEKDAY(tblTransactions[[#This Row],[date]],2)&gt;5,"Weekend","Weekday")</f>
        <v>Weekday</v>
      </c>
      <c r="O111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16" s="13" t="str">
        <f>_xlfn.XLOOKUP(tblTransactions[[#This Row],[tenant_id]],tblTenants[tenant_id],tblTenants[zone],"NOT FOUND")</f>
        <v>Entertainment</v>
      </c>
      <c r="Q1116" s="13" t="str">
        <f>_xlfn.XLOOKUP(tblTransactions[[#This Row],[tenant_id]],tblTenants[tenant_id],tblTenants[category],"NOT FOUND")</f>
        <v>Family Entertainment</v>
      </c>
    </row>
    <row r="1117" spans="1:17">
      <c r="A1117" t="s">
        <v>1161</v>
      </c>
      <c r="B1117" s="2">
        <v>45710</v>
      </c>
      <c r="C1117">
        <v>11</v>
      </c>
      <c r="D1117" t="s">
        <v>43</v>
      </c>
      <c r="E1117" t="s">
        <v>12</v>
      </c>
      <c r="F1117" s="7">
        <v>1391.67</v>
      </c>
      <c r="G1117" s="10">
        <v>0</v>
      </c>
      <c r="H1117" s="7">
        <v>1391.67</v>
      </c>
      <c r="I1117">
        <v>2</v>
      </c>
      <c r="J1117" t="s">
        <v>16</v>
      </c>
      <c r="K1117" s="13">
        <f>ROUND(tblTransactions[[#This Row],[gross_sales_inr]]*(1-tblTransactions[[#This Row],[discount_pct]]),2)</f>
        <v>1391.67</v>
      </c>
      <c r="L1117" t="str">
        <f>IF(ABS(tblTransactions[[#This Row],[net_sales_inr]]-tblTransactions[[#This Row],[Recalc_Net_Sales]])&lt;0.02,"OK","CHECK")</f>
        <v>OK</v>
      </c>
      <c r="M1117" s="14">
        <f>DATE(YEAR(tblTransactions[[#This Row],[date]]),MONTH(tblTransactions[[#This Row],[date]]),1)</f>
        <v>45689</v>
      </c>
      <c r="N1117" t="str">
        <f>IF(WEEKDAY(tblTransactions[[#This Row],[date]],2)&gt;5,"Weekend","Weekday")</f>
        <v>Weekend</v>
      </c>
      <c r="O1117" s="13" t="str">
        <f>IF(tblTransactions[[#This Row],[discount_pct]]=0,"0%",IF(tblTransactions[[#This Row],[discount_pct]]&lt;=10%,"1–
10%",IF(tblTransactions[[#This Row],[discount_pct]]&lt;=20%,"11–20%","&gt;20%")))</f>
        <v>0%</v>
      </c>
      <c r="P1117" s="13" t="str">
        <f>_xlfn.XLOOKUP(tblTransactions[[#This Row],[tenant_id]],tblTenants[tenant_id],tblTenants[zone],"NOT FOUND")</f>
        <v>Food Court</v>
      </c>
      <c r="Q1117" s="13" t="str">
        <f>_xlfn.XLOOKUP(tblTransactions[[#This Row],[tenant_id]],tblTenants[tenant_id],tblTenants[category],"NOT FOUND")</f>
        <v>Casual Dining</v>
      </c>
    </row>
    <row r="1118" spans="1:17">
      <c r="A1118" t="s">
        <v>1162</v>
      </c>
      <c r="B1118" s="2">
        <v>45756</v>
      </c>
      <c r="C1118">
        <v>10</v>
      </c>
      <c r="D1118" t="s">
        <v>85</v>
      </c>
      <c r="E1118" t="s">
        <v>21</v>
      </c>
      <c r="F1118" s="7">
        <v>1523.65</v>
      </c>
      <c r="G1118" s="10">
        <v>0</v>
      </c>
      <c r="H1118" s="7">
        <v>1523.65</v>
      </c>
      <c r="I1118">
        <v>3</v>
      </c>
      <c r="J1118" t="s">
        <v>13</v>
      </c>
      <c r="K1118" s="13">
        <f>ROUND(tblTransactions[[#This Row],[gross_sales_inr]]*(1-tblTransactions[[#This Row],[discount_pct]]),2)</f>
        <v>1523.65</v>
      </c>
      <c r="L1118" t="str">
        <f>IF(ABS(tblTransactions[[#This Row],[net_sales_inr]]-tblTransactions[[#This Row],[Recalc_Net_Sales]])&lt;0.02,"OK","CHECK")</f>
        <v>OK</v>
      </c>
      <c r="M1118" s="14">
        <f>DATE(YEAR(tblTransactions[[#This Row],[date]]),MONTH(tblTransactions[[#This Row],[date]]),1)</f>
        <v>45748</v>
      </c>
      <c r="N1118" t="str">
        <f>IF(WEEKDAY(tblTransactions[[#This Row],[date]],2)&gt;5,"Weekend","Weekday")</f>
        <v>Weekday</v>
      </c>
      <c r="O1118" s="13" t="str">
        <f>IF(tblTransactions[[#This Row],[discount_pct]]=0,"0%",IF(tblTransactions[[#This Row],[discount_pct]]&lt;=10%,"1–
10%",IF(tblTransactions[[#This Row],[discount_pct]]&lt;=20%,"11–20%","&gt;20%")))</f>
        <v>0%</v>
      </c>
      <c r="P1118" s="13" t="str">
        <f>_xlfn.XLOOKUP(tblTransactions[[#This Row],[tenant_id]],tblTenants[tenant_id],tblTenants[zone],"NOT FOUND")</f>
        <v>Home &amp; Living</v>
      </c>
      <c r="Q1118" s="13" t="str">
        <f>_xlfn.XLOOKUP(tblTransactions[[#This Row],[tenant_id]],tblTenants[tenant_id],tblTenants[category],"NOT FOUND")</f>
        <v>Electronics</v>
      </c>
    </row>
    <row r="1119" spans="1:17">
      <c r="A1119" t="s">
        <v>1163</v>
      </c>
      <c r="B1119" s="2">
        <v>45663</v>
      </c>
      <c r="C1119">
        <v>13</v>
      </c>
      <c r="D1119" t="s">
        <v>31</v>
      </c>
      <c r="E1119" t="s">
        <v>12</v>
      </c>
      <c r="F1119" s="7">
        <v>333.19</v>
      </c>
      <c r="G1119" s="10">
        <v>0.2</v>
      </c>
      <c r="H1119" s="7">
        <v>266.55</v>
      </c>
      <c r="I1119">
        <v>1</v>
      </c>
      <c r="J1119" t="s">
        <v>16</v>
      </c>
      <c r="K1119" s="13">
        <f>ROUND(tblTransactions[[#This Row],[gross_sales_inr]]*(1-tblTransactions[[#This Row],[discount_pct]]),2)</f>
        <v>266.55</v>
      </c>
      <c r="L1119" t="str">
        <f>IF(ABS(tblTransactions[[#This Row],[net_sales_inr]]-tblTransactions[[#This Row],[Recalc_Net_Sales]])&lt;0.02,"OK","CHECK")</f>
        <v>OK</v>
      </c>
      <c r="M1119" s="14">
        <f>DATE(YEAR(tblTransactions[[#This Row],[date]]),MONTH(tblTransactions[[#This Row],[date]]),1)</f>
        <v>45658</v>
      </c>
      <c r="N1119" t="str">
        <f>IF(WEEKDAY(tblTransactions[[#This Row],[date]],2)&gt;5,"Weekend","Weekday")</f>
        <v>Weekday</v>
      </c>
      <c r="O111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19" s="13" t="str">
        <f>_xlfn.XLOOKUP(tblTransactions[[#This Row],[tenant_id]],tblTenants[tenant_id],tblTenants[zone],"NOT FOUND")</f>
        <v>Entertainment</v>
      </c>
      <c r="Q1119" s="13" t="str">
        <f>_xlfn.XLOOKUP(tblTransactions[[#This Row],[tenant_id]],tblTenants[tenant_id],tblTenants[category],"NOT FOUND")</f>
        <v>Arcade</v>
      </c>
    </row>
    <row r="1120" spans="1:17">
      <c r="A1120" t="s">
        <v>1164</v>
      </c>
      <c r="B1120" s="2">
        <v>45678</v>
      </c>
      <c r="C1120">
        <v>22</v>
      </c>
      <c r="D1120" t="s">
        <v>41</v>
      </c>
      <c r="E1120" t="s">
        <v>32</v>
      </c>
      <c r="F1120" s="7">
        <v>448.16</v>
      </c>
      <c r="G1120" s="10">
        <v>0.3</v>
      </c>
      <c r="H1120" s="7">
        <v>313.70999999999998</v>
      </c>
      <c r="I1120">
        <v>1</v>
      </c>
      <c r="J1120" t="s">
        <v>13</v>
      </c>
      <c r="K1120" s="13">
        <f>ROUND(tblTransactions[[#This Row],[gross_sales_inr]]*(1-tblTransactions[[#This Row],[discount_pct]]),2)</f>
        <v>313.70999999999998</v>
      </c>
      <c r="L1120" t="str">
        <f>IF(ABS(tblTransactions[[#This Row],[net_sales_inr]]-tblTransactions[[#This Row],[Recalc_Net_Sales]])&lt;0.02,"OK","CHECK")</f>
        <v>OK</v>
      </c>
      <c r="M1120" s="14">
        <f>DATE(YEAR(tblTransactions[[#This Row],[date]]),MONTH(tblTransactions[[#This Row],[date]]),1)</f>
        <v>45658</v>
      </c>
      <c r="N1120" t="str">
        <f>IF(WEEKDAY(tblTransactions[[#This Row],[date]],2)&gt;5,"Weekend","Weekday")</f>
        <v>Weekday</v>
      </c>
      <c r="O112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120" s="13" t="str">
        <f>_xlfn.XLOOKUP(tblTransactions[[#This Row],[tenant_id]],tblTenants[tenant_id],tblTenants[zone],"NOT FOUND")</f>
        <v>Fashion Avenue</v>
      </c>
      <c r="Q1120" s="13" t="str">
        <f>_xlfn.XLOOKUP(tblTransactions[[#This Row],[tenant_id]],tblTenants[tenant_id],tblTenants[category],"NOT FOUND")</f>
        <v>Clothing</v>
      </c>
    </row>
    <row r="1121" spans="1:17">
      <c r="A1121" t="s">
        <v>1165</v>
      </c>
      <c r="B1121" s="2">
        <v>45836</v>
      </c>
      <c r="C1121">
        <v>14</v>
      </c>
      <c r="D1121" t="s">
        <v>70</v>
      </c>
      <c r="E1121" t="s">
        <v>12</v>
      </c>
      <c r="F1121" s="7">
        <v>3012.91</v>
      </c>
      <c r="G1121" s="10">
        <v>0.1</v>
      </c>
      <c r="H1121" s="7">
        <v>2711.62</v>
      </c>
      <c r="I1121">
        <v>4</v>
      </c>
      <c r="J1121" t="s">
        <v>13</v>
      </c>
      <c r="K1121" s="13">
        <f>ROUND(tblTransactions[[#This Row],[gross_sales_inr]]*(1-tblTransactions[[#This Row],[discount_pct]]),2)</f>
        <v>2711.62</v>
      </c>
      <c r="L1121" t="str">
        <f>IF(ABS(tblTransactions[[#This Row],[net_sales_inr]]-tblTransactions[[#This Row],[Recalc_Net_Sales]])&lt;0.02,"OK","CHECK")</f>
        <v>OK</v>
      </c>
      <c r="M1121" s="14">
        <f>DATE(YEAR(tblTransactions[[#This Row],[date]]),MONTH(tblTransactions[[#This Row],[date]]),1)</f>
        <v>45809</v>
      </c>
      <c r="N1121" t="str">
        <f>IF(WEEKDAY(tblTransactions[[#This Row],[date]],2)&gt;5,"Weekend","Weekday")</f>
        <v>Weekend</v>
      </c>
      <c r="O112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21" s="13" t="str">
        <f>_xlfn.XLOOKUP(tblTransactions[[#This Row],[tenant_id]],tblTenants[tenant_id],tblTenants[zone],"NOT FOUND")</f>
        <v>Food Court</v>
      </c>
      <c r="Q1121" s="13" t="str">
        <f>_xlfn.XLOOKUP(tblTransactions[[#This Row],[tenant_id]],tblTenants[tenant_id],tblTenants[category],"NOT FOUND")</f>
        <v>Quick Service</v>
      </c>
    </row>
    <row r="1122" spans="1:17">
      <c r="A1122" t="s">
        <v>1166</v>
      </c>
      <c r="B1122" s="2">
        <v>45660</v>
      </c>
      <c r="C1122">
        <v>22</v>
      </c>
      <c r="D1122" t="s">
        <v>45</v>
      </c>
      <c r="E1122" t="s">
        <v>32</v>
      </c>
      <c r="F1122" s="7">
        <v>725.58</v>
      </c>
      <c r="G1122" s="10">
        <v>0</v>
      </c>
      <c r="H1122" s="7">
        <v>725.58</v>
      </c>
      <c r="I1122">
        <v>3</v>
      </c>
      <c r="J1122" t="s">
        <v>13</v>
      </c>
      <c r="K1122" s="13">
        <f>ROUND(tblTransactions[[#This Row],[gross_sales_inr]]*(1-tblTransactions[[#This Row],[discount_pct]]),2)</f>
        <v>725.58</v>
      </c>
      <c r="L1122" t="str">
        <f>IF(ABS(tblTransactions[[#This Row],[net_sales_inr]]-tblTransactions[[#This Row],[Recalc_Net_Sales]])&lt;0.02,"OK","CHECK")</f>
        <v>OK</v>
      </c>
      <c r="M1122" s="14">
        <f>DATE(YEAR(tblTransactions[[#This Row],[date]]),MONTH(tblTransactions[[#This Row],[date]]),1)</f>
        <v>45658</v>
      </c>
      <c r="N1122" t="str">
        <f>IF(WEEKDAY(tblTransactions[[#This Row],[date]],2)&gt;5,"Weekend","Weekday")</f>
        <v>Weekday</v>
      </c>
      <c r="O1122" s="13" t="str">
        <f>IF(tblTransactions[[#This Row],[discount_pct]]=0,"0%",IF(tblTransactions[[#This Row],[discount_pct]]&lt;=10%,"1–
10%",IF(tblTransactions[[#This Row],[discount_pct]]&lt;=20%,"11–20%","&gt;20%")))</f>
        <v>0%</v>
      </c>
      <c r="P1122" s="13" t="str">
        <f>_xlfn.XLOOKUP(tblTransactions[[#This Row],[tenant_id]],tblTenants[tenant_id],tblTenants[zone],"NOT FOUND")</f>
        <v>Home &amp; Living</v>
      </c>
      <c r="Q1122" s="13" t="str">
        <f>_xlfn.XLOOKUP(tblTransactions[[#This Row],[tenant_id]],tblTenants[tenant_id],tblTenants[category],"NOT FOUND")</f>
        <v>Home Decor</v>
      </c>
    </row>
    <row r="1123" spans="1:17">
      <c r="A1123" t="s">
        <v>1167</v>
      </c>
      <c r="B1123" s="2">
        <v>45669</v>
      </c>
      <c r="C1123">
        <v>11</v>
      </c>
      <c r="D1123" t="s">
        <v>63</v>
      </c>
      <c r="E1123" t="s">
        <v>32</v>
      </c>
      <c r="F1123" s="7">
        <v>1458.63</v>
      </c>
      <c r="G1123" s="10">
        <v>0</v>
      </c>
      <c r="H1123" s="7">
        <v>1458.63</v>
      </c>
      <c r="I1123">
        <v>4</v>
      </c>
      <c r="J1123" t="s">
        <v>13</v>
      </c>
      <c r="K1123" s="13">
        <f>ROUND(tblTransactions[[#This Row],[gross_sales_inr]]*(1-tblTransactions[[#This Row],[discount_pct]]),2)</f>
        <v>1458.63</v>
      </c>
      <c r="L1123" t="str">
        <f>IF(ABS(tblTransactions[[#This Row],[net_sales_inr]]-tblTransactions[[#This Row],[Recalc_Net_Sales]])&lt;0.02,"OK","CHECK")</f>
        <v>OK</v>
      </c>
      <c r="M1123" s="14">
        <f>DATE(YEAR(tblTransactions[[#This Row],[date]]),MONTH(tblTransactions[[#This Row],[date]]),1)</f>
        <v>45658</v>
      </c>
      <c r="N1123" t="str">
        <f>IF(WEEKDAY(tblTransactions[[#This Row],[date]],2)&gt;5,"Weekend","Weekday")</f>
        <v>Weekend</v>
      </c>
      <c r="O1123" s="13" t="str">
        <f>IF(tblTransactions[[#This Row],[discount_pct]]=0,"0%",IF(tblTransactions[[#This Row],[discount_pct]]&lt;=10%,"1–
10%",IF(tblTransactions[[#This Row],[discount_pct]]&lt;=20%,"11–20%","&gt;20%")))</f>
        <v>0%</v>
      </c>
      <c r="P1123" s="13" t="str">
        <f>_xlfn.XLOOKUP(tblTransactions[[#This Row],[tenant_id]],tblTenants[tenant_id],tblTenants[zone],"NOT FOUND")</f>
        <v>Entertainment</v>
      </c>
      <c r="Q1123" s="13" t="str">
        <f>_xlfn.XLOOKUP(tblTransactions[[#This Row],[tenant_id]],tblTenants[tenant_id],tblTenants[category],"NOT FOUND")</f>
        <v>Family Entertainment</v>
      </c>
    </row>
    <row r="1124" spans="1:17">
      <c r="A1124" t="s">
        <v>1168</v>
      </c>
      <c r="B1124" s="2">
        <v>45659</v>
      </c>
      <c r="C1124">
        <v>19</v>
      </c>
      <c r="D1124" t="s">
        <v>36</v>
      </c>
      <c r="E1124" t="s">
        <v>12</v>
      </c>
      <c r="F1124" s="7">
        <v>1476.65</v>
      </c>
      <c r="G1124" s="10">
        <v>0</v>
      </c>
      <c r="H1124" s="7">
        <v>1476.65</v>
      </c>
      <c r="I1124">
        <v>3</v>
      </c>
      <c r="J1124" t="s">
        <v>13</v>
      </c>
      <c r="K1124" s="13">
        <f>ROUND(tblTransactions[[#This Row],[gross_sales_inr]]*(1-tblTransactions[[#This Row],[discount_pct]]),2)</f>
        <v>1476.65</v>
      </c>
      <c r="L1124" t="str">
        <f>IF(ABS(tblTransactions[[#This Row],[net_sales_inr]]-tblTransactions[[#This Row],[Recalc_Net_Sales]])&lt;0.02,"OK","CHECK")</f>
        <v>OK</v>
      </c>
      <c r="M1124" s="14">
        <f>DATE(YEAR(tblTransactions[[#This Row],[date]]),MONTH(tblTransactions[[#This Row],[date]]),1)</f>
        <v>45658</v>
      </c>
      <c r="N1124" t="str">
        <f>IF(WEEKDAY(tblTransactions[[#This Row],[date]],2)&gt;5,"Weekend","Weekday")</f>
        <v>Weekday</v>
      </c>
      <c r="O1124" s="13" t="str">
        <f>IF(tblTransactions[[#This Row],[discount_pct]]=0,"0%",IF(tblTransactions[[#This Row],[discount_pct]]&lt;=10%,"1–
10%",IF(tblTransactions[[#This Row],[discount_pct]]&lt;=20%,"11–20%","&gt;20%")))</f>
        <v>0%</v>
      </c>
      <c r="P1124" s="13" t="str">
        <f>_xlfn.XLOOKUP(tblTransactions[[#This Row],[tenant_id]],tblTenants[tenant_id],tblTenants[zone],"NOT FOUND")</f>
        <v>Home &amp; Living</v>
      </c>
      <c r="Q1124" s="13" t="str">
        <f>_xlfn.XLOOKUP(tblTransactions[[#This Row],[tenant_id]],tblTenants[tenant_id],tblTenants[category],"NOT FOUND")</f>
        <v>Electronics</v>
      </c>
    </row>
    <row r="1125" spans="1:17">
      <c r="A1125" t="s">
        <v>1169</v>
      </c>
      <c r="B1125" s="2">
        <v>45703</v>
      </c>
      <c r="C1125">
        <v>14</v>
      </c>
      <c r="D1125" t="s">
        <v>85</v>
      </c>
      <c r="E1125" t="s">
        <v>12</v>
      </c>
      <c r="F1125" s="7">
        <v>3450.19</v>
      </c>
      <c r="G1125" s="10">
        <v>0.15</v>
      </c>
      <c r="H1125" s="7">
        <v>2932.66</v>
      </c>
      <c r="I1125">
        <v>2</v>
      </c>
      <c r="J1125" t="s">
        <v>13</v>
      </c>
      <c r="K1125" s="13">
        <f>ROUND(tblTransactions[[#This Row],[gross_sales_inr]]*(1-tblTransactions[[#This Row],[discount_pct]]),2)</f>
        <v>2932.66</v>
      </c>
      <c r="L1125" t="str">
        <f>IF(ABS(tblTransactions[[#This Row],[net_sales_inr]]-tblTransactions[[#This Row],[Recalc_Net_Sales]])&lt;0.02,"OK","CHECK")</f>
        <v>OK</v>
      </c>
      <c r="M1125" s="14">
        <f>DATE(YEAR(tblTransactions[[#This Row],[date]]),MONTH(tblTransactions[[#This Row],[date]]),1)</f>
        <v>45689</v>
      </c>
      <c r="N1125" t="str">
        <f>IF(WEEKDAY(tblTransactions[[#This Row],[date]],2)&gt;5,"Weekend","Weekday")</f>
        <v>Weekend</v>
      </c>
      <c r="O112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25" s="13" t="str">
        <f>_xlfn.XLOOKUP(tblTransactions[[#This Row],[tenant_id]],tblTenants[tenant_id],tblTenants[zone],"NOT FOUND")</f>
        <v>Home &amp; Living</v>
      </c>
      <c r="Q1125" s="13" t="str">
        <f>_xlfn.XLOOKUP(tblTransactions[[#This Row],[tenant_id]],tblTenants[tenant_id],tblTenants[category],"NOT FOUND")</f>
        <v>Electronics</v>
      </c>
    </row>
    <row r="1126" spans="1:17">
      <c r="A1126" t="s">
        <v>1170</v>
      </c>
      <c r="B1126" s="2">
        <v>45819</v>
      </c>
      <c r="C1126">
        <v>14</v>
      </c>
      <c r="D1126" t="s">
        <v>45</v>
      </c>
      <c r="E1126" t="s">
        <v>21</v>
      </c>
      <c r="F1126" s="7">
        <v>2103.9899999999998</v>
      </c>
      <c r="G1126" s="10">
        <v>0</v>
      </c>
      <c r="H1126" s="7">
        <v>2103.9899999999998</v>
      </c>
      <c r="I1126">
        <v>2</v>
      </c>
      <c r="J1126" t="s">
        <v>13</v>
      </c>
      <c r="K1126" s="13">
        <f>ROUND(tblTransactions[[#This Row],[gross_sales_inr]]*(1-tblTransactions[[#This Row],[discount_pct]]),2)</f>
        <v>2103.9899999999998</v>
      </c>
      <c r="L1126" t="str">
        <f>IF(ABS(tblTransactions[[#This Row],[net_sales_inr]]-tblTransactions[[#This Row],[Recalc_Net_Sales]])&lt;0.02,"OK","CHECK")</f>
        <v>OK</v>
      </c>
      <c r="M1126" s="14">
        <f>DATE(YEAR(tblTransactions[[#This Row],[date]]),MONTH(tblTransactions[[#This Row],[date]]),1)</f>
        <v>45809</v>
      </c>
      <c r="N1126" t="str">
        <f>IF(WEEKDAY(tblTransactions[[#This Row],[date]],2)&gt;5,"Weekend","Weekday")</f>
        <v>Weekday</v>
      </c>
      <c r="O1126" s="13" t="str">
        <f>IF(tblTransactions[[#This Row],[discount_pct]]=0,"0%",IF(tblTransactions[[#This Row],[discount_pct]]&lt;=10%,"1–
10%",IF(tblTransactions[[#This Row],[discount_pct]]&lt;=20%,"11–20%","&gt;20%")))</f>
        <v>0%</v>
      </c>
      <c r="P1126" s="13" t="str">
        <f>_xlfn.XLOOKUP(tblTransactions[[#This Row],[tenant_id]],tblTenants[tenant_id],tblTenants[zone],"NOT FOUND")</f>
        <v>Home &amp; Living</v>
      </c>
      <c r="Q1126" s="13" t="str">
        <f>_xlfn.XLOOKUP(tblTransactions[[#This Row],[tenant_id]],tblTenants[tenant_id],tblTenants[category],"NOT FOUND")</f>
        <v>Home Decor</v>
      </c>
    </row>
    <row r="1127" spans="1:17">
      <c r="A1127" t="s">
        <v>1171</v>
      </c>
      <c r="B1127" s="2">
        <v>45755</v>
      </c>
      <c r="C1127">
        <v>22</v>
      </c>
      <c r="D1127" t="s">
        <v>104</v>
      </c>
      <c r="E1127" t="s">
        <v>21</v>
      </c>
      <c r="F1127" s="7">
        <v>1239.6199999999999</v>
      </c>
      <c r="G1127" s="10">
        <v>0.1</v>
      </c>
      <c r="H1127" s="7">
        <v>1115.6600000000001</v>
      </c>
      <c r="I1127">
        <v>1</v>
      </c>
      <c r="J1127" t="s">
        <v>13</v>
      </c>
      <c r="K1127" s="13">
        <f>ROUND(tblTransactions[[#This Row],[gross_sales_inr]]*(1-tblTransactions[[#This Row],[discount_pct]]),2)</f>
        <v>1115.6600000000001</v>
      </c>
      <c r="L1127" t="str">
        <f>IF(ABS(tblTransactions[[#This Row],[net_sales_inr]]-tblTransactions[[#This Row],[Recalc_Net_Sales]])&lt;0.02,"OK","CHECK")</f>
        <v>OK</v>
      </c>
      <c r="M1127" s="14">
        <f>DATE(YEAR(tblTransactions[[#This Row],[date]]),MONTH(tblTransactions[[#This Row],[date]]),1)</f>
        <v>45748</v>
      </c>
      <c r="N1127" t="str">
        <f>IF(WEEKDAY(tblTransactions[[#This Row],[date]],2)&gt;5,"Weekend","Weekday")</f>
        <v>Weekday</v>
      </c>
      <c r="O112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27" s="13" t="str">
        <f>_xlfn.XLOOKUP(tblTransactions[[#This Row],[tenant_id]],tblTenants[tenant_id],tblTenants[zone],"NOT FOUND")</f>
        <v>Entertainment</v>
      </c>
      <c r="Q1127" s="13" t="str">
        <f>_xlfn.XLOOKUP(tblTransactions[[#This Row],[tenant_id]],tblTenants[tenant_id],tblTenants[category],"NOT FOUND")</f>
        <v>Family Entertainment</v>
      </c>
    </row>
    <row r="1128" spans="1:17">
      <c r="A1128" t="s">
        <v>1172</v>
      </c>
      <c r="B1128" s="2">
        <v>45696</v>
      </c>
      <c r="C1128">
        <v>13</v>
      </c>
      <c r="D1128" t="s">
        <v>122</v>
      </c>
      <c r="E1128" t="s">
        <v>12</v>
      </c>
      <c r="F1128" s="7">
        <v>1471.17</v>
      </c>
      <c r="G1128" s="10">
        <v>0.2</v>
      </c>
      <c r="H1128" s="7">
        <v>1176.94</v>
      </c>
      <c r="I1128">
        <v>3</v>
      </c>
      <c r="J1128" t="s">
        <v>13</v>
      </c>
      <c r="K1128" s="13">
        <f>ROUND(tblTransactions[[#This Row],[gross_sales_inr]]*(1-tblTransactions[[#This Row],[discount_pct]]),2)</f>
        <v>1176.94</v>
      </c>
      <c r="L1128" t="str">
        <f>IF(ABS(tblTransactions[[#This Row],[net_sales_inr]]-tblTransactions[[#This Row],[Recalc_Net_Sales]])&lt;0.02,"OK","CHECK")</f>
        <v>OK</v>
      </c>
      <c r="M1128" s="14">
        <f>DATE(YEAR(tblTransactions[[#This Row],[date]]),MONTH(tblTransactions[[#This Row],[date]]),1)</f>
        <v>45689</v>
      </c>
      <c r="N1128" t="str">
        <f>IF(WEEKDAY(tblTransactions[[#This Row],[date]],2)&gt;5,"Weekend","Weekday")</f>
        <v>Weekend</v>
      </c>
      <c r="O112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28" s="13" t="str">
        <f>_xlfn.XLOOKUP(tblTransactions[[#This Row],[tenant_id]],tblTenants[tenant_id],tblTenants[zone],"NOT FOUND")</f>
        <v>Beauty &amp; Wellness</v>
      </c>
      <c r="Q1128" s="13" t="str">
        <f>_xlfn.XLOOKUP(tblTransactions[[#This Row],[tenant_id]],tblTenants[tenant_id],tblTenants[category],"NOT FOUND")</f>
        <v>Wellness</v>
      </c>
    </row>
    <row r="1129" spans="1:17">
      <c r="A1129" t="s">
        <v>1173</v>
      </c>
      <c r="B1129" s="2">
        <v>45815</v>
      </c>
      <c r="C1129">
        <v>18</v>
      </c>
      <c r="D1129" t="s">
        <v>204</v>
      </c>
      <c r="E1129" t="s">
        <v>21</v>
      </c>
      <c r="F1129" s="7">
        <v>2516</v>
      </c>
      <c r="G1129" s="10">
        <v>0</v>
      </c>
      <c r="H1129" s="7">
        <v>2516</v>
      </c>
      <c r="I1129">
        <v>1</v>
      </c>
      <c r="J1129" t="s">
        <v>16</v>
      </c>
      <c r="K1129" s="13">
        <f>ROUND(tblTransactions[[#This Row],[gross_sales_inr]]*(1-tblTransactions[[#This Row],[discount_pct]]),2)</f>
        <v>2516</v>
      </c>
      <c r="L1129" t="str">
        <f>IF(ABS(tblTransactions[[#This Row],[net_sales_inr]]-tblTransactions[[#This Row],[Recalc_Net_Sales]])&lt;0.02,"OK","CHECK")</f>
        <v>OK</v>
      </c>
      <c r="M1129" s="14">
        <f>DATE(YEAR(tblTransactions[[#This Row],[date]]),MONTH(tblTransactions[[#This Row],[date]]),1)</f>
        <v>45809</v>
      </c>
      <c r="N1129" t="str">
        <f>IF(WEEKDAY(tblTransactions[[#This Row],[date]],2)&gt;5,"Weekend","Weekday")</f>
        <v>Weekend</v>
      </c>
      <c r="O1129" s="13" t="str">
        <f>IF(tblTransactions[[#This Row],[discount_pct]]=0,"0%",IF(tblTransactions[[#This Row],[discount_pct]]&lt;=10%,"1–
10%",IF(tblTransactions[[#This Row],[discount_pct]]&lt;=20%,"11–20%","&gt;20%")))</f>
        <v>0%</v>
      </c>
      <c r="P1129" s="13" t="str">
        <f>_xlfn.XLOOKUP(tblTransactions[[#This Row],[tenant_id]],tblTenants[tenant_id],tblTenants[zone],"NOT FOUND")</f>
        <v>Home &amp; Living</v>
      </c>
      <c r="Q1129" s="13" t="str">
        <f>_xlfn.XLOOKUP(tblTransactions[[#This Row],[tenant_id]],tblTenants[tenant_id],tblTenants[category],"NOT FOUND")</f>
        <v>Home Decor</v>
      </c>
    </row>
    <row r="1130" spans="1:17">
      <c r="A1130" t="s">
        <v>1174</v>
      </c>
      <c r="B1130" s="2">
        <v>45834</v>
      </c>
      <c r="C1130">
        <v>15</v>
      </c>
      <c r="D1130" t="s">
        <v>72</v>
      </c>
      <c r="E1130" t="s">
        <v>12</v>
      </c>
      <c r="F1130" s="7">
        <v>2523.4299999999998</v>
      </c>
      <c r="G1130" s="10">
        <v>0.3</v>
      </c>
      <c r="H1130" s="7">
        <v>1766.4</v>
      </c>
      <c r="I1130">
        <v>2</v>
      </c>
      <c r="J1130" t="s">
        <v>16</v>
      </c>
      <c r="K1130" s="13">
        <f>ROUND(tblTransactions[[#This Row],[gross_sales_inr]]*(1-tblTransactions[[#This Row],[discount_pct]]),2)</f>
        <v>1766.4</v>
      </c>
      <c r="L1130" t="str">
        <f>IF(ABS(tblTransactions[[#This Row],[net_sales_inr]]-tblTransactions[[#This Row],[Recalc_Net_Sales]])&lt;0.02,"OK","CHECK")</f>
        <v>OK</v>
      </c>
      <c r="M1130" s="14">
        <f>DATE(YEAR(tblTransactions[[#This Row],[date]]),MONTH(tblTransactions[[#This Row],[date]]),1)</f>
        <v>45809</v>
      </c>
      <c r="N1130" t="str">
        <f>IF(WEEKDAY(tblTransactions[[#This Row],[date]],2)&gt;5,"Weekend","Weekday")</f>
        <v>Weekday</v>
      </c>
      <c r="O113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130" s="13" t="str">
        <f>_xlfn.XLOOKUP(tblTransactions[[#This Row],[tenant_id]],tblTenants[tenant_id],tblTenants[zone],"NOT FOUND")</f>
        <v>Entertainment</v>
      </c>
      <c r="Q1130" s="13" t="str">
        <f>_xlfn.XLOOKUP(tblTransactions[[#This Row],[tenant_id]],tblTenants[tenant_id],tblTenants[category],"NOT FOUND")</f>
        <v>Arcade</v>
      </c>
    </row>
    <row r="1131" spans="1:17">
      <c r="A1131" t="s">
        <v>1175</v>
      </c>
      <c r="B1131" s="2">
        <v>45743</v>
      </c>
      <c r="C1131">
        <v>21</v>
      </c>
      <c r="D1131" t="s">
        <v>11</v>
      </c>
      <c r="E1131" t="s">
        <v>12</v>
      </c>
      <c r="F1131" s="7">
        <v>648.95000000000005</v>
      </c>
      <c r="G1131" s="10">
        <v>0</v>
      </c>
      <c r="H1131" s="7">
        <v>648.95000000000005</v>
      </c>
      <c r="I1131">
        <v>2</v>
      </c>
      <c r="J1131" t="s">
        <v>13</v>
      </c>
      <c r="K1131" s="13">
        <f>ROUND(tblTransactions[[#This Row],[gross_sales_inr]]*(1-tblTransactions[[#This Row],[discount_pct]]),2)</f>
        <v>648.95000000000005</v>
      </c>
      <c r="L1131" t="str">
        <f>IF(ABS(tblTransactions[[#This Row],[net_sales_inr]]-tblTransactions[[#This Row],[Recalc_Net_Sales]])&lt;0.02,"OK","CHECK")</f>
        <v>OK</v>
      </c>
      <c r="M1131" s="14">
        <f>DATE(YEAR(tblTransactions[[#This Row],[date]]),MONTH(tblTransactions[[#This Row],[date]]),1)</f>
        <v>45717</v>
      </c>
      <c r="N1131" t="str">
        <f>IF(WEEKDAY(tblTransactions[[#This Row],[date]],2)&gt;5,"Weekend","Weekday")</f>
        <v>Weekday</v>
      </c>
      <c r="O1131" s="13" t="str">
        <f>IF(tblTransactions[[#This Row],[discount_pct]]=0,"0%",IF(tblTransactions[[#This Row],[discount_pct]]&lt;=10%,"1–
10%",IF(tblTransactions[[#This Row],[discount_pct]]&lt;=20%,"11–20%","&gt;20%")))</f>
        <v>0%</v>
      </c>
      <c r="P1131" s="13" t="str">
        <f>_xlfn.XLOOKUP(tblTransactions[[#This Row],[tenant_id]],tblTenants[tenant_id],tblTenants[zone],"NOT FOUND")</f>
        <v>Home &amp; Living</v>
      </c>
      <c r="Q1131" s="13" t="str">
        <f>_xlfn.XLOOKUP(tblTransactions[[#This Row],[tenant_id]],tblTenants[tenant_id],tblTenants[category],"NOT FOUND")</f>
        <v>Home Decor</v>
      </c>
    </row>
    <row r="1132" spans="1:17">
      <c r="A1132" t="s">
        <v>1176</v>
      </c>
      <c r="B1132" s="2">
        <v>45802</v>
      </c>
      <c r="C1132">
        <v>16</v>
      </c>
      <c r="D1132" t="s">
        <v>80</v>
      </c>
      <c r="E1132" t="s">
        <v>12</v>
      </c>
      <c r="F1132" s="7">
        <v>678.92</v>
      </c>
      <c r="G1132" s="10">
        <v>0</v>
      </c>
      <c r="H1132" s="7">
        <v>678.92</v>
      </c>
      <c r="I1132">
        <v>5</v>
      </c>
      <c r="J1132" t="s">
        <v>13</v>
      </c>
      <c r="K1132" s="13">
        <f>ROUND(tblTransactions[[#This Row],[gross_sales_inr]]*(1-tblTransactions[[#This Row],[discount_pct]]),2)</f>
        <v>678.92</v>
      </c>
      <c r="L1132" t="str">
        <f>IF(ABS(tblTransactions[[#This Row],[net_sales_inr]]-tblTransactions[[#This Row],[Recalc_Net_Sales]])&lt;0.02,"OK","CHECK")</f>
        <v>OK</v>
      </c>
      <c r="M1132" s="14">
        <f>DATE(YEAR(tblTransactions[[#This Row],[date]]),MONTH(tblTransactions[[#This Row],[date]]),1)</f>
        <v>45778</v>
      </c>
      <c r="N1132" t="str">
        <f>IF(WEEKDAY(tblTransactions[[#This Row],[date]],2)&gt;5,"Weekend","Weekday")</f>
        <v>Weekend</v>
      </c>
      <c r="O1132" s="13" t="str">
        <f>IF(tblTransactions[[#This Row],[discount_pct]]=0,"0%",IF(tblTransactions[[#This Row],[discount_pct]]&lt;=10%,"1–
10%",IF(tblTransactions[[#This Row],[discount_pct]]&lt;=20%,"11–20%","&gt;20%")))</f>
        <v>0%</v>
      </c>
      <c r="P1132" s="13" t="str">
        <f>_xlfn.XLOOKUP(tblTransactions[[#This Row],[tenant_id]],tblTenants[tenant_id],tblTenants[zone],"NOT FOUND")</f>
        <v>Food Court</v>
      </c>
      <c r="Q1132" s="13" t="str">
        <f>_xlfn.XLOOKUP(tblTransactions[[#This Row],[tenant_id]],tblTenants[tenant_id],tblTenants[category],"NOT FOUND")</f>
        <v>Casual Dining</v>
      </c>
    </row>
    <row r="1133" spans="1:17">
      <c r="A1133" t="s">
        <v>1177</v>
      </c>
      <c r="B1133" s="2">
        <v>45728</v>
      </c>
      <c r="C1133">
        <v>11</v>
      </c>
      <c r="D1133" t="s">
        <v>20</v>
      </c>
      <c r="E1133" t="s">
        <v>12</v>
      </c>
      <c r="F1133" s="7">
        <v>643.4</v>
      </c>
      <c r="G1133" s="10">
        <v>0</v>
      </c>
      <c r="H1133" s="7">
        <v>643.4</v>
      </c>
      <c r="I1133">
        <v>2</v>
      </c>
      <c r="J1133" t="s">
        <v>16</v>
      </c>
      <c r="K1133" s="13">
        <f>ROUND(tblTransactions[[#This Row],[gross_sales_inr]]*(1-tblTransactions[[#This Row],[discount_pct]]),2)</f>
        <v>643.4</v>
      </c>
      <c r="L1133" t="str">
        <f>IF(ABS(tblTransactions[[#This Row],[net_sales_inr]]-tblTransactions[[#This Row],[Recalc_Net_Sales]])&lt;0.02,"OK","CHECK")</f>
        <v>OK</v>
      </c>
      <c r="M1133" s="14">
        <f>DATE(YEAR(tblTransactions[[#This Row],[date]]),MONTH(tblTransactions[[#This Row],[date]]),1)</f>
        <v>45717</v>
      </c>
      <c r="N1133" t="str">
        <f>IF(WEEKDAY(tblTransactions[[#This Row],[date]],2)&gt;5,"Weekend","Weekday")</f>
        <v>Weekday</v>
      </c>
      <c r="O1133" s="13" t="str">
        <f>IF(tblTransactions[[#This Row],[discount_pct]]=0,"0%",IF(tblTransactions[[#This Row],[discount_pct]]&lt;=10%,"1–
10%",IF(tblTransactions[[#This Row],[discount_pct]]&lt;=20%,"11–20%","&gt;20%")))</f>
        <v>0%</v>
      </c>
      <c r="P1133" s="13" t="str">
        <f>_xlfn.XLOOKUP(tblTransactions[[#This Row],[tenant_id]],tblTenants[tenant_id],tblTenants[zone],"NOT FOUND")</f>
        <v>Fashion Avenue</v>
      </c>
      <c r="Q1133" s="13" t="str">
        <f>_xlfn.XLOOKUP(tblTransactions[[#This Row],[tenant_id]],tblTenants[tenant_id],tblTenants[category],"NOT FOUND")</f>
        <v>Accessories</v>
      </c>
    </row>
    <row r="1134" spans="1:17">
      <c r="A1134" t="s">
        <v>1178</v>
      </c>
      <c r="B1134" s="2">
        <v>45798</v>
      </c>
      <c r="C1134">
        <v>17</v>
      </c>
      <c r="D1134" t="s">
        <v>34</v>
      </c>
      <c r="E1134" t="s">
        <v>32</v>
      </c>
      <c r="F1134" s="7">
        <v>295.5</v>
      </c>
      <c r="G1134" s="10">
        <v>0.2</v>
      </c>
      <c r="H1134" s="7">
        <v>236.4</v>
      </c>
      <c r="I1134">
        <v>1</v>
      </c>
      <c r="J1134" t="s">
        <v>13</v>
      </c>
      <c r="K1134" s="13">
        <f>ROUND(tblTransactions[[#This Row],[gross_sales_inr]]*(1-tblTransactions[[#This Row],[discount_pct]]),2)</f>
        <v>236.4</v>
      </c>
      <c r="L1134" t="str">
        <f>IF(ABS(tblTransactions[[#This Row],[net_sales_inr]]-tblTransactions[[#This Row],[Recalc_Net_Sales]])&lt;0.02,"OK","CHECK")</f>
        <v>OK</v>
      </c>
      <c r="M1134" s="14">
        <f>DATE(YEAR(tblTransactions[[#This Row],[date]]),MONTH(tblTransactions[[#This Row],[date]]),1)</f>
        <v>45778</v>
      </c>
      <c r="N1134" t="str">
        <f>IF(WEEKDAY(tblTransactions[[#This Row],[date]],2)&gt;5,"Weekend","Weekday")</f>
        <v>Weekday</v>
      </c>
      <c r="O113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34" s="13" t="str">
        <f>_xlfn.XLOOKUP(tblTransactions[[#This Row],[tenant_id]],tblTenants[tenant_id],tblTenants[zone],"NOT FOUND")</f>
        <v>Home &amp; Living</v>
      </c>
      <c r="Q1134" s="13" t="str">
        <f>_xlfn.XLOOKUP(tblTransactions[[#This Row],[tenant_id]],tblTenants[tenant_id],tblTenants[category],"NOT FOUND")</f>
        <v>Electronics</v>
      </c>
    </row>
    <row r="1135" spans="1:17">
      <c r="A1135" t="s">
        <v>1179</v>
      </c>
      <c r="B1135" s="2">
        <v>45719</v>
      </c>
      <c r="C1135">
        <v>13</v>
      </c>
      <c r="D1135" t="s">
        <v>204</v>
      </c>
      <c r="E1135" t="s">
        <v>51</v>
      </c>
      <c r="F1135" s="7">
        <v>2430.61</v>
      </c>
      <c r="G1135" s="10">
        <v>0</v>
      </c>
      <c r="H1135" s="7">
        <v>2430.61</v>
      </c>
      <c r="I1135">
        <v>4</v>
      </c>
      <c r="J1135" t="s">
        <v>16</v>
      </c>
      <c r="K1135" s="13">
        <f>ROUND(tblTransactions[[#This Row],[gross_sales_inr]]*(1-tblTransactions[[#This Row],[discount_pct]]),2)</f>
        <v>2430.61</v>
      </c>
      <c r="L1135" t="str">
        <f>IF(ABS(tblTransactions[[#This Row],[net_sales_inr]]-tblTransactions[[#This Row],[Recalc_Net_Sales]])&lt;0.02,"OK","CHECK")</f>
        <v>OK</v>
      </c>
      <c r="M1135" s="14">
        <f>DATE(YEAR(tblTransactions[[#This Row],[date]]),MONTH(tblTransactions[[#This Row],[date]]),1)</f>
        <v>45717</v>
      </c>
      <c r="N1135" t="str">
        <f>IF(WEEKDAY(tblTransactions[[#This Row],[date]],2)&gt;5,"Weekend","Weekday")</f>
        <v>Weekday</v>
      </c>
      <c r="O1135" s="13" t="str">
        <f>IF(tblTransactions[[#This Row],[discount_pct]]=0,"0%",IF(tblTransactions[[#This Row],[discount_pct]]&lt;=10%,"1–
10%",IF(tblTransactions[[#This Row],[discount_pct]]&lt;=20%,"11–20%","&gt;20%")))</f>
        <v>0%</v>
      </c>
      <c r="P1135" s="13" t="str">
        <f>_xlfn.XLOOKUP(tblTransactions[[#This Row],[tenant_id]],tblTenants[tenant_id],tblTenants[zone],"NOT FOUND")</f>
        <v>Home &amp; Living</v>
      </c>
      <c r="Q1135" s="13" t="str">
        <f>_xlfn.XLOOKUP(tblTransactions[[#This Row],[tenant_id]],tblTenants[tenant_id],tblTenants[category],"NOT FOUND")</f>
        <v>Home Decor</v>
      </c>
    </row>
    <row r="1136" spans="1:17">
      <c r="A1136" t="s">
        <v>1180</v>
      </c>
      <c r="B1136" s="2">
        <v>45828</v>
      </c>
      <c r="C1136">
        <v>11</v>
      </c>
      <c r="D1136" t="s">
        <v>45</v>
      </c>
      <c r="E1136" t="s">
        <v>12</v>
      </c>
      <c r="F1136" s="7">
        <v>1319.45</v>
      </c>
      <c r="G1136" s="10">
        <v>0.15</v>
      </c>
      <c r="H1136" s="7">
        <v>1121.53</v>
      </c>
      <c r="I1136">
        <v>3</v>
      </c>
      <c r="J1136" t="s">
        <v>13</v>
      </c>
      <c r="K1136" s="13">
        <f>ROUND(tblTransactions[[#This Row],[gross_sales_inr]]*(1-tblTransactions[[#This Row],[discount_pct]]),2)</f>
        <v>1121.53</v>
      </c>
      <c r="L1136" t="str">
        <f>IF(ABS(tblTransactions[[#This Row],[net_sales_inr]]-tblTransactions[[#This Row],[Recalc_Net_Sales]])&lt;0.02,"OK","CHECK")</f>
        <v>OK</v>
      </c>
      <c r="M1136" s="14">
        <f>DATE(YEAR(tblTransactions[[#This Row],[date]]),MONTH(tblTransactions[[#This Row],[date]]),1)</f>
        <v>45809</v>
      </c>
      <c r="N1136" t="str">
        <f>IF(WEEKDAY(tblTransactions[[#This Row],[date]],2)&gt;5,"Weekend","Weekday")</f>
        <v>Weekday</v>
      </c>
      <c r="O113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36" s="13" t="str">
        <f>_xlfn.XLOOKUP(tblTransactions[[#This Row],[tenant_id]],tblTenants[tenant_id],tblTenants[zone],"NOT FOUND")</f>
        <v>Home &amp; Living</v>
      </c>
      <c r="Q1136" s="13" t="str">
        <f>_xlfn.XLOOKUP(tblTransactions[[#This Row],[tenant_id]],tblTenants[tenant_id],tblTenants[category],"NOT FOUND")</f>
        <v>Home Decor</v>
      </c>
    </row>
    <row r="1137" spans="1:17">
      <c r="A1137" t="s">
        <v>1181</v>
      </c>
      <c r="B1137" s="2">
        <v>45708</v>
      </c>
      <c r="C1137">
        <v>16</v>
      </c>
      <c r="D1137" t="s">
        <v>63</v>
      </c>
      <c r="E1137" t="s">
        <v>12</v>
      </c>
      <c r="F1137" s="7">
        <v>775.05</v>
      </c>
      <c r="G1137" s="10">
        <v>0</v>
      </c>
      <c r="H1137" s="7">
        <v>775.05</v>
      </c>
      <c r="I1137">
        <v>3</v>
      </c>
      <c r="J1137" t="s">
        <v>13</v>
      </c>
      <c r="K1137" s="13">
        <f>ROUND(tblTransactions[[#This Row],[gross_sales_inr]]*(1-tblTransactions[[#This Row],[discount_pct]]),2)</f>
        <v>775.05</v>
      </c>
      <c r="L1137" t="str">
        <f>IF(ABS(tblTransactions[[#This Row],[net_sales_inr]]-tblTransactions[[#This Row],[Recalc_Net_Sales]])&lt;0.02,"OK","CHECK")</f>
        <v>OK</v>
      </c>
      <c r="M1137" s="14">
        <f>DATE(YEAR(tblTransactions[[#This Row],[date]]),MONTH(tblTransactions[[#This Row],[date]]),1)</f>
        <v>45689</v>
      </c>
      <c r="N1137" t="str">
        <f>IF(WEEKDAY(tblTransactions[[#This Row],[date]],2)&gt;5,"Weekend","Weekday")</f>
        <v>Weekday</v>
      </c>
      <c r="O1137" s="13" t="str">
        <f>IF(tblTransactions[[#This Row],[discount_pct]]=0,"0%",IF(tblTransactions[[#This Row],[discount_pct]]&lt;=10%,"1–
10%",IF(tblTransactions[[#This Row],[discount_pct]]&lt;=20%,"11–20%","&gt;20%")))</f>
        <v>0%</v>
      </c>
      <c r="P1137" s="13" t="str">
        <f>_xlfn.XLOOKUP(tblTransactions[[#This Row],[tenant_id]],tblTenants[tenant_id],tblTenants[zone],"NOT FOUND")</f>
        <v>Entertainment</v>
      </c>
      <c r="Q1137" s="13" t="str">
        <f>_xlfn.XLOOKUP(tblTransactions[[#This Row],[tenant_id]],tblTenants[tenant_id],tblTenants[category],"NOT FOUND")</f>
        <v>Family Entertainment</v>
      </c>
    </row>
    <row r="1138" spans="1:17">
      <c r="A1138" t="s">
        <v>1182</v>
      </c>
      <c r="B1138" s="2">
        <v>45736</v>
      </c>
      <c r="C1138">
        <v>14</v>
      </c>
      <c r="D1138" t="s">
        <v>61</v>
      </c>
      <c r="E1138" t="s">
        <v>21</v>
      </c>
      <c r="F1138" s="7">
        <v>901.81</v>
      </c>
      <c r="G1138" s="10">
        <v>0.1</v>
      </c>
      <c r="H1138" s="7">
        <v>811.63</v>
      </c>
      <c r="I1138">
        <v>2</v>
      </c>
      <c r="J1138" t="s">
        <v>13</v>
      </c>
      <c r="K1138" s="13">
        <f>ROUND(tblTransactions[[#This Row],[gross_sales_inr]]*(1-tblTransactions[[#This Row],[discount_pct]]),2)</f>
        <v>811.63</v>
      </c>
      <c r="L1138" t="str">
        <f>IF(ABS(tblTransactions[[#This Row],[net_sales_inr]]-tblTransactions[[#This Row],[Recalc_Net_Sales]])&lt;0.02,"OK","CHECK")</f>
        <v>OK</v>
      </c>
      <c r="M1138" s="14">
        <f>DATE(YEAR(tblTransactions[[#This Row],[date]]),MONTH(tblTransactions[[#This Row],[date]]),1)</f>
        <v>45717</v>
      </c>
      <c r="N1138" t="str">
        <f>IF(WEEKDAY(tblTransactions[[#This Row],[date]],2)&gt;5,"Weekend","Weekday")</f>
        <v>Weekday</v>
      </c>
      <c r="O113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38" s="13" t="str">
        <f>_xlfn.XLOOKUP(tblTransactions[[#This Row],[tenant_id]],tblTenants[tenant_id],tblTenants[zone],"NOT FOUND")</f>
        <v>Food Court</v>
      </c>
      <c r="Q1138" s="13" t="str">
        <f>_xlfn.XLOOKUP(tblTransactions[[#This Row],[tenant_id]],tblTenants[tenant_id],tblTenants[category],"NOT FOUND")</f>
        <v>Quick Service</v>
      </c>
    </row>
    <row r="1139" spans="1:17">
      <c r="A1139" t="s">
        <v>1183</v>
      </c>
      <c r="B1139" s="2">
        <v>45776</v>
      </c>
      <c r="C1139">
        <v>17</v>
      </c>
      <c r="D1139" t="s">
        <v>41</v>
      </c>
      <c r="E1139" t="s">
        <v>12</v>
      </c>
      <c r="F1139" s="7">
        <v>1231.54</v>
      </c>
      <c r="G1139" s="10">
        <v>0</v>
      </c>
      <c r="H1139" s="7">
        <v>1231.54</v>
      </c>
      <c r="I1139">
        <v>4</v>
      </c>
      <c r="J1139" t="s">
        <v>16</v>
      </c>
      <c r="K1139" s="13">
        <f>ROUND(tblTransactions[[#This Row],[gross_sales_inr]]*(1-tblTransactions[[#This Row],[discount_pct]]),2)</f>
        <v>1231.54</v>
      </c>
      <c r="L1139" t="str">
        <f>IF(ABS(tblTransactions[[#This Row],[net_sales_inr]]-tblTransactions[[#This Row],[Recalc_Net_Sales]])&lt;0.02,"OK","CHECK")</f>
        <v>OK</v>
      </c>
      <c r="M1139" s="14">
        <f>DATE(YEAR(tblTransactions[[#This Row],[date]]),MONTH(tblTransactions[[#This Row],[date]]),1)</f>
        <v>45748</v>
      </c>
      <c r="N1139" t="str">
        <f>IF(WEEKDAY(tblTransactions[[#This Row],[date]],2)&gt;5,"Weekend","Weekday")</f>
        <v>Weekday</v>
      </c>
      <c r="O1139" s="13" t="str">
        <f>IF(tblTransactions[[#This Row],[discount_pct]]=0,"0%",IF(tblTransactions[[#This Row],[discount_pct]]&lt;=10%,"1–
10%",IF(tblTransactions[[#This Row],[discount_pct]]&lt;=20%,"11–20%","&gt;20%")))</f>
        <v>0%</v>
      </c>
      <c r="P1139" s="13" t="str">
        <f>_xlfn.XLOOKUP(tblTransactions[[#This Row],[tenant_id]],tblTenants[tenant_id],tblTenants[zone],"NOT FOUND")</f>
        <v>Fashion Avenue</v>
      </c>
      <c r="Q1139" s="13" t="str">
        <f>_xlfn.XLOOKUP(tblTransactions[[#This Row],[tenant_id]],tblTenants[tenant_id],tblTenants[category],"NOT FOUND")</f>
        <v>Clothing</v>
      </c>
    </row>
    <row r="1140" spans="1:17">
      <c r="A1140" t="s">
        <v>1184</v>
      </c>
      <c r="B1140" s="2">
        <v>45786</v>
      </c>
      <c r="C1140">
        <v>13</v>
      </c>
      <c r="D1140" t="s">
        <v>11</v>
      </c>
      <c r="E1140" t="s">
        <v>32</v>
      </c>
      <c r="F1140" s="7">
        <v>556.07000000000005</v>
      </c>
      <c r="G1140" s="10">
        <v>0</v>
      </c>
      <c r="H1140" s="7">
        <v>556.07000000000005</v>
      </c>
      <c r="I1140">
        <v>1</v>
      </c>
      <c r="J1140" t="s">
        <v>13</v>
      </c>
      <c r="K1140" s="13">
        <f>ROUND(tblTransactions[[#This Row],[gross_sales_inr]]*(1-tblTransactions[[#This Row],[discount_pct]]),2)</f>
        <v>556.07000000000005</v>
      </c>
      <c r="L1140" t="str">
        <f>IF(ABS(tblTransactions[[#This Row],[net_sales_inr]]-tblTransactions[[#This Row],[Recalc_Net_Sales]])&lt;0.02,"OK","CHECK")</f>
        <v>OK</v>
      </c>
      <c r="M1140" s="14">
        <f>DATE(YEAR(tblTransactions[[#This Row],[date]]),MONTH(tblTransactions[[#This Row],[date]]),1)</f>
        <v>45778</v>
      </c>
      <c r="N1140" t="str">
        <f>IF(WEEKDAY(tblTransactions[[#This Row],[date]],2)&gt;5,"Weekend","Weekday")</f>
        <v>Weekday</v>
      </c>
      <c r="O1140" s="13" t="str">
        <f>IF(tblTransactions[[#This Row],[discount_pct]]=0,"0%",IF(tblTransactions[[#This Row],[discount_pct]]&lt;=10%,"1–
10%",IF(tblTransactions[[#This Row],[discount_pct]]&lt;=20%,"11–20%","&gt;20%")))</f>
        <v>0%</v>
      </c>
      <c r="P1140" s="13" t="str">
        <f>_xlfn.XLOOKUP(tblTransactions[[#This Row],[tenant_id]],tblTenants[tenant_id],tblTenants[zone],"NOT FOUND")</f>
        <v>Home &amp; Living</v>
      </c>
      <c r="Q1140" s="13" t="str">
        <f>_xlfn.XLOOKUP(tblTransactions[[#This Row],[tenant_id]],tblTenants[tenant_id],tblTenants[category],"NOT FOUND")</f>
        <v>Home Decor</v>
      </c>
    </row>
    <row r="1141" spans="1:17">
      <c r="A1141" t="s">
        <v>1185</v>
      </c>
      <c r="B1141" s="2">
        <v>45808</v>
      </c>
      <c r="C1141">
        <v>16</v>
      </c>
      <c r="D1141" t="s">
        <v>104</v>
      </c>
      <c r="E1141" t="s">
        <v>32</v>
      </c>
      <c r="F1141" s="7">
        <v>569.04999999999995</v>
      </c>
      <c r="G1141" s="10">
        <v>0.1</v>
      </c>
      <c r="H1141" s="7">
        <v>512.14</v>
      </c>
      <c r="I1141">
        <v>1</v>
      </c>
      <c r="J1141" t="s">
        <v>13</v>
      </c>
      <c r="K1141" s="13">
        <f>ROUND(tblTransactions[[#This Row],[gross_sales_inr]]*(1-tblTransactions[[#This Row],[discount_pct]]),2)</f>
        <v>512.15</v>
      </c>
      <c r="L1141" t="str">
        <f>IF(ABS(tblTransactions[[#This Row],[net_sales_inr]]-tblTransactions[[#This Row],[Recalc_Net_Sales]])&lt;0.02,"OK","CHECK")</f>
        <v>OK</v>
      </c>
      <c r="M1141" s="14">
        <f>DATE(YEAR(tblTransactions[[#This Row],[date]]),MONTH(tblTransactions[[#This Row],[date]]),1)</f>
        <v>45778</v>
      </c>
      <c r="N1141" t="str">
        <f>IF(WEEKDAY(tblTransactions[[#This Row],[date]],2)&gt;5,"Weekend","Weekday")</f>
        <v>Weekend</v>
      </c>
      <c r="O114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41" s="13" t="str">
        <f>_xlfn.XLOOKUP(tblTransactions[[#This Row],[tenant_id]],tblTenants[tenant_id],tblTenants[zone],"NOT FOUND")</f>
        <v>Entertainment</v>
      </c>
      <c r="Q1141" s="13" t="str">
        <f>_xlfn.XLOOKUP(tblTransactions[[#This Row],[tenant_id]],tblTenants[tenant_id],tblTenants[category],"NOT FOUND")</f>
        <v>Family Entertainment</v>
      </c>
    </row>
    <row r="1142" spans="1:17">
      <c r="A1142" t="s">
        <v>1186</v>
      </c>
      <c r="B1142" s="2">
        <v>45669</v>
      </c>
      <c r="C1142">
        <v>19</v>
      </c>
      <c r="D1142" t="s">
        <v>25</v>
      </c>
      <c r="E1142" t="s">
        <v>12</v>
      </c>
      <c r="F1142" s="7">
        <v>2217.35</v>
      </c>
      <c r="G1142" s="10">
        <v>0</v>
      </c>
      <c r="H1142" s="7">
        <v>2217.35</v>
      </c>
      <c r="I1142">
        <v>3</v>
      </c>
      <c r="J1142" t="s">
        <v>13</v>
      </c>
      <c r="K1142" s="13">
        <f>ROUND(tblTransactions[[#This Row],[gross_sales_inr]]*(1-tblTransactions[[#This Row],[discount_pct]]),2)</f>
        <v>2217.35</v>
      </c>
      <c r="L1142" t="str">
        <f>IF(ABS(tblTransactions[[#This Row],[net_sales_inr]]-tblTransactions[[#This Row],[Recalc_Net_Sales]])&lt;0.02,"OK","CHECK")</f>
        <v>OK</v>
      </c>
      <c r="M1142" s="14">
        <f>DATE(YEAR(tblTransactions[[#This Row],[date]]),MONTH(tblTransactions[[#This Row],[date]]),1)</f>
        <v>45658</v>
      </c>
      <c r="N1142" t="str">
        <f>IF(WEEKDAY(tblTransactions[[#This Row],[date]],2)&gt;5,"Weekend","Weekday")</f>
        <v>Weekend</v>
      </c>
      <c r="O1142" s="13" t="str">
        <f>IF(tblTransactions[[#This Row],[discount_pct]]=0,"0%",IF(tblTransactions[[#This Row],[discount_pct]]&lt;=10%,"1–
10%",IF(tblTransactions[[#This Row],[discount_pct]]&lt;=20%,"11–20%","&gt;20%")))</f>
        <v>0%</v>
      </c>
      <c r="P1142" s="13" t="str">
        <f>_xlfn.XLOOKUP(tblTransactions[[#This Row],[tenant_id]],tblTenants[tenant_id],tblTenants[zone],"NOT FOUND")</f>
        <v>Beauty &amp; Wellness</v>
      </c>
      <c r="Q1142" s="13" t="str">
        <f>_xlfn.XLOOKUP(tblTransactions[[#This Row],[tenant_id]],tblTenants[tenant_id],tblTenants[category],"NOT FOUND")</f>
        <v>Beauty</v>
      </c>
    </row>
    <row r="1143" spans="1:17">
      <c r="A1143" t="s">
        <v>1187</v>
      </c>
      <c r="B1143" s="2">
        <v>45708</v>
      </c>
      <c r="C1143">
        <v>19</v>
      </c>
      <c r="D1143" t="s">
        <v>41</v>
      </c>
      <c r="E1143" t="s">
        <v>21</v>
      </c>
      <c r="F1143" s="7">
        <v>839.59</v>
      </c>
      <c r="G1143" s="10">
        <v>0.1</v>
      </c>
      <c r="H1143" s="7">
        <v>755.63</v>
      </c>
      <c r="I1143">
        <v>3</v>
      </c>
      <c r="J1143" t="s">
        <v>13</v>
      </c>
      <c r="K1143" s="13">
        <f>ROUND(tblTransactions[[#This Row],[gross_sales_inr]]*(1-tblTransactions[[#This Row],[discount_pct]]),2)</f>
        <v>755.63</v>
      </c>
      <c r="L1143" t="str">
        <f>IF(ABS(tblTransactions[[#This Row],[net_sales_inr]]-tblTransactions[[#This Row],[Recalc_Net_Sales]])&lt;0.02,"OK","CHECK")</f>
        <v>OK</v>
      </c>
      <c r="M1143" s="14">
        <f>DATE(YEAR(tblTransactions[[#This Row],[date]]),MONTH(tblTransactions[[#This Row],[date]]),1)</f>
        <v>45689</v>
      </c>
      <c r="N1143" t="str">
        <f>IF(WEEKDAY(tblTransactions[[#This Row],[date]],2)&gt;5,"Weekend","Weekday")</f>
        <v>Weekday</v>
      </c>
      <c r="O114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43" s="13" t="str">
        <f>_xlfn.XLOOKUP(tblTransactions[[#This Row],[tenant_id]],tblTenants[tenant_id],tblTenants[zone],"NOT FOUND")</f>
        <v>Fashion Avenue</v>
      </c>
      <c r="Q1143" s="13" t="str">
        <f>_xlfn.XLOOKUP(tblTransactions[[#This Row],[tenant_id]],tblTenants[tenant_id],tblTenants[category],"NOT FOUND")</f>
        <v>Clothing</v>
      </c>
    </row>
    <row r="1144" spans="1:17">
      <c r="A1144" t="s">
        <v>1188</v>
      </c>
      <c r="B1144" s="2">
        <v>45695</v>
      </c>
      <c r="C1144">
        <v>11</v>
      </c>
      <c r="D1144" t="s">
        <v>70</v>
      </c>
      <c r="E1144" t="s">
        <v>32</v>
      </c>
      <c r="F1144" s="7">
        <v>2811.61</v>
      </c>
      <c r="G1144" s="10">
        <v>0.1</v>
      </c>
      <c r="H1144" s="7">
        <v>2530.4499999999998</v>
      </c>
      <c r="I1144">
        <v>1</v>
      </c>
      <c r="J1144" t="s">
        <v>13</v>
      </c>
      <c r="K1144" s="13">
        <f>ROUND(tblTransactions[[#This Row],[gross_sales_inr]]*(1-tblTransactions[[#This Row],[discount_pct]]),2)</f>
        <v>2530.4499999999998</v>
      </c>
      <c r="L1144" t="str">
        <f>IF(ABS(tblTransactions[[#This Row],[net_sales_inr]]-tblTransactions[[#This Row],[Recalc_Net_Sales]])&lt;0.02,"OK","CHECK")</f>
        <v>OK</v>
      </c>
      <c r="M1144" s="14">
        <f>DATE(YEAR(tblTransactions[[#This Row],[date]]),MONTH(tblTransactions[[#This Row],[date]]),1)</f>
        <v>45689</v>
      </c>
      <c r="N1144" t="str">
        <f>IF(WEEKDAY(tblTransactions[[#This Row],[date]],2)&gt;5,"Weekend","Weekday")</f>
        <v>Weekday</v>
      </c>
      <c r="O114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44" s="13" t="str">
        <f>_xlfn.XLOOKUP(tblTransactions[[#This Row],[tenant_id]],tblTenants[tenant_id],tblTenants[zone],"NOT FOUND")</f>
        <v>Food Court</v>
      </c>
      <c r="Q1144" s="13" t="str">
        <f>_xlfn.XLOOKUP(tblTransactions[[#This Row],[tenant_id]],tblTenants[tenant_id],tblTenants[category],"NOT FOUND")</f>
        <v>Quick Service</v>
      </c>
    </row>
    <row r="1145" spans="1:17">
      <c r="A1145" t="s">
        <v>1189</v>
      </c>
      <c r="B1145" s="2">
        <v>45832</v>
      </c>
      <c r="C1145">
        <v>12</v>
      </c>
      <c r="D1145" t="s">
        <v>41</v>
      </c>
      <c r="E1145" t="s">
        <v>12</v>
      </c>
      <c r="F1145" s="7">
        <v>2778.39</v>
      </c>
      <c r="G1145" s="10">
        <v>0</v>
      </c>
      <c r="H1145" s="7">
        <v>2778.39</v>
      </c>
      <c r="I1145">
        <v>2</v>
      </c>
      <c r="J1145" t="s">
        <v>13</v>
      </c>
      <c r="K1145" s="13">
        <f>ROUND(tblTransactions[[#This Row],[gross_sales_inr]]*(1-tblTransactions[[#This Row],[discount_pct]]),2)</f>
        <v>2778.39</v>
      </c>
      <c r="L1145" t="str">
        <f>IF(ABS(tblTransactions[[#This Row],[net_sales_inr]]-tblTransactions[[#This Row],[Recalc_Net_Sales]])&lt;0.02,"OK","CHECK")</f>
        <v>OK</v>
      </c>
      <c r="M1145" s="14">
        <f>DATE(YEAR(tblTransactions[[#This Row],[date]]),MONTH(tblTransactions[[#This Row],[date]]),1)</f>
        <v>45809</v>
      </c>
      <c r="N1145" t="str">
        <f>IF(WEEKDAY(tblTransactions[[#This Row],[date]],2)&gt;5,"Weekend","Weekday")</f>
        <v>Weekday</v>
      </c>
      <c r="O1145" s="13" t="str">
        <f>IF(tblTransactions[[#This Row],[discount_pct]]=0,"0%",IF(tblTransactions[[#This Row],[discount_pct]]&lt;=10%,"1–
10%",IF(tblTransactions[[#This Row],[discount_pct]]&lt;=20%,"11–20%","&gt;20%")))</f>
        <v>0%</v>
      </c>
      <c r="P1145" s="13" t="str">
        <f>_xlfn.XLOOKUP(tblTransactions[[#This Row],[tenant_id]],tblTenants[tenant_id],tblTenants[zone],"NOT FOUND")</f>
        <v>Fashion Avenue</v>
      </c>
      <c r="Q1145" s="13" t="str">
        <f>_xlfn.XLOOKUP(tblTransactions[[#This Row],[tenant_id]],tblTenants[tenant_id],tblTenants[category],"NOT FOUND")</f>
        <v>Clothing</v>
      </c>
    </row>
    <row r="1146" spans="1:17">
      <c r="A1146" t="s">
        <v>1190</v>
      </c>
      <c r="B1146" s="2">
        <v>45742</v>
      </c>
      <c r="C1146">
        <v>21</v>
      </c>
      <c r="D1146" t="s">
        <v>72</v>
      </c>
      <c r="E1146" t="s">
        <v>21</v>
      </c>
      <c r="F1146" s="7">
        <v>474.51</v>
      </c>
      <c r="G1146" s="10">
        <v>0.05</v>
      </c>
      <c r="H1146" s="7">
        <v>450.78</v>
      </c>
      <c r="I1146">
        <v>1</v>
      </c>
      <c r="J1146" t="s">
        <v>16</v>
      </c>
      <c r="K1146" s="13">
        <f>ROUND(tblTransactions[[#This Row],[gross_sales_inr]]*(1-tblTransactions[[#This Row],[discount_pct]]),2)</f>
        <v>450.78</v>
      </c>
      <c r="L1146" t="str">
        <f>IF(ABS(tblTransactions[[#This Row],[net_sales_inr]]-tblTransactions[[#This Row],[Recalc_Net_Sales]])&lt;0.02,"OK","CHECK")</f>
        <v>OK</v>
      </c>
      <c r="M1146" s="14">
        <f>DATE(YEAR(tblTransactions[[#This Row],[date]]),MONTH(tblTransactions[[#This Row],[date]]),1)</f>
        <v>45717</v>
      </c>
      <c r="N1146" t="str">
        <f>IF(WEEKDAY(tblTransactions[[#This Row],[date]],2)&gt;5,"Weekend","Weekday")</f>
        <v>Weekday</v>
      </c>
      <c r="O114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46" s="13" t="str">
        <f>_xlfn.XLOOKUP(tblTransactions[[#This Row],[tenant_id]],tblTenants[tenant_id],tblTenants[zone],"NOT FOUND")</f>
        <v>Entertainment</v>
      </c>
      <c r="Q1146" s="13" t="str">
        <f>_xlfn.XLOOKUP(tblTransactions[[#This Row],[tenant_id]],tblTenants[tenant_id],tblTenants[category],"NOT FOUND")</f>
        <v>Arcade</v>
      </c>
    </row>
    <row r="1147" spans="1:17">
      <c r="A1147" t="s">
        <v>1191</v>
      </c>
      <c r="B1147" s="2">
        <v>45817</v>
      </c>
      <c r="C1147">
        <v>18</v>
      </c>
      <c r="D1147" t="s">
        <v>59</v>
      </c>
      <c r="E1147" t="s">
        <v>12</v>
      </c>
      <c r="F1147" s="7">
        <v>2046.84</v>
      </c>
      <c r="G1147" s="10">
        <v>0.1</v>
      </c>
      <c r="H1147" s="7">
        <v>1842.16</v>
      </c>
      <c r="I1147">
        <v>3</v>
      </c>
      <c r="J1147" t="s">
        <v>13</v>
      </c>
      <c r="K1147" s="13">
        <f>ROUND(tblTransactions[[#This Row],[gross_sales_inr]]*(1-tblTransactions[[#This Row],[discount_pct]]),2)</f>
        <v>1842.16</v>
      </c>
      <c r="L1147" t="str">
        <f>IF(ABS(tblTransactions[[#This Row],[net_sales_inr]]-tblTransactions[[#This Row],[Recalc_Net_Sales]])&lt;0.02,"OK","CHECK")</f>
        <v>OK</v>
      </c>
      <c r="M1147" s="14">
        <f>DATE(YEAR(tblTransactions[[#This Row],[date]]),MONTH(tblTransactions[[#This Row],[date]]),1)</f>
        <v>45809</v>
      </c>
      <c r="N1147" t="str">
        <f>IF(WEEKDAY(tblTransactions[[#This Row],[date]],2)&gt;5,"Weekend","Weekday")</f>
        <v>Weekday</v>
      </c>
      <c r="O114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47" s="13" t="str">
        <f>_xlfn.XLOOKUP(tblTransactions[[#This Row],[tenant_id]],tblTenants[tenant_id],tblTenants[zone],"NOT FOUND")</f>
        <v>Fashion Avenue</v>
      </c>
      <c r="Q1147" s="13" t="str">
        <f>_xlfn.XLOOKUP(tblTransactions[[#This Row],[tenant_id]],tblTenants[tenant_id],tblTenants[category],"NOT FOUND")</f>
        <v>Footwear</v>
      </c>
    </row>
    <row r="1148" spans="1:17">
      <c r="A1148" t="s">
        <v>1192</v>
      </c>
      <c r="B1148" s="2">
        <v>45720</v>
      </c>
      <c r="C1148">
        <v>22</v>
      </c>
      <c r="D1148" t="s">
        <v>57</v>
      </c>
      <c r="E1148" t="s">
        <v>32</v>
      </c>
      <c r="F1148" s="7">
        <v>2619.21</v>
      </c>
      <c r="G1148" s="10">
        <v>0.15</v>
      </c>
      <c r="H1148" s="7">
        <v>2226.33</v>
      </c>
      <c r="I1148">
        <v>3</v>
      </c>
      <c r="J1148" t="s">
        <v>13</v>
      </c>
      <c r="K1148" s="13">
        <f>ROUND(tblTransactions[[#This Row],[gross_sales_inr]]*(1-tblTransactions[[#This Row],[discount_pct]]),2)</f>
        <v>2226.33</v>
      </c>
      <c r="L1148" t="str">
        <f>IF(ABS(tblTransactions[[#This Row],[net_sales_inr]]-tblTransactions[[#This Row],[Recalc_Net_Sales]])&lt;0.02,"OK","CHECK")</f>
        <v>OK</v>
      </c>
      <c r="M1148" s="14">
        <f>DATE(YEAR(tblTransactions[[#This Row],[date]]),MONTH(tblTransactions[[#This Row],[date]]),1)</f>
        <v>45717</v>
      </c>
      <c r="N1148" t="str">
        <f>IF(WEEKDAY(tblTransactions[[#This Row],[date]],2)&gt;5,"Weekend","Weekday")</f>
        <v>Weekday</v>
      </c>
      <c r="O114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48" s="13" t="str">
        <f>_xlfn.XLOOKUP(tblTransactions[[#This Row],[tenant_id]],tblTenants[tenant_id],tblTenants[zone],"NOT FOUND")</f>
        <v>Food Court</v>
      </c>
      <c r="Q1148" s="13" t="str">
        <f>_xlfn.XLOOKUP(tblTransactions[[#This Row],[tenant_id]],tblTenants[tenant_id],tblTenants[category],"NOT FOUND")</f>
        <v>Casual Dining</v>
      </c>
    </row>
    <row r="1149" spans="1:17">
      <c r="A1149" t="s">
        <v>1193</v>
      </c>
      <c r="B1149" s="2">
        <v>45778</v>
      </c>
      <c r="C1149">
        <v>16</v>
      </c>
      <c r="D1149" t="s">
        <v>25</v>
      </c>
      <c r="E1149" t="s">
        <v>32</v>
      </c>
      <c r="F1149" s="7">
        <v>662.71</v>
      </c>
      <c r="G1149" s="10">
        <v>0.1</v>
      </c>
      <c r="H1149" s="7">
        <v>596.44000000000005</v>
      </c>
      <c r="I1149">
        <v>1</v>
      </c>
      <c r="J1149" t="s">
        <v>13</v>
      </c>
      <c r="K1149" s="13">
        <f>ROUND(tblTransactions[[#This Row],[gross_sales_inr]]*(1-tblTransactions[[#This Row],[discount_pct]]),2)</f>
        <v>596.44000000000005</v>
      </c>
      <c r="L1149" t="str">
        <f>IF(ABS(tblTransactions[[#This Row],[net_sales_inr]]-tblTransactions[[#This Row],[Recalc_Net_Sales]])&lt;0.02,"OK","CHECK")</f>
        <v>OK</v>
      </c>
      <c r="M1149" s="14">
        <f>DATE(YEAR(tblTransactions[[#This Row],[date]]),MONTH(tblTransactions[[#This Row],[date]]),1)</f>
        <v>45778</v>
      </c>
      <c r="N1149" t="str">
        <f>IF(WEEKDAY(tblTransactions[[#This Row],[date]],2)&gt;5,"Weekend","Weekday")</f>
        <v>Weekday</v>
      </c>
      <c r="O114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49" s="13" t="str">
        <f>_xlfn.XLOOKUP(tblTransactions[[#This Row],[tenant_id]],tblTenants[tenant_id],tblTenants[zone],"NOT FOUND")</f>
        <v>Beauty &amp; Wellness</v>
      </c>
      <c r="Q1149" s="13" t="str">
        <f>_xlfn.XLOOKUP(tblTransactions[[#This Row],[tenant_id]],tblTenants[tenant_id],tblTenants[category],"NOT FOUND")</f>
        <v>Beauty</v>
      </c>
    </row>
    <row r="1150" spans="1:17">
      <c r="A1150" t="s">
        <v>1194</v>
      </c>
      <c r="B1150" s="2">
        <v>45819</v>
      </c>
      <c r="C1150">
        <v>10</v>
      </c>
      <c r="D1150" t="s">
        <v>25</v>
      </c>
      <c r="E1150" t="s">
        <v>51</v>
      </c>
      <c r="F1150" s="7">
        <v>381.89</v>
      </c>
      <c r="G1150" s="10">
        <v>0</v>
      </c>
      <c r="H1150" s="7">
        <v>381.89</v>
      </c>
      <c r="I1150">
        <v>4</v>
      </c>
      <c r="J1150" t="s">
        <v>13</v>
      </c>
      <c r="K1150" s="13">
        <f>ROUND(tblTransactions[[#This Row],[gross_sales_inr]]*(1-tblTransactions[[#This Row],[discount_pct]]),2)</f>
        <v>381.89</v>
      </c>
      <c r="L1150" t="str">
        <f>IF(ABS(tblTransactions[[#This Row],[net_sales_inr]]-tblTransactions[[#This Row],[Recalc_Net_Sales]])&lt;0.02,"OK","CHECK")</f>
        <v>OK</v>
      </c>
      <c r="M1150" s="14">
        <f>DATE(YEAR(tblTransactions[[#This Row],[date]]),MONTH(tblTransactions[[#This Row],[date]]),1)</f>
        <v>45809</v>
      </c>
      <c r="N1150" t="str">
        <f>IF(WEEKDAY(tblTransactions[[#This Row],[date]],2)&gt;5,"Weekend","Weekday")</f>
        <v>Weekday</v>
      </c>
      <c r="O1150" s="13" t="str">
        <f>IF(tblTransactions[[#This Row],[discount_pct]]=0,"0%",IF(tblTransactions[[#This Row],[discount_pct]]&lt;=10%,"1–
10%",IF(tblTransactions[[#This Row],[discount_pct]]&lt;=20%,"11–20%","&gt;20%")))</f>
        <v>0%</v>
      </c>
      <c r="P1150" s="13" t="str">
        <f>_xlfn.XLOOKUP(tblTransactions[[#This Row],[tenant_id]],tblTenants[tenant_id],tblTenants[zone],"NOT FOUND")</f>
        <v>Beauty &amp; Wellness</v>
      </c>
      <c r="Q1150" s="13" t="str">
        <f>_xlfn.XLOOKUP(tblTransactions[[#This Row],[tenant_id]],tblTenants[tenant_id],tblTenants[category],"NOT FOUND")</f>
        <v>Beauty</v>
      </c>
    </row>
    <row r="1151" spans="1:17">
      <c r="A1151" t="s">
        <v>1195</v>
      </c>
      <c r="B1151" s="2">
        <v>45702</v>
      </c>
      <c r="C1151">
        <v>15</v>
      </c>
      <c r="D1151" t="s">
        <v>18</v>
      </c>
      <c r="E1151" t="s">
        <v>51</v>
      </c>
      <c r="F1151" s="7">
        <v>505.6</v>
      </c>
      <c r="G1151" s="10">
        <v>0.05</v>
      </c>
      <c r="H1151" s="7">
        <v>480.32</v>
      </c>
      <c r="I1151">
        <v>1</v>
      </c>
      <c r="J1151" t="s">
        <v>16</v>
      </c>
      <c r="K1151" s="13">
        <f>ROUND(tblTransactions[[#This Row],[gross_sales_inr]]*(1-tblTransactions[[#This Row],[discount_pct]]),2)</f>
        <v>480.32</v>
      </c>
      <c r="L1151" t="str">
        <f>IF(ABS(tblTransactions[[#This Row],[net_sales_inr]]-tblTransactions[[#This Row],[Recalc_Net_Sales]])&lt;0.02,"OK","CHECK")</f>
        <v>OK</v>
      </c>
      <c r="M1151" s="14">
        <f>DATE(YEAR(tblTransactions[[#This Row],[date]]),MONTH(tblTransactions[[#This Row],[date]]),1)</f>
        <v>45689</v>
      </c>
      <c r="N1151" t="str">
        <f>IF(WEEKDAY(tblTransactions[[#This Row],[date]],2)&gt;5,"Weekend","Weekday")</f>
        <v>Weekday</v>
      </c>
      <c r="O115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51" s="13" t="str">
        <f>_xlfn.XLOOKUP(tblTransactions[[#This Row],[tenant_id]],tblTenants[tenant_id],tblTenants[zone],"NOT FOUND")</f>
        <v>Beauty &amp; Wellness</v>
      </c>
      <c r="Q1151" s="13" t="str">
        <f>_xlfn.XLOOKUP(tblTransactions[[#This Row],[tenant_id]],tblTenants[tenant_id],tblTenants[category],"NOT FOUND")</f>
        <v>Beauty</v>
      </c>
    </row>
    <row r="1152" spans="1:17">
      <c r="A1152" t="s">
        <v>1196</v>
      </c>
      <c r="B1152" s="2">
        <v>45719</v>
      </c>
      <c r="C1152">
        <v>22</v>
      </c>
      <c r="D1152" t="s">
        <v>29</v>
      </c>
      <c r="E1152" t="s">
        <v>12</v>
      </c>
      <c r="F1152" s="7">
        <v>1988.28</v>
      </c>
      <c r="G1152" s="10">
        <v>0.1</v>
      </c>
      <c r="H1152" s="7">
        <v>1789.45</v>
      </c>
      <c r="I1152">
        <v>2</v>
      </c>
      <c r="J1152" t="s">
        <v>13</v>
      </c>
      <c r="K1152" s="13">
        <f>ROUND(tblTransactions[[#This Row],[gross_sales_inr]]*(1-tblTransactions[[#This Row],[discount_pct]]),2)</f>
        <v>1789.45</v>
      </c>
      <c r="L1152" t="str">
        <f>IF(ABS(tblTransactions[[#This Row],[net_sales_inr]]-tblTransactions[[#This Row],[Recalc_Net_Sales]])&lt;0.02,"OK","CHECK")</f>
        <v>OK</v>
      </c>
      <c r="M1152" s="14">
        <f>DATE(YEAR(tblTransactions[[#This Row],[date]]),MONTH(tblTransactions[[#This Row],[date]]),1)</f>
        <v>45717</v>
      </c>
      <c r="N1152" t="str">
        <f>IF(WEEKDAY(tblTransactions[[#This Row],[date]],2)&gt;5,"Weekend","Weekday")</f>
        <v>Weekday</v>
      </c>
      <c r="O115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52" s="13" t="str">
        <f>_xlfn.XLOOKUP(tblTransactions[[#This Row],[tenant_id]],tblTenants[tenant_id],tblTenants[zone],"NOT FOUND")</f>
        <v>Entertainment</v>
      </c>
      <c r="Q1152" s="13" t="str">
        <f>_xlfn.XLOOKUP(tblTransactions[[#This Row],[tenant_id]],tblTenants[tenant_id],tblTenants[category],"NOT FOUND")</f>
        <v>Cinema</v>
      </c>
    </row>
    <row r="1153" spans="1:17">
      <c r="A1153" t="s">
        <v>1197</v>
      </c>
      <c r="B1153" s="2">
        <v>45798</v>
      </c>
      <c r="C1153">
        <v>20</v>
      </c>
      <c r="D1153" t="s">
        <v>59</v>
      </c>
      <c r="E1153" t="s">
        <v>32</v>
      </c>
      <c r="F1153" s="7">
        <v>376.97</v>
      </c>
      <c r="G1153" s="10">
        <v>0</v>
      </c>
      <c r="H1153" s="7">
        <v>376.97</v>
      </c>
      <c r="I1153">
        <v>2</v>
      </c>
      <c r="J1153" t="s">
        <v>13</v>
      </c>
      <c r="K1153" s="13">
        <f>ROUND(tblTransactions[[#This Row],[gross_sales_inr]]*(1-tblTransactions[[#This Row],[discount_pct]]),2)</f>
        <v>376.97</v>
      </c>
      <c r="L1153" t="str">
        <f>IF(ABS(tblTransactions[[#This Row],[net_sales_inr]]-tblTransactions[[#This Row],[Recalc_Net_Sales]])&lt;0.02,"OK","CHECK")</f>
        <v>OK</v>
      </c>
      <c r="M1153" s="14">
        <f>DATE(YEAR(tblTransactions[[#This Row],[date]]),MONTH(tblTransactions[[#This Row],[date]]),1)</f>
        <v>45778</v>
      </c>
      <c r="N1153" t="str">
        <f>IF(WEEKDAY(tblTransactions[[#This Row],[date]],2)&gt;5,"Weekend","Weekday")</f>
        <v>Weekday</v>
      </c>
      <c r="O1153" s="13" t="str">
        <f>IF(tblTransactions[[#This Row],[discount_pct]]=0,"0%",IF(tblTransactions[[#This Row],[discount_pct]]&lt;=10%,"1–
10%",IF(tblTransactions[[#This Row],[discount_pct]]&lt;=20%,"11–20%","&gt;20%")))</f>
        <v>0%</v>
      </c>
      <c r="P1153" s="13" t="str">
        <f>_xlfn.XLOOKUP(tblTransactions[[#This Row],[tenant_id]],tblTenants[tenant_id],tblTenants[zone],"NOT FOUND")</f>
        <v>Fashion Avenue</v>
      </c>
      <c r="Q1153" s="13" t="str">
        <f>_xlfn.XLOOKUP(tblTransactions[[#This Row],[tenant_id]],tblTenants[tenant_id],tblTenants[category],"NOT FOUND")</f>
        <v>Footwear</v>
      </c>
    </row>
    <row r="1154" spans="1:17">
      <c r="A1154" t="s">
        <v>1198</v>
      </c>
      <c r="B1154" s="2">
        <v>45692</v>
      </c>
      <c r="C1154">
        <v>13</v>
      </c>
      <c r="D1154" t="s">
        <v>57</v>
      </c>
      <c r="E1154" t="s">
        <v>12</v>
      </c>
      <c r="F1154" s="7">
        <v>723.36</v>
      </c>
      <c r="G1154" s="10">
        <v>0.15</v>
      </c>
      <c r="H1154" s="7">
        <v>614.86</v>
      </c>
      <c r="I1154">
        <v>2</v>
      </c>
      <c r="J1154" t="s">
        <v>13</v>
      </c>
      <c r="K1154" s="13">
        <f>ROUND(tblTransactions[[#This Row],[gross_sales_inr]]*(1-tblTransactions[[#This Row],[discount_pct]]),2)</f>
        <v>614.86</v>
      </c>
      <c r="L1154" t="str">
        <f>IF(ABS(tblTransactions[[#This Row],[net_sales_inr]]-tblTransactions[[#This Row],[Recalc_Net_Sales]])&lt;0.02,"OK","CHECK")</f>
        <v>OK</v>
      </c>
      <c r="M1154" s="14">
        <f>DATE(YEAR(tblTransactions[[#This Row],[date]]),MONTH(tblTransactions[[#This Row],[date]]),1)</f>
        <v>45689</v>
      </c>
      <c r="N1154" t="str">
        <f>IF(WEEKDAY(tblTransactions[[#This Row],[date]],2)&gt;5,"Weekend","Weekday")</f>
        <v>Weekday</v>
      </c>
      <c r="O115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54" s="13" t="str">
        <f>_xlfn.XLOOKUP(tblTransactions[[#This Row],[tenant_id]],tblTenants[tenant_id],tblTenants[zone],"NOT FOUND")</f>
        <v>Food Court</v>
      </c>
      <c r="Q1154" s="13" t="str">
        <f>_xlfn.XLOOKUP(tblTransactions[[#This Row],[tenant_id]],tblTenants[tenant_id],tblTenants[category],"NOT FOUND")</f>
        <v>Casual Dining</v>
      </c>
    </row>
    <row r="1155" spans="1:17">
      <c r="A1155" t="s">
        <v>1199</v>
      </c>
      <c r="B1155" s="2">
        <v>45751</v>
      </c>
      <c r="C1155">
        <v>19</v>
      </c>
      <c r="D1155" t="s">
        <v>20</v>
      </c>
      <c r="E1155" t="s">
        <v>12</v>
      </c>
      <c r="F1155" s="7">
        <v>554.88</v>
      </c>
      <c r="G1155" s="10">
        <v>0.1</v>
      </c>
      <c r="H1155" s="7">
        <v>499.39</v>
      </c>
      <c r="I1155">
        <v>2</v>
      </c>
      <c r="J1155" t="s">
        <v>13</v>
      </c>
      <c r="K1155" s="13">
        <f>ROUND(tblTransactions[[#This Row],[gross_sales_inr]]*(1-tblTransactions[[#This Row],[discount_pct]]),2)</f>
        <v>499.39</v>
      </c>
      <c r="L1155" t="str">
        <f>IF(ABS(tblTransactions[[#This Row],[net_sales_inr]]-tblTransactions[[#This Row],[Recalc_Net_Sales]])&lt;0.02,"OK","CHECK")</f>
        <v>OK</v>
      </c>
      <c r="M1155" s="14">
        <f>DATE(YEAR(tblTransactions[[#This Row],[date]]),MONTH(tblTransactions[[#This Row],[date]]),1)</f>
        <v>45748</v>
      </c>
      <c r="N1155" t="str">
        <f>IF(WEEKDAY(tblTransactions[[#This Row],[date]],2)&gt;5,"Weekend","Weekday")</f>
        <v>Weekday</v>
      </c>
      <c r="O115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55" s="13" t="str">
        <f>_xlfn.XLOOKUP(tblTransactions[[#This Row],[tenant_id]],tblTenants[tenant_id],tblTenants[zone],"NOT FOUND")</f>
        <v>Fashion Avenue</v>
      </c>
      <c r="Q1155" s="13" t="str">
        <f>_xlfn.XLOOKUP(tblTransactions[[#This Row],[tenant_id]],tblTenants[tenant_id],tblTenants[category],"NOT FOUND")</f>
        <v>Accessories</v>
      </c>
    </row>
    <row r="1156" spans="1:17">
      <c r="A1156" t="s">
        <v>1200</v>
      </c>
      <c r="B1156" s="2">
        <v>45703</v>
      </c>
      <c r="C1156">
        <v>14</v>
      </c>
      <c r="D1156" t="s">
        <v>31</v>
      </c>
      <c r="E1156" t="s">
        <v>21</v>
      </c>
      <c r="F1156" s="7">
        <v>260.66000000000003</v>
      </c>
      <c r="G1156" s="10">
        <v>0.2</v>
      </c>
      <c r="H1156" s="7">
        <v>208.53</v>
      </c>
      <c r="I1156">
        <v>3</v>
      </c>
      <c r="J1156" t="s">
        <v>13</v>
      </c>
      <c r="K1156" s="13">
        <f>ROUND(tblTransactions[[#This Row],[gross_sales_inr]]*(1-tblTransactions[[#This Row],[discount_pct]]),2)</f>
        <v>208.53</v>
      </c>
      <c r="L1156" t="str">
        <f>IF(ABS(tblTransactions[[#This Row],[net_sales_inr]]-tblTransactions[[#This Row],[Recalc_Net_Sales]])&lt;0.02,"OK","CHECK")</f>
        <v>OK</v>
      </c>
      <c r="M1156" s="14">
        <f>DATE(YEAR(tblTransactions[[#This Row],[date]]),MONTH(tblTransactions[[#This Row],[date]]),1)</f>
        <v>45689</v>
      </c>
      <c r="N1156" t="str">
        <f>IF(WEEKDAY(tblTransactions[[#This Row],[date]],2)&gt;5,"Weekend","Weekday")</f>
        <v>Weekend</v>
      </c>
      <c r="O115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56" s="13" t="str">
        <f>_xlfn.XLOOKUP(tblTransactions[[#This Row],[tenant_id]],tblTenants[tenant_id],tblTenants[zone],"NOT FOUND")</f>
        <v>Entertainment</v>
      </c>
      <c r="Q1156" s="13" t="str">
        <f>_xlfn.XLOOKUP(tblTransactions[[#This Row],[tenant_id]],tblTenants[tenant_id],tblTenants[category],"NOT FOUND")</f>
        <v>Arcade</v>
      </c>
    </row>
    <row r="1157" spans="1:17">
      <c r="A1157" t="s">
        <v>1201</v>
      </c>
      <c r="B1157" s="2">
        <v>45703</v>
      </c>
      <c r="C1157">
        <v>11</v>
      </c>
      <c r="D1157" t="s">
        <v>61</v>
      </c>
      <c r="E1157" t="s">
        <v>32</v>
      </c>
      <c r="F1157" s="7">
        <v>676.11</v>
      </c>
      <c r="G1157" s="10">
        <v>0</v>
      </c>
      <c r="H1157" s="7">
        <v>676.11</v>
      </c>
      <c r="I1157">
        <v>6</v>
      </c>
      <c r="J1157" t="s">
        <v>13</v>
      </c>
      <c r="K1157" s="13">
        <f>ROUND(tblTransactions[[#This Row],[gross_sales_inr]]*(1-tblTransactions[[#This Row],[discount_pct]]),2)</f>
        <v>676.11</v>
      </c>
      <c r="L1157" t="str">
        <f>IF(ABS(tblTransactions[[#This Row],[net_sales_inr]]-tblTransactions[[#This Row],[Recalc_Net_Sales]])&lt;0.02,"OK","CHECK")</f>
        <v>OK</v>
      </c>
      <c r="M1157" s="14">
        <f>DATE(YEAR(tblTransactions[[#This Row],[date]]),MONTH(tblTransactions[[#This Row],[date]]),1)</f>
        <v>45689</v>
      </c>
      <c r="N1157" t="str">
        <f>IF(WEEKDAY(tblTransactions[[#This Row],[date]],2)&gt;5,"Weekend","Weekday")</f>
        <v>Weekend</v>
      </c>
      <c r="O1157" s="13" t="str">
        <f>IF(tblTransactions[[#This Row],[discount_pct]]=0,"0%",IF(tblTransactions[[#This Row],[discount_pct]]&lt;=10%,"1–
10%",IF(tblTransactions[[#This Row],[discount_pct]]&lt;=20%,"11–20%","&gt;20%")))</f>
        <v>0%</v>
      </c>
      <c r="P1157" s="13" t="str">
        <f>_xlfn.XLOOKUP(tblTransactions[[#This Row],[tenant_id]],tblTenants[tenant_id],tblTenants[zone],"NOT FOUND")</f>
        <v>Food Court</v>
      </c>
      <c r="Q1157" s="13" t="str">
        <f>_xlfn.XLOOKUP(tblTransactions[[#This Row],[tenant_id]],tblTenants[tenant_id],tblTenants[category],"NOT FOUND")</f>
        <v>Quick Service</v>
      </c>
    </row>
    <row r="1158" spans="1:17">
      <c r="A1158" t="s">
        <v>1202</v>
      </c>
      <c r="B1158" s="2">
        <v>45720</v>
      </c>
      <c r="C1158">
        <v>14</v>
      </c>
      <c r="D1158" t="s">
        <v>41</v>
      </c>
      <c r="E1158" t="s">
        <v>12</v>
      </c>
      <c r="F1158" s="7">
        <v>811.47</v>
      </c>
      <c r="G1158" s="10">
        <v>0</v>
      </c>
      <c r="H1158" s="7">
        <v>811.47</v>
      </c>
      <c r="I1158">
        <v>1</v>
      </c>
      <c r="J1158" t="s">
        <v>13</v>
      </c>
      <c r="K1158" s="13">
        <f>ROUND(tblTransactions[[#This Row],[gross_sales_inr]]*(1-tblTransactions[[#This Row],[discount_pct]]),2)</f>
        <v>811.47</v>
      </c>
      <c r="L1158" t="str">
        <f>IF(ABS(tblTransactions[[#This Row],[net_sales_inr]]-tblTransactions[[#This Row],[Recalc_Net_Sales]])&lt;0.02,"OK","CHECK")</f>
        <v>OK</v>
      </c>
      <c r="M1158" s="14">
        <f>DATE(YEAR(tblTransactions[[#This Row],[date]]),MONTH(tblTransactions[[#This Row],[date]]),1)</f>
        <v>45717</v>
      </c>
      <c r="N1158" t="str">
        <f>IF(WEEKDAY(tblTransactions[[#This Row],[date]],2)&gt;5,"Weekend","Weekday")</f>
        <v>Weekday</v>
      </c>
      <c r="O1158" s="13" t="str">
        <f>IF(tblTransactions[[#This Row],[discount_pct]]=0,"0%",IF(tblTransactions[[#This Row],[discount_pct]]&lt;=10%,"1–
10%",IF(tblTransactions[[#This Row],[discount_pct]]&lt;=20%,"11–20%","&gt;20%")))</f>
        <v>0%</v>
      </c>
      <c r="P1158" s="13" t="str">
        <f>_xlfn.XLOOKUP(tblTransactions[[#This Row],[tenant_id]],tblTenants[tenant_id],tblTenants[zone],"NOT FOUND")</f>
        <v>Fashion Avenue</v>
      </c>
      <c r="Q1158" s="13" t="str">
        <f>_xlfn.XLOOKUP(tblTransactions[[#This Row],[tenant_id]],tblTenants[tenant_id],tblTenants[category],"NOT FOUND")</f>
        <v>Clothing</v>
      </c>
    </row>
    <row r="1159" spans="1:17">
      <c r="A1159" t="s">
        <v>1203</v>
      </c>
      <c r="B1159" s="2">
        <v>45833</v>
      </c>
      <c r="C1159">
        <v>17</v>
      </c>
      <c r="D1159" t="s">
        <v>72</v>
      </c>
      <c r="E1159" t="s">
        <v>12</v>
      </c>
      <c r="F1159" s="7">
        <v>1462.15</v>
      </c>
      <c r="G1159" s="10">
        <v>0.1</v>
      </c>
      <c r="H1159" s="7">
        <v>1315.94</v>
      </c>
      <c r="I1159">
        <v>1</v>
      </c>
      <c r="J1159" t="s">
        <v>16</v>
      </c>
      <c r="K1159" s="13">
        <f>ROUND(tblTransactions[[#This Row],[gross_sales_inr]]*(1-tblTransactions[[#This Row],[discount_pct]]),2)</f>
        <v>1315.94</v>
      </c>
      <c r="L1159" t="str">
        <f>IF(ABS(tblTransactions[[#This Row],[net_sales_inr]]-tblTransactions[[#This Row],[Recalc_Net_Sales]])&lt;0.02,"OK","CHECK")</f>
        <v>OK</v>
      </c>
      <c r="M1159" s="14">
        <f>DATE(YEAR(tblTransactions[[#This Row],[date]]),MONTH(tblTransactions[[#This Row],[date]]),1)</f>
        <v>45809</v>
      </c>
      <c r="N1159" t="str">
        <f>IF(WEEKDAY(tblTransactions[[#This Row],[date]],2)&gt;5,"Weekend","Weekday")</f>
        <v>Weekday</v>
      </c>
      <c r="O115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59" s="13" t="str">
        <f>_xlfn.XLOOKUP(tblTransactions[[#This Row],[tenant_id]],tblTenants[tenant_id],tblTenants[zone],"NOT FOUND")</f>
        <v>Entertainment</v>
      </c>
      <c r="Q1159" s="13" t="str">
        <f>_xlfn.XLOOKUP(tblTransactions[[#This Row],[tenant_id]],tblTenants[tenant_id],tblTenants[category],"NOT FOUND")</f>
        <v>Arcade</v>
      </c>
    </row>
    <row r="1160" spans="1:17">
      <c r="A1160" t="s">
        <v>1204</v>
      </c>
      <c r="B1160" s="2">
        <v>45822</v>
      </c>
      <c r="C1160">
        <v>21</v>
      </c>
      <c r="D1160" t="s">
        <v>59</v>
      </c>
      <c r="E1160" t="s">
        <v>12</v>
      </c>
      <c r="F1160" s="7">
        <v>686.37</v>
      </c>
      <c r="G1160" s="10">
        <v>0.05</v>
      </c>
      <c r="H1160" s="7">
        <v>652.04999999999995</v>
      </c>
      <c r="I1160">
        <v>3</v>
      </c>
      <c r="J1160" t="s">
        <v>13</v>
      </c>
      <c r="K1160" s="13">
        <f>ROUND(tblTransactions[[#This Row],[gross_sales_inr]]*(1-tblTransactions[[#This Row],[discount_pct]]),2)</f>
        <v>652.04999999999995</v>
      </c>
      <c r="L1160" t="str">
        <f>IF(ABS(tblTransactions[[#This Row],[net_sales_inr]]-tblTransactions[[#This Row],[Recalc_Net_Sales]])&lt;0.02,"OK","CHECK")</f>
        <v>OK</v>
      </c>
      <c r="M1160" s="14">
        <f>DATE(YEAR(tblTransactions[[#This Row],[date]]),MONTH(tblTransactions[[#This Row],[date]]),1)</f>
        <v>45809</v>
      </c>
      <c r="N1160" t="str">
        <f>IF(WEEKDAY(tblTransactions[[#This Row],[date]],2)&gt;5,"Weekend","Weekday")</f>
        <v>Weekend</v>
      </c>
      <c r="O116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60" s="13" t="str">
        <f>_xlfn.XLOOKUP(tblTransactions[[#This Row],[tenant_id]],tblTenants[tenant_id],tblTenants[zone],"NOT FOUND")</f>
        <v>Fashion Avenue</v>
      </c>
      <c r="Q1160" s="13" t="str">
        <f>_xlfn.XLOOKUP(tblTransactions[[#This Row],[tenant_id]],tblTenants[tenant_id],tblTenants[category],"NOT FOUND")</f>
        <v>Footwear</v>
      </c>
    </row>
    <row r="1161" spans="1:17">
      <c r="A1161" t="s">
        <v>1205</v>
      </c>
      <c r="B1161" s="2">
        <v>45793</v>
      </c>
      <c r="C1161">
        <v>14</v>
      </c>
      <c r="D1161" t="s">
        <v>57</v>
      </c>
      <c r="E1161" t="s">
        <v>32</v>
      </c>
      <c r="F1161" s="7">
        <v>252.41</v>
      </c>
      <c r="G1161" s="10">
        <v>0.1</v>
      </c>
      <c r="H1161" s="7">
        <v>227.17</v>
      </c>
      <c r="I1161">
        <v>1</v>
      </c>
      <c r="J1161" t="s">
        <v>13</v>
      </c>
      <c r="K1161" s="13">
        <f>ROUND(tblTransactions[[#This Row],[gross_sales_inr]]*(1-tblTransactions[[#This Row],[discount_pct]]),2)</f>
        <v>227.17</v>
      </c>
      <c r="L1161" t="str">
        <f>IF(ABS(tblTransactions[[#This Row],[net_sales_inr]]-tblTransactions[[#This Row],[Recalc_Net_Sales]])&lt;0.02,"OK","CHECK")</f>
        <v>OK</v>
      </c>
      <c r="M1161" s="14">
        <f>DATE(YEAR(tblTransactions[[#This Row],[date]]),MONTH(tblTransactions[[#This Row],[date]]),1)</f>
        <v>45778</v>
      </c>
      <c r="N1161" t="str">
        <f>IF(WEEKDAY(tblTransactions[[#This Row],[date]],2)&gt;5,"Weekend","Weekday")</f>
        <v>Weekday</v>
      </c>
      <c r="O116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61" s="13" t="str">
        <f>_xlfn.XLOOKUP(tblTransactions[[#This Row],[tenant_id]],tblTenants[tenant_id],tblTenants[zone],"NOT FOUND")</f>
        <v>Food Court</v>
      </c>
      <c r="Q1161" s="13" t="str">
        <f>_xlfn.XLOOKUP(tblTransactions[[#This Row],[tenant_id]],tblTenants[tenant_id],tblTenants[category],"NOT FOUND")</f>
        <v>Casual Dining</v>
      </c>
    </row>
    <row r="1162" spans="1:17">
      <c r="A1162" t="s">
        <v>1206</v>
      </c>
      <c r="B1162" s="2">
        <v>45672</v>
      </c>
      <c r="C1162">
        <v>17</v>
      </c>
      <c r="D1162" t="s">
        <v>20</v>
      </c>
      <c r="E1162" t="s">
        <v>51</v>
      </c>
      <c r="F1162" s="7">
        <v>545.9</v>
      </c>
      <c r="G1162" s="10">
        <v>0.2</v>
      </c>
      <c r="H1162" s="7">
        <v>436.72</v>
      </c>
      <c r="I1162">
        <v>4</v>
      </c>
      <c r="J1162" t="s">
        <v>13</v>
      </c>
      <c r="K1162" s="13">
        <f>ROUND(tblTransactions[[#This Row],[gross_sales_inr]]*(1-tblTransactions[[#This Row],[discount_pct]]),2)</f>
        <v>436.72</v>
      </c>
      <c r="L1162" t="str">
        <f>IF(ABS(tblTransactions[[#This Row],[net_sales_inr]]-tblTransactions[[#This Row],[Recalc_Net_Sales]])&lt;0.02,"OK","CHECK")</f>
        <v>OK</v>
      </c>
      <c r="M1162" s="14">
        <f>DATE(YEAR(tblTransactions[[#This Row],[date]]),MONTH(tblTransactions[[#This Row],[date]]),1)</f>
        <v>45658</v>
      </c>
      <c r="N1162" t="str">
        <f>IF(WEEKDAY(tblTransactions[[#This Row],[date]],2)&gt;5,"Weekend","Weekday")</f>
        <v>Weekday</v>
      </c>
      <c r="O116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62" s="13" t="str">
        <f>_xlfn.XLOOKUP(tblTransactions[[#This Row],[tenant_id]],tblTenants[tenant_id],tblTenants[zone],"NOT FOUND")</f>
        <v>Fashion Avenue</v>
      </c>
      <c r="Q1162" s="13" t="str">
        <f>_xlfn.XLOOKUP(tblTransactions[[#This Row],[tenant_id]],tblTenants[tenant_id],tblTenants[category],"NOT FOUND")</f>
        <v>Accessories</v>
      </c>
    </row>
    <row r="1163" spans="1:17">
      <c r="A1163" t="s">
        <v>1207</v>
      </c>
      <c r="B1163" s="2">
        <v>45729</v>
      </c>
      <c r="C1163">
        <v>11</v>
      </c>
      <c r="D1163" t="s">
        <v>15</v>
      </c>
      <c r="E1163" t="s">
        <v>12</v>
      </c>
      <c r="F1163" s="7">
        <v>843.98</v>
      </c>
      <c r="G1163" s="10">
        <v>0</v>
      </c>
      <c r="H1163" s="7">
        <v>843.98</v>
      </c>
      <c r="I1163">
        <v>6</v>
      </c>
      <c r="J1163" t="s">
        <v>16</v>
      </c>
      <c r="K1163" s="13">
        <f>ROUND(tblTransactions[[#This Row],[gross_sales_inr]]*(1-tblTransactions[[#This Row],[discount_pct]]),2)</f>
        <v>843.98</v>
      </c>
      <c r="L1163" t="str">
        <f>IF(ABS(tblTransactions[[#This Row],[net_sales_inr]]-tblTransactions[[#This Row],[Recalc_Net_Sales]])&lt;0.02,"OK","CHECK")</f>
        <v>OK</v>
      </c>
      <c r="M1163" s="14">
        <f>DATE(YEAR(tblTransactions[[#This Row],[date]]),MONTH(tblTransactions[[#This Row],[date]]),1)</f>
        <v>45717</v>
      </c>
      <c r="N1163" t="str">
        <f>IF(WEEKDAY(tblTransactions[[#This Row],[date]],2)&gt;5,"Weekend","Weekday")</f>
        <v>Weekday</v>
      </c>
      <c r="O1163" s="13" t="str">
        <f>IF(tblTransactions[[#This Row],[discount_pct]]=0,"0%",IF(tblTransactions[[#This Row],[discount_pct]]&lt;=10%,"1–
10%",IF(tblTransactions[[#This Row],[discount_pct]]&lt;=20%,"11–20%","&gt;20%")))</f>
        <v>0%</v>
      </c>
      <c r="P1163" s="13" t="str">
        <f>_xlfn.XLOOKUP(tblTransactions[[#This Row],[tenant_id]],tblTenants[tenant_id],tblTenants[zone],"NOT FOUND")</f>
        <v>Fashion Avenue</v>
      </c>
      <c r="Q1163" s="13" t="str">
        <f>_xlfn.XLOOKUP(tblTransactions[[#This Row],[tenant_id]],tblTenants[tenant_id],tblTenants[category],"NOT FOUND")</f>
        <v>Accessories</v>
      </c>
    </row>
    <row r="1164" spans="1:17">
      <c r="A1164" t="s">
        <v>1208</v>
      </c>
      <c r="B1164" s="2">
        <v>45738</v>
      </c>
      <c r="C1164">
        <v>12</v>
      </c>
      <c r="D1164" t="s">
        <v>15</v>
      </c>
      <c r="E1164" t="s">
        <v>32</v>
      </c>
      <c r="F1164" s="7">
        <v>1216.5999999999999</v>
      </c>
      <c r="G1164" s="10">
        <v>0.1</v>
      </c>
      <c r="H1164" s="7">
        <v>1094.94</v>
      </c>
      <c r="I1164">
        <v>3</v>
      </c>
      <c r="J1164" t="s">
        <v>13</v>
      </c>
      <c r="K1164" s="13">
        <f>ROUND(tblTransactions[[#This Row],[gross_sales_inr]]*(1-tblTransactions[[#This Row],[discount_pct]]),2)</f>
        <v>1094.94</v>
      </c>
      <c r="L1164" t="str">
        <f>IF(ABS(tblTransactions[[#This Row],[net_sales_inr]]-tblTransactions[[#This Row],[Recalc_Net_Sales]])&lt;0.02,"OK","CHECK")</f>
        <v>OK</v>
      </c>
      <c r="M1164" s="14">
        <f>DATE(YEAR(tblTransactions[[#This Row],[date]]),MONTH(tblTransactions[[#This Row],[date]]),1)</f>
        <v>45717</v>
      </c>
      <c r="N1164" t="str">
        <f>IF(WEEKDAY(tblTransactions[[#This Row],[date]],2)&gt;5,"Weekend","Weekday")</f>
        <v>Weekend</v>
      </c>
      <c r="O116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64" s="13" t="str">
        <f>_xlfn.XLOOKUP(tblTransactions[[#This Row],[tenant_id]],tblTenants[tenant_id],tblTenants[zone],"NOT FOUND")</f>
        <v>Fashion Avenue</v>
      </c>
      <c r="Q1164" s="13" t="str">
        <f>_xlfn.XLOOKUP(tblTransactions[[#This Row],[tenant_id]],tblTenants[tenant_id],tblTenants[category],"NOT FOUND")</f>
        <v>Accessories</v>
      </c>
    </row>
    <row r="1165" spans="1:17">
      <c r="A1165" t="s">
        <v>1209</v>
      </c>
      <c r="B1165" s="2">
        <v>45695</v>
      </c>
      <c r="C1165">
        <v>12</v>
      </c>
      <c r="D1165" t="s">
        <v>15</v>
      </c>
      <c r="E1165" t="s">
        <v>32</v>
      </c>
      <c r="F1165" s="7">
        <v>316.14</v>
      </c>
      <c r="G1165" s="10">
        <v>0</v>
      </c>
      <c r="H1165" s="7">
        <v>316.14</v>
      </c>
      <c r="I1165">
        <v>2</v>
      </c>
      <c r="J1165" t="s">
        <v>16</v>
      </c>
      <c r="K1165" s="13">
        <f>ROUND(tblTransactions[[#This Row],[gross_sales_inr]]*(1-tblTransactions[[#This Row],[discount_pct]]),2)</f>
        <v>316.14</v>
      </c>
      <c r="L1165" t="str">
        <f>IF(ABS(tblTransactions[[#This Row],[net_sales_inr]]-tblTransactions[[#This Row],[Recalc_Net_Sales]])&lt;0.02,"OK","CHECK")</f>
        <v>OK</v>
      </c>
      <c r="M1165" s="14">
        <f>DATE(YEAR(tblTransactions[[#This Row],[date]]),MONTH(tblTransactions[[#This Row],[date]]),1)</f>
        <v>45689</v>
      </c>
      <c r="N1165" t="str">
        <f>IF(WEEKDAY(tblTransactions[[#This Row],[date]],2)&gt;5,"Weekend","Weekday")</f>
        <v>Weekday</v>
      </c>
      <c r="O1165" s="13" t="str">
        <f>IF(tblTransactions[[#This Row],[discount_pct]]=0,"0%",IF(tblTransactions[[#This Row],[discount_pct]]&lt;=10%,"1–
10%",IF(tblTransactions[[#This Row],[discount_pct]]&lt;=20%,"11–20%","&gt;20%")))</f>
        <v>0%</v>
      </c>
      <c r="P1165" s="13" t="str">
        <f>_xlfn.XLOOKUP(tblTransactions[[#This Row],[tenant_id]],tblTenants[tenant_id],tblTenants[zone],"NOT FOUND")</f>
        <v>Fashion Avenue</v>
      </c>
      <c r="Q1165" s="13" t="str">
        <f>_xlfn.XLOOKUP(tblTransactions[[#This Row],[tenant_id]],tblTenants[tenant_id],tblTenants[category],"NOT FOUND")</f>
        <v>Accessories</v>
      </c>
    </row>
    <row r="1166" spans="1:17">
      <c r="A1166" t="s">
        <v>1210</v>
      </c>
      <c r="B1166" s="2">
        <v>45661</v>
      </c>
      <c r="C1166">
        <v>20</v>
      </c>
      <c r="D1166" t="s">
        <v>18</v>
      </c>
      <c r="E1166" t="s">
        <v>12</v>
      </c>
      <c r="F1166" s="7">
        <v>603.04999999999995</v>
      </c>
      <c r="G1166" s="10">
        <v>0.2</v>
      </c>
      <c r="H1166" s="7">
        <v>482.44</v>
      </c>
      <c r="I1166">
        <v>1</v>
      </c>
      <c r="J1166" t="s">
        <v>16</v>
      </c>
      <c r="K1166" s="13">
        <f>ROUND(tblTransactions[[#This Row],[gross_sales_inr]]*(1-tblTransactions[[#This Row],[discount_pct]]),2)</f>
        <v>482.44</v>
      </c>
      <c r="L1166" t="str">
        <f>IF(ABS(tblTransactions[[#This Row],[net_sales_inr]]-tblTransactions[[#This Row],[Recalc_Net_Sales]])&lt;0.02,"OK","CHECK")</f>
        <v>OK</v>
      </c>
      <c r="M1166" s="14">
        <f>DATE(YEAR(tblTransactions[[#This Row],[date]]),MONTH(tblTransactions[[#This Row],[date]]),1)</f>
        <v>45658</v>
      </c>
      <c r="N1166" t="str">
        <f>IF(WEEKDAY(tblTransactions[[#This Row],[date]],2)&gt;5,"Weekend","Weekday")</f>
        <v>Weekend</v>
      </c>
      <c r="O116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66" s="13" t="str">
        <f>_xlfn.XLOOKUP(tblTransactions[[#This Row],[tenant_id]],tblTenants[tenant_id],tblTenants[zone],"NOT FOUND")</f>
        <v>Beauty &amp; Wellness</v>
      </c>
      <c r="Q1166" s="13" t="str">
        <f>_xlfn.XLOOKUP(tblTransactions[[#This Row],[tenant_id]],tblTenants[tenant_id],tblTenants[category],"NOT FOUND")</f>
        <v>Beauty</v>
      </c>
    </row>
    <row r="1167" spans="1:17">
      <c r="A1167" t="s">
        <v>1211</v>
      </c>
      <c r="B1167" s="2">
        <v>45817</v>
      </c>
      <c r="C1167">
        <v>21</v>
      </c>
      <c r="D1167" t="s">
        <v>87</v>
      </c>
      <c r="E1167" t="s">
        <v>32</v>
      </c>
      <c r="F1167" s="7">
        <v>970</v>
      </c>
      <c r="G1167" s="10">
        <v>0</v>
      </c>
      <c r="H1167" s="7">
        <v>970</v>
      </c>
      <c r="I1167">
        <v>1</v>
      </c>
      <c r="J1167" t="s">
        <v>13</v>
      </c>
      <c r="K1167" s="13">
        <f>ROUND(tblTransactions[[#This Row],[gross_sales_inr]]*(1-tblTransactions[[#This Row],[discount_pct]]),2)</f>
        <v>970</v>
      </c>
      <c r="L1167" t="str">
        <f>IF(ABS(tblTransactions[[#This Row],[net_sales_inr]]-tblTransactions[[#This Row],[Recalc_Net_Sales]])&lt;0.02,"OK","CHECK")</f>
        <v>OK</v>
      </c>
      <c r="M1167" s="14">
        <f>DATE(YEAR(tblTransactions[[#This Row],[date]]),MONTH(tblTransactions[[#This Row],[date]]),1)</f>
        <v>45809</v>
      </c>
      <c r="N1167" t="str">
        <f>IF(WEEKDAY(tblTransactions[[#This Row],[date]],2)&gt;5,"Weekend","Weekday")</f>
        <v>Weekday</v>
      </c>
      <c r="O1167" s="13" t="str">
        <f>IF(tblTransactions[[#This Row],[discount_pct]]=0,"0%",IF(tblTransactions[[#This Row],[discount_pct]]&lt;=10%,"1–
10%",IF(tblTransactions[[#This Row],[discount_pct]]&lt;=20%,"11–20%","&gt;20%")))</f>
        <v>0%</v>
      </c>
      <c r="P1167" s="13" t="str">
        <f>_xlfn.XLOOKUP(tblTransactions[[#This Row],[tenant_id]],tblTenants[tenant_id],tblTenants[zone],"NOT FOUND")</f>
        <v>Fashion Avenue</v>
      </c>
      <c r="Q1167" s="13" t="str">
        <f>_xlfn.XLOOKUP(tblTransactions[[#This Row],[tenant_id]],tblTenants[tenant_id],tblTenants[category],"NOT FOUND")</f>
        <v>Footwear</v>
      </c>
    </row>
    <row r="1168" spans="1:17">
      <c r="A1168" t="s">
        <v>1212</v>
      </c>
      <c r="B1168" s="2">
        <v>45676</v>
      </c>
      <c r="C1168">
        <v>11</v>
      </c>
      <c r="D1168" t="s">
        <v>20</v>
      </c>
      <c r="E1168" t="s">
        <v>32</v>
      </c>
      <c r="F1168" s="7">
        <v>650.82000000000005</v>
      </c>
      <c r="G1168" s="10">
        <v>0.15</v>
      </c>
      <c r="H1168" s="7">
        <v>553.20000000000005</v>
      </c>
      <c r="I1168">
        <v>3</v>
      </c>
      <c r="J1168" t="s">
        <v>13</v>
      </c>
      <c r="K1168" s="13">
        <f>ROUND(tblTransactions[[#This Row],[gross_sales_inr]]*(1-tblTransactions[[#This Row],[discount_pct]]),2)</f>
        <v>553.20000000000005</v>
      </c>
      <c r="L1168" t="str">
        <f>IF(ABS(tblTransactions[[#This Row],[net_sales_inr]]-tblTransactions[[#This Row],[Recalc_Net_Sales]])&lt;0.02,"OK","CHECK")</f>
        <v>OK</v>
      </c>
      <c r="M1168" s="14">
        <f>DATE(YEAR(tblTransactions[[#This Row],[date]]),MONTH(tblTransactions[[#This Row],[date]]),1)</f>
        <v>45658</v>
      </c>
      <c r="N1168" t="str">
        <f>IF(WEEKDAY(tblTransactions[[#This Row],[date]],2)&gt;5,"Weekend","Weekday")</f>
        <v>Weekend</v>
      </c>
      <c r="O116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68" s="13" t="str">
        <f>_xlfn.XLOOKUP(tblTransactions[[#This Row],[tenant_id]],tblTenants[tenant_id],tblTenants[zone],"NOT FOUND")</f>
        <v>Fashion Avenue</v>
      </c>
      <c r="Q1168" s="13" t="str">
        <f>_xlfn.XLOOKUP(tblTransactions[[#This Row],[tenant_id]],tblTenants[tenant_id],tblTenants[category],"NOT FOUND")</f>
        <v>Accessories</v>
      </c>
    </row>
    <row r="1169" spans="1:17">
      <c r="A1169" t="s">
        <v>1213</v>
      </c>
      <c r="B1169" s="2">
        <v>45705</v>
      </c>
      <c r="C1169">
        <v>16</v>
      </c>
      <c r="D1169" t="s">
        <v>27</v>
      </c>
      <c r="E1169" t="s">
        <v>21</v>
      </c>
      <c r="F1169" s="7">
        <v>1426.93</v>
      </c>
      <c r="G1169" s="10">
        <v>0</v>
      </c>
      <c r="H1169" s="7">
        <v>1426.93</v>
      </c>
      <c r="I1169">
        <v>1</v>
      </c>
      <c r="J1169" t="s">
        <v>13</v>
      </c>
      <c r="K1169" s="13">
        <f>ROUND(tblTransactions[[#This Row],[gross_sales_inr]]*(1-tblTransactions[[#This Row],[discount_pct]]),2)</f>
        <v>1426.93</v>
      </c>
      <c r="L1169" t="str">
        <f>IF(ABS(tblTransactions[[#This Row],[net_sales_inr]]-tblTransactions[[#This Row],[Recalc_Net_Sales]])&lt;0.02,"OK","CHECK")</f>
        <v>OK</v>
      </c>
      <c r="M1169" s="14">
        <f>DATE(YEAR(tblTransactions[[#This Row],[date]]),MONTH(tblTransactions[[#This Row],[date]]),1)</f>
        <v>45689</v>
      </c>
      <c r="N1169" t="str">
        <f>IF(WEEKDAY(tblTransactions[[#This Row],[date]],2)&gt;5,"Weekend","Weekday")</f>
        <v>Weekday</v>
      </c>
      <c r="O1169" s="13" t="str">
        <f>IF(tblTransactions[[#This Row],[discount_pct]]=0,"0%",IF(tblTransactions[[#This Row],[discount_pct]]&lt;=10%,"1–
10%",IF(tblTransactions[[#This Row],[discount_pct]]&lt;=20%,"11–20%","&gt;20%")))</f>
        <v>0%</v>
      </c>
      <c r="P1169" s="13" t="str">
        <f>_xlfn.XLOOKUP(tblTransactions[[#This Row],[tenant_id]],tblTenants[tenant_id],tblTenants[zone],"NOT FOUND")</f>
        <v>Beauty &amp; Wellness</v>
      </c>
      <c r="Q1169" s="13" t="str">
        <f>_xlfn.XLOOKUP(tblTransactions[[#This Row],[tenant_id]],tblTenants[tenant_id],tblTenants[category],"NOT FOUND")</f>
        <v>Wellness</v>
      </c>
    </row>
    <row r="1170" spans="1:17">
      <c r="A1170" t="s">
        <v>1214</v>
      </c>
      <c r="B1170" s="2">
        <v>45695</v>
      </c>
      <c r="C1170">
        <v>13</v>
      </c>
      <c r="D1170" t="s">
        <v>23</v>
      </c>
      <c r="E1170" t="s">
        <v>32</v>
      </c>
      <c r="F1170" s="7">
        <v>3868.34</v>
      </c>
      <c r="G1170" s="10">
        <v>0.3</v>
      </c>
      <c r="H1170" s="7">
        <v>2707.84</v>
      </c>
      <c r="I1170">
        <v>3</v>
      </c>
      <c r="J1170" t="s">
        <v>16</v>
      </c>
      <c r="K1170" s="13">
        <f>ROUND(tblTransactions[[#This Row],[gross_sales_inr]]*(1-tblTransactions[[#This Row],[discount_pct]]),2)</f>
        <v>2707.84</v>
      </c>
      <c r="L1170" t="str">
        <f>IF(ABS(tblTransactions[[#This Row],[net_sales_inr]]-tblTransactions[[#This Row],[Recalc_Net_Sales]])&lt;0.02,"OK","CHECK")</f>
        <v>OK</v>
      </c>
      <c r="M1170" s="14">
        <f>DATE(YEAR(tblTransactions[[#This Row],[date]]),MONTH(tblTransactions[[#This Row],[date]]),1)</f>
        <v>45689</v>
      </c>
      <c r="N1170" t="str">
        <f>IF(WEEKDAY(tblTransactions[[#This Row],[date]],2)&gt;5,"Weekend","Weekday")</f>
        <v>Weekday</v>
      </c>
      <c r="O117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170" s="13" t="str">
        <f>_xlfn.XLOOKUP(tblTransactions[[#This Row],[tenant_id]],tblTenants[tenant_id],tblTenants[zone],"NOT FOUND")</f>
        <v>Entertainment</v>
      </c>
      <c r="Q1170" s="13" t="str">
        <f>_xlfn.XLOOKUP(tblTransactions[[#This Row],[tenant_id]],tblTenants[tenant_id],tblTenants[category],"NOT FOUND")</f>
        <v>Cinema</v>
      </c>
    </row>
    <row r="1171" spans="1:17">
      <c r="A1171" t="s">
        <v>1215</v>
      </c>
      <c r="B1171" s="2">
        <v>45737</v>
      </c>
      <c r="C1171">
        <v>18</v>
      </c>
      <c r="D1171" t="s">
        <v>36</v>
      </c>
      <c r="E1171" t="s">
        <v>12</v>
      </c>
      <c r="F1171" s="7">
        <v>555.11</v>
      </c>
      <c r="G1171" s="10">
        <v>0.05</v>
      </c>
      <c r="H1171" s="7">
        <v>527.35</v>
      </c>
      <c r="I1171">
        <v>5</v>
      </c>
      <c r="J1171" t="s">
        <v>16</v>
      </c>
      <c r="K1171" s="13">
        <f>ROUND(tblTransactions[[#This Row],[gross_sales_inr]]*(1-tblTransactions[[#This Row],[discount_pct]]),2)</f>
        <v>527.35</v>
      </c>
      <c r="L1171" t="str">
        <f>IF(ABS(tblTransactions[[#This Row],[net_sales_inr]]-tblTransactions[[#This Row],[Recalc_Net_Sales]])&lt;0.02,"OK","CHECK")</f>
        <v>OK</v>
      </c>
      <c r="M1171" s="14">
        <f>DATE(YEAR(tblTransactions[[#This Row],[date]]),MONTH(tblTransactions[[#This Row],[date]]),1)</f>
        <v>45717</v>
      </c>
      <c r="N1171" t="str">
        <f>IF(WEEKDAY(tblTransactions[[#This Row],[date]],2)&gt;5,"Weekend","Weekday")</f>
        <v>Weekday</v>
      </c>
      <c r="O117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71" s="13" t="str">
        <f>_xlfn.XLOOKUP(tblTransactions[[#This Row],[tenant_id]],tblTenants[tenant_id],tblTenants[zone],"NOT FOUND")</f>
        <v>Home &amp; Living</v>
      </c>
      <c r="Q1171" s="13" t="str">
        <f>_xlfn.XLOOKUP(tblTransactions[[#This Row],[tenant_id]],tblTenants[tenant_id],tblTenants[category],"NOT FOUND")</f>
        <v>Electronics</v>
      </c>
    </row>
    <row r="1172" spans="1:17">
      <c r="A1172" t="s">
        <v>1216</v>
      </c>
      <c r="B1172" s="2">
        <v>45687</v>
      </c>
      <c r="C1172">
        <v>10</v>
      </c>
      <c r="D1172" t="s">
        <v>11</v>
      </c>
      <c r="E1172" t="s">
        <v>12</v>
      </c>
      <c r="F1172" s="7">
        <v>533.03</v>
      </c>
      <c r="G1172" s="10">
        <v>0</v>
      </c>
      <c r="H1172" s="7">
        <v>533.03</v>
      </c>
      <c r="I1172">
        <v>3</v>
      </c>
      <c r="J1172" t="s">
        <v>13</v>
      </c>
      <c r="K1172" s="13">
        <f>ROUND(tblTransactions[[#This Row],[gross_sales_inr]]*(1-tblTransactions[[#This Row],[discount_pct]]),2)</f>
        <v>533.03</v>
      </c>
      <c r="L1172" t="str">
        <f>IF(ABS(tblTransactions[[#This Row],[net_sales_inr]]-tblTransactions[[#This Row],[Recalc_Net_Sales]])&lt;0.02,"OK","CHECK")</f>
        <v>OK</v>
      </c>
      <c r="M1172" s="14">
        <f>DATE(YEAR(tblTransactions[[#This Row],[date]]),MONTH(tblTransactions[[#This Row],[date]]),1)</f>
        <v>45658</v>
      </c>
      <c r="N1172" t="str">
        <f>IF(WEEKDAY(tblTransactions[[#This Row],[date]],2)&gt;5,"Weekend","Weekday")</f>
        <v>Weekday</v>
      </c>
      <c r="O1172" s="13" t="str">
        <f>IF(tblTransactions[[#This Row],[discount_pct]]=0,"0%",IF(tblTransactions[[#This Row],[discount_pct]]&lt;=10%,"1–
10%",IF(tblTransactions[[#This Row],[discount_pct]]&lt;=20%,"11–20%","&gt;20%")))</f>
        <v>0%</v>
      </c>
      <c r="P1172" s="13" t="str">
        <f>_xlfn.XLOOKUP(tblTransactions[[#This Row],[tenant_id]],tblTenants[tenant_id],tblTenants[zone],"NOT FOUND")</f>
        <v>Home &amp; Living</v>
      </c>
      <c r="Q1172" s="13" t="str">
        <f>_xlfn.XLOOKUP(tblTransactions[[#This Row],[tenant_id]],tblTenants[tenant_id],tblTenants[category],"NOT FOUND")</f>
        <v>Home Decor</v>
      </c>
    </row>
    <row r="1173" spans="1:17">
      <c r="A1173" t="s">
        <v>1217</v>
      </c>
      <c r="B1173" s="2">
        <v>45661</v>
      </c>
      <c r="C1173">
        <v>18</v>
      </c>
      <c r="D1173" t="s">
        <v>122</v>
      </c>
      <c r="E1173" t="s">
        <v>12</v>
      </c>
      <c r="F1173" s="7">
        <v>807.65</v>
      </c>
      <c r="G1173" s="10">
        <v>0</v>
      </c>
      <c r="H1173" s="7">
        <v>807.65</v>
      </c>
      <c r="I1173">
        <v>3</v>
      </c>
      <c r="J1173" t="s">
        <v>13</v>
      </c>
      <c r="K1173" s="13">
        <f>ROUND(tblTransactions[[#This Row],[gross_sales_inr]]*(1-tblTransactions[[#This Row],[discount_pct]]),2)</f>
        <v>807.65</v>
      </c>
      <c r="L1173" t="str">
        <f>IF(ABS(tblTransactions[[#This Row],[net_sales_inr]]-tblTransactions[[#This Row],[Recalc_Net_Sales]])&lt;0.02,"OK","CHECK")</f>
        <v>OK</v>
      </c>
      <c r="M1173" s="14">
        <f>DATE(YEAR(tblTransactions[[#This Row],[date]]),MONTH(tblTransactions[[#This Row],[date]]),1)</f>
        <v>45658</v>
      </c>
      <c r="N1173" t="str">
        <f>IF(WEEKDAY(tblTransactions[[#This Row],[date]],2)&gt;5,"Weekend","Weekday")</f>
        <v>Weekend</v>
      </c>
      <c r="O1173" s="13" t="str">
        <f>IF(tblTransactions[[#This Row],[discount_pct]]=0,"0%",IF(tblTransactions[[#This Row],[discount_pct]]&lt;=10%,"1–
10%",IF(tblTransactions[[#This Row],[discount_pct]]&lt;=20%,"11–20%","&gt;20%")))</f>
        <v>0%</v>
      </c>
      <c r="P1173" s="13" t="str">
        <f>_xlfn.XLOOKUP(tblTransactions[[#This Row],[tenant_id]],tblTenants[tenant_id],tblTenants[zone],"NOT FOUND")</f>
        <v>Beauty &amp; Wellness</v>
      </c>
      <c r="Q1173" s="13" t="str">
        <f>_xlfn.XLOOKUP(tblTransactions[[#This Row],[tenant_id]],tblTenants[tenant_id],tblTenants[category],"NOT FOUND")</f>
        <v>Wellness</v>
      </c>
    </row>
    <row r="1174" spans="1:17">
      <c r="A1174" t="s">
        <v>1218</v>
      </c>
      <c r="B1174" s="2">
        <v>45837</v>
      </c>
      <c r="C1174">
        <v>14</v>
      </c>
      <c r="D1174" t="s">
        <v>57</v>
      </c>
      <c r="E1174" t="s">
        <v>32</v>
      </c>
      <c r="F1174" s="7">
        <v>3082.2</v>
      </c>
      <c r="G1174" s="10">
        <v>0.15</v>
      </c>
      <c r="H1174" s="7">
        <v>2619.87</v>
      </c>
      <c r="I1174">
        <v>1</v>
      </c>
      <c r="J1174" t="s">
        <v>13</v>
      </c>
      <c r="K1174" s="13">
        <f>ROUND(tblTransactions[[#This Row],[gross_sales_inr]]*(1-tblTransactions[[#This Row],[discount_pct]]),2)</f>
        <v>2619.87</v>
      </c>
      <c r="L1174" t="str">
        <f>IF(ABS(tblTransactions[[#This Row],[net_sales_inr]]-tblTransactions[[#This Row],[Recalc_Net_Sales]])&lt;0.02,"OK","CHECK")</f>
        <v>OK</v>
      </c>
      <c r="M1174" s="14">
        <f>DATE(YEAR(tblTransactions[[#This Row],[date]]),MONTH(tblTransactions[[#This Row],[date]]),1)</f>
        <v>45809</v>
      </c>
      <c r="N1174" t="str">
        <f>IF(WEEKDAY(tblTransactions[[#This Row],[date]],2)&gt;5,"Weekend","Weekday")</f>
        <v>Weekend</v>
      </c>
      <c r="O117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74" s="13" t="str">
        <f>_xlfn.XLOOKUP(tblTransactions[[#This Row],[tenant_id]],tblTenants[tenant_id],tblTenants[zone],"NOT FOUND")</f>
        <v>Food Court</v>
      </c>
      <c r="Q1174" s="13" t="str">
        <f>_xlfn.XLOOKUP(tblTransactions[[#This Row],[tenant_id]],tblTenants[tenant_id],tblTenants[category],"NOT FOUND")</f>
        <v>Casual Dining</v>
      </c>
    </row>
    <row r="1175" spans="1:17">
      <c r="A1175" t="s">
        <v>1219</v>
      </c>
      <c r="B1175" s="2">
        <v>45671</v>
      </c>
      <c r="C1175">
        <v>15</v>
      </c>
      <c r="D1175" t="s">
        <v>55</v>
      </c>
      <c r="E1175" t="s">
        <v>32</v>
      </c>
      <c r="F1175" s="7">
        <v>419.72</v>
      </c>
      <c r="G1175" s="10">
        <v>0</v>
      </c>
      <c r="H1175" s="7">
        <v>419.72</v>
      </c>
      <c r="I1175">
        <v>1</v>
      </c>
      <c r="J1175" t="s">
        <v>13</v>
      </c>
      <c r="K1175" s="13">
        <f>ROUND(tblTransactions[[#This Row],[gross_sales_inr]]*(1-tblTransactions[[#This Row],[discount_pct]]),2)</f>
        <v>419.72</v>
      </c>
      <c r="L1175" t="str">
        <f>IF(ABS(tblTransactions[[#This Row],[net_sales_inr]]-tblTransactions[[#This Row],[Recalc_Net_Sales]])&lt;0.02,"OK","CHECK")</f>
        <v>OK</v>
      </c>
      <c r="M1175" s="14">
        <f>DATE(YEAR(tblTransactions[[#This Row],[date]]),MONTH(tblTransactions[[#This Row],[date]]),1)</f>
        <v>45658</v>
      </c>
      <c r="N1175" t="str">
        <f>IF(WEEKDAY(tblTransactions[[#This Row],[date]],2)&gt;5,"Weekend","Weekday")</f>
        <v>Weekday</v>
      </c>
      <c r="O1175" s="13" t="str">
        <f>IF(tblTransactions[[#This Row],[discount_pct]]=0,"0%",IF(tblTransactions[[#This Row],[discount_pct]]&lt;=10%,"1–
10%",IF(tblTransactions[[#This Row],[discount_pct]]&lt;=20%,"11–20%","&gt;20%")))</f>
        <v>0%</v>
      </c>
      <c r="P1175" s="13" t="str">
        <f>_xlfn.XLOOKUP(tblTransactions[[#This Row],[tenant_id]],tblTenants[tenant_id],tblTenants[zone],"NOT FOUND")</f>
        <v>Food Court</v>
      </c>
      <c r="Q1175" s="13" t="str">
        <f>_xlfn.XLOOKUP(tblTransactions[[#This Row],[tenant_id]],tblTenants[tenant_id],tblTenants[category],"NOT FOUND")</f>
        <v>Quick Service</v>
      </c>
    </row>
    <row r="1176" spans="1:17">
      <c r="A1176" t="s">
        <v>1220</v>
      </c>
      <c r="B1176" s="2">
        <v>45739</v>
      </c>
      <c r="C1176">
        <v>12</v>
      </c>
      <c r="D1176" t="s">
        <v>204</v>
      </c>
      <c r="E1176" t="s">
        <v>12</v>
      </c>
      <c r="F1176" s="7">
        <v>712.87</v>
      </c>
      <c r="G1176" s="10">
        <v>0.1</v>
      </c>
      <c r="H1176" s="7">
        <v>641.58000000000004</v>
      </c>
      <c r="I1176">
        <v>4</v>
      </c>
      <c r="J1176" t="s">
        <v>13</v>
      </c>
      <c r="K1176" s="13">
        <f>ROUND(tblTransactions[[#This Row],[gross_sales_inr]]*(1-tblTransactions[[#This Row],[discount_pct]]),2)</f>
        <v>641.58000000000004</v>
      </c>
      <c r="L1176" t="str">
        <f>IF(ABS(tblTransactions[[#This Row],[net_sales_inr]]-tblTransactions[[#This Row],[Recalc_Net_Sales]])&lt;0.02,"OK","CHECK")</f>
        <v>OK</v>
      </c>
      <c r="M1176" s="14">
        <f>DATE(YEAR(tblTransactions[[#This Row],[date]]),MONTH(tblTransactions[[#This Row],[date]]),1)</f>
        <v>45717</v>
      </c>
      <c r="N1176" t="str">
        <f>IF(WEEKDAY(tblTransactions[[#This Row],[date]],2)&gt;5,"Weekend","Weekday")</f>
        <v>Weekend</v>
      </c>
      <c r="O117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76" s="13" t="str">
        <f>_xlfn.XLOOKUP(tblTransactions[[#This Row],[tenant_id]],tblTenants[tenant_id],tblTenants[zone],"NOT FOUND")</f>
        <v>Home &amp; Living</v>
      </c>
      <c r="Q1176" s="13" t="str">
        <f>_xlfn.XLOOKUP(tblTransactions[[#This Row],[tenant_id]],tblTenants[tenant_id],tblTenants[category],"NOT FOUND")</f>
        <v>Home Decor</v>
      </c>
    </row>
    <row r="1177" spans="1:17">
      <c r="A1177" t="s">
        <v>1221</v>
      </c>
      <c r="B1177" s="2">
        <v>45669</v>
      </c>
      <c r="C1177">
        <v>21</v>
      </c>
      <c r="D1177" t="s">
        <v>59</v>
      </c>
      <c r="E1177" t="s">
        <v>32</v>
      </c>
      <c r="F1177" s="7">
        <v>1775.85</v>
      </c>
      <c r="G1177" s="10">
        <v>0.05</v>
      </c>
      <c r="H1177" s="7">
        <v>1687.06</v>
      </c>
      <c r="I1177">
        <v>1</v>
      </c>
      <c r="J1177" t="s">
        <v>13</v>
      </c>
      <c r="K1177" s="13">
        <f>ROUND(tblTransactions[[#This Row],[gross_sales_inr]]*(1-tblTransactions[[#This Row],[discount_pct]]),2)</f>
        <v>1687.06</v>
      </c>
      <c r="L1177" t="str">
        <f>IF(ABS(tblTransactions[[#This Row],[net_sales_inr]]-tblTransactions[[#This Row],[Recalc_Net_Sales]])&lt;0.02,"OK","CHECK")</f>
        <v>OK</v>
      </c>
      <c r="M1177" s="14">
        <f>DATE(YEAR(tblTransactions[[#This Row],[date]]),MONTH(tblTransactions[[#This Row],[date]]),1)</f>
        <v>45658</v>
      </c>
      <c r="N1177" t="str">
        <f>IF(WEEKDAY(tblTransactions[[#This Row],[date]],2)&gt;5,"Weekend","Weekday")</f>
        <v>Weekend</v>
      </c>
      <c r="O117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77" s="13" t="str">
        <f>_xlfn.XLOOKUP(tblTransactions[[#This Row],[tenant_id]],tblTenants[tenant_id],tblTenants[zone],"NOT FOUND")</f>
        <v>Fashion Avenue</v>
      </c>
      <c r="Q1177" s="13" t="str">
        <f>_xlfn.XLOOKUP(tblTransactions[[#This Row],[tenant_id]],tblTenants[tenant_id],tblTenants[category],"NOT FOUND")</f>
        <v>Footwear</v>
      </c>
    </row>
    <row r="1178" spans="1:17">
      <c r="A1178" t="s">
        <v>1222</v>
      </c>
      <c r="B1178" s="2">
        <v>45740</v>
      </c>
      <c r="C1178">
        <v>22</v>
      </c>
      <c r="D1178" t="s">
        <v>23</v>
      </c>
      <c r="E1178" t="s">
        <v>32</v>
      </c>
      <c r="F1178" s="7">
        <v>607.94000000000005</v>
      </c>
      <c r="G1178" s="10">
        <v>0.1</v>
      </c>
      <c r="H1178" s="7">
        <v>547.15</v>
      </c>
      <c r="I1178">
        <v>1</v>
      </c>
      <c r="J1178" t="s">
        <v>16</v>
      </c>
      <c r="K1178" s="13">
        <f>ROUND(tblTransactions[[#This Row],[gross_sales_inr]]*(1-tblTransactions[[#This Row],[discount_pct]]),2)</f>
        <v>547.15</v>
      </c>
      <c r="L1178" t="str">
        <f>IF(ABS(tblTransactions[[#This Row],[net_sales_inr]]-tblTransactions[[#This Row],[Recalc_Net_Sales]])&lt;0.02,"OK","CHECK")</f>
        <v>OK</v>
      </c>
      <c r="M1178" s="14">
        <f>DATE(YEAR(tblTransactions[[#This Row],[date]]),MONTH(tblTransactions[[#This Row],[date]]),1)</f>
        <v>45717</v>
      </c>
      <c r="N1178" t="str">
        <f>IF(WEEKDAY(tblTransactions[[#This Row],[date]],2)&gt;5,"Weekend","Weekday")</f>
        <v>Weekday</v>
      </c>
      <c r="O117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78" s="13" t="str">
        <f>_xlfn.XLOOKUP(tblTransactions[[#This Row],[tenant_id]],tblTenants[tenant_id],tblTenants[zone],"NOT FOUND")</f>
        <v>Entertainment</v>
      </c>
      <c r="Q1178" s="13" t="str">
        <f>_xlfn.XLOOKUP(tblTransactions[[#This Row],[tenant_id]],tblTenants[tenant_id],tblTenants[category],"NOT FOUND")</f>
        <v>Cinema</v>
      </c>
    </row>
    <row r="1179" spans="1:17">
      <c r="A1179" t="s">
        <v>1223</v>
      </c>
      <c r="B1179" s="2">
        <v>45746</v>
      </c>
      <c r="C1179">
        <v>19</v>
      </c>
      <c r="D1179" t="s">
        <v>15</v>
      </c>
      <c r="E1179" t="s">
        <v>12</v>
      </c>
      <c r="F1179" s="7">
        <v>1309.8699999999999</v>
      </c>
      <c r="G1179" s="10">
        <v>0.05</v>
      </c>
      <c r="H1179" s="7">
        <v>1244.3800000000001</v>
      </c>
      <c r="I1179">
        <v>3</v>
      </c>
      <c r="J1179" t="s">
        <v>13</v>
      </c>
      <c r="K1179" s="13">
        <f>ROUND(tblTransactions[[#This Row],[gross_sales_inr]]*(1-tblTransactions[[#This Row],[discount_pct]]),2)</f>
        <v>1244.3800000000001</v>
      </c>
      <c r="L1179" t="str">
        <f>IF(ABS(tblTransactions[[#This Row],[net_sales_inr]]-tblTransactions[[#This Row],[Recalc_Net_Sales]])&lt;0.02,"OK","CHECK")</f>
        <v>OK</v>
      </c>
      <c r="M1179" s="14">
        <f>DATE(YEAR(tblTransactions[[#This Row],[date]]),MONTH(tblTransactions[[#This Row],[date]]),1)</f>
        <v>45717</v>
      </c>
      <c r="N1179" t="str">
        <f>IF(WEEKDAY(tblTransactions[[#This Row],[date]],2)&gt;5,"Weekend","Weekday")</f>
        <v>Weekend</v>
      </c>
      <c r="O117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79" s="13" t="str">
        <f>_xlfn.XLOOKUP(tblTransactions[[#This Row],[tenant_id]],tblTenants[tenant_id],tblTenants[zone],"NOT FOUND")</f>
        <v>Fashion Avenue</v>
      </c>
      <c r="Q1179" s="13" t="str">
        <f>_xlfn.XLOOKUP(tblTransactions[[#This Row],[tenant_id]],tblTenants[tenant_id],tblTenants[category],"NOT FOUND")</f>
        <v>Accessories</v>
      </c>
    </row>
    <row r="1180" spans="1:17">
      <c r="A1180" t="s">
        <v>1224</v>
      </c>
      <c r="B1180" s="2">
        <v>45807</v>
      </c>
      <c r="C1180">
        <v>12</v>
      </c>
      <c r="D1180" t="s">
        <v>98</v>
      </c>
      <c r="E1180" t="s">
        <v>51</v>
      </c>
      <c r="F1180" s="7">
        <v>1212.71</v>
      </c>
      <c r="G1180" s="10">
        <v>0.05</v>
      </c>
      <c r="H1180" s="7">
        <v>1152.07</v>
      </c>
      <c r="I1180">
        <v>2</v>
      </c>
      <c r="J1180" t="s">
        <v>13</v>
      </c>
      <c r="K1180" s="13">
        <f>ROUND(tblTransactions[[#This Row],[gross_sales_inr]]*(1-tblTransactions[[#This Row],[discount_pct]]),2)</f>
        <v>1152.07</v>
      </c>
      <c r="L1180" t="str">
        <f>IF(ABS(tblTransactions[[#This Row],[net_sales_inr]]-tblTransactions[[#This Row],[Recalc_Net_Sales]])&lt;0.02,"OK","CHECK")</f>
        <v>OK</v>
      </c>
      <c r="M1180" s="14">
        <f>DATE(YEAR(tblTransactions[[#This Row],[date]]),MONTH(tblTransactions[[#This Row],[date]]),1)</f>
        <v>45778</v>
      </c>
      <c r="N1180" t="str">
        <f>IF(WEEKDAY(tblTransactions[[#This Row],[date]],2)&gt;5,"Weekend","Weekday")</f>
        <v>Weekday</v>
      </c>
      <c r="O118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80" s="13" t="str">
        <f>_xlfn.XLOOKUP(tblTransactions[[#This Row],[tenant_id]],tblTenants[tenant_id],tblTenants[zone],"NOT FOUND")</f>
        <v>Fashion Avenue</v>
      </c>
      <c r="Q1180" s="13" t="str">
        <f>_xlfn.XLOOKUP(tblTransactions[[#This Row],[tenant_id]],tblTenants[tenant_id],tblTenants[category],"NOT FOUND")</f>
        <v>Accessories</v>
      </c>
    </row>
    <row r="1181" spans="1:17">
      <c r="A1181" t="s">
        <v>1225</v>
      </c>
      <c r="B1181" s="2">
        <v>45753</v>
      </c>
      <c r="C1181">
        <v>19</v>
      </c>
      <c r="D1181" t="s">
        <v>31</v>
      </c>
      <c r="E1181" t="s">
        <v>12</v>
      </c>
      <c r="F1181" s="7">
        <v>1194.25</v>
      </c>
      <c r="G1181" s="10">
        <v>0</v>
      </c>
      <c r="H1181" s="7">
        <v>1194.25</v>
      </c>
      <c r="I1181">
        <v>2</v>
      </c>
      <c r="J1181" t="s">
        <v>16</v>
      </c>
      <c r="K1181" s="13">
        <f>ROUND(tblTransactions[[#This Row],[gross_sales_inr]]*(1-tblTransactions[[#This Row],[discount_pct]]),2)</f>
        <v>1194.25</v>
      </c>
      <c r="L1181" t="str">
        <f>IF(ABS(tblTransactions[[#This Row],[net_sales_inr]]-tblTransactions[[#This Row],[Recalc_Net_Sales]])&lt;0.02,"OK","CHECK")</f>
        <v>OK</v>
      </c>
      <c r="M1181" s="14">
        <f>DATE(YEAR(tblTransactions[[#This Row],[date]]),MONTH(tblTransactions[[#This Row],[date]]),1)</f>
        <v>45748</v>
      </c>
      <c r="N1181" t="str">
        <f>IF(WEEKDAY(tblTransactions[[#This Row],[date]],2)&gt;5,"Weekend","Weekday")</f>
        <v>Weekend</v>
      </c>
      <c r="O1181" s="13" t="str">
        <f>IF(tblTransactions[[#This Row],[discount_pct]]=0,"0%",IF(tblTransactions[[#This Row],[discount_pct]]&lt;=10%,"1–
10%",IF(tblTransactions[[#This Row],[discount_pct]]&lt;=20%,"11–20%","&gt;20%")))</f>
        <v>0%</v>
      </c>
      <c r="P1181" s="13" t="str">
        <f>_xlfn.XLOOKUP(tblTransactions[[#This Row],[tenant_id]],tblTenants[tenant_id],tblTenants[zone],"NOT FOUND")</f>
        <v>Entertainment</v>
      </c>
      <c r="Q1181" s="13" t="str">
        <f>_xlfn.XLOOKUP(tblTransactions[[#This Row],[tenant_id]],tblTenants[tenant_id],tblTenants[category],"NOT FOUND")</f>
        <v>Arcade</v>
      </c>
    </row>
    <row r="1182" spans="1:17">
      <c r="A1182" t="s">
        <v>1226</v>
      </c>
      <c r="B1182" s="2">
        <v>45782</v>
      </c>
      <c r="C1182">
        <v>10</v>
      </c>
      <c r="D1182" t="s">
        <v>23</v>
      </c>
      <c r="E1182" t="s">
        <v>32</v>
      </c>
      <c r="F1182" s="7">
        <v>544.20000000000005</v>
      </c>
      <c r="G1182" s="10">
        <v>0.1</v>
      </c>
      <c r="H1182" s="7">
        <v>489.78</v>
      </c>
      <c r="I1182">
        <v>5</v>
      </c>
      <c r="J1182" t="s">
        <v>13</v>
      </c>
      <c r="K1182" s="13">
        <f>ROUND(tblTransactions[[#This Row],[gross_sales_inr]]*(1-tblTransactions[[#This Row],[discount_pct]]),2)</f>
        <v>489.78</v>
      </c>
      <c r="L1182" t="str">
        <f>IF(ABS(tblTransactions[[#This Row],[net_sales_inr]]-tblTransactions[[#This Row],[Recalc_Net_Sales]])&lt;0.02,"OK","CHECK")</f>
        <v>OK</v>
      </c>
      <c r="M1182" s="14">
        <f>DATE(YEAR(tblTransactions[[#This Row],[date]]),MONTH(tblTransactions[[#This Row],[date]]),1)</f>
        <v>45778</v>
      </c>
      <c r="N1182" t="str">
        <f>IF(WEEKDAY(tblTransactions[[#This Row],[date]],2)&gt;5,"Weekend","Weekday")</f>
        <v>Weekday</v>
      </c>
      <c r="O118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82" s="13" t="str">
        <f>_xlfn.XLOOKUP(tblTransactions[[#This Row],[tenant_id]],tblTenants[tenant_id],tblTenants[zone],"NOT FOUND")</f>
        <v>Entertainment</v>
      </c>
      <c r="Q1182" s="13" t="str">
        <f>_xlfn.XLOOKUP(tblTransactions[[#This Row],[tenant_id]],tblTenants[tenant_id],tblTenants[category],"NOT FOUND")</f>
        <v>Cinema</v>
      </c>
    </row>
    <row r="1183" spans="1:17">
      <c r="A1183" t="s">
        <v>1227</v>
      </c>
      <c r="B1183" s="2">
        <v>45688</v>
      </c>
      <c r="C1183">
        <v>20</v>
      </c>
      <c r="D1183" t="s">
        <v>63</v>
      </c>
      <c r="E1183" t="s">
        <v>12</v>
      </c>
      <c r="F1183" s="7">
        <v>340.52</v>
      </c>
      <c r="G1183" s="10">
        <v>0</v>
      </c>
      <c r="H1183" s="7">
        <v>340.52</v>
      </c>
      <c r="I1183">
        <v>5</v>
      </c>
      <c r="J1183" t="s">
        <v>13</v>
      </c>
      <c r="K1183" s="13">
        <f>ROUND(tblTransactions[[#This Row],[gross_sales_inr]]*(1-tblTransactions[[#This Row],[discount_pct]]),2)</f>
        <v>340.52</v>
      </c>
      <c r="L1183" t="str">
        <f>IF(ABS(tblTransactions[[#This Row],[net_sales_inr]]-tblTransactions[[#This Row],[Recalc_Net_Sales]])&lt;0.02,"OK","CHECK")</f>
        <v>OK</v>
      </c>
      <c r="M1183" s="14">
        <f>DATE(YEAR(tblTransactions[[#This Row],[date]]),MONTH(tblTransactions[[#This Row],[date]]),1)</f>
        <v>45658</v>
      </c>
      <c r="N1183" t="str">
        <f>IF(WEEKDAY(tblTransactions[[#This Row],[date]],2)&gt;5,"Weekend","Weekday")</f>
        <v>Weekday</v>
      </c>
      <c r="O1183" s="13" t="str">
        <f>IF(tblTransactions[[#This Row],[discount_pct]]=0,"0%",IF(tblTransactions[[#This Row],[discount_pct]]&lt;=10%,"1–
10%",IF(tblTransactions[[#This Row],[discount_pct]]&lt;=20%,"11–20%","&gt;20%")))</f>
        <v>0%</v>
      </c>
      <c r="P1183" s="13" t="str">
        <f>_xlfn.XLOOKUP(tblTransactions[[#This Row],[tenant_id]],tblTenants[tenant_id],tblTenants[zone],"NOT FOUND")</f>
        <v>Entertainment</v>
      </c>
      <c r="Q1183" s="13" t="str">
        <f>_xlfn.XLOOKUP(tblTransactions[[#This Row],[tenant_id]],tblTenants[tenant_id],tblTenants[category],"NOT FOUND")</f>
        <v>Family Entertainment</v>
      </c>
    </row>
    <row r="1184" spans="1:17">
      <c r="A1184" t="s">
        <v>1228</v>
      </c>
      <c r="B1184" s="2">
        <v>45834</v>
      </c>
      <c r="C1184">
        <v>19</v>
      </c>
      <c r="D1184" t="s">
        <v>45</v>
      </c>
      <c r="E1184" t="s">
        <v>32</v>
      </c>
      <c r="F1184" s="7">
        <v>351.79</v>
      </c>
      <c r="G1184" s="10">
        <v>0</v>
      </c>
      <c r="H1184" s="7">
        <v>351.79</v>
      </c>
      <c r="I1184">
        <v>1</v>
      </c>
      <c r="J1184" t="s">
        <v>13</v>
      </c>
      <c r="K1184" s="13">
        <f>ROUND(tblTransactions[[#This Row],[gross_sales_inr]]*(1-tblTransactions[[#This Row],[discount_pct]]),2)</f>
        <v>351.79</v>
      </c>
      <c r="L1184" t="str">
        <f>IF(ABS(tblTransactions[[#This Row],[net_sales_inr]]-tblTransactions[[#This Row],[Recalc_Net_Sales]])&lt;0.02,"OK","CHECK")</f>
        <v>OK</v>
      </c>
      <c r="M1184" s="14">
        <f>DATE(YEAR(tblTransactions[[#This Row],[date]]),MONTH(tblTransactions[[#This Row],[date]]),1)</f>
        <v>45809</v>
      </c>
      <c r="N1184" t="str">
        <f>IF(WEEKDAY(tblTransactions[[#This Row],[date]],2)&gt;5,"Weekend","Weekday")</f>
        <v>Weekday</v>
      </c>
      <c r="O1184" s="13" t="str">
        <f>IF(tblTransactions[[#This Row],[discount_pct]]=0,"0%",IF(tblTransactions[[#This Row],[discount_pct]]&lt;=10%,"1–
10%",IF(tblTransactions[[#This Row],[discount_pct]]&lt;=20%,"11–20%","&gt;20%")))</f>
        <v>0%</v>
      </c>
      <c r="P1184" s="13" t="str">
        <f>_xlfn.XLOOKUP(tblTransactions[[#This Row],[tenant_id]],tblTenants[tenant_id],tblTenants[zone],"NOT FOUND")</f>
        <v>Home &amp; Living</v>
      </c>
      <c r="Q1184" s="13" t="str">
        <f>_xlfn.XLOOKUP(tblTransactions[[#This Row],[tenant_id]],tblTenants[tenant_id],tblTenants[category],"NOT FOUND")</f>
        <v>Home Decor</v>
      </c>
    </row>
    <row r="1185" spans="1:17">
      <c r="A1185" t="s">
        <v>1229</v>
      </c>
      <c r="B1185" s="2">
        <v>45715</v>
      </c>
      <c r="C1185">
        <v>20</v>
      </c>
      <c r="D1185" t="s">
        <v>15</v>
      </c>
      <c r="E1185" t="s">
        <v>32</v>
      </c>
      <c r="F1185" s="7">
        <v>1497.72</v>
      </c>
      <c r="G1185" s="10">
        <v>0</v>
      </c>
      <c r="H1185" s="7">
        <v>1497.72</v>
      </c>
      <c r="I1185">
        <v>1</v>
      </c>
      <c r="J1185" t="s">
        <v>13</v>
      </c>
      <c r="K1185" s="13">
        <f>ROUND(tblTransactions[[#This Row],[gross_sales_inr]]*(1-tblTransactions[[#This Row],[discount_pct]]),2)</f>
        <v>1497.72</v>
      </c>
      <c r="L1185" t="str">
        <f>IF(ABS(tblTransactions[[#This Row],[net_sales_inr]]-tblTransactions[[#This Row],[Recalc_Net_Sales]])&lt;0.02,"OK","CHECK")</f>
        <v>OK</v>
      </c>
      <c r="M1185" s="14">
        <f>DATE(YEAR(tblTransactions[[#This Row],[date]]),MONTH(tblTransactions[[#This Row],[date]]),1)</f>
        <v>45689</v>
      </c>
      <c r="N1185" t="str">
        <f>IF(WEEKDAY(tblTransactions[[#This Row],[date]],2)&gt;5,"Weekend","Weekday")</f>
        <v>Weekday</v>
      </c>
      <c r="O1185" s="13" t="str">
        <f>IF(tblTransactions[[#This Row],[discount_pct]]=0,"0%",IF(tblTransactions[[#This Row],[discount_pct]]&lt;=10%,"1–
10%",IF(tblTransactions[[#This Row],[discount_pct]]&lt;=20%,"11–20%","&gt;20%")))</f>
        <v>0%</v>
      </c>
      <c r="P1185" s="13" t="str">
        <f>_xlfn.XLOOKUP(tblTransactions[[#This Row],[tenant_id]],tblTenants[tenant_id],tblTenants[zone],"NOT FOUND")</f>
        <v>Fashion Avenue</v>
      </c>
      <c r="Q1185" s="13" t="str">
        <f>_xlfn.XLOOKUP(tblTransactions[[#This Row],[tenant_id]],tblTenants[tenant_id],tblTenants[category],"NOT FOUND")</f>
        <v>Accessories</v>
      </c>
    </row>
    <row r="1186" spans="1:17">
      <c r="A1186" t="s">
        <v>1230</v>
      </c>
      <c r="B1186" s="2">
        <v>45836</v>
      </c>
      <c r="C1186">
        <v>16</v>
      </c>
      <c r="D1186" t="s">
        <v>204</v>
      </c>
      <c r="E1186" t="s">
        <v>32</v>
      </c>
      <c r="F1186" s="7">
        <v>513.16</v>
      </c>
      <c r="G1186" s="10">
        <v>0.05</v>
      </c>
      <c r="H1186" s="7">
        <v>487.5</v>
      </c>
      <c r="I1186">
        <v>1</v>
      </c>
      <c r="J1186" t="s">
        <v>13</v>
      </c>
      <c r="K1186" s="13">
        <f>ROUND(tblTransactions[[#This Row],[gross_sales_inr]]*(1-tblTransactions[[#This Row],[discount_pct]]),2)</f>
        <v>487.5</v>
      </c>
      <c r="L1186" t="str">
        <f>IF(ABS(tblTransactions[[#This Row],[net_sales_inr]]-tblTransactions[[#This Row],[Recalc_Net_Sales]])&lt;0.02,"OK","CHECK")</f>
        <v>OK</v>
      </c>
      <c r="M1186" s="14">
        <f>DATE(YEAR(tblTransactions[[#This Row],[date]]),MONTH(tblTransactions[[#This Row],[date]]),1)</f>
        <v>45809</v>
      </c>
      <c r="N1186" t="str">
        <f>IF(WEEKDAY(tblTransactions[[#This Row],[date]],2)&gt;5,"Weekend","Weekday")</f>
        <v>Weekend</v>
      </c>
      <c r="O118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186" s="13" t="str">
        <f>_xlfn.XLOOKUP(tblTransactions[[#This Row],[tenant_id]],tblTenants[tenant_id],tblTenants[zone],"NOT FOUND")</f>
        <v>Home &amp; Living</v>
      </c>
      <c r="Q1186" s="13" t="str">
        <f>_xlfn.XLOOKUP(tblTransactions[[#This Row],[tenant_id]],tblTenants[tenant_id],tblTenants[category],"NOT FOUND")</f>
        <v>Home Decor</v>
      </c>
    </row>
    <row r="1187" spans="1:17">
      <c r="A1187" t="s">
        <v>1231</v>
      </c>
      <c r="B1187" s="2">
        <v>45735</v>
      </c>
      <c r="C1187">
        <v>21</v>
      </c>
      <c r="D1187" t="s">
        <v>61</v>
      </c>
      <c r="E1187" t="s">
        <v>32</v>
      </c>
      <c r="F1187" s="7">
        <v>502.28</v>
      </c>
      <c r="G1187" s="10">
        <v>0</v>
      </c>
      <c r="H1187" s="7">
        <v>502.28</v>
      </c>
      <c r="I1187">
        <v>4</v>
      </c>
      <c r="J1187" t="s">
        <v>13</v>
      </c>
      <c r="K1187" s="13">
        <f>ROUND(tblTransactions[[#This Row],[gross_sales_inr]]*(1-tblTransactions[[#This Row],[discount_pct]]),2)</f>
        <v>502.28</v>
      </c>
      <c r="L1187" t="str">
        <f>IF(ABS(tblTransactions[[#This Row],[net_sales_inr]]-tblTransactions[[#This Row],[Recalc_Net_Sales]])&lt;0.02,"OK","CHECK")</f>
        <v>OK</v>
      </c>
      <c r="M1187" s="14">
        <f>DATE(YEAR(tblTransactions[[#This Row],[date]]),MONTH(tblTransactions[[#This Row],[date]]),1)</f>
        <v>45717</v>
      </c>
      <c r="N1187" t="str">
        <f>IF(WEEKDAY(tblTransactions[[#This Row],[date]],2)&gt;5,"Weekend","Weekday")</f>
        <v>Weekday</v>
      </c>
      <c r="O1187" s="13" t="str">
        <f>IF(tblTransactions[[#This Row],[discount_pct]]=0,"0%",IF(tblTransactions[[#This Row],[discount_pct]]&lt;=10%,"1–
10%",IF(tblTransactions[[#This Row],[discount_pct]]&lt;=20%,"11–20%","&gt;20%")))</f>
        <v>0%</v>
      </c>
      <c r="P1187" s="13" t="str">
        <f>_xlfn.XLOOKUP(tblTransactions[[#This Row],[tenant_id]],tblTenants[tenant_id],tblTenants[zone],"NOT FOUND")</f>
        <v>Food Court</v>
      </c>
      <c r="Q1187" s="13" t="str">
        <f>_xlfn.XLOOKUP(tblTransactions[[#This Row],[tenant_id]],tblTenants[tenant_id],tblTenants[category],"NOT FOUND")</f>
        <v>Quick Service</v>
      </c>
    </row>
    <row r="1188" spans="1:17">
      <c r="A1188" t="s">
        <v>1232</v>
      </c>
      <c r="B1188" s="2">
        <v>45672</v>
      </c>
      <c r="C1188">
        <v>17</v>
      </c>
      <c r="D1188" t="s">
        <v>104</v>
      </c>
      <c r="E1188" t="s">
        <v>12</v>
      </c>
      <c r="F1188" s="7">
        <v>567.4</v>
      </c>
      <c r="G1188" s="10">
        <v>0.2</v>
      </c>
      <c r="H1188" s="7">
        <v>453.92</v>
      </c>
      <c r="I1188">
        <v>3</v>
      </c>
      <c r="J1188" t="s">
        <v>16</v>
      </c>
      <c r="K1188" s="13">
        <f>ROUND(tblTransactions[[#This Row],[gross_sales_inr]]*(1-tblTransactions[[#This Row],[discount_pct]]),2)</f>
        <v>453.92</v>
      </c>
      <c r="L1188" t="str">
        <f>IF(ABS(tblTransactions[[#This Row],[net_sales_inr]]-tblTransactions[[#This Row],[Recalc_Net_Sales]])&lt;0.02,"OK","CHECK")</f>
        <v>OK</v>
      </c>
      <c r="M1188" s="14">
        <f>DATE(YEAR(tblTransactions[[#This Row],[date]]),MONTH(tblTransactions[[#This Row],[date]]),1)</f>
        <v>45658</v>
      </c>
      <c r="N1188" t="str">
        <f>IF(WEEKDAY(tblTransactions[[#This Row],[date]],2)&gt;5,"Weekend","Weekday")</f>
        <v>Weekday</v>
      </c>
      <c r="O118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88" s="13" t="str">
        <f>_xlfn.XLOOKUP(tblTransactions[[#This Row],[tenant_id]],tblTenants[tenant_id],tblTenants[zone],"NOT FOUND")</f>
        <v>Entertainment</v>
      </c>
      <c r="Q1188" s="13" t="str">
        <f>_xlfn.XLOOKUP(tblTransactions[[#This Row],[tenant_id]],tblTenants[tenant_id],tblTenants[category],"NOT FOUND")</f>
        <v>Family Entertainment</v>
      </c>
    </row>
    <row r="1189" spans="1:17">
      <c r="A1189" t="s">
        <v>1233</v>
      </c>
      <c r="B1189" s="2">
        <v>45729</v>
      </c>
      <c r="C1189">
        <v>20</v>
      </c>
      <c r="D1189" t="s">
        <v>104</v>
      </c>
      <c r="E1189" t="s">
        <v>51</v>
      </c>
      <c r="F1189" s="7">
        <v>449.1</v>
      </c>
      <c r="G1189" s="10">
        <v>0.15</v>
      </c>
      <c r="H1189" s="7">
        <v>381.74</v>
      </c>
      <c r="I1189">
        <v>6</v>
      </c>
      <c r="J1189" t="s">
        <v>13</v>
      </c>
      <c r="K1189" s="13">
        <f>ROUND(tblTransactions[[#This Row],[gross_sales_inr]]*(1-tblTransactions[[#This Row],[discount_pct]]),2)</f>
        <v>381.74</v>
      </c>
      <c r="L1189" t="str">
        <f>IF(ABS(tblTransactions[[#This Row],[net_sales_inr]]-tblTransactions[[#This Row],[Recalc_Net_Sales]])&lt;0.02,"OK","CHECK")</f>
        <v>OK</v>
      </c>
      <c r="M1189" s="14">
        <f>DATE(YEAR(tblTransactions[[#This Row],[date]]),MONTH(tblTransactions[[#This Row],[date]]),1)</f>
        <v>45717</v>
      </c>
      <c r="N1189" t="str">
        <f>IF(WEEKDAY(tblTransactions[[#This Row],[date]],2)&gt;5,"Weekend","Weekday")</f>
        <v>Weekday</v>
      </c>
      <c r="O118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89" s="13" t="str">
        <f>_xlfn.XLOOKUP(tblTransactions[[#This Row],[tenant_id]],tblTenants[tenant_id],tblTenants[zone],"NOT FOUND")</f>
        <v>Entertainment</v>
      </c>
      <c r="Q1189" s="13" t="str">
        <f>_xlfn.XLOOKUP(tblTransactions[[#This Row],[tenant_id]],tblTenants[tenant_id],tblTenants[category],"NOT FOUND")</f>
        <v>Family Entertainment</v>
      </c>
    </row>
    <row r="1190" spans="1:17">
      <c r="A1190" t="s">
        <v>1234</v>
      </c>
      <c r="B1190" s="2">
        <v>45803</v>
      </c>
      <c r="C1190">
        <v>16</v>
      </c>
      <c r="D1190" t="s">
        <v>70</v>
      </c>
      <c r="E1190" t="s">
        <v>32</v>
      </c>
      <c r="F1190" s="7">
        <v>654.03</v>
      </c>
      <c r="G1190" s="10">
        <v>0.3</v>
      </c>
      <c r="H1190" s="7">
        <v>457.82</v>
      </c>
      <c r="I1190">
        <v>2</v>
      </c>
      <c r="J1190" t="s">
        <v>16</v>
      </c>
      <c r="K1190" s="13">
        <f>ROUND(tblTransactions[[#This Row],[gross_sales_inr]]*(1-tblTransactions[[#This Row],[discount_pct]]),2)</f>
        <v>457.82</v>
      </c>
      <c r="L1190" t="str">
        <f>IF(ABS(tblTransactions[[#This Row],[net_sales_inr]]-tblTransactions[[#This Row],[Recalc_Net_Sales]])&lt;0.02,"OK","CHECK")</f>
        <v>OK</v>
      </c>
      <c r="M1190" s="14">
        <f>DATE(YEAR(tblTransactions[[#This Row],[date]]),MONTH(tblTransactions[[#This Row],[date]]),1)</f>
        <v>45778</v>
      </c>
      <c r="N1190" t="str">
        <f>IF(WEEKDAY(tblTransactions[[#This Row],[date]],2)&gt;5,"Weekend","Weekday")</f>
        <v>Weekday</v>
      </c>
      <c r="O119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190" s="13" t="str">
        <f>_xlfn.XLOOKUP(tblTransactions[[#This Row],[tenant_id]],tblTenants[tenant_id],tblTenants[zone],"NOT FOUND")</f>
        <v>Food Court</v>
      </c>
      <c r="Q1190" s="13" t="str">
        <f>_xlfn.XLOOKUP(tblTransactions[[#This Row],[tenant_id]],tblTenants[tenant_id],tblTenants[category],"NOT FOUND")</f>
        <v>Quick Service</v>
      </c>
    </row>
    <row r="1191" spans="1:17">
      <c r="A1191" t="s">
        <v>1235</v>
      </c>
      <c r="B1191" s="2">
        <v>45825</v>
      </c>
      <c r="C1191">
        <v>17</v>
      </c>
      <c r="D1191" t="s">
        <v>48</v>
      </c>
      <c r="E1191" t="s">
        <v>12</v>
      </c>
      <c r="F1191" s="7">
        <v>2210.92</v>
      </c>
      <c r="G1191" s="10">
        <v>0</v>
      </c>
      <c r="H1191" s="7">
        <v>2210.92</v>
      </c>
      <c r="I1191">
        <v>2</v>
      </c>
      <c r="J1191" t="s">
        <v>16</v>
      </c>
      <c r="K1191" s="13">
        <f>ROUND(tblTransactions[[#This Row],[gross_sales_inr]]*(1-tblTransactions[[#This Row],[discount_pct]]),2)</f>
        <v>2210.92</v>
      </c>
      <c r="L1191" t="str">
        <f>IF(ABS(tblTransactions[[#This Row],[net_sales_inr]]-tblTransactions[[#This Row],[Recalc_Net_Sales]])&lt;0.02,"OK","CHECK")</f>
        <v>OK</v>
      </c>
      <c r="M1191" s="14">
        <f>DATE(YEAR(tblTransactions[[#This Row],[date]]),MONTH(tblTransactions[[#This Row],[date]]),1)</f>
        <v>45809</v>
      </c>
      <c r="N1191" t="str">
        <f>IF(WEEKDAY(tblTransactions[[#This Row],[date]],2)&gt;5,"Weekend","Weekday")</f>
        <v>Weekday</v>
      </c>
      <c r="O1191" s="13" t="str">
        <f>IF(tblTransactions[[#This Row],[discount_pct]]=0,"0%",IF(tblTransactions[[#This Row],[discount_pct]]&lt;=10%,"1–
10%",IF(tblTransactions[[#This Row],[discount_pct]]&lt;=20%,"11–20%","&gt;20%")))</f>
        <v>0%</v>
      </c>
      <c r="P1191" s="13" t="str">
        <f>_xlfn.XLOOKUP(tblTransactions[[#This Row],[tenant_id]],tblTenants[tenant_id],tblTenants[zone],"NOT FOUND")</f>
        <v>Beauty &amp; Wellness</v>
      </c>
      <c r="Q1191" s="13" t="str">
        <f>_xlfn.XLOOKUP(tblTransactions[[#This Row],[tenant_id]],tblTenants[tenant_id],tblTenants[category],"NOT FOUND")</f>
        <v>Wellness</v>
      </c>
    </row>
    <row r="1192" spans="1:17">
      <c r="A1192" t="s">
        <v>1236</v>
      </c>
      <c r="B1192" s="2">
        <v>45826</v>
      </c>
      <c r="C1192">
        <v>21</v>
      </c>
      <c r="D1192" t="s">
        <v>85</v>
      </c>
      <c r="E1192" t="s">
        <v>21</v>
      </c>
      <c r="F1192" s="7">
        <v>1227.56</v>
      </c>
      <c r="G1192" s="10">
        <v>0</v>
      </c>
      <c r="H1192" s="7">
        <v>1227.56</v>
      </c>
      <c r="I1192">
        <v>4</v>
      </c>
      <c r="J1192" t="s">
        <v>16</v>
      </c>
      <c r="K1192" s="13">
        <f>ROUND(tblTransactions[[#This Row],[gross_sales_inr]]*(1-tblTransactions[[#This Row],[discount_pct]]),2)</f>
        <v>1227.56</v>
      </c>
      <c r="L1192" t="str">
        <f>IF(ABS(tblTransactions[[#This Row],[net_sales_inr]]-tblTransactions[[#This Row],[Recalc_Net_Sales]])&lt;0.02,"OK","CHECK")</f>
        <v>OK</v>
      </c>
      <c r="M1192" s="14">
        <f>DATE(YEAR(tblTransactions[[#This Row],[date]]),MONTH(tblTransactions[[#This Row],[date]]),1)</f>
        <v>45809</v>
      </c>
      <c r="N1192" t="str">
        <f>IF(WEEKDAY(tblTransactions[[#This Row],[date]],2)&gt;5,"Weekend","Weekday")</f>
        <v>Weekday</v>
      </c>
      <c r="O1192" s="13" t="str">
        <f>IF(tblTransactions[[#This Row],[discount_pct]]=0,"0%",IF(tblTransactions[[#This Row],[discount_pct]]&lt;=10%,"1–
10%",IF(tblTransactions[[#This Row],[discount_pct]]&lt;=20%,"11–20%","&gt;20%")))</f>
        <v>0%</v>
      </c>
      <c r="P1192" s="13" t="str">
        <f>_xlfn.XLOOKUP(tblTransactions[[#This Row],[tenant_id]],tblTenants[tenant_id],tblTenants[zone],"NOT FOUND")</f>
        <v>Home &amp; Living</v>
      </c>
      <c r="Q1192" s="13" t="str">
        <f>_xlfn.XLOOKUP(tblTransactions[[#This Row],[tenant_id]],tblTenants[tenant_id],tblTenants[category],"NOT FOUND")</f>
        <v>Electronics</v>
      </c>
    </row>
    <row r="1193" spans="1:17">
      <c r="A1193" t="s">
        <v>1237</v>
      </c>
      <c r="B1193" s="2">
        <v>45658</v>
      </c>
      <c r="C1193">
        <v>11</v>
      </c>
      <c r="D1193" t="s">
        <v>41</v>
      </c>
      <c r="E1193" t="s">
        <v>32</v>
      </c>
      <c r="F1193" s="7">
        <v>378.42</v>
      </c>
      <c r="G1193" s="10">
        <v>0</v>
      </c>
      <c r="H1193" s="7">
        <v>378.42</v>
      </c>
      <c r="I1193">
        <v>1</v>
      </c>
      <c r="J1193" t="s">
        <v>13</v>
      </c>
      <c r="K1193" s="13">
        <f>ROUND(tblTransactions[[#This Row],[gross_sales_inr]]*(1-tblTransactions[[#This Row],[discount_pct]]),2)</f>
        <v>378.42</v>
      </c>
      <c r="L1193" t="str">
        <f>IF(ABS(tblTransactions[[#This Row],[net_sales_inr]]-tblTransactions[[#This Row],[Recalc_Net_Sales]])&lt;0.02,"OK","CHECK")</f>
        <v>OK</v>
      </c>
      <c r="M1193" s="14">
        <f>DATE(YEAR(tblTransactions[[#This Row],[date]]),MONTH(tblTransactions[[#This Row],[date]]),1)</f>
        <v>45658</v>
      </c>
      <c r="N1193" t="str">
        <f>IF(WEEKDAY(tblTransactions[[#This Row],[date]],2)&gt;5,"Weekend","Weekday")</f>
        <v>Weekday</v>
      </c>
      <c r="O1193" s="13" t="str">
        <f>IF(tblTransactions[[#This Row],[discount_pct]]=0,"0%",IF(tblTransactions[[#This Row],[discount_pct]]&lt;=10%,"1–
10%",IF(tblTransactions[[#This Row],[discount_pct]]&lt;=20%,"11–20%","&gt;20%")))</f>
        <v>0%</v>
      </c>
      <c r="P1193" s="13" t="str">
        <f>_xlfn.XLOOKUP(tblTransactions[[#This Row],[tenant_id]],tblTenants[tenant_id],tblTenants[zone],"NOT FOUND")</f>
        <v>Fashion Avenue</v>
      </c>
      <c r="Q1193" s="13" t="str">
        <f>_xlfn.XLOOKUP(tblTransactions[[#This Row],[tenant_id]],tblTenants[tenant_id],tblTenants[category],"NOT FOUND")</f>
        <v>Clothing</v>
      </c>
    </row>
    <row r="1194" spans="1:17">
      <c r="A1194" t="s">
        <v>1238</v>
      </c>
      <c r="B1194" s="2">
        <v>45720</v>
      </c>
      <c r="C1194">
        <v>10</v>
      </c>
      <c r="D1194" t="s">
        <v>55</v>
      </c>
      <c r="E1194" t="s">
        <v>12</v>
      </c>
      <c r="F1194" s="7">
        <v>1972.86</v>
      </c>
      <c r="G1194" s="10">
        <v>0</v>
      </c>
      <c r="H1194" s="7">
        <v>1972.86</v>
      </c>
      <c r="I1194">
        <v>1</v>
      </c>
      <c r="J1194" t="s">
        <v>16</v>
      </c>
      <c r="K1194" s="13">
        <f>ROUND(tblTransactions[[#This Row],[gross_sales_inr]]*(1-tblTransactions[[#This Row],[discount_pct]]),2)</f>
        <v>1972.86</v>
      </c>
      <c r="L1194" t="str">
        <f>IF(ABS(tblTransactions[[#This Row],[net_sales_inr]]-tblTransactions[[#This Row],[Recalc_Net_Sales]])&lt;0.02,"OK","CHECK")</f>
        <v>OK</v>
      </c>
      <c r="M1194" s="14">
        <f>DATE(YEAR(tblTransactions[[#This Row],[date]]),MONTH(tblTransactions[[#This Row],[date]]),1)</f>
        <v>45717</v>
      </c>
      <c r="N1194" t="str">
        <f>IF(WEEKDAY(tblTransactions[[#This Row],[date]],2)&gt;5,"Weekend","Weekday")</f>
        <v>Weekday</v>
      </c>
      <c r="O1194" s="13" t="str">
        <f>IF(tblTransactions[[#This Row],[discount_pct]]=0,"0%",IF(tblTransactions[[#This Row],[discount_pct]]&lt;=10%,"1–
10%",IF(tblTransactions[[#This Row],[discount_pct]]&lt;=20%,"11–20%","&gt;20%")))</f>
        <v>0%</v>
      </c>
      <c r="P1194" s="13" t="str">
        <f>_xlfn.XLOOKUP(tblTransactions[[#This Row],[tenant_id]],tblTenants[tenant_id],tblTenants[zone],"NOT FOUND")</f>
        <v>Food Court</v>
      </c>
      <c r="Q1194" s="13" t="str">
        <f>_xlfn.XLOOKUP(tblTransactions[[#This Row],[tenant_id]],tblTenants[tenant_id],tblTenants[category],"NOT FOUND")</f>
        <v>Quick Service</v>
      </c>
    </row>
    <row r="1195" spans="1:17">
      <c r="A1195" t="s">
        <v>1239</v>
      </c>
      <c r="B1195" s="2">
        <v>45685</v>
      </c>
      <c r="C1195">
        <v>22</v>
      </c>
      <c r="D1195" t="s">
        <v>43</v>
      </c>
      <c r="E1195" t="s">
        <v>12</v>
      </c>
      <c r="F1195" s="7">
        <v>794.67</v>
      </c>
      <c r="G1195" s="10">
        <v>0</v>
      </c>
      <c r="H1195" s="7">
        <v>794.67</v>
      </c>
      <c r="I1195">
        <v>3</v>
      </c>
      <c r="J1195" t="s">
        <v>13</v>
      </c>
      <c r="K1195" s="13">
        <f>ROUND(tblTransactions[[#This Row],[gross_sales_inr]]*(1-tblTransactions[[#This Row],[discount_pct]]),2)</f>
        <v>794.67</v>
      </c>
      <c r="L1195" t="str">
        <f>IF(ABS(tblTransactions[[#This Row],[net_sales_inr]]-tblTransactions[[#This Row],[Recalc_Net_Sales]])&lt;0.02,"OK","CHECK")</f>
        <v>OK</v>
      </c>
      <c r="M1195" s="14">
        <f>DATE(YEAR(tblTransactions[[#This Row],[date]]),MONTH(tblTransactions[[#This Row],[date]]),1)</f>
        <v>45658</v>
      </c>
      <c r="N1195" t="str">
        <f>IF(WEEKDAY(tblTransactions[[#This Row],[date]],2)&gt;5,"Weekend","Weekday")</f>
        <v>Weekday</v>
      </c>
      <c r="O1195" s="13" t="str">
        <f>IF(tblTransactions[[#This Row],[discount_pct]]=0,"0%",IF(tblTransactions[[#This Row],[discount_pct]]&lt;=10%,"1–
10%",IF(tblTransactions[[#This Row],[discount_pct]]&lt;=20%,"11–20%","&gt;20%")))</f>
        <v>0%</v>
      </c>
      <c r="P1195" s="13" t="str">
        <f>_xlfn.XLOOKUP(tblTransactions[[#This Row],[tenant_id]],tblTenants[tenant_id],tblTenants[zone],"NOT FOUND")</f>
        <v>Food Court</v>
      </c>
      <c r="Q1195" s="13" t="str">
        <f>_xlfn.XLOOKUP(tblTransactions[[#This Row],[tenant_id]],tblTenants[tenant_id],tblTenants[category],"NOT FOUND")</f>
        <v>Casual Dining</v>
      </c>
    </row>
    <row r="1196" spans="1:17">
      <c r="A1196" t="s">
        <v>1240</v>
      </c>
      <c r="B1196" s="2">
        <v>45783</v>
      </c>
      <c r="C1196">
        <v>16</v>
      </c>
      <c r="D1196" t="s">
        <v>45</v>
      </c>
      <c r="E1196" t="s">
        <v>21</v>
      </c>
      <c r="F1196" s="7">
        <v>507.89</v>
      </c>
      <c r="G1196" s="10">
        <v>0.15</v>
      </c>
      <c r="H1196" s="7">
        <v>431.71</v>
      </c>
      <c r="I1196">
        <v>4</v>
      </c>
      <c r="J1196" t="s">
        <v>16</v>
      </c>
      <c r="K1196" s="13">
        <f>ROUND(tblTransactions[[#This Row],[gross_sales_inr]]*(1-tblTransactions[[#This Row],[discount_pct]]),2)</f>
        <v>431.71</v>
      </c>
      <c r="L1196" t="str">
        <f>IF(ABS(tblTransactions[[#This Row],[net_sales_inr]]-tblTransactions[[#This Row],[Recalc_Net_Sales]])&lt;0.02,"OK","CHECK")</f>
        <v>OK</v>
      </c>
      <c r="M1196" s="14">
        <f>DATE(YEAR(tblTransactions[[#This Row],[date]]),MONTH(tblTransactions[[#This Row],[date]]),1)</f>
        <v>45778</v>
      </c>
      <c r="N1196" t="str">
        <f>IF(WEEKDAY(tblTransactions[[#This Row],[date]],2)&gt;5,"Weekend","Weekday")</f>
        <v>Weekday</v>
      </c>
      <c r="O119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196" s="13" t="str">
        <f>_xlfn.XLOOKUP(tblTransactions[[#This Row],[tenant_id]],tblTenants[tenant_id],tblTenants[zone],"NOT FOUND")</f>
        <v>Home &amp; Living</v>
      </c>
      <c r="Q1196" s="13" t="str">
        <f>_xlfn.XLOOKUP(tblTransactions[[#This Row],[tenant_id]],tblTenants[tenant_id],tblTenants[category],"NOT FOUND")</f>
        <v>Home Decor</v>
      </c>
    </row>
    <row r="1197" spans="1:17">
      <c r="A1197" t="s">
        <v>1241</v>
      </c>
      <c r="B1197" s="2">
        <v>45730</v>
      </c>
      <c r="C1197">
        <v>16</v>
      </c>
      <c r="D1197" t="s">
        <v>25</v>
      </c>
      <c r="E1197" t="s">
        <v>21</v>
      </c>
      <c r="F1197" s="7">
        <v>1013.51</v>
      </c>
      <c r="G1197" s="10">
        <v>0</v>
      </c>
      <c r="H1197" s="7">
        <v>1013.51</v>
      </c>
      <c r="I1197">
        <v>1</v>
      </c>
      <c r="J1197" t="s">
        <v>13</v>
      </c>
      <c r="K1197" s="13">
        <f>ROUND(tblTransactions[[#This Row],[gross_sales_inr]]*(1-tblTransactions[[#This Row],[discount_pct]]),2)</f>
        <v>1013.51</v>
      </c>
      <c r="L1197" t="str">
        <f>IF(ABS(tblTransactions[[#This Row],[net_sales_inr]]-tblTransactions[[#This Row],[Recalc_Net_Sales]])&lt;0.02,"OK","CHECK")</f>
        <v>OK</v>
      </c>
      <c r="M1197" s="14">
        <f>DATE(YEAR(tblTransactions[[#This Row],[date]]),MONTH(tblTransactions[[#This Row],[date]]),1)</f>
        <v>45717</v>
      </c>
      <c r="N1197" t="str">
        <f>IF(WEEKDAY(tblTransactions[[#This Row],[date]],2)&gt;5,"Weekend","Weekday")</f>
        <v>Weekday</v>
      </c>
      <c r="O1197" s="13" t="str">
        <f>IF(tblTransactions[[#This Row],[discount_pct]]=0,"0%",IF(tblTransactions[[#This Row],[discount_pct]]&lt;=10%,"1–
10%",IF(tblTransactions[[#This Row],[discount_pct]]&lt;=20%,"11–20%","&gt;20%")))</f>
        <v>0%</v>
      </c>
      <c r="P1197" s="13" t="str">
        <f>_xlfn.XLOOKUP(tblTransactions[[#This Row],[tenant_id]],tblTenants[tenant_id],tblTenants[zone],"NOT FOUND")</f>
        <v>Beauty &amp; Wellness</v>
      </c>
      <c r="Q1197" s="13" t="str">
        <f>_xlfn.XLOOKUP(tblTransactions[[#This Row],[tenant_id]],tblTenants[tenant_id],tblTenants[category],"NOT FOUND")</f>
        <v>Beauty</v>
      </c>
    </row>
    <row r="1198" spans="1:17">
      <c r="A1198" t="s">
        <v>1242</v>
      </c>
      <c r="B1198" s="2">
        <v>45810</v>
      </c>
      <c r="C1198">
        <v>14</v>
      </c>
      <c r="D1198" t="s">
        <v>53</v>
      </c>
      <c r="E1198" t="s">
        <v>21</v>
      </c>
      <c r="F1198" s="7">
        <v>473.69</v>
      </c>
      <c r="G1198" s="10">
        <v>0</v>
      </c>
      <c r="H1198" s="7">
        <v>473.69</v>
      </c>
      <c r="I1198">
        <v>1</v>
      </c>
      <c r="J1198" t="s">
        <v>16</v>
      </c>
      <c r="K1198" s="13">
        <f>ROUND(tblTransactions[[#This Row],[gross_sales_inr]]*(1-tblTransactions[[#This Row],[discount_pct]]),2)</f>
        <v>473.69</v>
      </c>
      <c r="L1198" t="str">
        <f>IF(ABS(tblTransactions[[#This Row],[net_sales_inr]]-tblTransactions[[#This Row],[Recalc_Net_Sales]])&lt;0.02,"OK","CHECK")</f>
        <v>OK</v>
      </c>
      <c r="M1198" s="14">
        <f>DATE(YEAR(tblTransactions[[#This Row],[date]]),MONTH(tblTransactions[[#This Row],[date]]),1)</f>
        <v>45809</v>
      </c>
      <c r="N1198" t="str">
        <f>IF(WEEKDAY(tblTransactions[[#This Row],[date]],2)&gt;5,"Weekend","Weekday")</f>
        <v>Weekday</v>
      </c>
      <c r="O1198" s="13" t="str">
        <f>IF(tblTransactions[[#This Row],[discount_pct]]=0,"0%",IF(tblTransactions[[#This Row],[discount_pct]]&lt;=10%,"1–
10%",IF(tblTransactions[[#This Row],[discount_pct]]&lt;=20%,"11–20%","&gt;20%")))</f>
        <v>0%</v>
      </c>
      <c r="P1198" s="13" t="str">
        <f>_xlfn.XLOOKUP(tblTransactions[[#This Row],[tenant_id]],tblTenants[tenant_id],tblTenants[zone],"NOT FOUND")</f>
        <v>Beauty &amp; Wellness</v>
      </c>
      <c r="Q1198" s="13" t="str">
        <f>_xlfn.XLOOKUP(tblTransactions[[#This Row],[tenant_id]],tblTenants[tenant_id],tblTenants[category],"NOT FOUND")</f>
        <v>Beauty</v>
      </c>
    </row>
    <row r="1199" spans="1:17">
      <c r="A1199" t="s">
        <v>1243</v>
      </c>
      <c r="B1199" s="2">
        <v>45767</v>
      </c>
      <c r="C1199">
        <v>17</v>
      </c>
      <c r="D1199" t="s">
        <v>59</v>
      </c>
      <c r="E1199" t="s">
        <v>12</v>
      </c>
      <c r="F1199" s="7">
        <v>911.17</v>
      </c>
      <c r="G1199" s="10">
        <v>0</v>
      </c>
      <c r="H1199" s="7">
        <v>911.17</v>
      </c>
      <c r="I1199">
        <v>6</v>
      </c>
      <c r="J1199" t="s">
        <v>16</v>
      </c>
      <c r="K1199" s="13">
        <f>ROUND(tblTransactions[[#This Row],[gross_sales_inr]]*(1-tblTransactions[[#This Row],[discount_pct]]),2)</f>
        <v>911.17</v>
      </c>
      <c r="L1199" t="str">
        <f>IF(ABS(tblTransactions[[#This Row],[net_sales_inr]]-tblTransactions[[#This Row],[Recalc_Net_Sales]])&lt;0.02,"OK","CHECK")</f>
        <v>OK</v>
      </c>
      <c r="M1199" s="14">
        <f>DATE(YEAR(tblTransactions[[#This Row],[date]]),MONTH(tblTransactions[[#This Row],[date]]),1)</f>
        <v>45748</v>
      </c>
      <c r="N1199" t="str">
        <f>IF(WEEKDAY(tblTransactions[[#This Row],[date]],2)&gt;5,"Weekend","Weekday")</f>
        <v>Weekend</v>
      </c>
      <c r="O1199" s="13" t="str">
        <f>IF(tblTransactions[[#This Row],[discount_pct]]=0,"0%",IF(tblTransactions[[#This Row],[discount_pct]]&lt;=10%,"1–
10%",IF(tblTransactions[[#This Row],[discount_pct]]&lt;=20%,"11–20%","&gt;20%")))</f>
        <v>0%</v>
      </c>
      <c r="P1199" s="13" t="str">
        <f>_xlfn.XLOOKUP(tblTransactions[[#This Row],[tenant_id]],tblTenants[tenant_id],tblTenants[zone],"NOT FOUND")</f>
        <v>Fashion Avenue</v>
      </c>
      <c r="Q1199" s="13" t="str">
        <f>_xlfn.XLOOKUP(tblTransactions[[#This Row],[tenant_id]],tblTenants[tenant_id],tblTenants[category],"NOT FOUND")</f>
        <v>Footwear</v>
      </c>
    </row>
    <row r="1200" spans="1:17">
      <c r="A1200" t="s">
        <v>1244</v>
      </c>
      <c r="B1200" s="2">
        <v>45658</v>
      </c>
      <c r="C1200">
        <v>15</v>
      </c>
      <c r="D1200" t="s">
        <v>23</v>
      </c>
      <c r="E1200" t="s">
        <v>32</v>
      </c>
      <c r="F1200" s="7">
        <v>2709.81</v>
      </c>
      <c r="G1200" s="10">
        <v>0</v>
      </c>
      <c r="H1200" s="7">
        <v>2709.81</v>
      </c>
      <c r="I1200">
        <v>3</v>
      </c>
      <c r="J1200" t="s">
        <v>13</v>
      </c>
      <c r="K1200" s="13">
        <f>ROUND(tblTransactions[[#This Row],[gross_sales_inr]]*(1-tblTransactions[[#This Row],[discount_pct]]),2)</f>
        <v>2709.81</v>
      </c>
      <c r="L1200" t="str">
        <f>IF(ABS(tblTransactions[[#This Row],[net_sales_inr]]-tblTransactions[[#This Row],[Recalc_Net_Sales]])&lt;0.02,"OK","CHECK")</f>
        <v>OK</v>
      </c>
      <c r="M1200" s="14">
        <f>DATE(YEAR(tblTransactions[[#This Row],[date]]),MONTH(tblTransactions[[#This Row],[date]]),1)</f>
        <v>45658</v>
      </c>
      <c r="N1200" t="str">
        <f>IF(WEEKDAY(tblTransactions[[#This Row],[date]],2)&gt;5,"Weekend","Weekday")</f>
        <v>Weekday</v>
      </c>
      <c r="O1200" s="13" t="str">
        <f>IF(tblTransactions[[#This Row],[discount_pct]]=0,"0%",IF(tblTransactions[[#This Row],[discount_pct]]&lt;=10%,"1–
10%",IF(tblTransactions[[#This Row],[discount_pct]]&lt;=20%,"11–20%","&gt;20%")))</f>
        <v>0%</v>
      </c>
      <c r="P1200" s="13" t="str">
        <f>_xlfn.XLOOKUP(tblTransactions[[#This Row],[tenant_id]],tblTenants[tenant_id],tblTenants[zone],"NOT FOUND")</f>
        <v>Entertainment</v>
      </c>
      <c r="Q1200" s="13" t="str">
        <f>_xlfn.XLOOKUP(tblTransactions[[#This Row],[tenant_id]],tblTenants[tenant_id],tblTenants[category],"NOT FOUND")</f>
        <v>Cinema</v>
      </c>
    </row>
    <row r="1201" spans="1:17">
      <c r="A1201" t="s">
        <v>1245</v>
      </c>
      <c r="B1201" s="2">
        <v>45690</v>
      </c>
      <c r="C1201">
        <v>14</v>
      </c>
      <c r="D1201" t="s">
        <v>34</v>
      </c>
      <c r="E1201" t="s">
        <v>21</v>
      </c>
      <c r="F1201" s="7">
        <v>844.01</v>
      </c>
      <c r="G1201" s="10">
        <v>0.1</v>
      </c>
      <c r="H1201" s="7">
        <v>759.61</v>
      </c>
      <c r="I1201">
        <v>4</v>
      </c>
      <c r="J1201" t="s">
        <v>13</v>
      </c>
      <c r="K1201" s="13">
        <f>ROUND(tblTransactions[[#This Row],[gross_sales_inr]]*(1-tblTransactions[[#This Row],[discount_pct]]),2)</f>
        <v>759.61</v>
      </c>
      <c r="L1201" t="str">
        <f>IF(ABS(tblTransactions[[#This Row],[net_sales_inr]]-tblTransactions[[#This Row],[Recalc_Net_Sales]])&lt;0.02,"OK","CHECK")</f>
        <v>OK</v>
      </c>
      <c r="M1201" s="14">
        <f>DATE(YEAR(tblTransactions[[#This Row],[date]]),MONTH(tblTransactions[[#This Row],[date]]),1)</f>
        <v>45689</v>
      </c>
      <c r="N1201" t="str">
        <f>IF(WEEKDAY(tblTransactions[[#This Row],[date]],2)&gt;5,"Weekend","Weekday")</f>
        <v>Weekend</v>
      </c>
      <c r="O120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01" s="13" t="str">
        <f>_xlfn.XLOOKUP(tblTransactions[[#This Row],[tenant_id]],tblTenants[tenant_id],tblTenants[zone],"NOT FOUND")</f>
        <v>Home &amp; Living</v>
      </c>
      <c r="Q1201" s="13" t="str">
        <f>_xlfn.XLOOKUP(tblTransactions[[#This Row],[tenant_id]],tblTenants[tenant_id],tblTenants[category],"NOT FOUND")</f>
        <v>Electronics</v>
      </c>
    </row>
    <row r="1202" spans="1:17">
      <c r="A1202" t="s">
        <v>1246</v>
      </c>
      <c r="B1202" s="2">
        <v>45835</v>
      </c>
      <c r="C1202">
        <v>13</v>
      </c>
      <c r="D1202" t="s">
        <v>70</v>
      </c>
      <c r="E1202" t="s">
        <v>21</v>
      </c>
      <c r="F1202" s="7">
        <v>1749.02</v>
      </c>
      <c r="G1202" s="10">
        <v>0</v>
      </c>
      <c r="H1202" s="7">
        <v>1749.02</v>
      </c>
      <c r="I1202">
        <v>2</v>
      </c>
      <c r="J1202" t="s">
        <v>16</v>
      </c>
      <c r="K1202" s="13">
        <f>ROUND(tblTransactions[[#This Row],[gross_sales_inr]]*(1-tblTransactions[[#This Row],[discount_pct]]),2)</f>
        <v>1749.02</v>
      </c>
      <c r="L1202" t="str">
        <f>IF(ABS(tblTransactions[[#This Row],[net_sales_inr]]-tblTransactions[[#This Row],[Recalc_Net_Sales]])&lt;0.02,"OK","CHECK")</f>
        <v>OK</v>
      </c>
      <c r="M1202" s="14">
        <f>DATE(YEAR(tblTransactions[[#This Row],[date]]),MONTH(tblTransactions[[#This Row],[date]]),1)</f>
        <v>45809</v>
      </c>
      <c r="N1202" t="str">
        <f>IF(WEEKDAY(tblTransactions[[#This Row],[date]],2)&gt;5,"Weekend","Weekday")</f>
        <v>Weekday</v>
      </c>
      <c r="O1202" s="13" t="str">
        <f>IF(tblTransactions[[#This Row],[discount_pct]]=0,"0%",IF(tblTransactions[[#This Row],[discount_pct]]&lt;=10%,"1–
10%",IF(tblTransactions[[#This Row],[discount_pct]]&lt;=20%,"11–20%","&gt;20%")))</f>
        <v>0%</v>
      </c>
      <c r="P1202" s="13" t="str">
        <f>_xlfn.XLOOKUP(tblTransactions[[#This Row],[tenant_id]],tblTenants[tenant_id],tblTenants[zone],"NOT FOUND")</f>
        <v>Food Court</v>
      </c>
      <c r="Q1202" s="13" t="str">
        <f>_xlfn.XLOOKUP(tblTransactions[[#This Row],[tenant_id]],tblTenants[tenant_id],tblTenants[category],"NOT FOUND")</f>
        <v>Quick Service</v>
      </c>
    </row>
    <row r="1203" spans="1:17">
      <c r="A1203" t="s">
        <v>1247</v>
      </c>
      <c r="B1203" s="2">
        <v>45830</v>
      </c>
      <c r="C1203">
        <v>17</v>
      </c>
      <c r="D1203" t="s">
        <v>70</v>
      </c>
      <c r="E1203" t="s">
        <v>32</v>
      </c>
      <c r="F1203" s="7">
        <v>562.27</v>
      </c>
      <c r="G1203" s="10">
        <v>0.15</v>
      </c>
      <c r="H1203" s="7">
        <v>477.93</v>
      </c>
      <c r="I1203">
        <v>1</v>
      </c>
      <c r="J1203" t="s">
        <v>16</v>
      </c>
      <c r="K1203" s="13">
        <f>ROUND(tblTransactions[[#This Row],[gross_sales_inr]]*(1-tblTransactions[[#This Row],[discount_pct]]),2)</f>
        <v>477.93</v>
      </c>
      <c r="L1203" t="str">
        <f>IF(ABS(tblTransactions[[#This Row],[net_sales_inr]]-tblTransactions[[#This Row],[Recalc_Net_Sales]])&lt;0.02,"OK","CHECK")</f>
        <v>OK</v>
      </c>
      <c r="M1203" s="14">
        <f>DATE(YEAR(tblTransactions[[#This Row],[date]]),MONTH(tblTransactions[[#This Row],[date]]),1)</f>
        <v>45809</v>
      </c>
      <c r="N1203" t="str">
        <f>IF(WEEKDAY(tblTransactions[[#This Row],[date]],2)&gt;5,"Weekend","Weekday")</f>
        <v>Weekend</v>
      </c>
      <c r="O120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03" s="13" t="str">
        <f>_xlfn.XLOOKUP(tblTransactions[[#This Row],[tenant_id]],tblTenants[tenant_id],tblTenants[zone],"NOT FOUND")</f>
        <v>Food Court</v>
      </c>
      <c r="Q1203" s="13" t="str">
        <f>_xlfn.XLOOKUP(tblTransactions[[#This Row],[tenant_id]],tblTenants[tenant_id],tblTenants[category],"NOT FOUND")</f>
        <v>Quick Service</v>
      </c>
    </row>
    <row r="1204" spans="1:17">
      <c r="A1204" t="s">
        <v>1248</v>
      </c>
      <c r="B1204" s="2">
        <v>45749</v>
      </c>
      <c r="C1204">
        <v>22</v>
      </c>
      <c r="D1204" t="s">
        <v>70</v>
      </c>
      <c r="E1204" t="s">
        <v>12</v>
      </c>
      <c r="F1204" s="7">
        <v>1434.15</v>
      </c>
      <c r="G1204" s="10">
        <v>0.15</v>
      </c>
      <c r="H1204" s="7">
        <v>1219.03</v>
      </c>
      <c r="I1204">
        <v>2</v>
      </c>
      <c r="J1204" t="s">
        <v>16</v>
      </c>
      <c r="K1204" s="13">
        <f>ROUND(tblTransactions[[#This Row],[gross_sales_inr]]*(1-tblTransactions[[#This Row],[discount_pct]]),2)</f>
        <v>1219.03</v>
      </c>
      <c r="L1204" t="str">
        <f>IF(ABS(tblTransactions[[#This Row],[net_sales_inr]]-tblTransactions[[#This Row],[Recalc_Net_Sales]])&lt;0.02,"OK","CHECK")</f>
        <v>OK</v>
      </c>
      <c r="M1204" s="14">
        <f>DATE(YEAR(tblTransactions[[#This Row],[date]]),MONTH(tblTransactions[[#This Row],[date]]),1)</f>
        <v>45748</v>
      </c>
      <c r="N1204" t="str">
        <f>IF(WEEKDAY(tblTransactions[[#This Row],[date]],2)&gt;5,"Weekend","Weekday")</f>
        <v>Weekday</v>
      </c>
      <c r="O120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04" s="13" t="str">
        <f>_xlfn.XLOOKUP(tblTransactions[[#This Row],[tenant_id]],tblTenants[tenant_id],tblTenants[zone],"NOT FOUND")</f>
        <v>Food Court</v>
      </c>
      <c r="Q1204" s="13" t="str">
        <f>_xlfn.XLOOKUP(tblTransactions[[#This Row],[tenant_id]],tblTenants[tenant_id],tblTenants[category],"NOT FOUND")</f>
        <v>Quick Service</v>
      </c>
    </row>
    <row r="1205" spans="1:17">
      <c r="A1205" t="s">
        <v>1249</v>
      </c>
      <c r="B1205" s="2">
        <v>45710</v>
      </c>
      <c r="C1205">
        <v>18</v>
      </c>
      <c r="D1205" t="s">
        <v>85</v>
      </c>
      <c r="E1205" t="s">
        <v>12</v>
      </c>
      <c r="F1205" s="7">
        <v>762.99</v>
      </c>
      <c r="G1205" s="10">
        <v>0</v>
      </c>
      <c r="H1205" s="7">
        <v>762.99</v>
      </c>
      <c r="I1205">
        <v>3</v>
      </c>
      <c r="J1205" t="s">
        <v>13</v>
      </c>
      <c r="K1205" s="13">
        <f>ROUND(tblTransactions[[#This Row],[gross_sales_inr]]*(1-tblTransactions[[#This Row],[discount_pct]]),2)</f>
        <v>762.99</v>
      </c>
      <c r="L1205" t="str">
        <f>IF(ABS(tblTransactions[[#This Row],[net_sales_inr]]-tblTransactions[[#This Row],[Recalc_Net_Sales]])&lt;0.02,"OK","CHECK")</f>
        <v>OK</v>
      </c>
      <c r="M1205" s="14">
        <f>DATE(YEAR(tblTransactions[[#This Row],[date]]),MONTH(tblTransactions[[#This Row],[date]]),1)</f>
        <v>45689</v>
      </c>
      <c r="N1205" t="str">
        <f>IF(WEEKDAY(tblTransactions[[#This Row],[date]],2)&gt;5,"Weekend","Weekday")</f>
        <v>Weekend</v>
      </c>
      <c r="O1205" s="13" t="str">
        <f>IF(tblTransactions[[#This Row],[discount_pct]]=0,"0%",IF(tblTransactions[[#This Row],[discount_pct]]&lt;=10%,"1–
10%",IF(tblTransactions[[#This Row],[discount_pct]]&lt;=20%,"11–20%","&gt;20%")))</f>
        <v>0%</v>
      </c>
      <c r="P1205" s="13" t="str">
        <f>_xlfn.XLOOKUP(tblTransactions[[#This Row],[tenant_id]],tblTenants[tenant_id],tblTenants[zone],"NOT FOUND")</f>
        <v>Home &amp; Living</v>
      </c>
      <c r="Q1205" s="13" t="str">
        <f>_xlfn.XLOOKUP(tblTransactions[[#This Row],[tenant_id]],tblTenants[tenant_id],tblTenants[category],"NOT FOUND")</f>
        <v>Electronics</v>
      </c>
    </row>
    <row r="1206" spans="1:17">
      <c r="A1206" t="s">
        <v>1250</v>
      </c>
      <c r="B1206" s="2">
        <v>45723</v>
      </c>
      <c r="C1206">
        <v>15</v>
      </c>
      <c r="D1206" t="s">
        <v>57</v>
      </c>
      <c r="E1206" t="s">
        <v>32</v>
      </c>
      <c r="F1206" s="7">
        <v>1393.27</v>
      </c>
      <c r="G1206" s="10">
        <v>0</v>
      </c>
      <c r="H1206" s="7">
        <v>1393.27</v>
      </c>
      <c r="I1206">
        <v>3</v>
      </c>
      <c r="J1206" t="s">
        <v>13</v>
      </c>
      <c r="K1206" s="13">
        <f>ROUND(tblTransactions[[#This Row],[gross_sales_inr]]*(1-tblTransactions[[#This Row],[discount_pct]]),2)</f>
        <v>1393.27</v>
      </c>
      <c r="L1206" t="str">
        <f>IF(ABS(tblTransactions[[#This Row],[net_sales_inr]]-tblTransactions[[#This Row],[Recalc_Net_Sales]])&lt;0.02,"OK","CHECK")</f>
        <v>OK</v>
      </c>
      <c r="M1206" s="14">
        <f>DATE(YEAR(tblTransactions[[#This Row],[date]]),MONTH(tblTransactions[[#This Row],[date]]),1)</f>
        <v>45717</v>
      </c>
      <c r="N1206" t="str">
        <f>IF(WEEKDAY(tblTransactions[[#This Row],[date]],2)&gt;5,"Weekend","Weekday")</f>
        <v>Weekday</v>
      </c>
      <c r="O1206" s="13" t="str">
        <f>IF(tblTransactions[[#This Row],[discount_pct]]=0,"0%",IF(tblTransactions[[#This Row],[discount_pct]]&lt;=10%,"1–
10%",IF(tblTransactions[[#This Row],[discount_pct]]&lt;=20%,"11–20%","&gt;20%")))</f>
        <v>0%</v>
      </c>
      <c r="P1206" s="13" t="str">
        <f>_xlfn.XLOOKUP(tblTransactions[[#This Row],[tenant_id]],tblTenants[tenant_id],tblTenants[zone],"NOT FOUND")</f>
        <v>Food Court</v>
      </c>
      <c r="Q1206" s="13" t="str">
        <f>_xlfn.XLOOKUP(tblTransactions[[#This Row],[tenant_id]],tblTenants[tenant_id],tblTenants[category],"NOT FOUND")</f>
        <v>Casual Dining</v>
      </c>
    </row>
    <row r="1207" spans="1:17">
      <c r="A1207" t="s">
        <v>1251</v>
      </c>
      <c r="B1207" s="2">
        <v>45679</v>
      </c>
      <c r="C1207">
        <v>12</v>
      </c>
      <c r="D1207" t="s">
        <v>104</v>
      </c>
      <c r="E1207" t="s">
        <v>12</v>
      </c>
      <c r="F1207" s="7">
        <v>861.24</v>
      </c>
      <c r="G1207" s="10">
        <v>0.1</v>
      </c>
      <c r="H1207" s="7">
        <v>775.12</v>
      </c>
      <c r="I1207">
        <v>2</v>
      </c>
      <c r="J1207" t="s">
        <v>13</v>
      </c>
      <c r="K1207" s="13">
        <f>ROUND(tblTransactions[[#This Row],[gross_sales_inr]]*(1-tblTransactions[[#This Row],[discount_pct]]),2)</f>
        <v>775.12</v>
      </c>
      <c r="L1207" t="str">
        <f>IF(ABS(tblTransactions[[#This Row],[net_sales_inr]]-tblTransactions[[#This Row],[Recalc_Net_Sales]])&lt;0.02,"OK","CHECK")</f>
        <v>OK</v>
      </c>
      <c r="M1207" s="14">
        <f>DATE(YEAR(tblTransactions[[#This Row],[date]]),MONTH(tblTransactions[[#This Row],[date]]),1)</f>
        <v>45658</v>
      </c>
      <c r="N1207" t="str">
        <f>IF(WEEKDAY(tblTransactions[[#This Row],[date]],2)&gt;5,"Weekend","Weekday")</f>
        <v>Weekday</v>
      </c>
      <c r="O120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07" s="13" t="str">
        <f>_xlfn.XLOOKUP(tblTransactions[[#This Row],[tenant_id]],tblTenants[tenant_id],tblTenants[zone],"NOT FOUND")</f>
        <v>Entertainment</v>
      </c>
      <c r="Q1207" s="13" t="str">
        <f>_xlfn.XLOOKUP(tblTransactions[[#This Row],[tenant_id]],tblTenants[tenant_id],tblTenants[category],"NOT FOUND")</f>
        <v>Family Entertainment</v>
      </c>
    </row>
    <row r="1208" spans="1:17">
      <c r="A1208" t="s">
        <v>1252</v>
      </c>
      <c r="B1208" s="2">
        <v>45737</v>
      </c>
      <c r="C1208">
        <v>18</v>
      </c>
      <c r="D1208" t="s">
        <v>43</v>
      </c>
      <c r="E1208" t="s">
        <v>12</v>
      </c>
      <c r="F1208" s="7">
        <v>947.26</v>
      </c>
      <c r="G1208" s="10">
        <v>0</v>
      </c>
      <c r="H1208" s="7">
        <v>947.26</v>
      </c>
      <c r="I1208">
        <v>1</v>
      </c>
      <c r="J1208" t="s">
        <v>16</v>
      </c>
      <c r="K1208" s="13">
        <f>ROUND(tblTransactions[[#This Row],[gross_sales_inr]]*(1-tblTransactions[[#This Row],[discount_pct]]),2)</f>
        <v>947.26</v>
      </c>
      <c r="L1208" t="str">
        <f>IF(ABS(tblTransactions[[#This Row],[net_sales_inr]]-tblTransactions[[#This Row],[Recalc_Net_Sales]])&lt;0.02,"OK","CHECK")</f>
        <v>OK</v>
      </c>
      <c r="M1208" s="14">
        <f>DATE(YEAR(tblTransactions[[#This Row],[date]]),MONTH(tblTransactions[[#This Row],[date]]),1)</f>
        <v>45717</v>
      </c>
      <c r="N1208" t="str">
        <f>IF(WEEKDAY(tblTransactions[[#This Row],[date]],2)&gt;5,"Weekend","Weekday")</f>
        <v>Weekday</v>
      </c>
      <c r="O1208" s="13" t="str">
        <f>IF(tblTransactions[[#This Row],[discount_pct]]=0,"0%",IF(tblTransactions[[#This Row],[discount_pct]]&lt;=10%,"1–
10%",IF(tblTransactions[[#This Row],[discount_pct]]&lt;=20%,"11–20%","&gt;20%")))</f>
        <v>0%</v>
      </c>
      <c r="P1208" s="13" t="str">
        <f>_xlfn.XLOOKUP(tblTransactions[[#This Row],[tenant_id]],tblTenants[tenant_id],tblTenants[zone],"NOT FOUND")</f>
        <v>Food Court</v>
      </c>
      <c r="Q1208" s="13" t="str">
        <f>_xlfn.XLOOKUP(tblTransactions[[#This Row],[tenant_id]],tblTenants[tenant_id],tblTenants[category],"NOT FOUND")</f>
        <v>Casual Dining</v>
      </c>
    </row>
    <row r="1209" spans="1:17">
      <c r="A1209" t="s">
        <v>1253</v>
      </c>
      <c r="B1209" s="2">
        <v>45820</v>
      </c>
      <c r="C1209">
        <v>10</v>
      </c>
      <c r="D1209" t="s">
        <v>87</v>
      </c>
      <c r="E1209" t="s">
        <v>12</v>
      </c>
      <c r="F1209" s="7">
        <v>1719.23</v>
      </c>
      <c r="G1209" s="10">
        <v>0.1</v>
      </c>
      <c r="H1209" s="7">
        <v>1547.31</v>
      </c>
      <c r="I1209">
        <v>1</v>
      </c>
      <c r="J1209" t="s">
        <v>16</v>
      </c>
      <c r="K1209" s="13">
        <f>ROUND(tblTransactions[[#This Row],[gross_sales_inr]]*(1-tblTransactions[[#This Row],[discount_pct]]),2)</f>
        <v>1547.31</v>
      </c>
      <c r="L1209" t="str">
        <f>IF(ABS(tblTransactions[[#This Row],[net_sales_inr]]-tblTransactions[[#This Row],[Recalc_Net_Sales]])&lt;0.02,"OK","CHECK")</f>
        <v>OK</v>
      </c>
      <c r="M1209" s="14">
        <f>DATE(YEAR(tblTransactions[[#This Row],[date]]),MONTH(tblTransactions[[#This Row],[date]]),1)</f>
        <v>45809</v>
      </c>
      <c r="N1209" t="str">
        <f>IF(WEEKDAY(tblTransactions[[#This Row],[date]],2)&gt;5,"Weekend","Weekday")</f>
        <v>Weekday</v>
      </c>
      <c r="O120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09" s="13" t="str">
        <f>_xlfn.XLOOKUP(tblTransactions[[#This Row],[tenant_id]],tblTenants[tenant_id],tblTenants[zone],"NOT FOUND")</f>
        <v>Fashion Avenue</v>
      </c>
      <c r="Q1209" s="13" t="str">
        <f>_xlfn.XLOOKUP(tblTransactions[[#This Row],[tenant_id]],tblTenants[tenant_id],tblTenants[category],"NOT FOUND")</f>
        <v>Footwear</v>
      </c>
    </row>
    <row r="1210" spans="1:17">
      <c r="A1210" t="s">
        <v>1254</v>
      </c>
      <c r="B1210" s="2">
        <v>45690</v>
      </c>
      <c r="C1210">
        <v>12</v>
      </c>
      <c r="D1210" t="s">
        <v>104</v>
      </c>
      <c r="E1210" t="s">
        <v>32</v>
      </c>
      <c r="F1210" s="7">
        <v>1664.81</v>
      </c>
      <c r="G1210" s="10">
        <v>0.1</v>
      </c>
      <c r="H1210" s="7">
        <v>1498.33</v>
      </c>
      <c r="I1210">
        <v>1</v>
      </c>
      <c r="J1210" t="s">
        <v>13</v>
      </c>
      <c r="K1210" s="13">
        <f>ROUND(tblTransactions[[#This Row],[gross_sales_inr]]*(1-tblTransactions[[#This Row],[discount_pct]]),2)</f>
        <v>1498.33</v>
      </c>
      <c r="L1210" t="str">
        <f>IF(ABS(tblTransactions[[#This Row],[net_sales_inr]]-tblTransactions[[#This Row],[Recalc_Net_Sales]])&lt;0.02,"OK","CHECK")</f>
        <v>OK</v>
      </c>
      <c r="M1210" s="14">
        <f>DATE(YEAR(tblTransactions[[#This Row],[date]]),MONTH(tblTransactions[[#This Row],[date]]),1)</f>
        <v>45689</v>
      </c>
      <c r="N1210" t="str">
        <f>IF(WEEKDAY(tblTransactions[[#This Row],[date]],2)&gt;5,"Weekend","Weekday")</f>
        <v>Weekend</v>
      </c>
      <c r="O121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10" s="13" t="str">
        <f>_xlfn.XLOOKUP(tblTransactions[[#This Row],[tenant_id]],tblTenants[tenant_id],tblTenants[zone],"NOT FOUND")</f>
        <v>Entertainment</v>
      </c>
      <c r="Q1210" s="13" t="str">
        <f>_xlfn.XLOOKUP(tblTransactions[[#This Row],[tenant_id]],tblTenants[tenant_id],tblTenants[category],"NOT FOUND")</f>
        <v>Family Entertainment</v>
      </c>
    </row>
    <row r="1211" spans="1:17">
      <c r="A1211" t="s">
        <v>1255</v>
      </c>
      <c r="B1211" s="2">
        <v>45781</v>
      </c>
      <c r="C1211">
        <v>18</v>
      </c>
      <c r="D1211" t="s">
        <v>20</v>
      </c>
      <c r="E1211" t="s">
        <v>32</v>
      </c>
      <c r="F1211" s="7">
        <v>412.37</v>
      </c>
      <c r="G1211" s="10">
        <v>0</v>
      </c>
      <c r="H1211" s="7">
        <v>412.37</v>
      </c>
      <c r="I1211">
        <v>1</v>
      </c>
      <c r="J1211" t="s">
        <v>13</v>
      </c>
      <c r="K1211" s="13">
        <f>ROUND(tblTransactions[[#This Row],[gross_sales_inr]]*(1-tblTransactions[[#This Row],[discount_pct]]),2)</f>
        <v>412.37</v>
      </c>
      <c r="L1211" t="str">
        <f>IF(ABS(tblTransactions[[#This Row],[net_sales_inr]]-tblTransactions[[#This Row],[Recalc_Net_Sales]])&lt;0.02,"OK","CHECK")</f>
        <v>OK</v>
      </c>
      <c r="M1211" s="14">
        <f>DATE(YEAR(tblTransactions[[#This Row],[date]]),MONTH(tblTransactions[[#This Row],[date]]),1)</f>
        <v>45778</v>
      </c>
      <c r="N1211" t="str">
        <f>IF(WEEKDAY(tblTransactions[[#This Row],[date]],2)&gt;5,"Weekend","Weekday")</f>
        <v>Weekend</v>
      </c>
      <c r="O1211" s="13" t="str">
        <f>IF(tblTransactions[[#This Row],[discount_pct]]=0,"0%",IF(tblTransactions[[#This Row],[discount_pct]]&lt;=10%,"1–
10%",IF(tblTransactions[[#This Row],[discount_pct]]&lt;=20%,"11–20%","&gt;20%")))</f>
        <v>0%</v>
      </c>
      <c r="P1211" s="13" t="str">
        <f>_xlfn.XLOOKUP(tblTransactions[[#This Row],[tenant_id]],tblTenants[tenant_id],tblTenants[zone],"NOT FOUND")</f>
        <v>Fashion Avenue</v>
      </c>
      <c r="Q1211" s="13" t="str">
        <f>_xlfn.XLOOKUP(tblTransactions[[#This Row],[tenant_id]],tblTenants[tenant_id],tblTenants[category],"NOT FOUND")</f>
        <v>Accessories</v>
      </c>
    </row>
    <row r="1212" spans="1:17">
      <c r="A1212" t="s">
        <v>1256</v>
      </c>
      <c r="B1212" s="2">
        <v>45779</v>
      </c>
      <c r="C1212">
        <v>14</v>
      </c>
      <c r="D1212" t="s">
        <v>11</v>
      </c>
      <c r="E1212" t="s">
        <v>12</v>
      </c>
      <c r="F1212" s="7">
        <v>1314.25</v>
      </c>
      <c r="G1212" s="10">
        <v>0.3</v>
      </c>
      <c r="H1212" s="7">
        <v>919.97</v>
      </c>
      <c r="I1212">
        <v>1</v>
      </c>
      <c r="J1212" t="s">
        <v>13</v>
      </c>
      <c r="K1212" s="13">
        <f>ROUND(tblTransactions[[#This Row],[gross_sales_inr]]*(1-tblTransactions[[#This Row],[discount_pct]]),2)</f>
        <v>919.98</v>
      </c>
      <c r="L1212" t="str">
        <f>IF(ABS(tblTransactions[[#This Row],[net_sales_inr]]-tblTransactions[[#This Row],[Recalc_Net_Sales]])&lt;0.02,"OK","CHECK")</f>
        <v>OK</v>
      </c>
      <c r="M1212" s="14">
        <f>DATE(YEAR(tblTransactions[[#This Row],[date]]),MONTH(tblTransactions[[#This Row],[date]]),1)</f>
        <v>45778</v>
      </c>
      <c r="N1212" t="str">
        <f>IF(WEEKDAY(tblTransactions[[#This Row],[date]],2)&gt;5,"Weekend","Weekday")</f>
        <v>Weekday</v>
      </c>
      <c r="O1212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212" s="13" t="str">
        <f>_xlfn.XLOOKUP(tblTransactions[[#This Row],[tenant_id]],tblTenants[tenant_id],tblTenants[zone],"NOT FOUND")</f>
        <v>Home &amp; Living</v>
      </c>
      <c r="Q1212" s="13" t="str">
        <f>_xlfn.XLOOKUP(tblTransactions[[#This Row],[tenant_id]],tblTenants[tenant_id],tblTenants[category],"NOT FOUND")</f>
        <v>Home Decor</v>
      </c>
    </row>
    <row r="1213" spans="1:17">
      <c r="A1213" t="s">
        <v>1257</v>
      </c>
      <c r="B1213" s="2">
        <v>45689</v>
      </c>
      <c r="C1213">
        <v>21</v>
      </c>
      <c r="D1213" t="s">
        <v>23</v>
      </c>
      <c r="E1213" t="s">
        <v>32</v>
      </c>
      <c r="F1213" s="7">
        <v>3091.66</v>
      </c>
      <c r="G1213" s="10">
        <v>0.2</v>
      </c>
      <c r="H1213" s="7">
        <v>2473.33</v>
      </c>
      <c r="I1213">
        <v>2</v>
      </c>
      <c r="J1213" t="s">
        <v>13</v>
      </c>
      <c r="K1213" s="13">
        <f>ROUND(tblTransactions[[#This Row],[gross_sales_inr]]*(1-tblTransactions[[#This Row],[discount_pct]]),2)</f>
        <v>2473.33</v>
      </c>
      <c r="L1213" t="str">
        <f>IF(ABS(tblTransactions[[#This Row],[net_sales_inr]]-tblTransactions[[#This Row],[Recalc_Net_Sales]])&lt;0.02,"OK","CHECK")</f>
        <v>OK</v>
      </c>
      <c r="M1213" s="14">
        <f>DATE(YEAR(tblTransactions[[#This Row],[date]]),MONTH(tblTransactions[[#This Row],[date]]),1)</f>
        <v>45689</v>
      </c>
      <c r="N1213" t="str">
        <f>IF(WEEKDAY(tblTransactions[[#This Row],[date]],2)&gt;5,"Weekend","Weekday")</f>
        <v>Weekend</v>
      </c>
      <c r="O121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13" s="13" t="str">
        <f>_xlfn.XLOOKUP(tblTransactions[[#This Row],[tenant_id]],tblTenants[tenant_id],tblTenants[zone],"NOT FOUND")</f>
        <v>Entertainment</v>
      </c>
      <c r="Q1213" s="13" t="str">
        <f>_xlfn.XLOOKUP(tblTransactions[[#This Row],[tenant_id]],tblTenants[tenant_id],tblTenants[category],"NOT FOUND")</f>
        <v>Cinema</v>
      </c>
    </row>
    <row r="1214" spans="1:17">
      <c r="A1214" t="s">
        <v>1258</v>
      </c>
      <c r="B1214" s="2">
        <v>45742</v>
      </c>
      <c r="C1214">
        <v>20</v>
      </c>
      <c r="D1214" t="s">
        <v>61</v>
      </c>
      <c r="E1214" t="s">
        <v>32</v>
      </c>
      <c r="F1214" s="7">
        <v>1625.43</v>
      </c>
      <c r="G1214" s="10">
        <v>0.05</v>
      </c>
      <c r="H1214" s="7">
        <v>1544.16</v>
      </c>
      <c r="I1214">
        <v>4</v>
      </c>
      <c r="J1214" t="s">
        <v>16</v>
      </c>
      <c r="K1214" s="13">
        <f>ROUND(tblTransactions[[#This Row],[gross_sales_inr]]*(1-tblTransactions[[#This Row],[discount_pct]]),2)</f>
        <v>1544.16</v>
      </c>
      <c r="L1214" t="str">
        <f>IF(ABS(tblTransactions[[#This Row],[net_sales_inr]]-tblTransactions[[#This Row],[Recalc_Net_Sales]])&lt;0.02,"OK","CHECK")</f>
        <v>OK</v>
      </c>
      <c r="M1214" s="14">
        <f>DATE(YEAR(tblTransactions[[#This Row],[date]]),MONTH(tblTransactions[[#This Row],[date]]),1)</f>
        <v>45717</v>
      </c>
      <c r="N1214" t="str">
        <f>IF(WEEKDAY(tblTransactions[[#This Row],[date]],2)&gt;5,"Weekend","Weekday")</f>
        <v>Weekday</v>
      </c>
      <c r="O121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14" s="13" t="str">
        <f>_xlfn.XLOOKUP(tblTransactions[[#This Row],[tenant_id]],tblTenants[tenant_id],tblTenants[zone],"NOT FOUND")</f>
        <v>Food Court</v>
      </c>
      <c r="Q1214" s="13" t="str">
        <f>_xlfn.XLOOKUP(tblTransactions[[#This Row],[tenant_id]],tblTenants[tenant_id],tblTenants[category],"NOT FOUND")</f>
        <v>Quick Service</v>
      </c>
    </row>
    <row r="1215" spans="1:17">
      <c r="A1215" t="s">
        <v>1259</v>
      </c>
      <c r="B1215" s="2">
        <v>45739</v>
      </c>
      <c r="C1215">
        <v>19</v>
      </c>
      <c r="D1215" t="s">
        <v>15</v>
      </c>
      <c r="E1215" t="s">
        <v>12</v>
      </c>
      <c r="F1215" s="7">
        <v>2079.3200000000002</v>
      </c>
      <c r="G1215" s="10">
        <v>0.15</v>
      </c>
      <c r="H1215" s="7">
        <v>1767.42</v>
      </c>
      <c r="I1215">
        <v>1</v>
      </c>
      <c r="J1215" t="s">
        <v>13</v>
      </c>
      <c r="K1215" s="13">
        <f>ROUND(tblTransactions[[#This Row],[gross_sales_inr]]*(1-tblTransactions[[#This Row],[discount_pct]]),2)</f>
        <v>1767.42</v>
      </c>
      <c r="L1215" t="str">
        <f>IF(ABS(tblTransactions[[#This Row],[net_sales_inr]]-tblTransactions[[#This Row],[Recalc_Net_Sales]])&lt;0.02,"OK","CHECK")</f>
        <v>OK</v>
      </c>
      <c r="M1215" s="14">
        <f>DATE(YEAR(tblTransactions[[#This Row],[date]]),MONTH(tblTransactions[[#This Row],[date]]),1)</f>
        <v>45717</v>
      </c>
      <c r="N1215" t="str">
        <f>IF(WEEKDAY(tblTransactions[[#This Row],[date]],2)&gt;5,"Weekend","Weekday")</f>
        <v>Weekend</v>
      </c>
      <c r="O121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15" s="13" t="str">
        <f>_xlfn.XLOOKUP(tblTransactions[[#This Row],[tenant_id]],tblTenants[tenant_id],tblTenants[zone],"NOT FOUND")</f>
        <v>Fashion Avenue</v>
      </c>
      <c r="Q1215" s="13" t="str">
        <f>_xlfn.XLOOKUP(tblTransactions[[#This Row],[tenant_id]],tblTenants[tenant_id],tblTenants[category],"NOT FOUND")</f>
        <v>Accessories</v>
      </c>
    </row>
    <row r="1216" spans="1:17">
      <c r="A1216" t="s">
        <v>1260</v>
      </c>
      <c r="B1216" s="2">
        <v>45671</v>
      </c>
      <c r="C1216">
        <v>20</v>
      </c>
      <c r="D1216" t="s">
        <v>87</v>
      </c>
      <c r="E1216" t="s">
        <v>12</v>
      </c>
      <c r="F1216" s="7">
        <v>2618.87</v>
      </c>
      <c r="G1216" s="10">
        <v>0.1</v>
      </c>
      <c r="H1216" s="7">
        <v>2356.98</v>
      </c>
      <c r="I1216">
        <v>3</v>
      </c>
      <c r="J1216" t="s">
        <v>16</v>
      </c>
      <c r="K1216" s="13">
        <f>ROUND(tblTransactions[[#This Row],[gross_sales_inr]]*(1-tblTransactions[[#This Row],[discount_pct]]),2)</f>
        <v>2356.98</v>
      </c>
      <c r="L1216" t="str">
        <f>IF(ABS(tblTransactions[[#This Row],[net_sales_inr]]-tblTransactions[[#This Row],[Recalc_Net_Sales]])&lt;0.02,"OK","CHECK")</f>
        <v>OK</v>
      </c>
      <c r="M1216" s="14">
        <f>DATE(YEAR(tblTransactions[[#This Row],[date]]),MONTH(tblTransactions[[#This Row],[date]]),1)</f>
        <v>45658</v>
      </c>
      <c r="N1216" t="str">
        <f>IF(WEEKDAY(tblTransactions[[#This Row],[date]],2)&gt;5,"Weekend","Weekday")</f>
        <v>Weekday</v>
      </c>
      <c r="O121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16" s="13" t="str">
        <f>_xlfn.XLOOKUP(tblTransactions[[#This Row],[tenant_id]],tblTenants[tenant_id],tblTenants[zone],"NOT FOUND")</f>
        <v>Fashion Avenue</v>
      </c>
      <c r="Q1216" s="13" t="str">
        <f>_xlfn.XLOOKUP(tblTransactions[[#This Row],[tenant_id]],tblTenants[tenant_id],tblTenants[category],"NOT FOUND")</f>
        <v>Footwear</v>
      </c>
    </row>
    <row r="1217" spans="1:17">
      <c r="A1217" t="s">
        <v>1261</v>
      </c>
      <c r="B1217" s="2">
        <v>45696</v>
      </c>
      <c r="C1217">
        <v>17</v>
      </c>
      <c r="D1217" t="s">
        <v>29</v>
      </c>
      <c r="E1217" t="s">
        <v>12</v>
      </c>
      <c r="F1217" s="7">
        <v>765.76</v>
      </c>
      <c r="G1217" s="10">
        <v>0</v>
      </c>
      <c r="H1217" s="7">
        <v>765.76</v>
      </c>
      <c r="I1217">
        <v>1</v>
      </c>
      <c r="J1217" t="s">
        <v>16</v>
      </c>
      <c r="K1217" s="13">
        <f>ROUND(tblTransactions[[#This Row],[gross_sales_inr]]*(1-tblTransactions[[#This Row],[discount_pct]]),2)</f>
        <v>765.76</v>
      </c>
      <c r="L1217" t="str">
        <f>IF(ABS(tblTransactions[[#This Row],[net_sales_inr]]-tblTransactions[[#This Row],[Recalc_Net_Sales]])&lt;0.02,"OK","CHECK")</f>
        <v>OK</v>
      </c>
      <c r="M1217" s="14">
        <f>DATE(YEAR(tblTransactions[[#This Row],[date]]),MONTH(tblTransactions[[#This Row],[date]]),1)</f>
        <v>45689</v>
      </c>
      <c r="N1217" t="str">
        <f>IF(WEEKDAY(tblTransactions[[#This Row],[date]],2)&gt;5,"Weekend","Weekday")</f>
        <v>Weekend</v>
      </c>
      <c r="O1217" s="13" t="str">
        <f>IF(tblTransactions[[#This Row],[discount_pct]]=0,"0%",IF(tblTransactions[[#This Row],[discount_pct]]&lt;=10%,"1–
10%",IF(tblTransactions[[#This Row],[discount_pct]]&lt;=20%,"11–20%","&gt;20%")))</f>
        <v>0%</v>
      </c>
      <c r="P1217" s="13" t="str">
        <f>_xlfn.XLOOKUP(tblTransactions[[#This Row],[tenant_id]],tblTenants[tenant_id],tblTenants[zone],"NOT FOUND")</f>
        <v>Entertainment</v>
      </c>
      <c r="Q1217" s="13" t="str">
        <f>_xlfn.XLOOKUP(tblTransactions[[#This Row],[tenant_id]],tblTenants[tenant_id],tblTenants[category],"NOT FOUND")</f>
        <v>Cinema</v>
      </c>
    </row>
    <row r="1218" spans="1:17">
      <c r="A1218" t="s">
        <v>1262</v>
      </c>
      <c r="B1218" s="2">
        <v>45732</v>
      </c>
      <c r="C1218">
        <v>16</v>
      </c>
      <c r="D1218" t="s">
        <v>15</v>
      </c>
      <c r="E1218" t="s">
        <v>12</v>
      </c>
      <c r="F1218" s="7">
        <v>186.78</v>
      </c>
      <c r="G1218" s="10">
        <v>0</v>
      </c>
      <c r="H1218" s="7">
        <v>186.78</v>
      </c>
      <c r="I1218">
        <v>3</v>
      </c>
      <c r="J1218" t="s">
        <v>13</v>
      </c>
      <c r="K1218" s="13">
        <f>ROUND(tblTransactions[[#This Row],[gross_sales_inr]]*(1-tblTransactions[[#This Row],[discount_pct]]),2)</f>
        <v>186.78</v>
      </c>
      <c r="L1218" t="str">
        <f>IF(ABS(tblTransactions[[#This Row],[net_sales_inr]]-tblTransactions[[#This Row],[Recalc_Net_Sales]])&lt;0.02,"OK","CHECK")</f>
        <v>OK</v>
      </c>
      <c r="M1218" s="14">
        <f>DATE(YEAR(tblTransactions[[#This Row],[date]]),MONTH(tblTransactions[[#This Row],[date]]),1)</f>
        <v>45717</v>
      </c>
      <c r="N1218" t="str">
        <f>IF(WEEKDAY(tblTransactions[[#This Row],[date]],2)&gt;5,"Weekend","Weekday")</f>
        <v>Weekend</v>
      </c>
      <c r="O1218" s="13" t="str">
        <f>IF(tblTransactions[[#This Row],[discount_pct]]=0,"0%",IF(tblTransactions[[#This Row],[discount_pct]]&lt;=10%,"1–
10%",IF(tblTransactions[[#This Row],[discount_pct]]&lt;=20%,"11–20%","&gt;20%")))</f>
        <v>0%</v>
      </c>
      <c r="P1218" s="13" t="str">
        <f>_xlfn.XLOOKUP(tblTransactions[[#This Row],[tenant_id]],tblTenants[tenant_id],tblTenants[zone],"NOT FOUND")</f>
        <v>Fashion Avenue</v>
      </c>
      <c r="Q1218" s="13" t="str">
        <f>_xlfn.XLOOKUP(tblTransactions[[#This Row],[tenant_id]],tblTenants[tenant_id],tblTenants[category],"NOT FOUND")</f>
        <v>Accessories</v>
      </c>
    </row>
    <row r="1219" spans="1:17">
      <c r="A1219" t="s">
        <v>1263</v>
      </c>
      <c r="B1219" s="2">
        <v>45677</v>
      </c>
      <c r="C1219">
        <v>16</v>
      </c>
      <c r="D1219" t="s">
        <v>59</v>
      </c>
      <c r="E1219" t="s">
        <v>32</v>
      </c>
      <c r="F1219" s="7">
        <v>945.64</v>
      </c>
      <c r="G1219" s="10">
        <v>0</v>
      </c>
      <c r="H1219" s="7">
        <v>945.64</v>
      </c>
      <c r="I1219">
        <v>1</v>
      </c>
      <c r="J1219" t="s">
        <v>13</v>
      </c>
      <c r="K1219" s="13">
        <f>ROUND(tblTransactions[[#This Row],[gross_sales_inr]]*(1-tblTransactions[[#This Row],[discount_pct]]),2)</f>
        <v>945.64</v>
      </c>
      <c r="L1219" t="str">
        <f>IF(ABS(tblTransactions[[#This Row],[net_sales_inr]]-tblTransactions[[#This Row],[Recalc_Net_Sales]])&lt;0.02,"OK","CHECK")</f>
        <v>OK</v>
      </c>
      <c r="M1219" s="14">
        <f>DATE(YEAR(tblTransactions[[#This Row],[date]]),MONTH(tblTransactions[[#This Row],[date]]),1)</f>
        <v>45658</v>
      </c>
      <c r="N1219" t="str">
        <f>IF(WEEKDAY(tblTransactions[[#This Row],[date]],2)&gt;5,"Weekend","Weekday")</f>
        <v>Weekday</v>
      </c>
      <c r="O1219" s="13" t="str">
        <f>IF(tblTransactions[[#This Row],[discount_pct]]=0,"0%",IF(tblTransactions[[#This Row],[discount_pct]]&lt;=10%,"1–
10%",IF(tblTransactions[[#This Row],[discount_pct]]&lt;=20%,"11–20%","&gt;20%")))</f>
        <v>0%</v>
      </c>
      <c r="P1219" s="13" t="str">
        <f>_xlfn.XLOOKUP(tblTransactions[[#This Row],[tenant_id]],tblTenants[tenant_id],tblTenants[zone],"NOT FOUND")</f>
        <v>Fashion Avenue</v>
      </c>
      <c r="Q1219" s="13" t="str">
        <f>_xlfn.XLOOKUP(tblTransactions[[#This Row],[tenant_id]],tblTenants[tenant_id],tblTenants[category],"NOT FOUND")</f>
        <v>Footwear</v>
      </c>
    </row>
    <row r="1220" spans="1:17">
      <c r="A1220" t="s">
        <v>1264</v>
      </c>
      <c r="B1220" s="2">
        <v>45785</v>
      </c>
      <c r="C1220">
        <v>14</v>
      </c>
      <c r="D1220" t="s">
        <v>61</v>
      </c>
      <c r="E1220" t="s">
        <v>12</v>
      </c>
      <c r="F1220" s="7">
        <v>1330.68</v>
      </c>
      <c r="G1220" s="10">
        <v>0</v>
      </c>
      <c r="H1220" s="7">
        <v>1330.68</v>
      </c>
      <c r="I1220">
        <v>5</v>
      </c>
      <c r="J1220" t="s">
        <v>16</v>
      </c>
      <c r="K1220" s="13">
        <f>ROUND(tblTransactions[[#This Row],[gross_sales_inr]]*(1-tblTransactions[[#This Row],[discount_pct]]),2)</f>
        <v>1330.68</v>
      </c>
      <c r="L1220" t="str">
        <f>IF(ABS(tblTransactions[[#This Row],[net_sales_inr]]-tblTransactions[[#This Row],[Recalc_Net_Sales]])&lt;0.02,"OK","CHECK")</f>
        <v>OK</v>
      </c>
      <c r="M1220" s="14">
        <f>DATE(YEAR(tblTransactions[[#This Row],[date]]),MONTH(tblTransactions[[#This Row],[date]]),1)</f>
        <v>45778</v>
      </c>
      <c r="N1220" t="str">
        <f>IF(WEEKDAY(tblTransactions[[#This Row],[date]],2)&gt;5,"Weekend","Weekday")</f>
        <v>Weekday</v>
      </c>
      <c r="O1220" s="13" t="str">
        <f>IF(tblTransactions[[#This Row],[discount_pct]]=0,"0%",IF(tblTransactions[[#This Row],[discount_pct]]&lt;=10%,"1–
10%",IF(tblTransactions[[#This Row],[discount_pct]]&lt;=20%,"11–20%","&gt;20%")))</f>
        <v>0%</v>
      </c>
      <c r="P1220" s="13" t="str">
        <f>_xlfn.XLOOKUP(tblTransactions[[#This Row],[tenant_id]],tblTenants[tenant_id],tblTenants[zone],"NOT FOUND")</f>
        <v>Food Court</v>
      </c>
      <c r="Q1220" s="13" t="str">
        <f>_xlfn.XLOOKUP(tblTransactions[[#This Row],[tenant_id]],tblTenants[tenant_id],tblTenants[category],"NOT FOUND")</f>
        <v>Quick Service</v>
      </c>
    </row>
    <row r="1221" spans="1:17">
      <c r="A1221" t="s">
        <v>1265</v>
      </c>
      <c r="B1221" s="2">
        <v>45799</v>
      </c>
      <c r="C1221">
        <v>20</v>
      </c>
      <c r="D1221" t="s">
        <v>72</v>
      </c>
      <c r="E1221" t="s">
        <v>12</v>
      </c>
      <c r="F1221" s="7">
        <v>1567.58</v>
      </c>
      <c r="G1221" s="10">
        <v>0</v>
      </c>
      <c r="H1221" s="7">
        <v>1567.58</v>
      </c>
      <c r="I1221">
        <v>2</v>
      </c>
      <c r="J1221" t="s">
        <v>13</v>
      </c>
      <c r="K1221" s="13">
        <f>ROUND(tblTransactions[[#This Row],[gross_sales_inr]]*(1-tblTransactions[[#This Row],[discount_pct]]),2)</f>
        <v>1567.58</v>
      </c>
      <c r="L1221" t="str">
        <f>IF(ABS(tblTransactions[[#This Row],[net_sales_inr]]-tblTransactions[[#This Row],[Recalc_Net_Sales]])&lt;0.02,"OK","CHECK")</f>
        <v>OK</v>
      </c>
      <c r="M1221" s="14">
        <f>DATE(YEAR(tblTransactions[[#This Row],[date]]),MONTH(tblTransactions[[#This Row],[date]]),1)</f>
        <v>45778</v>
      </c>
      <c r="N1221" t="str">
        <f>IF(WEEKDAY(tblTransactions[[#This Row],[date]],2)&gt;5,"Weekend","Weekday")</f>
        <v>Weekday</v>
      </c>
      <c r="O1221" s="13" t="str">
        <f>IF(tblTransactions[[#This Row],[discount_pct]]=0,"0%",IF(tblTransactions[[#This Row],[discount_pct]]&lt;=10%,"1–
10%",IF(tblTransactions[[#This Row],[discount_pct]]&lt;=20%,"11–20%","&gt;20%")))</f>
        <v>0%</v>
      </c>
      <c r="P1221" s="13" t="str">
        <f>_xlfn.XLOOKUP(tblTransactions[[#This Row],[tenant_id]],tblTenants[tenant_id],tblTenants[zone],"NOT FOUND")</f>
        <v>Entertainment</v>
      </c>
      <c r="Q1221" s="13" t="str">
        <f>_xlfn.XLOOKUP(tblTransactions[[#This Row],[tenant_id]],tblTenants[tenant_id],tblTenants[category],"NOT FOUND")</f>
        <v>Arcade</v>
      </c>
    </row>
    <row r="1222" spans="1:17">
      <c r="A1222" t="s">
        <v>1266</v>
      </c>
      <c r="B1222" s="2">
        <v>45779</v>
      </c>
      <c r="C1222">
        <v>22</v>
      </c>
      <c r="D1222" t="s">
        <v>87</v>
      </c>
      <c r="E1222" t="s">
        <v>12</v>
      </c>
      <c r="F1222" s="7">
        <v>1347.31</v>
      </c>
      <c r="G1222" s="10">
        <v>0</v>
      </c>
      <c r="H1222" s="7">
        <v>1347.31</v>
      </c>
      <c r="I1222">
        <v>3</v>
      </c>
      <c r="J1222" t="s">
        <v>16</v>
      </c>
      <c r="K1222" s="13">
        <f>ROUND(tblTransactions[[#This Row],[gross_sales_inr]]*(1-tblTransactions[[#This Row],[discount_pct]]),2)</f>
        <v>1347.31</v>
      </c>
      <c r="L1222" t="str">
        <f>IF(ABS(tblTransactions[[#This Row],[net_sales_inr]]-tblTransactions[[#This Row],[Recalc_Net_Sales]])&lt;0.02,"OK","CHECK")</f>
        <v>OK</v>
      </c>
      <c r="M1222" s="14">
        <f>DATE(YEAR(tblTransactions[[#This Row],[date]]),MONTH(tblTransactions[[#This Row],[date]]),1)</f>
        <v>45778</v>
      </c>
      <c r="N1222" t="str">
        <f>IF(WEEKDAY(tblTransactions[[#This Row],[date]],2)&gt;5,"Weekend","Weekday")</f>
        <v>Weekday</v>
      </c>
      <c r="O1222" s="13" t="str">
        <f>IF(tblTransactions[[#This Row],[discount_pct]]=0,"0%",IF(tblTransactions[[#This Row],[discount_pct]]&lt;=10%,"1–
10%",IF(tblTransactions[[#This Row],[discount_pct]]&lt;=20%,"11–20%","&gt;20%")))</f>
        <v>0%</v>
      </c>
      <c r="P1222" s="13" t="str">
        <f>_xlfn.XLOOKUP(tblTransactions[[#This Row],[tenant_id]],tblTenants[tenant_id],tblTenants[zone],"NOT FOUND")</f>
        <v>Fashion Avenue</v>
      </c>
      <c r="Q1222" s="13" t="str">
        <f>_xlfn.XLOOKUP(tblTransactions[[#This Row],[tenant_id]],tblTenants[tenant_id],tblTenants[category],"NOT FOUND")</f>
        <v>Footwear</v>
      </c>
    </row>
    <row r="1223" spans="1:17">
      <c r="A1223" t="s">
        <v>1267</v>
      </c>
      <c r="B1223" s="2">
        <v>45700</v>
      </c>
      <c r="C1223">
        <v>12</v>
      </c>
      <c r="D1223" t="s">
        <v>59</v>
      </c>
      <c r="E1223" t="s">
        <v>32</v>
      </c>
      <c r="F1223" s="7">
        <v>4079.54</v>
      </c>
      <c r="G1223" s="10">
        <v>0.15</v>
      </c>
      <c r="H1223" s="7">
        <v>3467.61</v>
      </c>
      <c r="I1223">
        <v>1</v>
      </c>
      <c r="J1223" t="s">
        <v>13</v>
      </c>
      <c r="K1223" s="13">
        <f>ROUND(tblTransactions[[#This Row],[gross_sales_inr]]*(1-tblTransactions[[#This Row],[discount_pct]]),2)</f>
        <v>3467.61</v>
      </c>
      <c r="L1223" t="str">
        <f>IF(ABS(tblTransactions[[#This Row],[net_sales_inr]]-tblTransactions[[#This Row],[Recalc_Net_Sales]])&lt;0.02,"OK","CHECK")</f>
        <v>OK</v>
      </c>
      <c r="M1223" s="14">
        <f>DATE(YEAR(tblTransactions[[#This Row],[date]]),MONTH(tblTransactions[[#This Row],[date]]),1)</f>
        <v>45689</v>
      </c>
      <c r="N1223" t="str">
        <f>IF(WEEKDAY(tblTransactions[[#This Row],[date]],2)&gt;5,"Weekend","Weekday")</f>
        <v>Weekday</v>
      </c>
      <c r="O122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23" s="13" t="str">
        <f>_xlfn.XLOOKUP(tblTransactions[[#This Row],[tenant_id]],tblTenants[tenant_id],tblTenants[zone],"NOT FOUND")</f>
        <v>Fashion Avenue</v>
      </c>
      <c r="Q1223" s="13" t="str">
        <f>_xlfn.XLOOKUP(tblTransactions[[#This Row],[tenant_id]],tblTenants[tenant_id],tblTenants[category],"NOT FOUND")</f>
        <v>Footwear</v>
      </c>
    </row>
    <row r="1224" spans="1:17">
      <c r="A1224" t="s">
        <v>1268</v>
      </c>
      <c r="B1224" s="2">
        <v>45685</v>
      </c>
      <c r="C1224">
        <v>18</v>
      </c>
      <c r="D1224" t="s">
        <v>29</v>
      </c>
      <c r="E1224" t="s">
        <v>32</v>
      </c>
      <c r="F1224" s="7">
        <v>920.04</v>
      </c>
      <c r="G1224" s="10">
        <v>0</v>
      </c>
      <c r="H1224" s="7">
        <v>920.04</v>
      </c>
      <c r="I1224">
        <v>4</v>
      </c>
      <c r="J1224" t="s">
        <v>13</v>
      </c>
      <c r="K1224" s="13">
        <f>ROUND(tblTransactions[[#This Row],[gross_sales_inr]]*(1-tblTransactions[[#This Row],[discount_pct]]),2)</f>
        <v>920.04</v>
      </c>
      <c r="L1224" t="str">
        <f>IF(ABS(tblTransactions[[#This Row],[net_sales_inr]]-tblTransactions[[#This Row],[Recalc_Net_Sales]])&lt;0.02,"OK","CHECK")</f>
        <v>OK</v>
      </c>
      <c r="M1224" s="14">
        <f>DATE(YEAR(tblTransactions[[#This Row],[date]]),MONTH(tblTransactions[[#This Row],[date]]),1)</f>
        <v>45658</v>
      </c>
      <c r="N1224" t="str">
        <f>IF(WEEKDAY(tblTransactions[[#This Row],[date]],2)&gt;5,"Weekend","Weekday")</f>
        <v>Weekday</v>
      </c>
      <c r="O1224" s="13" t="str">
        <f>IF(tblTransactions[[#This Row],[discount_pct]]=0,"0%",IF(tblTransactions[[#This Row],[discount_pct]]&lt;=10%,"1–
10%",IF(tblTransactions[[#This Row],[discount_pct]]&lt;=20%,"11–20%","&gt;20%")))</f>
        <v>0%</v>
      </c>
      <c r="P1224" s="13" t="str">
        <f>_xlfn.XLOOKUP(tblTransactions[[#This Row],[tenant_id]],tblTenants[tenant_id],tblTenants[zone],"NOT FOUND")</f>
        <v>Entertainment</v>
      </c>
      <c r="Q1224" s="13" t="str">
        <f>_xlfn.XLOOKUP(tblTransactions[[#This Row],[tenant_id]],tblTenants[tenant_id],tblTenants[category],"NOT FOUND")</f>
        <v>Cinema</v>
      </c>
    </row>
    <row r="1225" spans="1:17">
      <c r="A1225" t="s">
        <v>1269</v>
      </c>
      <c r="B1225" s="2">
        <v>45819</v>
      </c>
      <c r="C1225">
        <v>20</v>
      </c>
      <c r="D1225" t="s">
        <v>85</v>
      </c>
      <c r="E1225" t="s">
        <v>12</v>
      </c>
      <c r="F1225" s="7">
        <v>1753.88</v>
      </c>
      <c r="G1225" s="10">
        <v>0.2</v>
      </c>
      <c r="H1225" s="7">
        <v>1403.1</v>
      </c>
      <c r="I1225">
        <v>1</v>
      </c>
      <c r="J1225" t="s">
        <v>13</v>
      </c>
      <c r="K1225" s="13">
        <f>ROUND(tblTransactions[[#This Row],[gross_sales_inr]]*(1-tblTransactions[[#This Row],[discount_pct]]),2)</f>
        <v>1403.1</v>
      </c>
      <c r="L1225" t="str">
        <f>IF(ABS(tblTransactions[[#This Row],[net_sales_inr]]-tblTransactions[[#This Row],[Recalc_Net_Sales]])&lt;0.02,"OK","CHECK")</f>
        <v>OK</v>
      </c>
      <c r="M1225" s="14">
        <f>DATE(YEAR(tblTransactions[[#This Row],[date]]),MONTH(tblTransactions[[#This Row],[date]]),1)</f>
        <v>45809</v>
      </c>
      <c r="N1225" t="str">
        <f>IF(WEEKDAY(tblTransactions[[#This Row],[date]],2)&gt;5,"Weekend","Weekday")</f>
        <v>Weekday</v>
      </c>
      <c r="O122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25" s="13" t="str">
        <f>_xlfn.XLOOKUP(tblTransactions[[#This Row],[tenant_id]],tblTenants[tenant_id],tblTenants[zone],"NOT FOUND")</f>
        <v>Home &amp; Living</v>
      </c>
      <c r="Q1225" s="13" t="str">
        <f>_xlfn.XLOOKUP(tblTransactions[[#This Row],[tenant_id]],tblTenants[tenant_id],tblTenants[category],"NOT FOUND")</f>
        <v>Electronics</v>
      </c>
    </row>
    <row r="1226" spans="1:17">
      <c r="A1226" t="s">
        <v>1270</v>
      </c>
      <c r="B1226" s="2">
        <v>45818</v>
      </c>
      <c r="C1226">
        <v>10</v>
      </c>
      <c r="D1226" t="s">
        <v>20</v>
      </c>
      <c r="E1226" t="s">
        <v>32</v>
      </c>
      <c r="F1226" s="7">
        <v>6211.89</v>
      </c>
      <c r="G1226" s="10">
        <v>0.1</v>
      </c>
      <c r="H1226" s="7">
        <v>5590.7</v>
      </c>
      <c r="I1226">
        <v>1</v>
      </c>
      <c r="J1226" t="s">
        <v>13</v>
      </c>
      <c r="K1226" s="13">
        <f>ROUND(tblTransactions[[#This Row],[gross_sales_inr]]*(1-tblTransactions[[#This Row],[discount_pct]]),2)</f>
        <v>5590.7</v>
      </c>
      <c r="L1226" t="str">
        <f>IF(ABS(tblTransactions[[#This Row],[net_sales_inr]]-tblTransactions[[#This Row],[Recalc_Net_Sales]])&lt;0.02,"OK","CHECK")</f>
        <v>OK</v>
      </c>
      <c r="M1226" s="14">
        <f>DATE(YEAR(tblTransactions[[#This Row],[date]]),MONTH(tblTransactions[[#This Row],[date]]),1)</f>
        <v>45809</v>
      </c>
      <c r="N1226" t="str">
        <f>IF(WEEKDAY(tblTransactions[[#This Row],[date]],2)&gt;5,"Weekend","Weekday")</f>
        <v>Weekday</v>
      </c>
      <c r="O122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26" s="13" t="str">
        <f>_xlfn.XLOOKUP(tblTransactions[[#This Row],[tenant_id]],tblTenants[tenant_id],tblTenants[zone],"NOT FOUND")</f>
        <v>Fashion Avenue</v>
      </c>
      <c r="Q1226" s="13" t="str">
        <f>_xlfn.XLOOKUP(tblTransactions[[#This Row],[tenant_id]],tblTenants[tenant_id],tblTenants[category],"NOT FOUND")</f>
        <v>Accessories</v>
      </c>
    </row>
    <row r="1227" spans="1:17">
      <c r="A1227" t="s">
        <v>1271</v>
      </c>
      <c r="B1227" s="2">
        <v>45756</v>
      </c>
      <c r="C1227">
        <v>11</v>
      </c>
      <c r="D1227" t="s">
        <v>55</v>
      </c>
      <c r="E1227" t="s">
        <v>12</v>
      </c>
      <c r="F1227" s="7">
        <v>846.55</v>
      </c>
      <c r="G1227" s="10">
        <v>0.2</v>
      </c>
      <c r="H1227" s="7">
        <v>677.24</v>
      </c>
      <c r="I1227">
        <v>2</v>
      </c>
      <c r="J1227" t="s">
        <v>16</v>
      </c>
      <c r="K1227" s="13">
        <f>ROUND(tblTransactions[[#This Row],[gross_sales_inr]]*(1-tblTransactions[[#This Row],[discount_pct]]),2)</f>
        <v>677.24</v>
      </c>
      <c r="L1227" t="str">
        <f>IF(ABS(tblTransactions[[#This Row],[net_sales_inr]]-tblTransactions[[#This Row],[Recalc_Net_Sales]])&lt;0.02,"OK","CHECK")</f>
        <v>OK</v>
      </c>
      <c r="M1227" s="14">
        <f>DATE(YEAR(tblTransactions[[#This Row],[date]]),MONTH(tblTransactions[[#This Row],[date]]),1)</f>
        <v>45748</v>
      </c>
      <c r="N1227" t="str">
        <f>IF(WEEKDAY(tblTransactions[[#This Row],[date]],2)&gt;5,"Weekend","Weekday")</f>
        <v>Weekday</v>
      </c>
      <c r="O122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27" s="13" t="str">
        <f>_xlfn.XLOOKUP(tblTransactions[[#This Row],[tenant_id]],tblTenants[tenant_id],tblTenants[zone],"NOT FOUND")</f>
        <v>Food Court</v>
      </c>
      <c r="Q1227" s="13" t="str">
        <f>_xlfn.XLOOKUP(tblTransactions[[#This Row],[tenant_id]],tblTenants[tenant_id],tblTenants[category],"NOT FOUND")</f>
        <v>Quick Service</v>
      </c>
    </row>
    <row r="1228" spans="1:17">
      <c r="A1228" t="s">
        <v>1272</v>
      </c>
      <c r="B1228" s="2">
        <v>45728</v>
      </c>
      <c r="C1228">
        <v>20</v>
      </c>
      <c r="D1228" t="s">
        <v>57</v>
      </c>
      <c r="E1228" t="s">
        <v>12</v>
      </c>
      <c r="F1228" s="7">
        <v>1164.3499999999999</v>
      </c>
      <c r="G1228" s="10">
        <v>0</v>
      </c>
      <c r="H1228" s="7">
        <v>1164.3499999999999</v>
      </c>
      <c r="I1228">
        <v>2</v>
      </c>
      <c r="J1228" t="s">
        <v>13</v>
      </c>
      <c r="K1228" s="13">
        <f>ROUND(tblTransactions[[#This Row],[gross_sales_inr]]*(1-tblTransactions[[#This Row],[discount_pct]]),2)</f>
        <v>1164.3499999999999</v>
      </c>
      <c r="L1228" t="str">
        <f>IF(ABS(tblTransactions[[#This Row],[net_sales_inr]]-tblTransactions[[#This Row],[Recalc_Net_Sales]])&lt;0.02,"OK","CHECK")</f>
        <v>OK</v>
      </c>
      <c r="M1228" s="14">
        <f>DATE(YEAR(tblTransactions[[#This Row],[date]]),MONTH(tblTransactions[[#This Row],[date]]),1)</f>
        <v>45717</v>
      </c>
      <c r="N1228" t="str">
        <f>IF(WEEKDAY(tblTransactions[[#This Row],[date]],2)&gt;5,"Weekend","Weekday")</f>
        <v>Weekday</v>
      </c>
      <c r="O1228" s="13" t="str">
        <f>IF(tblTransactions[[#This Row],[discount_pct]]=0,"0%",IF(tblTransactions[[#This Row],[discount_pct]]&lt;=10%,"1–
10%",IF(tblTransactions[[#This Row],[discount_pct]]&lt;=20%,"11–20%","&gt;20%")))</f>
        <v>0%</v>
      </c>
      <c r="P1228" s="13" t="str">
        <f>_xlfn.XLOOKUP(tblTransactions[[#This Row],[tenant_id]],tblTenants[tenant_id],tblTenants[zone],"NOT FOUND")</f>
        <v>Food Court</v>
      </c>
      <c r="Q1228" s="13" t="str">
        <f>_xlfn.XLOOKUP(tblTransactions[[#This Row],[tenant_id]],tblTenants[tenant_id],tblTenants[category],"NOT FOUND")</f>
        <v>Casual Dining</v>
      </c>
    </row>
    <row r="1229" spans="1:17">
      <c r="A1229" t="s">
        <v>1273</v>
      </c>
      <c r="B1229" s="2">
        <v>45818</v>
      </c>
      <c r="C1229">
        <v>10</v>
      </c>
      <c r="D1229" t="s">
        <v>80</v>
      </c>
      <c r="E1229" t="s">
        <v>32</v>
      </c>
      <c r="F1229" s="7">
        <v>4522.04</v>
      </c>
      <c r="G1229" s="10">
        <v>0.3</v>
      </c>
      <c r="H1229" s="7">
        <v>3165.43</v>
      </c>
      <c r="I1229">
        <v>1</v>
      </c>
      <c r="J1229" t="s">
        <v>13</v>
      </c>
      <c r="K1229" s="13">
        <f>ROUND(tblTransactions[[#This Row],[gross_sales_inr]]*(1-tblTransactions[[#This Row],[discount_pct]]),2)</f>
        <v>3165.43</v>
      </c>
      <c r="L1229" t="str">
        <f>IF(ABS(tblTransactions[[#This Row],[net_sales_inr]]-tblTransactions[[#This Row],[Recalc_Net_Sales]])&lt;0.02,"OK","CHECK")</f>
        <v>OK</v>
      </c>
      <c r="M1229" s="14">
        <f>DATE(YEAR(tblTransactions[[#This Row],[date]]),MONTH(tblTransactions[[#This Row],[date]]),1)</f>
        <v>45809</v>
      </c>
      <c r="N1229" t="str">
        <f>IF(WEEKDAY(tblTransactions[[#This Row],[date]],2)&gt;5,"Weekend","Weekday")</f>
        <v>Weekday</v>
      </c>
      <c r="O1229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229" s="13" t="str">
        <f>_xlfn.XLOOKUP(tblTransactions[[#This Row],[tenant_id]],tblTenants[tenant_id],tblTenants[zone],"NOT FOUND")</f>
        <v>Food Court</v>
      </c>
      <c r="Q1229" s="13" t="str">
        <f>_xlfn.XLOOKUP(tblTransactions[[#This Row],[tenant_id]],tblTenants[tenant_id],tblTenants[category],"NOT FOUND")</f>
        <v>Casual Dining</v>
      </c>
    </row>
    <row r="1230" spans="1:17">
      <c r="A1230" t="s">
        <v>1274</v>
      </c>
      <c r="B1230" s="2">
        <v>45741</v>
      </c>
      <c r="C1230">
        <v>15</v>
      </c>
      <c r="D1230" t="s">
        <v>20</v>
      </c>
      <c r="E1230" t="s">
        <v>12</v>
      </c>
      <c r="F1230" s="7">
        <v>2884.91</v>
      </c>
      <c r="G1230" s="10">
        <v>0.1</v>
      </c>
      <c r="H1230" s="7">
        <v>2596.42</v>
      </c>
      <c r="I1230">
        <v>4</v>
      </c>
      <c r="J1230" t="s">
        <v>16</v>
      </c>
      <c r="K1230" s="13">
        <f>ROUND(tblTransactions[[#This Row],[gross_sales_inr]]*(1-tblTransactions[[#This Row],[discount_pct]]),2)</f>
        <v>2596.42</v>
      </c>
      <c r="L1230" t="str">
        <f>IF(ABS(tblTransactions[[#This Row],[net_sales_inr]]-tblTransactions[[#This Row],[Recalc_Net_Sales]])&lt;0.02,"OK","CHECK")</f>
        <v>OK</v>
      </c>
      <c r="M1230" s="14">
        <f>DATE(YEAR(tblTransactions[[#This Row],[date]]),MONTH(tblTransactions[[#This Row],[date]]),1)</f>
        <v>45717</v>
      </c>
      <c r="N1230" t="str">
        <f>IF(WEEKDAY(tblTransactions[[#This Row],[date]],2)&gt;5,"Weekend","Weekday")</f>
        <v>Weekday</v>
      </c>
      <c r="O123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30" s="13" t="str">
        <f>_xlfn.XLOOKUP(tblTransactions[[#This Row],[tenant_id]],tblTenants[tenant_id],tblTenants[zone],"NOT FOUND")</f>
        <v>Fashion Avenue</v>
      </c>
      <c r="Q1230" s="13" t="str">
        <f>_xlfn.XLOOKUP(tblTransactions[[#This Row],[tenant_id]],tblTenants[tenant_id],tblTenants[category],"NOT FOUND")</f>
        <v>Accessories</v>
      </c>
    </row>
    <row r="1231" spans="1:17">
      <c r="A1231" t="s">
        <v>1275</v>
      </c>
      <c r="B1231" s="2">
        <v>45747</v>
      </c>
      <c r="C1231">
        <v>13</v>
      </c>
      <c r="D1231" t="s">
        <v>204</v>
      </c>
      <c r="E1231" t="s">
        <v>32</v>
      </c>
      <c r="F1231" s="7">
        <v>1189.5999999999999</v>
      </c>
      <c r="G1231" s="10">
        <v>0.15</v>
      </c>
      <c r="H1231" s="7">
        <v>1011.16</v>
      </c>
      <c r="I1231">
        <v>5</v>
      </c>
      <c r="J1231" t="s">
        <v>16</v>
      </c>
      <c r="K1231" s="13">
        <f>ROUND(tblTransactions[[#This Row],[gross_sales_inr]]*(1-tblTransactions[[#This Row],[discount_pct]]),2)</f>
        <v>1011.16</v>
      </c>
      <c r="L1231" t="str">
        <f>IF(ABS(tblTransactions[[#This Row],[net_sales_inr]]-tblTransactions[[#This Row],[Recalc_Net_Sales]])&lt;0.02,"OK","CHECK")</f>
        <v>OK</v>
      </c>
      <c r="M1231" s="14">
        <f>DATE(YEAR(tblTransactions[[#This Row],[date]]),MONTH(tblTransactions[[#This Row],[date]]),1)</f>
        <v>45717</v>
      </c>
      <c r="N1231" t="str">
        <f>IF(WEEKDAY(tblTransactions[[#This Row],[date]],2)&gt;5,"Weekend","Weekday")</f>
        <v>Weekday</v>
      </c>
      <c r="O123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31" s="13" t="str">
        <f>_xlfn.XLOOKUP(tblTransactions[[#This Row],[tenant_id]],tblTenants[tenant_id],tblTenants[zone],"NOT FOUND")</f>
        <v>Home &amp; Living</v>
      </c>
      <c r="Q1231" s="13" t="str">
        <f>_xlfn.XLOOKUP(tblTransactions[[#This Row],[tenant_id]],tblTenants[tenant_id],tblTenants[category],"NOT FOUND")</f>
        <v>Home Decor</v>
      </c>
    </row>
    <row r="1232" spans="1:17">
      <c r="A1232" t="s">
        <v>1276</v>
      </c>
      <c r="B1232" s="2">
        <v>45763</v>
      </c>
      <c r="C1232">
        <v>12</v>
      </c>
      <c r="D1232" t="s">
        <v>45</v>
      </c>
      <c r="E1232" t="s">
        <v>21</v>
      </c>
      <c r="F1232" s="7">
        <v>422.9</v>
      </c>
      <c r="G1232" s="10">
        <v>0</v>
      </c>
      <c r="H1232" s="7">
        <v>422.9</v>
      </c>
      <c r="I1232">
        <v>1</v>
      </c>
      <c r="J1232" t="s">
        <v>13</v>
      </c>
      <c r="K1232" s="13">
        <f>ROUND(tblTransactions[[#This Row],[gross_sales_inr]]*(1-tblTransactions[[#This Row],[discount_pct]]),2)</f>
        <v>422.9</v>
      </c>
      <c r="L1232" t="str">
        <f>IF(ABS(tblTransactions[[#This Row],[net_sales_inr]]-tblTransactions[[#This Row],[Recalc_Net_Sales]])&lt;0.02,"OK","CHECK")</f>
        <v>OK</v>
      </c>
      <c r="M1232" s="14">
        <f>DATE(YEAR(tblTransactions[[#This Row],[date]]),MONTH(tblTransactions[[#This Row],[date]]),1)</f>
        <v>45748</v>
      </c>
      <c r="N1232" t="str">
        <f>IF(WEEKDAY(tblTransactions[[#This Row],[date]],2)&gt;5,"Weekend","Weekday")</f>
        <v>Weekday</v>
      </c>
      <c r="O1232" s="13" t="str">
        <f>IF(tblTransactions[[#This Row],[discount_pct]]=0,"0%",IF(tblTransactions[[#This Row],[discount_pct]]&lt;=10%,"1–
10%",IF(tblTransactions[[#This Row],[discount_pct]]&lt;=20%,"11–20%","&gt;20%")))</f>
        <v>0%</v>
      </c>
      <c r="P1232" s="13" t="str">
        <f>_xlfn.XLOOKUP(tblTransactions[[#This Row],[tenant_id]],tblTenants[tenant_id],tblTenants[zone],"NOT FOUND")</f>
        <v>Home &amp; Living</v>
      </c>
      <c r="Q1232" s="13" t="str">
        <f>_xlfn.XLOOKUP(tblTransactions[[#This Row],[tenant_id]],tblTenants[tenant_id],tblTenants[category],"NOT FOUND")</f>
        <v>Home Decor</v>
      </c>
    </row>
    <row r="1233" spans="1:17">
      <c r="A1233" t="s">
        <v>1277</v>
      </c>
      <c r="B1233" s="2">
        <v>45664</v>
      </c>
      <c r="C1233">
        <v>17</v>
      </c>
      <c r="D1233" t="s">
        <v>98</v>
      </c>
      <c r="E1233" t="s">
        <v>21</v>
      </c>
      <c r="F1233" s="7">
        <v>976.34</v>
      </c>
      <c r="G1233" s="10">
        <v>0.3</v>
      </c>
      <c r="H1233" s="7">
        <v>683.44</v>
      </c>
      <c r="I1233">
        <v>2</v>
      </c>
      <c r="J1233" t="s">
        <v>13</v>
      </c>
      <c r="K1233" s="13">
        <f>ROUND(tblTransactions[[#This Row],[gross_sales_inr]]*(1-tblTransactions[[#This Row],[discount_pct]]),2)</f>
        <v>683.44</v>
      </c>
      <c r="L1233" t="str">
        <f>IF(ABS(tblTransactions[[#This Row],[net_sales_inr]]-tblTransactions[[#This Row],[Recalc_Net_Sales]])&lt;0.02,"OK","CHECK")</f>
        <v>OK</v>
      </c>
      <c r="M1233" s="14">
        <f>DATE(YEAR(tblTransactions[[#This Row],[date]]),MONTH(tblTransactions[[#This Row],[date]]),1)</f>
        <v>45658</v>
      </c>
      <c r="N1233" t="str">
        <f>IF(WEEKDAY(tblTransactions[[#This Row],[date]],2)&gt;5,"Weekend","Weekday")</f>
        <v>Weekday</v>
      </c>
      <c r="O1233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233" s="13" t="str">
        <f>_xlfn.XLOOKUP(tblTransactions[[#This Row],[tenant_id]],tblTenants[tenant_id],tblTenants[zone],"NOT FOUND")</f>
        <v>Fashion Avenue</v>
      </c>
      <c r="Q1233" s="13" t="str">
        <f>_xlfn.XLOOKUP(tblTransactions[[#This Row],[tenant_id]],tblTenants[tenant_id],tblTenants[category],"NOT FOUND")</f>
        <v>Accessories</v>
      </c>
    </row>
    <row r="1234" spans="1:17">
      <c r="A1234" t="s">
        <v>1278</v>
      </c>
      <c r="B1234" s="2">
        <v>45769</v>
      </c>
      <c r="C1234">
        <v>10</v>
      </c>
      <c r="D1234" t="s">
        <v>122</v>
      </c>
      <c r="E1234" t="s">
        <v>12</v>
      </c>
      <c r="F1234" s="7">
        <v>300.95</v>
      </c>
      <c r="G1234" s="10">
        <v>0</v>
      </c>
      <c r="H1234" s="7">
        <v>300.95</v>
      </c>
      <c r="I1234">
        <v>2</v>
      </c>
      <c r="J1234" t="s">
        <v>13</v>
      </c>
      <c r="K1234" s="13">
        <f>ROUND(tblTransactions[[#This Row],[gross_sales_inr]]*(1-tblTransactions[[#This Row],[discount_pct]]),2)</f>
        <v>300.95</v>
      </c>
      <c r="L1234" t="str">
        <f>IF(ABS(tblTransactions[[#This Row],[net_sales_inr]]-tblTransactions[[#This Row],[Recalc_Net_Sales]])&lt;0.02,"OK","CHECK")</f>
        <v>OK</v>
      </c>
      <c r="M1234" s="14">
        <f>DATE(YEAR(tblTransactions[[#This Row],[date]]),MONTH(tblTransactions[[#This Row],[date]]),1)</f>
        <v>45748</v>
      </c>
      <c r="N1234" t="str">
        <f>IF(WEEKDAY(tblTransactions[[#This Row],[date]],2)&gt;5,"Weekend","Weekday")</f>
        <v>Weekday</v>
      </c>
      <c r="O1234" s="13" t="str">
        <f>IF(tblTransactions[[#This Row],[discount_pct]]=0,"0%",IF(tblTransactions[[#This Row],[discount_pct]]&lt;=10%,"1–
10%",IF(tblTransactions[[#This Row],[discount_pct]]&lt;=20%,"11–20%","&gt;20%")))</f>
        <v>0%</v>
      </c>
      <c r="P1234" s="13" t="str">
        <f>_xlfn.XLOOKUP(tblTransactions[[#This Row],[tenant_id]],tblTenants[tenant_id],tblTenants[zone],"NOT FOUND")</f>
        <v>Beauty &amp; Wellness</v>
      </c>
      <c r="Q1234" s="13" t="str">
        <f>_xlfn.XLOOKUP(tblTransactions[[#This Row],[tenant_id]],tblTenants[tenant_id],tblTenants[category],"NOT FOUND")</f>
        <v>Wellness</v>
      </c>
    </row>
    <row r="1235" spans="1:17">
      <c r="A1235" t="s">
        <v>1279</v>
      </c>
      <c r="B1235" s="2">
        <v>45738</v>
      </c>
      <c r="C1235">
        <v>11</v>
      </c>
      <c r="D1235" t="s">
        <v>57</v>
      </c>
      <c r="E1235" t="s">
        <v>12</v>
      </c>
      <c r="F1235" s="7">
        <v>496.49</v>
      </c>
      <c r="G1235" s="10">
        <v>0</v>
      </c>
      <c r="H1235" s="7">
        <v>496.49</v>
      </c>
      <c r="I1235">
        <v>2</v>
      </c>
      <c r="J1235" t="s">
        <v>13</v>
      </c>
      <c r="K1235" s="13">
        <f>ROUND(tblTransactions[[#This Row],[gross_sales_inr]]*(1-tblTransactions[[#This Row],[discount_pct]]),2)</f>
        <v>496.49</v>
      </c>
      <c r="L1235" t="str">
        <f>IF(ABS(tblTransactions[[#This Row],[net_sales_inr]]-tblTransactions[[#This Row],[Recalc_Net_Sales]])&lt;0.02,"OK","CHECK")</f>
        <v>OK</v>
      </c>
      <c r="M1235" s="14">
        <f>DATE(YEAR(tblTransactions[[#This Row],[date]]),MONTH(tblTransactions[[#This Row],[date]]),1)</f>
        <v>45717</v>
      </c>
      <c r="N1235" t="str">
        <f>IF(WEEKDAY(tblTransactions[[#This Row],[date]],2)&gt;5,"Weekend","Weekday")</f>
        <v>Weekend</v>
      </c>
      <c r="O1235" s="13" t="str">
        <f>IF(tblTransactions[[#This Row],[discount_pct]]=0,"0%",IF(tblTransactions[[#This Row],[discount_pct]]&lt;=10%,"1–
10%",IF(tblTransactions[[#This Row],[discount_pct]]&lt;=20%,"11–20%","&gt;20%")))</f>
        <v>0%</v>
      </c>
      <c r="P1235" s="13" t="str">
        <f>_xlfn.XLOOKUP(tblTransactions[[#This Row],[tenant_id]],tblTenants[tenant_id],tblTenants[zone],"NOT FOUND")</f>
        <v>Food Court</v>
      </c>
      <c r="Q1235" s="13" t="str">
        <f>_xlfn.XLOOKUP(tblTransactions[[#This Row],[tenant_id]],tblTenants[tenant_id],tblTenants[category],"NOT FOUND")</f>
        <v>Casual Dining</v>
      </c>
    </row>
    <row r="1236" spans="1:17">
      <c r="A1236" t="s">
        <v>1280</v>
      </c>
      <c r="B1236" s="2">
        <v>45800</v>
      </c>
      <c r="C1236">
        <v>18</v>
      </c>
      <c r="D1236" t="s">
        <v>98</v>
      </c>
      <c r="E1236" t="s">
        <v>51</v>
      </c>
      <c r="F1236" s="7">
        <v>684.44</v>
      </c>
      <c r="G1236" s="10">
        <v>0.1</v>
      </c>
      <c r="H1236" s="7">
        <v>616</v>
      </c>
      <c r="I1236">
        <v>2</v>
      </c>
      <c r="J1236" t="s">
        <v>13</v>
      </c>
      <c r="K1236" s="13">
        <f>ROUND(tblTransactions[[#This Row],[gross_sales_inr]]*(1-tblTransactions[[#This Row],[discount_pct]]),2)</f>
        <v>616</v>
      </c>
      <c r="L1236" t="str">
        <f>IF(ABS(tblTransactions[[#This Row],[net_sales_inr]]-tblTransactions[[#This Row],[Recalc_Net_Sales]])&lt;0.02,"OK","CHECK")</f>
        <v>OK</v>
      </c>
      <c r="M1236" s="14">
        <f>DATE(YEAR(tblTransactions[[#This Row],[date]]),MONTH(tblTransactions[[#This Row],[date]]),1)</f>
        <v>45778</v>
      </c>
      <c r="N1236" t="str">
        <f>IF(WEEKDAY(tblTransactions[[#This Row],[date]],2)&gt;5,"Weekend","Weekday")</f>
        <v>Weekday</v>
      </c>
      <c r="O123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36" s="13" t="str">
        <f>_xlfn.XLOOKUP(tblTransactions[[#This Row],[tenant_id]],tblTenants[tenant_id],tblTenants[zone],"NOT FOUND")</f>
        <v>Fashion Avenue</v>
      </c>
      <c r="Q1236" s="13" t="str">
        <f>_xlfn.XLOOKUP(tblTransactions[[#This Row],[tenant_id]],tblTenants[tenant_id],tblTenants[category],"NOT FOUND")</f>
        <v>Accessories</v>
      </c>
    </row>
    <row r="1237" spans="1:17">
      <c r="A1237" t="s">
        <v>1281</v>
      </c>
      <c r="B1237" s="2">
        <v>45674</v>
      </c>
      <c r="C1237">
        <v>11</v>
      </c>
      <c r="D1237" t="s">
        <v>72</v>
      </c>
      <c r="E1237" t="s">
        <v>12</v>
      </c>
      <c r="F1237" s="7">
        <v>1696.14</v>
      </c>
      <c r="G1237" s="10">
        <v>0.15</v>
      </c>
      <c r="H1237" s="7">
        <v>1441.72</v>
      </c>
      <c r="I1237">
        <v>1</v>
      </c>
      <c r="J1237" t="s">
        <v>16</v>
      </c>
      <c r="K1237" s="13">
        <f>ROUND(tblTransactions[[#This Row],[gross_sales_inr]]*(1-tblTransactions[[#This Row],[discount_pct]]),2)</f>
        <v>1441.72</v>
      </c>
      <c r="L1237" t="str">
        <f>IF(ABS(tblTransactions[[#This Row],[net_sales_inr]]-tblTransactions[[#This Row],[Recalc_Net_Sales]])&lt;0.02,"OK","CHECK")</f>
        <v>OK</v>
      </c>
      <c r="M1237" s="14">
        <f>DATE(YEAR(tblTransactions[[#This Row],[date]]),MONTH(tblTransactions[[#This Row],[date]]),1)</f>
        <v>45658</v>
      </c>
      <c r="N1237" t="str">
        <f>IF(WEEKDAY(tblTransactions[[#This Row],[date]],2)&gt;5,"Weekend","Weekday")</f>
        <v>Weekday</v>
      </c>
      <c r="O123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37" s="13" t="str">
        <f>_xlfn.XLOOKUP(tblTransactions[[#This Row],[tenant_id]],tblTenants[tenant_id],tblTenants[zone],"NOT FOUND")</f>
        <v>Entertainment</v>
      </c>
      <c r="Q1237" s="13" t="str">
        <f>_xlfn.XLOOKUP(tblTransactions[[#This Row],[tenant_id]],tblTenants[tenant_id],tblTenants[category],"NOT FOUND")</f>
        <v>Arcade</v>
      </c>
    </row>
    <row r="1238" spans="1:17">
      <c r="A1238" t="s">
        <v>1282</v>
      </c>
      <c r="B1238" s="2">
        <v>45781</v>
      </c>
      <c r="C1238">
        <v>22</v>
      </c>
      <c r="D1238" t="s">
        <v>41</v>
      </c>
      <c r="E1238" t="s">
        <v>51</v>
      </c>
      <c r="F1238" s="7">
        <v>2943.65</v>
      </c>
      <c r="G1238" s="10">
        <v>0.1</v>
      </c>
      <c r="H1238" s="7">
        <v>2649.29</v>
      </c>
      <c r="I1238">
        <v>4</v>
      </c>
      <c r="J1238" t="s">
        <v>13</v>
      </c>
      <c r="K1238" s="13">
        <f>ROUND(tblTransactions[[#This Row],[gross_sales_inr]]*(1-tblTransactions[[#This Row],[discount_pct]]),2)</f>
        <v>2649.29</v>
      </c>
      <c r="L1238" t="str">
        <f>IF(ABS(tblTransactions[[#This Row],[net_sales_inr]]-tblTransactions[[#This Row],[Recalc_Net_Sales]])&lt;0.02,"OK","CHECK")</f>
        <v>OK</v>
      </c>
      <c r="M1238" s="14">
        <f>DATE(YEAR(tblTransactions[[#This Row],[date]]),MONTH(tblTransactions[[#This Row],[date]]),1)</f>
        <v>45778</v>
      </c>
      <c r="N1238" t="str">
        <f>IF(WEEKDAY(tblTransactions[[#This Row],[date]],2)&gt;5,"Weekend","Weekday")</f>
        <v>Weekend</v>
      </c>
      <c r="O123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38" s="13" t="str">
        <f>_xlfn.XLOOKUP(tblTransactions[[#This Row],[tenant_id]],tblTenants[tenant_id],tblTenants[zone],"NOT FOUND")</f>
        <v>Fashion Avenue</v>
      </c>
      <c r="Q1238" s="13" t="str">
        <f>_xlfn.XLOOKUP(tblTransactions[[#This Row],[tenant_id]],tblTenants[tenant_id],tblTenants[category],"NOT FOUND")</f>
        <v>Clothing</v>
      </c>
    </row>
    <row r="1239" spans="1:17">
      <c r="A1239" t="s">
        <v>1283</v>
      </c>
      <c r="B1239" s="2">
        <v>45767</v>
      </c>
      <c r="C1239">
        <v>14</v>
      </c>
      <c r="D1239" t="s">
        <v>25</v>
      </c>
      <c r="E1239" t="s">
        <v>12</v>
      </c>
      <c r="F1239" s="7">
        <v>4082.34</v>
      </c>
      <c r="G1239" s="10">
        <v>0</v>
      </c>
      <c r="H1239" s="7">
        <v>4082.34</v>
      </c>
      <c r="I1239">
        <v>2</v>
      </c>
      <c r="J1239" t="s">
        <v>16</v>
      </c>
      <c r="K1239" s="13">
        <f>ROUND(tblTransactions[[#This Row],[gross_sales_inr]]*(1-tblTransactions[[#This Row],[discount_pct]]),2)</f>
        <v>4082.34</v>
      </c>
      <c r="L1239" t="str">
        <f>IF(ABS(tblTransactions[[#This Row],[net_sales_inr]]-tblTransactions[[#This Row],[Recalc_Net_Sales]])&lt;0.02,"OK","CHECK")</f>
        <v>OK</v>
      </c>
      <c r="M1239" s="14">
        <f>DATE(YEAR(tblTransactions[[#This Row],[date]]),MONTH(tblTransactions[[#This Row],[date]]),1)</f>
        <v>45748</v>
      </c>
      <c r="N1239" t="str">
        <f>IF(WEEKDAY(tblTransactions[[#This Row],[date]],2)&gt;5,"Weekend","Weekday")</f>
        <v>Weekend</v>
      </c>
      <c r="O1239" s="13" t="str">
        <f>IF(tblTransactions[[#This Row],[discount_pct]]=0,"0%",IF(tblTransactions[[#This Row],[discount_pct]]&lt;=10%,"1–
10%",IF(tblTransactions[[#This Row],[discount_pct]]&lt;=20%,"11–20%","&gt;20%")))</f>
        <v>0%</v>
      </c>
      <c r="P1239" s="13" t="str">
        <f>_xlfn.XLOOKUP(tblTransactions[[#This Row],[tenant_id]],tblTenants[tenant_id],tblTenants[zone],"NOT FOUND")</f>
        <v>Beauty &amp; Wellness</v>
      </c>
      <c r="Q1239" s="13" t="str">
        <f>_xlfn.XLOOKUP(tblTransactions[[#This Row],[tenant_id]],tblTenants[tenant_id],tblTenants[category],"NOT FOUND")</f>
        <v>Beauty</v>
      </c>
    </row>
    <row r="1240" spans="1:17">
      <c r="A1240" t="s">
        <v>1284</v>
      </c>
      <c r="B1240" s="2">
        <v>45727</v>
      </c>
      <c r="C1240">
        <v>19</v>
      </c>
      <c r="D1240" t="s">
        <v>59</v>
      </c>
      <c r="E1240" t="s">
        <v>12</v>
      </c>
      <c r="F1240" s="7">
        <v>1721.47</v>
      </c>
      <c r="G1240" s="10">
        <v>0</v>
      </c>
      <c r="H1240" s="7">
        <v>1721.47</v>
      </c>
      <c r="I1240">
        <v>2</v>
      </c>
      <c r="J1240" t="s">
        <v>13</v>
      </c>
      <c r="K1240" s="13">
        <f>ROUND(tblTransactions[[#This Row],[gross_sales_inr]]*(1-tblTransactions[[#This Row],[discount_pct]]),2)</f>
        <v>1721.47</v>
      </c>
      <c r="L1240" t="str">
        <f>IF(ABS(tblTransactions[[#This Row],[net_sales_inr]]-tblTransactions[[#This Row],[Recalc_Net_Sales]])&lt;0.02,"OK","CHECK")</f>
        <v>OK</v>
      </c>
      <c r="M1240" s="14">
        <f>DATE(YEAR(tblTransactions[[#This Row],[date]]),MONTH(tblTransactions[[#This Row],[date]]),1)</f>
        <v>45717</v>
      </c>
      <c r="N1240" t="str">
        <f>IF(WEEKDAY(tblTransactions[[#This Row],[date]],2)&gt;5,"Weekend","Weekday")</f>
        <v>Weekday</v>
      </c>
      <c r="O1240" s="13" t="str">
        <f>IF(tblTransactions[[#This Row],[discount_pct]]=0,"0%",IF(tblTransactions[[#This Row],[discount_pct]]&lt;=10%,"1–
10%",IF(tblTransactions[[#This Row],[discount_pct]]&lt;=20%,"11–20%","&gt;20%")))</f>
        <v>0%</v>
      </c>
      <c r="P1240" s="13" t="str">
        <f>_xlfn.XLOOKUP(tblTransactions[[#This Row],[tenant_id]],tblTenants[tenant_id],tblTenants[zone],"NOT FOUND")</f>
        <v>Fashion Avenue</v>
      </c>
      <c r="Q1240" s="13" t="str">
        <f>_xlfn.XLOOKUP(tblTransactions[[#This Row],[tenant_id]],tblTenants[tenant_id],tblTenants[category],"NOT FOUND")</f>
        <v>Footwear</v>
      </c>
    </row>
    <row r="1241" spans="1:17">
      <c r="A1241" t="s">
        <v>1285</v>
      </c>
      <c r="B1241" s="2">
        <v>45687</v>
      </c>
      <c r="C1241">
        <v>19</v>
      </c>
      <c r="D1241" t="s">
        <v>43</v>
      </c>
      <c r="E1241" t="s">
        <v>12</v>
      </c>
      <c r="F1241" s="7">
        <v>2036.06</v>
      </c>
      <c r="G1241" s="10">
        <v>0</v>
      </c>
      <c r="H1241" s="7">
        <v>2036.06</v>
      </c>
      <c r="I1241">
        <v>1</v>
      </c>
      <c r="J1241" t="s">
        <v>13</v>
      </c>
      <c r="K1241" s="13">
        <f>ROUND(tblTransactions[[#This Row],[gross_sales_inr]]*(1-tblTransactions[[#This Row],[discount_pct]]),2)</f>
        <v>2036.06</v>
      </c>
      <c r="L1241" t="str">
        <f>IF(ABS(tblTransactions[[#This Row],[net_sales_inr]]-tblTransactions[[#This Row],[Recalc_Net_Sales]])&lt;0.02,"OK","CHECK")</f>
        <v>OK</v>
      </c>
      <c r="M1241" s="14">
        <f>DATE(YEAR(tblTransactions[[#This Row],[date]]),MONTH(tblTransactions[[#This Row],[date]]),1)</f>
        <v>45658</v>
      </c>
      <c r="N1241" t="str">
        <f>IF(WEEKDAY(tblTransactions[[#This Row],[date]],2)&gt;5,"Weekend","Weekday")</f>
        <v>Weekday</v>
      </c>
      <c r="O1241" s="13" t="str">
        <f>IF(tblTransactions[[#This Row],[discount_pct]]=0,"0%",IF(tblTransactions[[#This Row],[discount_pct]]&lt;=10%,"1–
10%",IF(tblTransactions[[#This Row],[discount_pct]]&lt;=20%,"11–20%","&gt;20%")))</f>
        <v>0%</v>
      </c>
      <c r="P1241" s="13" t="str">
        <f>_xlfn.XLOOKUP(tblTransactions[[#This Row],[tenant_id]],tblTenants[tenant_id],tblTenants[zone],"NOT FOUND")</f>
        <v>Food Court</v>
      </c>
      <c r="Q1241" s="13" t="str">
        <f>_xlfn.XLOOKUP(tblTransactions[[#This Row],[tenant_id]],tblTenants[tenant_id],tblTenants[category],"NOT FOUND")</f>
        <v>Casual Dining</v>
      </c>
    </row>
    <row r="1242" spans="1:17">
      <c r="A1242" t="s">
        <v>1286</v>
      </c>
      <c r="B1242" s="2">
        <v>45698</v>
      </c>
      <c r="C1242">
        <v>15</v>
      </c>
      <c r="D1242" t="s">
        <v>53</v>
      </c>
      <c r="E1242" t="s">
        <v>32</v>
      </c>
      <c r="F1242" s="7">
        <v>1414.63</v>
      </c>
      <c r="G1242" s="10">
        <v>0</v>
      </c>
      <c r="H1242" s="7">
        <v>1414.63</v>
      </c>
      <c r="I1242">
        <v>1</v>
      </c>
      <c r="J1242" t="s">
        <v>16</v>
      </c>
      <c r="K1242" s="13">
        <f>ROUND(tblTransactions[[#This Row],[gross_sales_inr]]*(1-tblTransactions[[#This Row],[discount_pct]]),2)</f>
        <v>1414.63</v>
      </c>
      <c r="L1242" t="str">
        <f>IF(ABS(tblTransactions[[#This Row],[net_sales_inr]]-tblTransactions[[#This Row],[Recalc_Net_Sales]])&lt;0.02,"OK","CHECK")</f>
        <v>OK</v>
      </c>
      <c r="M1242" s="14">
        <f>DATE(YEAR(tblTransactions[[#This Row],[date]]),MONTH(tblTransactions[[#This Row],[date]]),1)</f>
        <v>45689</v>
      </c>
      <c r="N1242" t="str">
        <f>IF(WEEKDAY(tblTransactions[[#This Row],[date]],2)&gt;5,"Weekend","Weekday")</f>
        <v>Weekday</v>
      </c>
      <c r="O1242" s="13" t="str">
        <f>IF(tblTransactions[[#This Row],[discount_pct]]=0,"0%",IF(tblTransactions[[#This Row],[discount_pct]]&lt;=10%,"1–
10%",IF(tblTransactions[[#This Row],[discount_pct]]&lt;=20%,"11–20%","&gt;20%")))</f>
        <v>0%</v>
      </c>
      <c r="P1242" s="13" t="str">
        <f>_xlfn.XLOOKUP(tblTransactions[[#This Row],[tenant_id]],tblTenants[tenant_id],tblTenants[zone],"NOT FOUND")</f>
        <v>Beauty &amp; Wellness</v>
      </c>
      <c r="Q1242" s="13" t="str">
        <f>_xlfn.XLOOKUP(tblTransactions[[#This Row],[tenant_id]],tblTenants[tenant_id],tblTenants[category],"NOT FOUND")</f>
        <v>Beauty</v>
      </c>
    </row>
    <row r="1243" spans="1:17">
      <c r="A1243" t="s">
        <v>1287</v>
      </c>
      <c r="B1243" s="2">
        <v>45788</v>
      </c>
      <c r="C1243">
        <v>22</v>
      </c>
      <c r="D1243" t="s">
        <v>59</v>
      </c>
      <c r="E1243" t="s">
        <v>32</v>
      </c>
      <c r="F1243" s="7">
        <v>3735.73</v>
      </c>
      <c r="G1243" s="10">
        <v>0.1</v>
      </c>
      <c r="H1243" s="7">
        <v>3362.16</v>
      </c>
      <c r="I1243">
        <v>1</v>
      </c>
      <c r="J1243" t="s">
        <v>13</v>
      </c>
      <c r="K1243" s="13">
        <f>ROUND(tblTransactions[[#This Row],[gross_sales_inr]]*(1-tblTransactions[[#This Row],[discount_pct]]),2)</f>
        <v>3362.16</v>
      </c>
      <c r="L1243" t="str">
        <f>IF(ABS(tblTransactions[[#This Row],[net_sales_inr]]-tblTransactions[[#This Row],[Recalc_Net_Sales]])&lt;0.02,"OK","CHECK")</f>
        <v>OK</v>
      </c>
      <c r="M1243" s="14">
        <f>DATE(YEAR(tblTransactions[[#This Row],[date]]),MONTH(tblTransactions[[#This Row],[date]]),1)</f>
        <v>45778</v>
      </c>
      <c r="N1243" t="str">
        <f>IF(WEEKDAY(tblTransactions[[#This Row],[date]],2)&gt;5,"Weekend","Weekday")</f>
        <v>Weekend</v>
      </c>
      <c r="O124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43" s="13" t="str">
        <f>_xlfn.XLOOKUP(tblTransactions[[#This Row],[tenant_id]],tblTenants[tenant_id],tblTenants[zone],"NOT FOUND")</f>
        <v>Fashion Avenue</v>
      </c>
      <c r="Q1243" s="13" t="str">
        <f>_xlfn.XLOOKUP(tblTransactions[[#This Row],[tenant_id]],tblTenants[tenant_id],tblTenants[category],"NOT FOUND")</f>
        <v>Footwear</v>
      </c>
    </row>
    <row r="1244" spans="1:17">
      <c r="A1244" t="s">
        <v>1288</v>
      </c>
      <c r="B1244" s="2">
        <v>45780</v>
      </c>
      <c r="C1244">
        <v>10</v>
      </c>
      <c r="D1244" t="s">
        <v>98</v>
      </c>
      <c r="E1244" t="s">
        <v>12</v>
      </c>
      <c r="F1244" s="7">
        <v>1461.64</v>
      </c>
      <c r="G1244" s="10">
        <v>0</v>
      </c>
      <c r="H1244" s="7">
        <v>1461.64</v>
      </c>
      <c r="I1244">
        <v>1</v>
      </c>
      <c r="J1244" t="s">
        <v>13</v>
      </c>
      <c r="K1244" s="13">
        <f>ROUND(tblTransactions[[#This Row],[gross_sales_inr]]*(1-tblTransactions[[#This Row],[discount_pct]]),2)</f>
        <v>1461.64</v>
      </c>
      <c r="L1244" t="str">
        <f>IF(ABS(tblTransactions[[#This Row],[net_sales_inr]]-tblTransactions[[#This Row],[Recalc_Net_Sales]])&lt;0.02,"OK","CHECK")</f>
        <v>OK</v>
      </c>
      <c r="M1244" s="14">
        <f>DATE(YEAR(tblTransactions[[#This Row],[date]]),MONTH(tblTransactions[[#This Row],[date]]),1)</f>
        <v>45778</v>
      </c>
      <c r="N1244" t="str">
        <f>IF(WEEKDAY(tblTransactions[[#This Row],[date]],2)&gt;5,"Weekend","Weekday")</f>
        <v>Weekend</v>
      </c>
      <c r="O1244" s="13" t="str">
        <f>IF(tblTransactions[[#This Row],[discount_pct]]=0,"0%",IF(tblTransactions[[#This Row],[discount_pct]]&lt;=10%,"1–
10%",IF(tblTransactions[[#This Row],[discount_pct]]&lt;=20%,"11–20%","&gt;20%")))</f>
        <v>0%</v>
      </c>
      <c r="P1244" s="13" t="str">
        <f>_xlfn.XLOOKUP(tblTransactions[[#This Row],[tenant_id]],tblTenants[tenant_id],tblTenants[zone],"NOT FOUND")</f>
        <v>Fashion Avenue</v>
      </c>
      <c r="Q1244" s="13" t="str">
        <f>_xlfn.XLOOKUP(tblTransactions[[#This Row],[tenant_id]],tblTenants[tenant_id],tblTenants[category],"NOT FOUND")</f>
        <v>Accessories</v>
      </c>
    </row>
    <row r="1245" spans="1:17">
      <c r="A1245" t="s">
        <v>1289</v>
      </c>
      <c r="B1245" s="2">
        <v>45837</v>
      </c>
      <c r="C1245">
        <v>12</v>
      </c>
      <c r="D1245" t="s">
        <v>98</v>
      </c>
      <c r="E1245" t="s">
        <v>32</v>
      </c>
      <c r="F1245" s="7">
        <v>1110.99</v>
      </c>
      <c r="G1245" s="10">
        <v>0.1</v>
      </c>
      <c r="H1245" s="7">
        <v>999.89</v>
      </c>
      <c r="I1245">
        <v>3</v>
      </c>
      <c r="J1245" t="s">
        <v>13</v>
      </c>
      <c r="K1245" s="13">
        <f>ROUND(tblTransactions[[#This Row],[gross_sales_inr]]*(1-tblTransactions[[#This Row],[discount_pct]]),2)</f>
        <v>999.89</v>
      </c>
      <c r="L1245" t="str">
        <f>IF(ABS(tblTransactions[[#This Row],[net_sales_inr]]-tblTransactions[[#This Row],[Recalc_Net_Sales]])&lt;0.02,"OK","CHECK")</f>
        <v>OK</v>
      </c>
      <c r="M1245" s="14">
        <f>DATE(YEAR(tblTransactions[[#This Row],[date]]),MONTH(tblTransactions[[#This Row],[date]]),1)</f>
        <v>45809</v>
      </c>
      <c r="N1245" t="str">
        <f>IF(WEEKDAY(tblTransactions[[#This Row],[date]],2)&gt;5,"Weekend","Weekday")</f>
        <v>Weekend</v>
      </c>
      <c r="O124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45" s="13" t="str">
        <f>_xlfn.XLOOKUP(tblTransactions[[#This Row],[tenant_id]],tblTenants[tenant_id],tblTenants[zone],"NOT FOUND")</f>
        <v>Fashion Avenue</v>
      </c>
      <c r="Q1245" s="13" t="str">
        <f>_xlfn.XLOOKUP(tblTransactions[[#This Row],[tenant_id]],tblTenants[tenant_id],tblTenants[category],"NOT FOUND")</f>
        <v>Accessories</v>
      </c>
    </row>
    <row r="1246" spans="1:17">
      <c r="A1246" t="s">
        <v>1290</v>
      </c>
      <c r="B1246" s="2">
        <v>45820</v>
      </c>
      <c r="C1246">
        <v>22</v>
      </c>
      <c r="D1246" t="s">
        <v>204</v>
      </c>
      <c r="E1246" t="s">
        <v>32</v>
      </c>
      <c r="F1246" s="7">
        <v>278.42</v>
      </c>
      <c r="G1246" s="10">
        <v>0.2</v>
      </c>
      <c r="H1246" s="7">
        <v>222.74</v>
      </c>
      <c r="I1246">
        <v>2</v>
      </c>
      <c r="J1246" t="s">
        <v>16</v>
      </c>
      <c r="K1246" s="13">
        <f>ROUND(tblTransactions[[#This Row],[gross_sales_inr]]*(1-tblTransactions[[#This Row],[discount_pct]]),2)</f>
        <v>222.74</v>
      </c>
      <c r="L1246" t="str">
        <f>IF(ABS(tblTransactions[[#This Row],[net_sales_inr]]-tblTransactions[[#This Row],[Recalc_Net_Sales]])&lt;0.02,"OK","CHECK")</f>
        <v>OK</v>
      </c>
      <c r="M1246" s="14">
        <f>DATE(YEAR(tblTransactions[[#This Row],[date]]),MONTH(tblTransactions[[#This Row],[date]]),1)</f>
        <v>45809</v>
      </c>
      <c r="N1246" t="str">
        <f>IF(WEEKDAY(tblTransactions[[#This Row],[date]],2)&gt;5,"Weekend","Weekday")</f>
        <v>Weekday</v>
      </c>
      <c r="O124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46" s="13" t="str">
        <f>_xlfn.XLOOKUP(tblTransactions[[#This Row],[tenant_id]],tblTenants[tenant_id],tblTenants[zone],"NOT FOUND")</f>
        <v>Home &amp; Living</v>
      </c>
      <c r="Q1246" s="13" t="str">
        <f>_xlfn.XLOOKUP(tblTransactions[[#This Row],[tenant_id]],tblTenants[tenant_id],tblTenants[category],"NOT FOUND")</f>
        <v>Home Decor</v>
      </c>
    </row>
    <row r="1247" spans="1:17">
      <c r="A1247" t="s">
        <v>1291</v>
      </c>
      <c r="B1247" s="2">
        <v>45770</v>
      </c>
      <c r="C1247">
        <v>16</v>
      </c>
      <c r="D1247" t="s">
        <v>43</v>
      </c>
      <c r="E1247" t="s">
        <v>32</v>
      </c>
      <c r="F1247" s="7">
        <v>355.71</v>
      </c>
      <c r="G1247" s="10">
        <v>0.05</v>
      </c>
      <c r="H1247" s="7">
        <v>337.92</v>
      </c>
      <c r="I1247">
        <v>2</v>
      </c>
      <c r="J1247" t="s">
        <v>13</v>
      </c>
      <c r="K1247" s="13">
        <f>ROUND(tblTransactions[[#This Row],[gross_sales_inr]]*(1-tblTransactions[[#This Row],[discount_pct]]),2)</f>
        <v>337.92</v>
      </c>
      <c r="L1247" t="str">
        <f>IF(ABS(tblTransactions[[#This Row],[net_sales_inr]]-tblTransactions[[#This Row],[Recalc_Net_Sales]])&lt;0.02,"OK","CHECK")</f>
        <v>OK</v>
      </c>
      <c r="M1247" s="14">
        <f>DATE(YEAR(tblTransactions[[#This Row],[date]]),MONTH(tblTransactions[[#This Row],[date]]),1)</f>
        <v>45748</v>
      </c>
      <c r="N1247" t="str">
        <f>IF(WEEKDAY(tblTransactions[[#This Row],[date]],2)&gt;5,"Weekend","Weekday")</f>
        <v>Weekday</v>
      </c>
      <c r="O124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47" s="13" t="str">
        <f>_xlfn.XLOOKUP(tblTransactions[[#This Row],[tenant_id]],tblTenants[tenant_id],tblTenants[zone],"NOT FOUND")</f>
        <v>Food Court</v>
      </c>
      <c r="Q1247" s="13" t="str">
        <f>_xlfn.XLOOKUP(tblTransactions[[#This Row],[tenant_id]],tblTenants[tenant_id],tblTenants[category],"NOT FOUND")</f>
        <v>Casual Dining</v>
      </c>
    </row>
    <row r="1248" spans="1:17">
      <c r="A1248" t="s">
        <v>1292</v>
      </c>
      <c r="B1248" s="2">
        <v>45664</v>
      </c>
      <c r="C1248">
        <v>14</v>
      </c>
      <c r="D1248" t="s">
        <v>80</v>
      </c>
      <c r="E1248" t="s">
        <v>12</v>
      </c>
      <c r="F1248" s="7">
        <v>936.6</v>
      </c>
      <c r="G1248" s="10">
        <v>0</v>
      </c>
      <c r="H1248" s="7">
        <v>936.6</v>
      </c>
      <c r="I1248">
        <v>4</v>
      </c>
      <c r="J1248" t="s">
        <v>16</v>
      </c>
      <c r="K1248" s="13">
        <f>ROUND(tblTransactions[[#This Row],[gross_sales_inr]]*(1-tblTransactions[[#This Row],[discount_pct]]),2)</f>
        <v>936.6</v>
      </c>
      <c r="L1248" t="str">
        <f>IF(ABS(tblTransactions[[#This Row],[net_sales_inr]]-tblTransactions[[#This Row],[Recalc_Net_Sales]])&lt;0.02,"OK","CHECK")</f>
        <v>OK</v>
      </c>
      <c r="M1248" s="14">
        <f>DATE(YEAR(tblTransactions[[#This Row],[date]]),MONTH(tblTransactions[[#This Row],[date]]),1)</f>
        <v>45658</v>
      </c>
      <c r="N1248" t="str">
        <f>IF(WEEKDAY(tblTransactions[[#This Row],[date]],2)&gt;5,"Weekend","Weekday")</f>
        <v>Weekday</v>
      </c>
      <c r="O1248" s="13" t="str">
        <f>IF(tblTransactions[[#This Row],[discount_pct]]=0,"0%",IF(tblTransactions[[#This Row],[discount_pct]]&lt;=10%,"1–
10%",IF(tblTransactions[[#This Row],[discount_pct]]&lt;=20%,"11–20%","&gt;20%")))</f>
        <v>0%</v>
      </c>
      <c r="P1248" s="13" t="str">
        <f>_xlfn.XLOOKUP(tblTransactions[[#This Row],[tenant_id]],tblTenants[tenant_id],tblTenants[zone],"NOT FOUND")</f>
        <v>Food Court</v>
      </c>
      <c r="Q1248" s="13" t="str">
        <f>_xlfn.XLOOKUP(tblTransactions[[#This Row],[tenant_id]],tblTenants[tenant_id],tblTenants[category],"NOT FOUND")</f>
        <v>Casual Dining</v>
      </c>
    </row>
    <row r="1249" spans="1:17">
      <c r="A1249" t="s">
        <v>1293</v>
      </c>
      <c r="B1249" s="2">
        <v>45782</v>
      </c>
      <c r="C1249">
        <v>10</v>
      </c>
      <c r="D1249" t="s">
        <v>25</v>
      </c>
      <c r="E1249" t="s">
        <v>51</v>
      </c>
      <c r="F1249" s="7">
        <v>874.3</v>
      </c>
      <c r="G1249" s="10">
        <v>0.15</v>
      </c>
      <c r="H1249" s="7">
        <v>743.15</v>
      </c>
      <c r="I1249">
        <v>4</v>
      </c>
      <c r="J1249" t="s">
        <v>13</v>
      </c>
      <c r="K1249" s="13">
        <f>ROUND(tblTransactions[[#This Row],[gross_sales_inr]]*(1-tblTransactions[[#This Row],[discount_pct]]),2)</f>
        <v>743.16</v>
      </c>
      <c r="L1249" t="str">
        <f>IF(ABS(tblTransactions[[#This Row],[net_sales_inr]]-tblTransactions[[#This Row],[Recalc_Net_Sales]])&lt;0.02,"OK","CHECK")</f>
        <v>OK</v>
      </c>
      <c r="M1249" s="14">
        <f>DATE(YEAR(tblTransactions[[#This Row],[date]]),MONTH(tblTransactions[[#This Row],[date]]),1)</f>
        <v>45778</v>
      </c>
      <c r="N1249" t="str">
        <f>IF(WEEKDAY(tblTransactions[[#This Row],[date]],2)&gt;5,"Weekend","Weekday")</f>
        <v>Weekday</v>
      </c>
      <c r="O124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49" s="13" t="str">
        <f>_xlfn.XLOOKUP(tblTransactions[[#This Row],[tenant_id]],tblTenants[tenant_id],tblTenants[zone],"NOT FOUND")</f>
        <v>Beauty &amp; Wellness</v>
      </c>
      <c r="Q1249" s="13" t="str">
        <f>_xlfn.XLOOKUP(tblTransactions[[#This Row],[tenant_id]],tblTenants[tenant_id],tblTenants[category],"NOT FOUND")</f>
        <v>Beauty</v>
      </c>
    </row>
    <row r="1250" spans="1:17">
      <c r="A1250" t="s">
        <v>1294</v>
      </c>
      <c r="B1250" s="2">
        <v>45829</v>
      </c>
      <c r="C1250">
        <v>18</v>
      </c>
      <c r="D1250" t="s">
        <v>18</v>
      </c>
      <c r="E1250" t="s">
        <v>12</v>
      </c>
      <c r="F1250" s="7">
        <v>875.14</v>
      </c>
      <c r="G1250" s="10">
        <v>0.1</v>
      </c>
      <c r="H1250" s="7">
        <v>787.63</v>
      </c>
      <c r="I1250">
        <v>6</v>
      </c>
      <c r="J1250" t="s">
        <v>16</v>
      </c>
      <c r="K1250" s="13">
        <f>ROUND(tblTransactions[[#This Row],[gross_sales_inr]]*(1-tblTransactions[[#This Row],[discount_pct]]),2)</f>
        <v>787.63</v>
      </c>
      <c r="L1250" t="str">
        <f>IF(ABS(tblTransactions[[#This Row],[net_sales_inr]]-tblTransactions[[#This Row],[Recalc_Net_Sales]])&lt;0.02,"OK","CHECK")</f>
        <v>OK</v>
      </c>
      <c r="M1250" s="14">
        <f>DATE(YEAR(tblTransactions[[#This Row],[date]]),MONTH(tblTransactions[[#This Row],[date]]),1)</f>
        <v>45809</v>
      </c>
      <c r="N1250" t="str">
        <f>IF(WEEKDAY(tblTransactions[[#This Row],[date]],2)&gt;5,"Weekend","Weekday")</f>
        <v>Weekend</v>
      </c>
      <c r="O125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50" s="13" t="str">
        <f>_xlfn.XLOOKUP(tblTransactions[[#This Row],[tenant_id]],tblTenants[tenant_id],tblTenants[zone],"NOT FOUND")</f>
        <v>Beauty &amp; Wellness</v>
      </c>
      <c r="Q1250" s="13" t="str">
        <f>_xlfn.XLOOKUP(tblTransactions[[#This Row],[tenant_id]],tblTenants[tenant_id],tblTenants[category],"NOT FOUND")</f>
        <v>Beauty</v>
      </c>
    </row>
    <row r="1251" spans="1:17">
      <c r="A1251" t="s">
        <v>1295</v>
      </c>
      <c r="B1251" s="2">
        <v>45824</v>
      </c>
      <c r="C1251">
        <v>11</v>
      </c>
      <c r="D1251" t="s">
        <v>36</v>
      </c>
      <c r="E1251" t="s">
        <v>12</v>
      </c>
      <c r="F1251" s="7">
        <v>736.38</v>
      </c>
      <c r="G1251" s="10">
        <v>0.2</v>
      </c>
      <c r="H1251" s="7">
        <v>589.1</v>
      </c>
      <c r="I1251">
        <v>4</v>
      </c>
      <c r="J1251" t="s">
        <v>16</v>
      </c>
      <c r="K1251" s="13">
        <f>ROUND(tblTransactions[[#This Row],[gross_sales_inr]]*(1-tblTransactions[[#This Row],[discount_pct]]),2)</f>
        <v>589.1</v>
      </c>
      <c r="L1251" t="str">
        <f>IF(ABS(tblTransactions[[#This Row],[net_sales_inr]]-tblTransactions[[#This Row],[Recalc_Net_Sales]])&lt;0.02,"OK","CHECK")</f>
        <v>OK</v>
      </c>
      <c r="M1251" s="14">
        <f>DATE(YEAR(tblTransactions[[#This Row],[date]]),MONTH(tblTransactions[[#This Row],[date]]),1)</f>
        <v>45809</v>
      </c>
      <c r="N1251" t="str">
        <f>IF(WEEKDAY(tblTransactions[[#This Row],[date]],2)&gt;5,"Weekend","Weekday")</f>
        <v>Weekday</v>
      </c>
      <c r="O125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51" s="13" t="str">
        <f>_xlfn.XLOOKUP(tblTransactions[[#This Row],[tenant_id]],tblTenants[tenant_id],tblTenants[zone],"NOT FOUND")</f>
        <v>Home &amp; Living</v>
      </c>
      <c r="Q1251" s="13" t="str">
        <f>_xlfn.XLOOKUP(tblTransactions[[#This Row],[tenant_id]],tblTenants[tenant_id],tblTenants[category],"NOT FOUND")</f>
        <v>Electronics</v>
      </c>
    </row>
    <row r="1252" spans="1:17">
      <c r="A1252" t="s">
        <v>1296</v>
      </c>
      <c r="B1252" s="2">
        <v>45782</v>
      </c>
      <c r="C1252">
        <v>10</v>
      </c>
      <c r="D1252" t="s">
        <v>63</v>
      </c>
      <c r="E1252" t="s">
        <v>32</v>
      </c>
      <c r="F1252" s="7">
        <v>1340.54</v>
      </c>
      <c r="G1252" s="10">
        <v>0</v>
      </c>
      <c r="H1252" s="7">
        <v>1340.54</v>
      </c>
      <c r="I1252">
        <v>2</v>
      </c>
      <c r="J1252" t="s">
        <v>16</v>
      </c>
      <c r="K1252" s="13">
        <f>ROUND(tblTransactions[[#This Row],[gross_sales_inr]]*(1-tblTransactions[[#This Row],[discount_pct]]),2)</f>
        <v>1340.54</v>
      </c>
      <c r="L1252" t="str">
        <f>IF(ABS(tblTransactions[[#This Row],[net_sales_inr]]-tblTransactions[[#This Row],[Recalc_Net_Sales]])&lt;0.02,"OK","CHECK")</f>
        <v>OK</v>
      </c>
      <c r="M1252" s="14">
        <f>DATE(YEAR(tblTransactions[[#This Row],[date]]),MONTH(tblTransactions[[#This Row],[date]]),1)</f>
        <v>45778</v>
      </c>
      <c r="N1252" t="str">
        <f>IF(WEEKDAY(tblTransactions[[#This Row],[date]],2)&gt;5,"Weekend","Weekday")</f>
        <v>Weekday</v>
      </c>
      <c r="O1252" s="13" t="str">
        <f>IF(tblTransactions[[#This Row],[discount_pct]]=0,"0%",IF(tblTransactions[[#This Row],[discount_pct]]&lt;=10%,"1–
10%",IF(tblTransactions[[#This Row],[discount_pct]]&lt;=20%,"11–20%","&gt;20%")))</f>
        <v>0%</v>
      </c>
      <c r="P1252" s="13" t="str">
        <f>_xlfn.XLOOKUP(tblTransactions[[#This Row],[tenant_id]],tblTenants[tenant_id],tblTenants[zone],"NOT FOUND")</f>
        <v>Entertainment</v>
      </c>
      <c r="Q1252" s="13" t="str">
        <f>_xlfn.XLOOKUP(tblTransactions[[#This Row],[tenant_id]],tblTenants[tenant_id],tblTenants[category],"NOT FOUND")</f>
        <v>Family Entertainment</v>
      </c>
    </row>
    <row r="1253" spans="1:17">
      <c r="A1253" t="s">
        <v>1297</v>
      </c>
      <c r="B1253" s="2">
        <v>45787</v>
      </c>
      <c r="C1253">
        <v>11</v>
      </c>
      <c r="D1253" t="s">
        <v>25</v>
      </c>
      <c r="E1253" t="s">
        <v>21</v>
      </c>
      <c r="F1253" s="7">
        <v>1375.62</v>
      </c>
      <c r="G1253" s="10">
        <v>0.1</v>
      </c>
      <c r="H1253" s="7">
        <v>1238.06</v>
      </c>
      <c r="I1253">
        <v>3</v>
      </c>
      <c r="J1253" t="s">
        <v>13</v>
      </c>
      <c r="K1253" s="13">
        <f>ROUND(tblTransactions[[#This Row],[gross_sales_inr]]*(1-tblTransactions[[#This Row],[discount_pct]]),2)</f>
        <v>1238.06</v>
      </c>
      <c r="L1253" t="str">
        <f>IF(ABS(tblTransactions[[#This Row],[net_sales_inr]]-tblTransactions[[#This Row],[Recalc_Net_Sales]])&lt;0.02,"OK","CHECK")</f>
        <v>OK</v>
      </c>
      <c r="M1253" s="14">
        <f>DATE(YEAR(tblTransactions[[#This Row],[date]]),MONTH(tblTransactions[[#This Row],[date]]),1)</f>
        <v>45778</v>
      </c>
      <c r="N1253" t="str">
        <f>IF(WEEKDAY(tblTransactions[[#This Row],[date]],2)&gt;5,"Weekend","Weekday")</f>
        <v>Weekend</v>
      </c>
      <c r="O125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53" s="13" t="str">
        <f>_xlfn.XLOOKUP(tblTransactions[[#This Row],[tenant_id]],tblTenants[tenant_id],tblTenants[zone],"NOT FOUND")</f>
        <v>Beauty &amp; Wellness</v>
      </c>
      <c r="Q1253" s="13" t="str">
        <f>_xlfn.XLOOKUP(tblTransactions[[#This Row],[tenant_id]],tblTenants[tenant_id],tblTenants[category],"NOT FOUND")</f>
        <v>Beauty</v>
      </c>
    </row>
    <row r="1254" spans="1:17">
      <c r="A1254" t="s">
        <v>1298</v>
      </c>
      <c r="B1254" s="2">
        <v>45787</v>
      </c>
      <c r="C1254">
        <v>20</v>
      </c>
      <c r="D1254" t="s">
        <v>48</v>
      </c>
      <c r="E1254" t="s">
        <v>12</v>
      </c>
      <c r="F1254" s="7">
        <v>374.22</v>
      </c>
      <c r="G1254" s="10">
        <v>0.1</v>
      </c>
      <c r="H1254" s="7">
        <v>336.8</v>
      </c>
      <c r="I1254">
        <v>3</v>
      </c>
      <c r="J1254" t="s">
        <v>13</v>
      </c>
      <c r="K1254" s="13">
        <f>ROUND(tblTransactions[[#This Row],[gross_sales_inr]]*(1-tblTransactions[[#This Row],[discount_pct]]),2)</f>
        <v>336.8</v>
      </c>
      <c r="L1254" t="str">
        <f>IF(ABS(tblTransactions[[#This Row],[net_sales_inr]]-tblTransactions[[#This Row],[Recalc_Net_Sales]])&lt;0.02,"OK","CHECK")</f>
        <v>OK</v>
      </c>
      <c r="M1254" s="14">
        <f>DATE(YEAR(tblTransactions[[#This Row],[date]]),MONTH(tblTransactions[[#This Row],[date]]),1)</f>
        <v>45778</v>
      </c>
      <c r="N1254" t="str">
        <f>IF(WEEKDAY(tblTransactions[[#This Row],[date]],2)&gt;5,"Weekend","Weekday")</f>
        <v>Weekend</v>
      </c>
      <c r="O125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54" s="13" t="str">
        <f>_xlfn.XLOOKUP(tblTransactions[[#This Row],[tenant_id]],tblTenants[tenant_id],tblTenants[zone],"NOT FOUND")</f>
        <v>Beauty &amp; Wellness</v>
      </c>
      <c r="Q1254" s="13" t="str">
        <f>_xlfn.XLOOKUP(tblTransactions[[#This Row],[tenant_id]],tblTenants[tenant_id],tblTenants[category],"NOT FOUND")</f>
        <v>Wellness</v>
      </c>
    </row>
    <row r="1255" spans="1:17">
      <c r="A1255" t="s">
        <v>1299</v>
      </c>
      <c r="B1255" s="2">
        <v>45676</v>
      </c>
      <c r="C1255">
        <v>18</v>
      </c>
      <c r="D1255" t="s">
        <v>27</v>
      </c>
      <c r="E1255" t="s">
        <v>12</v>
      </c>
      <c r="F1255" s="7">
        <v>1532.18</v>
      </c>
      <c r="G1255" s="10">
        <v>0.3</v>
      </c>
      <c r="H1255" s="7">
        <v>1072.53</v>
      </c>
      <c r="I1255">
        <v>1</v>
      </c>
      <c r="J1255" t="s">
        <v>13</v>
      </c>
      <c r="K1255" s="13">
        <f>ROUND(tblTransactions[[#This Row],[gross_sales_inr]]*(1-tblTransactions[[#This Row],[discount_pct]]),2)</f>
        <v>1072.53</v>
      </c>
      <c r="L1255" t="str">
        <f>IF(ABS(tblTransactions[[#This Row],[net_sales_inr]]-tblTransactions[[#This Row],[Recalc_Net_Sales]])&lt;0.02,"OK","CHECK")</f>
        <v>OK</v>
      </c>
      <c r="M1255" s="14">
        <f>DATE(YEAR(tblTransactions[[#This Row],[date]]),MONTH(tblTransactions[[#This Row],[date]]),1)</f>
        <v>45658</v>
      </c>
      <c r="N1255" t="str">
        <f>IF(WEEKDAY(tblTransactions[[#This Row],[date]],2)&gt;5,"Weekend","Weekday")</f>
        <v>Weekend</v>
      </c>
      <c r="O1255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255" s="13" t="str">
        <f>_xlfn.XLOOKUP(tblTransactions[[#This Row],[tenant_id]],tblTenants[tenant_id],tblTenants[zone],"NOT FOUND")</f>
        <v>Beauty &amp; Wellness</v>
      </c>
      <c r="Q1255" s="13" t="str">
        <f>_xlfn.XLOOKUP(tblTransactions[[#This Row],[tenant_id]],tblTenants[tenant_id],tblTenants[category],"NOT FOUND")</f>
        <v>Wellness</v>
      </c>
    </row>
    <row r="1256" spans="1:17">
      <c r="A1256" t="s">
        <v>1300</v>
      </c>
      <c r="B1256" s="2">
        <v>45795</v>
      </c>
      <c r="C1256">
        <v>20</v>
      </c>
      <c r="D1256" t="s">
        <v>45</v>
      </c>
      <c r="E1256" t="s">
        <v>12</v>
      </c>
      <c r="F1256" s="7">
        <v>501.62</v>
      </c>
      <c r="G1256" s="10">
        <v>0.15</v>
      </c>
      <c r="H1256" s="7">
        <v>426.38</v>
      </c>
      <c r="I1256">
        <v>2</v>
      </c>
      <c r="J1256" t="s">
        <v>13</v>
      </c>
      <c r="K1256" s="13">
        <f>ROUND(tblTransactions[[#This Row],[gross_sales_inr]]*(1-tblTransactions[[#This Row],[discount_pct]]),2)</f>
        <v>426.38</v>
      </c>
      <c r="L1256" t="str">
        <f>IF(ABS(tblTransactions[[#This Row],[net_sales_inr]]-tblTransactions[[#This Row],[Recalc_Net_Sales]])&lt;0.02,"OK","CHECK")</f>
        <v>OK</v>
      </c>
      <c r="M1256" s="14">
        <f>DATE(YEAR(tblTransactions[[#This Row],[date]]),MONTH(tblTransactions[[#This Row],[date]]),1)</f>
        <v>45778</v>
      </c>
      <c r="N1256" t="str">
        <f>IF(WEEKDAY(tblTransactions[[#This Row],[date]],2)&gt;5,"Weekend","Weekday")</f>
        <v>Weekend</v>
      </c>
      <c r="O125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56" s="13" t="str">
        <f>_xlfn.XLOOKUP(tblTransactions[[#This Row],[tenant_id]],tblTenants[tenant_id],tblTenants[zone],"NOT FOUND")</f>
        <v>Home &amp; Living</v>
      </c>
      <c r="Q1256" s="13" t="str">
        <f>_xlfn.XLOOKUP(tblTransactions[[#This Row],[tenant_id]],tblTenants[tenant_id],tblTenants[category],"NOT FOUND")</f>
        <v>Home Decor</v>
      </c>
    </row>
    <row r="1257" spans="1:17">
      <c r="A1257" t="s">
        <v>1301</v>
      </c>
      <c r="B1257" s="2">
        <v>45775</v>
      </c>
      <c r="C1257">
        <v>21</v>
      </c>
      <c r="D1257" t="s">
        <v>122</v>
      </c>
      <c r="E1257" t="s">
        <v>12</v>
      </c>
      <c r="F1257" s="7">
        <v>479.34</v>
      </c>
      <c r="G1257" s="10">
        <v>0</v>
      </c>
      <c r="H1257" s="7">
        <v>479.34</v>
      </c>
      <c r="I1257">
        <v>2</v>
      </c>
      <c r="J1257" t="s">
        <v>13</v>
      </c>
      <c r="K1257" s="13">
        <f>ROUND(tblTransactions[[#This Row],[gross_sales_inr]]*(1-tblTransactions[[#This Row],[discount_pct]]),2)</f>
        <v>479.34</v>
      </c>
      <c r="L1257" t="str">
        <f>IF(ABS(tblTransactions[[#This Row],[net_sales_inr]]-tblTransactions[[#This Row],[Recalc_Net_Sales]])&lt;0.02,"OK","CHECK")</f>
        <v>OK</v>
      </c>
      <c r="M1257" s="14">
        <f>DATE(YEAR(tblTransactions[[#This Row],[date]]),MONTH(tblTransactions[[#This Row],[date]]),1)</f>
        <v>45748</v>
      </c>
      <c r="N1257" t="str">
        <f>IF(WEEKDAY(tblTransactions[[#This Row],[date]],2)&gt;5,"Weekend","Weekday")</f>
        <v>Weekday</v>
      </c>
      <c r="O1257" s="13" t="str">
        <f>IF(tblTransactions[[#This Row],[discount_pct]]=0,"0%",IF(tblTransactions[[#This Row],[discount_pct]]&lt;=10%,"1–
10%",IF(tblTransactions[[#This Row],[discount_pct]]&lt;=20%,"11–20%","&gt;20%")))</f>
        <v>0%</v>
      </c>
      <c r="P1257" s="13" t="str">
        <f>_xlfn.XLOOKUP(tblTransactions[[#This Row],[tenant_id]],tblTenants[tenant_id],tblTenants[zone],"NOT FOUND")</f>
        <v>Beauty &amp; Wellness</v>
      </c>
      <c r="Q1257" s="13" t="str">
        <f>_xlfn.XLOOKUP(tblTransactions[[#This Row],[tenant_id]],tblTenants[tenant_id],tblTenants[category],"NOT FOUND")</f>
        <v>Wellness</v>
      </c>
    </row>
    <row r="1258" spans="1:17">
      <c r="A1258" t="s">
        <v>1302</v>
      </c>
      <c r="B1258" s="2">
        <v>45736</v>
      </c>
      <c r="C1258">
        <v>11</v>
      </c>
      <c r="D1258" t="s">
        <v>41</v>
      </c>
      <c r="E1258" t="s">
        <v>12</v>
      </c>
      <c r="F1258" s="7">
        <v>623.29999999999995</v>
      </c>
      <c r="G1258" s="10">
        <v>0.2</v>
      </c>
      <c r="H1258" s="7">
        <v>498.64</v>
      </c>
      <c r="I1258">
        <v>1</v>
      </c>
      <c r="J1258" t="s">
        <v>16</v>
      </c>
      <c r="K1258" s="13">
        <f>ROUND(tblTransactions[[#This Row],[gross_sales_inr]]*(1-tblTransactions[[#This Row],[discount_pct]]),2)</f>
        <v>498.64</v>
      </c>
      <c r="L1258" t="str">
        <f>IF(ABS(tblTransactions[[#This Row],[net_sales_inr]]-tblTransactions[[#This Row],[Recalc_Net_Sales]])&lt;0.02,"OK","CHECK")</f>
        <v>OK</v>
      </c>
      <c r="M1258" s="14">
        <f>DATE(YEAR(tblTransactions[[#This Row],[date]]),MONTH(tblTransactions[[#This Row],[date]]),1)</f>
        <v>45717</v>
      </c>
      <c r="N1258" t="str">
        <f>IF(WEEKDAY(tblTransactions[[#This Row],[date]],2)&gt;5,"Weekend","Weekday")</f>
        <v>Weekday</v>
      </c>
      <c r="O125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58" s="13" t="str">
        <f>_xlfn.XLOOKUP(tblTransactions[[#This Row],[tenant_id]],tblTenants[tenant_id],tblTenants[zone],"NOT FOUND")</f>
        <v>Fashion Avenue</v>
      </c>
      <c r="Q1258" s="13" t="str">
        <f>_xlfn.XLOOKUP(tblTransactions[[#This Row],[tenant_id]],tblTenants[tenant_id],tblTenants[category],"NOT FOUND")</f>
        <v>Clothing</v>
      </c>
    </row>
    <row r="1259" spans="1:17">
      <c r="A1259" t="s">
        <v>1303</v>
      </c>
      <c r="B1259" s="2">
        <v>45755</v>
      </c>
      <c r="C1259">
        <v>12</v>
      </c>
      <c r="D1259" t="s">
        <v>20</v>
      </c>
      <c r="E1259" t="s">
        <v>12</v>
      </c>
      <c r="F1259" s="7">
        <v>580.05999999999995</v>
      </c>
      <c r="G1259" s="10">
        <v>0</v>
      </c>
      <c r="H1259" s="7">
        <v>580.05999999999995</v>
      </c>
      <c r="I1259">
        <v>1</v>
      </c>
      <c r="J1259" t="s">
        <v>16</v>
      </c>
      <c r="K1259" s="13">
        <f>ROUND(tblTransactions[[#This Row],[gross_sales_inr]]*(1-tblTransactions[[#This Row],[discount_pct]]),2)</f>
        <v>580.05999999999995</v>
      </c>
      <c r="L1259" t="str">
        <f>IF(ABS(tblTransactions[[#This Row],[net_sales_inr]]-tblTransactions[[#This Row],[Recalc_Net_Sales]])&lt;0.02,"OK","CHECK")</f>
        <v>OK</v>
      </c>
      <c r="M1259" s="14">
        <f>DATE(YEAR(tblTransactions[[#This Row],[date]]),MONTH(tblTransactions[[#This Row],[date]]),1)</f>
        <v>45748</v>
      </c>
      <c r="N1259" t="str">
        <f>IF(WEEKDAY(tblTransactions[[#This Row],[date]],2)&gt;5,"Weekend","Weekday")</f>
        <v>Weekday</v>
      </c>
      <c r="O1259" s="13" t="str">
        <f>IF(tblTransactions[[#This Row],[discount_pct]]=0,"0%",IF(tblTransactions[[#This Row],[discount_pct]]&lt;=10%,"1–
10%",IF(tblTransactions[[#This Row],[discount_pct]]&lt;=20%,"11–20%","&gt;20%")))</f>
        <v>0%</v>
      </c>
      <c r="P1259" s="13" t="str">
        <f>_xlfn.XLOOKUP(tblTransactions[[#This Row],[tenant_id]],tblTenants[tenant_id],tblTenants[zone],"NOT FOUND")</f>
        <v>Fashion Avenue</v>
      </c>
      <c r="Q1259" s="13" t="str">
        <f>_xlfn.XLOOKUP(tblTransactions[[#This Row],[tenant_id]],tblTenants[tenant_id],tblTenants[category],"NOT FOUND")</f>
        <v>Accessories</v>
      </c>
    </row>
    <row r="1260" spans="1:17">
      <c r="A1260" t="s">
        <v>1304</v>
      </c>
      <c r="B1260" s="2">
        <v>45679</v>
      </c>
      <c r="C1260">
        <v>21</v>
      </c>
      <c r="D1260" t="s">
        <v>85</v>
      </c>
      <c r="E1260" t="s">
        <v>12</v>
      </c>
      <c r="F1260" s="7">
        <v>3377.68</v>
      </c>
      <c r="G1260" s="10">
        <v>0</v>
      </c>
      <c r="H1260" s="7">
        <v>3377.68</v>
      </c>
      <c r="I1260">
        <v>2</v>
      </c>
      <c r="J1260" t="s">
        <v>13</v>
      </c>
      <c r="K1260" s="13">
        <f>ROUND(tblTransactions[[#This Row],[gross_sales_inr]]*(1-tblTransactions[[#This Row],[discount_pct]]),2)</f>
        <v>3377.68</v>
      </c>
      <c r="L1260" t="str">
        <f>IF(ABS(tblTransactions[[#This Row],[net_sales_inr]]-tblTransactions[[#This Row],[Recalc_Net_Sales]])&lt;0.02,"OK","CHECK")</f>
        <v>OK</v>
      </c>
      <c r="M1260" s="14">
        <f>DATE(YEAR(tblTransactions[[#This Row],[date]]),MONTH(tblTransactions[[#This Row],[date]]),1)</f>
        <v>45658</v>
      </c>
      <c r="N1260" t="str">
        <f>IF(WEEKDAY(tblTransactions[[#This Row],[date]],2)&gt;5,"Weekend","Weekday")</f>
        <v>Weekday</v>
      </c>
      <c r="O1260" s="13" t="str">
        <f>IF(tblTransactions[[#This Row],[discount_pct]]=0,"0%",IF(tblTransactions[[#This Row],[discount_pct]]&lt;=10%,"1–
10%",IF(tblTransactions[[#This Row],[discount_pct]]&lt;=20%,"11–20%","&gt;20%")))</f>
        <v>0%</v>
      </c>
      <c r="P1260" s="13" t="str">
        <f>_xlfn.XLOOKUP(tblTransactions[[#This Row],[tenant_id]],tblTenants[tenant_id],tblTenants[zone],"NOT FOUND")</f>
        <v>Home &amp; Living</v>
      </c>
      <c r="Q1260" s="13" t="str">
        <f>_xlfn.XLOOKUP(tblTransactions[[#This Row],[tenant_id]],tblTenants[tenant_id],tblTenants[category],"NOT FOUND")</f>
        <v>Electronics</v>
      </c>
    </row>
    <row r="1261" spans="1:17">
      <c r="A1261" t="s">
        <v>1305</v>
      </c>
      <c r="B1261" s="2">
        <v>45816</v>
      </c>
      <c r="C1261">
        <v>17</v>
      </c>
      <c r="D1261" t="s">
        <v>27</v>
      </c>
      <c r="E1261" t="s">
        <v>32</v>
      </c>
      <c r="F1261" s="7">
        <v>2207.27</v>
      </c>
      <c r="G1261" s="10">
        <v>0.15</v>
      </c>
      <c r="H1261" s="7">
        <v>1876.18</v>
      </c>
      <c r="I1261">
        <v>2</v>
      </c>
      <c r="J1261" t="s">
        <v>16</v>
      </c>
      <c r="K1261" s="13">
        <f>ROUND(tblTransactions[[#This Row],[gross_sales_inr]]*(1-tblTransactions[[#This Row],[discount_pct]]),2)</f>
        <v>1876.18</v>
      </c>
      <c r="L1261" t="str">
        <f>IF(ABS(tblTransactions[[#This Row],[net_sales_inr]]-tblTransactions[[#This Row],[Recalc_Net_Sales]])&lt;0.02,"OK","CHECK")</f>
        <v>OK</v>
      </c>
      <c r="M1261" s="14">
        <f>DATE(YEAR(tblTransactions[[#This Row],[date]]),MONTH(tblTransactions[[#This Row],[date]]),1)</f>
        <v>45809</v>
      </c>
      <c r="N1261" t="str">
        <f>IF(WEEKDAY(tblTransactions[[#This Row],[date]],2)&gt;5,"Weekend","Weekday")</f>
        <v>Weekend</v>
      </c>
      <c r="O126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61" s="13" t="str">
        <f>_xlfn.XLOOKUP(tblTransactions[[#This Row],[tenant_id]],tblTenants[tenant_id],tblTenants[zone],"NOT FOUND")</f>
        <v>Beauty &amp; Wellness</v>
      </c>
      <c r="Q1261" s="13" t="str">
        <f>_xlfn.XLOOKUP(tblTransactions[[#This Row],[tenant_id]],tblTenants[tenant_id],tblTenants[category],"NOT FOUND")</f>
        <v>Wellness</v>
      </c>
    </row>
    <row r="1262" spans="1:17">
      <c r="A1262" t="s">
        <v>1306</v>
      </c>
      <c r="B1262" s="2">
        <v>45819</v>
      </c>
      <c r="C1262">
        <v>21</v>
      </c>
      <c r="D1262" t="s">
        <v>41</v>
      </c>
      <c r="E1262" t="s">
        <v>32</v>
      </c>
      <c r="F1262" s="7">
        <v>2103.91</v>
      </c>
      <c r="G1262" s="10">
        <v>0</v>
      </c>
      <c r="H1262" s="7">
        <v>2103.91</v>
      </c>
      <c r="I1262">
        <v>5</v>
      </c>
      <c r="J1262" t="s">
        <v>16</v>
      </c>
      <c r="K1262" s="13">
        <f>ROUND(tblTransactions[[#This Row],[gross_sales_inr]]*(1-tblTransactions[[#This Row],[discount_pct]]),2)</f>
        <v>2103.91</v>
      </c>
      <c r="L1262" t="str">
        <f>IF(ABS(tblTransactions[[#This Row],[net_sales_inr]]-tblTransactions[[#This Row],[Recalc_Net_Sales]])&lt;0.02,"OK","CHECK")</f>
        <v>OK</v>
      </c>
      <c r="M1262" s="14">
        <f>DATE(YEAR(tblTransactions[[#This Row],[date]]),MONTH(tblTransactions[[#This Row],[date]]),1)</f>
        <v>45809</v>
      </c>
      <c r="N1262" t="str">
        <f>IF(WEEKDAY(tblTransactions[[#This Row],[date]],2)&gt;5,"Weekend","Weekday")</f>
        <v>Weekday</v>
      </c>
      <c r="O1262" s="13" t="str">
        <f>IF(tblTransactions[[#This Row],[discount_pct]]=0,"0%",IF(tblTransactions[[#This Row],[discount_pct]]&lt;=10%,"1–
10%",IF(tblTransactions[[#This Row],[discount_pct]]&lt;=20%,"11–20%","&gt;20%")))</f>
        <v>0%</v>
      </c>
      <c r="P1262" s="13" t="str">
        <f>_xlfn.XLOOKUP(tblTransactions[[#This Row],[tenant_id]],tblTenants[tenant_id],tblTenants[zone],"NOT FOUND")</f>
        <v>Fashion Avenue</v>
      </c>
      <c r="Q1262" s="13" t="str">
        <f>_xlfn.XLOOKUP(tblTransactions[[#This Row],[tenant_id]],tblTenants[tenant_id],tblTenants[category],"NOT FOUND")</f>
        <v>Clothing</v>
      </c>
    </row>
    <row r="1263" spans="1:17">
      <c r="A1263" t="s">
        <v>1307</v>
      </c>
      <c r="B1263" s="2">
        <v>45682</v>
      </c>
      <c r="C1263">
        <v>10</v>
      </c>
      <c r="D1263" t="s">
        <v>23</v>
      </c>
      <c r="E1263" t="s">
        <v>12</v>
      </c>
      <c r="F1263" s="7">
        <v>1452.93</v>
      </c>
      <c r="G1263" s="10">
        <v>0.1</v>
      </c>
      <c r="H1263" s="7">
        <v>1307.6400000000001</v>
      </c>
      <c r="I1263">
        <v>5</v>
      </c>
      <c r="J1263" t="s">
        <v>16</v>
      </c>
      <c r="K1263" s="13">
        <f>ROUND(tblTransactions[[#This Row],[gross_sales_inr]]*(1-tblTransactions[[#This Row],[discount_pct]]),2)</f>
        <v>1307.6400000000001</v>
      </c>
      <c r="L1263" t="str">
        <f>IF(ABS(tblTransactions[[#This Row],[net_sales_inr]]-tblTransactions[[#This Row],[Recalc_Net_Sales]])&lt;0.02,"OK","CHECK")</f>
        <v>OK</v>
      </c>
      <c r="M1263" s="14">
        <f>DATE(YEAR(tblTransactions[[#This Row],[date]]),MONTH(tblTransactions[[#This Row],[date]]),1)</f>
        <v>45658</v>
      </c>
      <c r="N1263" t="str">
        <f>IF(WEEKDAY(tblTransactions[[#This Row],[date]],2)&gt;5,"Weekend","Weekday")</f>
        <v>Weekend</v>
      </c>
      <c r="O126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63" s="13" t="str">
        <f>_xlfn.XLOOKUP(tblTransactions[[#This Row],[tenant_id]],tblTenants[tenant_id],tblTenants[zone],"NOT FOUND")</f>
        <v>Entertainment</v>
      </c>
      <c r="Q1263" s="13" t="str">
        <f>_xlfn.XLOOKUP(tblTransactions[[#This Row],[tenant_id]],tblTenants[tenant_id],tblTenants[category],"NOT FOUND")</f>
        <v>Cinema</v>
      </c>
    </row>
    <row r="1264" spans="1:17">
      <c r="A1264" t="s">
        <v>1308</v>
      </c>
      <c r="B1264" s="2">
        <v>45685</v>
      </c>
      <c r="C1264">
        <v>13</v>
      </c>
      <c r="D1264" t="s">
        <v>59</v>
      </c>
      <c r="E1264" t="s">
        <v>32</v>
      </c>
      <c r="F1264" s="7">
        <v>3212.91</v>
      </c>
      <c r="G1264" s="10">
        <v>0</v>
      </c>
      <c r="H1264" s="7">
        <v>3212.91</v>
      </c>
      <c r="I1264">
        <v>1</v>
      </c>
      <c r="J1264" t="s">
        <v>13</v>
      </c>
      <c r="K1264" s="13">
        <f>ROUND(tblTransactions[[#This Row],[gross_sales_inr]]*(1-tblTransactions[[#This Row],[discount_pct]]),2)</f>
        <v>3212.91</v>
      </c>
      <c r="L1264" t="str">
        <f>IF(ABS(tblTransactions[[#This Row],[net_sales_inr]]-tblTransactions[[#This Row],[Recalc_Net_Sales]])&lt;0.02,"OK","CHECK")</f>
        <v>OK</v>
      </c>
      <c r="M1264" s="14">
        <f>DATE(YEAR(tblTransactions[[#This Row],[date]]),MONTH(tblTransactions[[#This Row],[date]]),1)</f>
        <v>45658</v>
      </c>
      <c r="N1264" t="str">
        <f>IF(WEEKDAY(tblTransactions[[#This Row],[date]],2)&gt;5,"Weekend","Weekday")</f>
        <v>Weekday</v>
      </c>
      <c r="O1264" s="13" t="str">
        <f>IF(tblTransactions[[#This Row],[discount_pct]]=0,"0%",IF(tblTransactions[[#This Row],[discount_pct]]&lt;=10%,"1–
10%",IF(tblTransactions[[#This Row],[discount_pct]]&lt;=20%,"11–20%","&gt;20%")))</f>
        <v>0%</v>
      </c>
      <c r="P1264" s="13" t="str">
        <f>_xlfn.XLOOKUP(tblTransactions[[#This Row],[tenant_id]],tblTenants[tenant_id],tblTenants[zone],"NOT FOUND")</f>
        <v>Fashion Avenue</v>
      </c>
      <c r="Q1264" s="13" t="str">
        <f>_xlfn.XLOOKUP(tblTransactions[[#This Row],[tenant_id]],tblTenants[tenant_id],tblTenants[category],"NOT FOUND")</f>
        <v>Footwear</v>
      </c>
    </row>
    <row r="1265" spans="1:17">
      <c r="A1265" t="s">
        <v>1309</v>
      </c>
      <c r="B1265" s="2">
        <v>45745</v>
      </c>
      <c r="C1265">
        <v>11</v>
      </c>
      <c r="D1265" t="s">
        <v>48</v>
      </c>
      <c r="E1265" t="s">
        <v>32</v>
      </c>
      <c r="F1265" s="7">
        <v>2518.6</v>
      </c>
      <c r="G1265" s="10">
        <v>0</v>
      </c>
      <c r="H1265" s="7">
        <v>2518.6</v>
      </c>
      <c r="I1265">
        <v>1</v>
      </c>
      <c r="J1265" t="s">
        <v>13</v>
      </c>
      <c r="K1265" s="13">
        <f>ROUND(tblTransactions[[#This Row],[gross_sales_inr]]*(1-tblTransactions[[#This Row],[discount_pct]]),2)</f>
        <v>2518.6</v>
      </c>
      <c r="L1265" t="str">
        <f>IF(ABS(tblTransactions[[#This Row],[net_sales_inr]]-tblTransactions[[#This Row],[Recalc_Net_Sales]])&lt;0.02,"OK","CHECK")</f>
        <v>OK</v>
      </c>
      <c r="M1265" s="14">
        <f>DATE(YEAR(tblTransactions[[#This Row],[date]]),MONTH(tblTransactions[[#This Row],[date]]),1)</f>
        <v>45717</v>
      </c>
      <c r="N1265" t="str">
        <f>IF(WEEKDAY(tblTransactions[[#This Row],[date]],2)&gt;5,"Weekend","Weekday")</f>
        <v>Weekend</v>
      </c>
      <c r="O1265" s="13" t="str">
        <f>IF(tblTransactions[[#This Row],[discount_pct]]=0,"0%",IF(tblTransactions[[#This Row],[discount_pct]]&lt;=10%,"1–
10%",IF(tblTransactions[[#This Row],[discount_pct]]&lt;=20%,"11–20%","&gt;20%")))</f>
        <v>0%</v>
      </c>
      <c r="P1265" s="13" t="str">
        <f>_xlfn.XLOOKUP(tblTransactions[[#This Row],[tenant_id]],tblTenants[tenant_id],tblTenants[zone],"NOT FOUND")</f>
        <v>Beauty &amp; Wellness</v>
      </c>
      <c r="Q1265" s="13" t="str">
        <f>_xlfn.XLOOKUP(tblTransactions[[#This Row],[tenant_id]],tblTenants[tenant_id],tblTenants[category],"NOT FOUND")</f>
        <v>Wellness</v>
      </c>
    </row>
    <row r="1266" spans="1:17">
      <c r="A1266" t="s">
        <v>1310</v>
      </c>
      <c r="B1266" s="2">
        <v>45808</v>
      </c>
      <c r="C1266">
        <v>11</v>
      </c>
      <c r="D1266" t="s">
        <v>72</v>
      </c>
      <c r="E1266" t="s">
        <v>32</v>
      </c>
      <c r="F1266" s="7">
        <v>1483.42</v>
      </c>
      <c r="G1266" s="10">
        <v>0.2</v>
      </c>
      <c r="H1266" s="7">
        <v>1186.74</v>
      </c>
      <c r="I1266">
        <v>1</v>
      </c>
      <c r="J1266" t="s">
        <v>13</v>
      </c>
      <c r="K1266" s="13">
        <f>ROUND(tblTransactions[[#This Row],[gross_sales_inr]]*(1-tblTransactions[[#This Row],[discount_pct]]),2)</f>
        <v>1186.74</v>
      </c>
      <c r="L1266" t="str">
        <f>IF(ABS(tblTransactions[[#This Row],[net_sales_inr]]-tblTransactions[[#This Row],[Recalc_Net_Sales]])&lt;0.02,"OK","CHECK")</f>
        <v>OK</v>
      </c>
      <c r="M1266" s="14">
        <f>DATE(YEAR(tblTransactions[[#This Row],[date]]),MONTH(tblTransactions[[#This Row],[date]]),1)</f>
        <v>45778</v>
      </c>
      <c r="N1266" t="str">
        <f>IF(WEEKDAY(tblTransactions[[#This Row],[date]],2)&gt;5,"Weekend","Weekday")</f>
        <v>Weekend</v>
      </c>
      <c r="O126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66" s="13" t="str">
        <f>_xlfn.XLOOKUP(tblTransactions[[#This Row],[tenant_id]],tblTenants[tenant_id],tblTenants[zone],"NOT FOUND")</f>
        <v>Entertainment</v>
      </c>
      <c r="Q1266" s="13" t="str">
        <f>_xlfn.XLOOKUP(tblTransactions[[#This Row],[tenant_id]],tblTenants[tenant_id],tblTenants[category],"NOT FOUND")</f>
        <v>Arcade</v>
      </c>
    </row>
    <row r="1267" spans="1:17">
      <c r="A1267" t="s">
        <v>1311</v>
      </c>
      <c r="B1267" s="2">
        <v>45684</v>
      </c>
      <c r="C1267">
        <v>12</v>
      </c>
      <c r="D1267" t="s">
        <v>85</v>
      </c>
      <c r="E1267" t="s">
        <v>12</v>
      </c>
      <c r="F1267" s="7">
        <v>1366.24</v>
      </c>
      <c r="G1267" s="10">
        <v>0.1</v>
      </c>
      <c r="H1267" s="7">
        <v>1229.6199999999999</v>
      </c>
      <c r="I1267">
        <v>3</v>
      </c>
      <c r="J1267" t="s">
        <v>16</v>
      </c>
      <c r="K1267" s="13">
        <f>ROUND(tblTransactions[[#This Row],[gross_sales_inr]]*(1-tblTransactions[[#This Row],[discount_pct]]),2)</f>
        <v>1229.6199999999999</v>
      </c>
      <c r="L1267" t="str">
        <f>IF(ABS(tblTransactions[[#This Row],[net_sales_inr]]-tblTransactions[[#This Row],[Recalc_Net_Sales]])&lt;0.02,"OK","CHECK")</f>
        <v>OK</v>
      </c>
      <c r="M1267" s="14">
        <f>DATE(YEAR(tblTransactions[[#This Row],[date]]),MONTH(tblTransactions[[#This Row],[date]]),1)</f>
        <v>45658</v>
      </c>
      <c r="N1267" t="str">
        <f>IF(WEEKDAY(tblTransactions[[#This Row],[date]],2)&gt;5,"Weekend","Weekday")</f>
        <v>Weekday</v>
      </c>
      <c r="O126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67" s="13" t="str">
        <f>_xlfn.XLOOKUP(tblTransactions[[#This Row],[tenant_id]],tblTenants[tenant_id],tblTenants[zone],"NOT FOUND")</f>
        <v>Home &amp; Living</v>
      </c>
      <c r="Q1267" s="13" t="str">
        <f>_xlfn.XLOOKUP(tblTransactions[[#This Row],[tenant_id]],tblTenants[tenant_id],tblTenants[category],"NOT FOUND")</f>
        <v>Electronics</v>
      </c>
    </row>
    <row r="1268" spans="1:17">
      <c r="A1268" t="s">
        <v>1312</v>
      </c>
      <c r="B1268" s="2">
        <v>45764</v>
      </c>
      <c r="C1268">
        <v>21</v>
      </c>
      <c r="D1268" t="s">
        <v>25</v>
      </c>
      <c r="E1268" t="s">
        <v>12</v>
      </c>
      <c r="F1268" s="7">
        <v>235.98</v>
      </c>
      <c r="G1268" s="10">
        <v>0.1</v>
      </c>
      <c r="H1268" s="7">
        <v>212.38</v>
      </c>
      <c r="I1268">
        <v>1</v>
      </c>
      <c r="J1268" t="s">
        <v>16</v>
      </c>
      <c r="K1268" s="13">
        <f>ROUND(tblTransactions[[#This Row],[gross_sales_inr]]*(1-tblTransactions[[#This Row],[discount_pct]]),2)</f>
        <v>212.38</v>
      </c>
      <c r="L1268" t="str">
        <f>IF(ABS(tblTransactions[[#This Row],[net_sales_inr]]-tblTransactions[[#This Row],[Recalc_Net_Sales]])&lt;0.02,"OK","CHECK")</f>
        <v>OK</v>
      </c>
      <c r="M1268" s="14">
        <f>DATE(YEAR(tblTransactions[[#This Row],[date]]),MONTH(tblTransactions[[#This Row],[date]]),1)</f>
        <v>45748</v>
      </c>
      <c r="N1268" t="str">
        <f>IF(WEEKDAY(tblTransactions[[#This Row],[date]],2)&gt;5,"Weekend","Weekday")</f>
        <v>Weekday</v>
      </c>
      <c r="O126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68" s="13" t="str">
        <f>_xlfn.XLOOKUP(tblTransactions[[#This Row],[tenant_id]],tblTenants[tenant_id],tblTenants[zone],"NOT FOUND")</f>
        <v>Beauty &amp; Wellness</v>
      </c>
      <c r="Q1268" s="13" t="str">
        <f>_xlfn.XLOOKUP(tblTransactions[[#This Row],[tenant_id]],tblTenants[tenant_id],tblTenants[category],"NOT FOUND")</f>
        <v>Beauty</v>
      </c>
    </row>
    <row r="1269" spans="1:17">
      <c r="A1269" t="s">
        <v>1313</v>
      </c>
      <c r="B1269" s="2">
        <v>45696</v>
      </c>
      <c r="C1269">
        <v>17</v>
      </c>
      <c r="D1269" t="s">
        <v>15</v>
      </c>
      <c r="E1269" t="s">
        <v>12</v>
      </c>
      <c r="F1269" s="7">
        <v>2130.56</v>
      </c>
      <c r="G1269" s="10">
        <v>0</v>
      </c>
      <c r="H1269" s="7">
        <v>2130.56</v>
      </c>
      <c r="I1269">
        <v>5</v>
      </c>
      <c r="J1269" t="s">
        <v>16</v>
      </c>
      <c r="K1269" s="13">
        <f>ROUND(tblTransactions[[#This Row],[gross_sales_inr]]*(1-tblTransactions[[#This Row],[discount_pct]]),2)</f>
        <v>2130.56</v>
      </c>
      <c r="L1269" t="str">
        <f>IF(ABS(tblTransactions[[#This Row],[net_sales_inr]]-tblTransactions[[#This Row],[Recalc_Net_Sales]])&lt;0.02,"OK","CHECK")</f>
        <v>OK</v>
      </c>
      <c r="M1269" s="14">
        <f>DATE(YEAR(tblTransactions[[#This Row],[date]]),MONTH(tblTransactions[[#This Row],[date]]),1)</f>
        <v>45689</v>
      </c>
      <c r="N1269" t="str">
        <f>IF(WEEKDAY(tblTransactions[[#This Row],[date]],2)&gt;5,"Weekend","Weekday")</f>
        <v>Weekend</v>
      </c>
      <c r="O1269" s="13" t="str">
        <f>IF(tblTransactions[[#This Row],[discount_pct]]=0,"0%",IF(tblTransactions[[#This Row],[discount_pct]]&lt;=10%,"1–
10%",IF(tblTransactions[[#This Row],[discount_pct]]&lt;=20%,"11–20%","&gt;20%")))</f>
        <v>0%</v>
      </c>
      <c r="P1269" s="13" t="str">
        <f>_xlfn.XLOOKUP(tblTransactions[[#This Row],[tenant_id]],tblTenants[tenant_id],tblTenants[zone],"NOT FOUND")</f>
        <v>Fashion Avenue</v>
      </c>
      <c r="Q1269" s="13" t="str">
        <f>_xlfn.XLOOKUP(tblTransactions[[#This Row],[tenant_id]],tblTenants[tenant_id],tblTenants[category],"NOT FOUND")</f>
        <v>Accessories</v>
      </c>
    </row>
    <row r="1270" spans="1:17">
      <c r="A1270" t="s">
        <v>1314</v>
      </c>
      <c r="B1270" s="2">
        <v>45769</v>
      </c>
      <c r="C1270">
        <v>14</v>
      </c>
      <c r="D1270" t="s">
        <v>27</v>
      </c>
      <c r="E1270" t="s">
        <v>12</v>
      </c>
      <c r="F1270" s="7">
        <v>299.99</v>
      </c>
      <c r="G1270" s="10">
        <v>0</v>
      </c>
      <c r="H1270" s="7">
        <v>299.99</v>
      </c>
      <c r="I1270">
        <v>3</v>
      </c>
      <c r="J1270" t="s">
        <v>13</v>
      </c>
      <c r="K1270" s="13">
        <f>ROUND(tblTransactions[[#This Row],[gross_sales_inr]]*(1-tblTransactions[[#This Row],[discount_pct]]),2)</f>
        <v>299.99</v>
      </c>
      <c r="L1270" t="str">
        <f>IF(ABS(tblTransactions[[#This Row],[net_sales_inr]]-tblTransactions[[#This Row],[Recalc_Net_Sales]])&lt;0.02,"OK","CHECK")</f>
        <v>OK</v>
      </c>
      <c r="M1270" s="14">
        <f>DATE(YEAR(tblTransactions[[#This Row],[date]]),MONTH(tblTransactions[[#This Row],[date]]),1)</f>
        <v>45748</v>
      </c>
      <c r="N1270" t="str">
        <f>IF(WEEKDAY(tblTransactions[[#This Row],[date]],2)&gt;5,"Weekend","Weekday")</f>
        <v>Weekday</v>
      </c>
      <c r="O1270" s="13" t="str">
        <f>IF(tblTransactions[[#This Row],[discount_pct]]=0,"0%",IF(tblTransactions[[#This Row],[discount_pct]]&lt;=10%,"1–
10%",IF(tblTransactions[[#This Row],[discount_pct]]&lt;=20%,"11–20%","&gt;20%")))</f>
        <v>0%</v>
      </c>
      <c r="P1270" s="13" t="str">
        <f>_xlfn.XLOOKUP(tblTransactions[[#This Row],[tenant_id]],tblTenants[tenant_id],tblTenants[zone],"NOT FOUND")</f>
        <v>Beauty &amp; Wellness</v>
      </c>
      <c r="Q1270" s="13" t="str">
        <f>_xlfn.XLOOKUP(tblTransactions[[#This Row],[tenant_id]],tblTenants[tenant_id],tblTenants[category],"NOT FOUND")</f>
        <v>Wellness</v>
      </c>
    </row>
    <row r="1271" spans="1:17">
      <c r="A1271" t="s">
        <v>1315</v>
      </c>
      <c r="B1271" s="2">
        <v>45823</v>
      </c>
      <c r="C1271">
        <v>20</v>
      </c>
      <c r="D1271" t="s">
        <v>61</v>
      </c>
      <c r="E1271" t="s">
        <v>12</v>
      </c>
      <c r="F1271" s="7">
        <v>1540.35</v>
      </c>
      <c r="G1271" s="10">
        <v>0.15</v>
      </c>
      <c r="H1271" s="7">
        <v>1309.3</v>
      </c>
      <c r="I1271">
        <v>2</v>
      </c>
      <c r="J1271" t="s">
        <v>13</v>
      </c>
      <c r="K1271" s="13">
        <f>ROUND(tblTransactions[[#This Row],[gross_sales_inr]]*(1-tblTransactions[[#This Row],[discount_pct]]),2)</f>
        <v>1309.3</v>
      </c>
      <c r="L1271" t="str">
        <f>IF(ABS(tblTransactions[[#This Row],[net_sales_inr]]-tblTransactions[[#This Row],[Recalc_Net_Sales]])&lt;0.02,"OK","CHECK")</f>
        <v>OK</v>
      </c>
      <c r="M1271" s="14">
        <f>DATE(YEAR(tblTransactions[[#This Row],[date]]),MONTH(tblTransactions[[#This Row],[date]]),1)</f>
        <v>45809</v>
      </c>
      <c r="N1271" t="str">
        <f>IF(WEEKDAY(tblTransactions[[#This Row],[date]],2)&gt;5,"Weekend","Weekday")</f>
        <v>Weekend</v>
      </c>
      <c r="O127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71" s="13" t="str">
        <f>_xlfn.XLOOKUP(tblTransactions[[#This Row],[tenant_id]],tblTenants[tenant_id],tblTenants[zone],"NOT FOUND")</f>
        <v>Food Court</v>
      </c>
      <c r="Q1271" s="13" t="str">
        <f>_xlfn.XLOOKUP(tblTransactions[[#This Row],[tenant_id]],tblTenants[tenant_id],tblTenants[category],"NOT FOUND")</f>
        <v>Quick Service</v>
      </c>
    </row>
    <row r="1272" spans="1:17">
      <c r="A1272" t="s">
        <v>1316</v>
      </c>
      <c r="B1272" s="2">
        <v>45676</v>
      </c>
      <c r="C1272">
        <v>22</v>
      </c>
      <c r="D1272" t="s">
        <v>29</v>
      </c>
      <c r="E1272" t="s">
        <v>12</v>
      </c>
      <c r="F1272" s="7">
        <v>983.04</v>
      </c>
      <c r="G1272" s="10">
        <v>0</v>
      </c>
      <c r="H1272" s="7">
        <v>983.04</v>
      </c>
      <c r="I1272">
        <v>1</v>
      </c>
      <c r="J1272" t="s">
        <v>13</v>
      </c>
      <c r="K1272" s="13">
        <f>ROUND(tblTransactions[[#This Row],[gross_sales_inr]]*(1-tblTransactions[[#This Row],[discount_pct]]),2)</f>
        <v>983.04</v>
      </c>
      <c r="L1272" t="str">
        <f>IF(ABS(tblTransactions[[#This Row],[net_sales_inr]]-tblTransactions[[#This Row],[Recalc_Net_Sales]])&lt;0.02,"OK","CHECK")</f>
        <v>OK</v>
      </c>
      <c r="M1272" s="14">
        <f>DATE(YEAR(tblTransactions[[#This Row],[date]]),MONTH(tblTransactions[[#This Row],[date]]),1)</f>
        <v>45658</v>
      </c>
      <c r="N1272" t="str">
        <f>IF(WEEKDAY(tblTransactions[[#This Row],[date]],2)&gt;5,"Weekend","Weekday")</f>
        <v>Weekend</v>
      </c>
      <c r="O1272" s="13" t="str">
        <f>IF(tblTransactions[[#This Row],[discount_pct]]=0,"0%",IF(tblTransactions[[#This Row],[discount_pct]]&lt;=10%,"1–
10%",IF(tblTransactions[[#This Row],[discount_pct]]&lt;=20%,"11–20%","&gt;20%")))</f>
        <v>0%</v>
      </c>
      <c r="P1272" s="13" t="str">
        <f>_xlfn.XLOOKUP(tblTransactions[[#This Row],[tenant_id]],tblTenants[tenant_id],tblTenants[zone],"NOT FOUND")</f>
        <v>Entertainment</v>
      </c>
      <c r="Q1272" s="13" t="str">
        <f>_xlfn.XLOOKUP(tblTransactions[[#This Row],[tenant_id]],tblTenants[tenant_id],tblTenants[category],"NOT FOUND")</f>
        <v>Cinema</v>
      </c>
    </row>
    <row r="1273" spans="1:17">
      <c r="A1273" t="s">
        <v>1317</v>
      </c>
      <c r="B1273" s="2">
        <v>45704</v>
      </c>
      <c r="C1273">
        <v>10</v>
      </c>
      <c r="D1273" t="s">
        <v>87</v>
      </c>
      <c r="E1273" t="s">
        <v>32</v>
      </c>
      <c r="F1273" s="7">
        <v>558.05999999999995</v>
      </c>
      <c r="G1273" s="10">
        <v>0.1</v>
      </c>
      <c r="H1273" s="7">
        <v>502.25</v>
      </c>
      <c r="I1273">
        <v>3</v>
      </c>
      <c r="J1273" t="s">
        <v>16</v>
      </c>
      <c r="K1273" s="13">
        <f>ROUND(tblTransactions[[#This Row],[gross_sales_inr]]*(1-tblTransactions[[#This Row],[discount_pct]]),2)</f>
        <v>502.25</v>
      </c>
      <c r="L1273" t="str">
        <f>IF(ABS(tblTransactions[[#This Row],[net_sales_inr]]-tblTransactions[[#This Row],[Recalc_Net_Sales]])&lt;0.02,"OK","CHECK")</f>
        <v>OK</v>
      </c>
      <c r="M1273" s="14">
        <f>DATE(YEAR(tblTransactions[[#This Row],[date]]),MONTH(tblTransactions[[#This Row],[date]]),1)</f>
        <v>45689</v>
      </c>
      <c r="N1273" t="str">
        <f>IF(WEEKDAY(tblTransactions[[#This Row],[date]],2)&gt;5,"Weekend","Weekday")</f>
        <v>Weekend</v>
      </c>
      <c r="O127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73" s="13" t="str">
        <f>_xlfn.XLOOKUP(tblTransactions[[#This Row],[tenant_id]],tblTenants[tenant_id],tblTenants[zone],"NOT FOUND")</f>
        <v>Fashion Avenue</v>
      </c>
      <c r="Q1273" s="13" t="str">
        <f>_xlfn.XLOOKUP(tblTransactions[[#This Row],[tenant_id]],tblTenants[tenant_id],tblTenants[category],"NOT FOUND")</f>
        <v>Footwear</v>
      </c>
    </row>
    <row r="1274" spans="1:17">
      <c r="A1274" t="s">
        <v>1318</v>
      </c>
      <c r="B1274" s="2">
        <v>45705</v>
      </c>
      <c r="C1274">
        <v>13</v>
      </c>
      <c r="D1274" t="s">
        <v>61</v>
      </c>
      <c r="E1274" t="s">
        <v>32</v>
      </c>
      <c r="F1274" s="7">
        <v>1710.08</v>
      </c>
      <c r="G1274" s="10">
        <v>0.15</v>
      </c>
      <c r="H1274" s="7">
        <v>1453.57</v>
      </c>
      <c r="I1274">
        <v>3</v>
      </c>
      <c r="J1274" t="s">
        <v>13</v>
      </c>
      <c r="K1274" s="13">
        <f>ROUND(tblTransactions[[#This Row],[gross_sales_inr]]*(1-tblTransactions[[#This Row],[discount_pct]]),2)</f>
        <v>1453.57</v>
      </c>
      <c r="L1274" t="str">
        <f>IF(ABS(tblTransactions[[#This Row],[net_sales_inr]]-tblTransactions[[#This Row],[Recalc_Net_Sales]])&lt;0.02,"OK","CHECK")</f>
        <v>OK</v>
      </c>
      <c r="M1274" s="14">
        <f>DATE(YEAR(tblTransactions[[#This Row],[date]]),MONTH(tblTransactions[[#This Row],[date]]),1)</f>
        <v>45689</v>
      </c>
      <c r="N1274" t="str">
        <f>IF(WEEKDAY(tblTransactions[[#This Row],[date]],2)&gt;5,"Weekend","Weekday")</f>
        <v>Weekday</v>
      </c>
      <c r="O127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74" s="13" t="str">
        <f>_xlfn.XLOOKUP(tblTransactions[[#This Row],[tenant_id]],tblTenants[tenant_id],tblTenants[zone],"NOT FOUND")</f>
        <v>Food Court</v>
      </c>
      <c r="Q1274" s="13" t="str">
        <f>_xlfn.XLOOKUP(tblTransactions[[#This Row],[tenant_id]],tblTenants[tenant_id],tblTenants[category],"NOT FOUND")</f>
        <v>Quick Service</v>
      </c>
    </row>
    <row r="1275" spans="1:17">
      <c r="A1275" t="s">
        <v>1319</v>
      </c>
      <c r="B1275" s="2">
        <v>45787</v>
      </c>
      <c r="C1275">
        <v>19</v>
      </c>
      <c r="D1275" t="s">
        <v>34</v>
      </c>
      <c r="E1275" t="s">
        <v>12</v>
      </c>
      <c r="F1275" s="7">
        <v>777.79</v>
      </c>
      <c r="G1275" s="10">
        <v>0</v>
      </c>
      <c r="H1275" s="7">
        <v>777.79</v>
      </c>
      <c r="I1275">
        <v>2</v>
      </c>
      <c r="J1275" t="s">
        <v>13</v>
      </c>
      <c r="K1275" s="13">
        <f>ROUND(tblTransactions[[#This Row],[gross_sales_inr]]*(1-tblTransactions[[#This Row],[discount_pct]]),2)</f>
        <v>777.79</v>
      </c>
      <c r="L1275" t="str">
        <f>IF(ABS(tblTransactions[[#This Row],[net_sales_inr]]-tblTransactions[[#This Row],[Recalc_Net_Sales]])&lt;0.02,"OK","CHECK")</f>
        <v>OK</v>
      </c>
      <c r="M1275" s="14">
        <f>DATE(YEAR(tblTransactions[[#This Row],[date]]),MONTH(tblTransactions[[#This Row],[date]]),1)</f>
        <v>45778</v>
      </c>
      <c r="N1275" t="str">
        <f>IF(WEEKDAY(tblTransactions[[#This Row],[date]],2)&gt;5,"Weekend","Weekday")</f>
        <v>Weekend</v>
      </c>
      <c r="O1275" s="13" t="str">
        <f>IF(tblTransactions[[#This Row],[discount_pct]]=0,"0%",IF(tblTransactions[[#This Row],[discount_pct]]&lt;=10%,"1–
10%",IF(tblTransactions[[#This Row],[discount_pct]]&lt;=20%,"11–20%","&gt;20%")))</f>
        <v>0%</v>
      </c>
      <c r="P1275" s="13" t="str">
        <f>_xlfn.XLOOKUP(tblTransactions[[#This Row],[tenant_id]],tblTenants[tenant_id],tblTenants[zone],"NOT FOUND")</f>
        <v>Home &amp; Living</v>
      </c>
      <c r="Q1275" s="13" t="str">
        <f>_xlfn.XLOOKUP(tblTransactions[[#This Row],[tenant_id]],tblTenants[tenant_id],tblTenants[category],"NOT FOUND")</f>
        <v>Electronics</v>
      </c>
    </row>
    <row r="1276" spans="1:17">
      <c r="A1276" t="s">
        <v>1320</v>
      </c>
      <c r="B1276" s="2">
        <v>45820</v>
      </c>
      <c r="C1276">
        <v>21</v>
      </c>
      <c r="D1276" t="s">
        <v>63</v>
      </c>
      <c r="E1276" t="s">
        <v>12</v>
      </c>
      <c r="F1276" s="7">
        <v>1960.75</v>
      </c>
      <c r="G1276" s="10">
        <v>0</v>
      </c>
      <c r="H1276" s="7">
        <v>1960.75</v>
      </c>
      <c r="I1276">
        <v>4</v>
      </c>
      <c r="J1276" t="s">
        <v>16</v>
      </c>
      <c r="K1276" s="13">
        <f>ROUND(tblTransactions[[#This Row],[gross_sales_inr]]*(1-tblTransactions[[#This Row],[discount_pct]]),2)</f>
        <v>1960.75</v>
      </c>
      <c r="L1276" t="str">
        <f>IF(ABS(tblTransactions[[#This Row],[net_sales_inr]]-tblTransactions[[#This Row],[Recalc_Net_Sales]])&lt;0.02,"OK","CHECK")</f>
        <v>OK</v>
      </c>
      <c r="M1276" s="14">
        <f>DATE(YEAR(tblTransactions[[#This Row],[date]]),MONTH(tblTransactions[[#This Row],[date]]),1)</f>
        <v>45809</v>
      </c>
      <c r="N1276" t="str">
        <f>IF(WEEKDAY(tblTransactions[[#This Row],[date]],2)&gt;5,"Weekend","Weekday")</f>
        <v>Weekday</v>
      </c>
      <c r="O1276" s="13" t="str">
        <f>IF(tblTransactions[[#This Row],[discount_pct]]=0,"0%",IF(tblTransactions[[#This Row],[discount_pct]]&lt;=10%,"1–
10%",IF(tblTransactions[[#This Row],[discount_pct]]&lt;=20%,"11–20%","&gt;20%")))</f>
        <v>0%</v>
      </c>
      <c r="P1276" s="13" t="str">
        <f>_xlfn.XLOOKUP(tblTransactions[[#This Row],[tenant_id]],tblTenants[tenant_id],tblTenants[zone],"NOT FOUND")</f>
        <v>Entertainment</v>
      </c>
      <c r="Q1276" s="13" t="str">
        <f>_xlfn.XLOOKUP(tblTransactions[[#This Row],[tenant_id]],tblTenants[tenant_id],tblTenants[category],"NOT FOUND")</f>
        <v>Family Entertainment</v>
      </c>
    </row>
    <row r="1277" spans="1:17">
      <c r="A1277" t="s">
        <v>1321</v>
      </c>
      <c r="B1277" s="2">
        <v>45798</v>
      </c>
      <c r="C1277">
        <v>14</v>
      </c>
      <c r="D1277" t="s">
        <v>20</v>
      </c>
      <c r="E1277" t="s">
        <v>12</v>
      </c>
      <c r="F1277" s="7">
        <v>784.12</v>
      </c>
      <c r="G1277" s="10">
        <v>0</v>
      </c>
      <c r="H1277" s="7">
        <v>784.12</v>
      </c>
      <c r="I1277">
        <v>1</v>
      </c>
      <c r="J1277" t="s">
        <v>16</v>
      </c>
      <c r="K1277" s="13">
        <f>ROUND(tblTransactions[[#This Row],[gross_sales_inr]]*(1-tblTransactions[[#This Row],[discount_pct]]),2)</f>
        <v>784.12</v>
      </c>
      <c r="L1277" t="str">
        <f>IF(ABS(tblTransactions[[#This Row],[net_sales_inr]]-tblTransactions[[#This Row],[Recalc_Net_Sales]])&lt;0.02,"OK","CHECK")</f>
        <v>OK</v>
      </c>
      <c r="M1277" s="14">
        <f>DATE(YEAR(tblTransactions[[#This Row],[date]]),MONTH(tblTransactions[[#This Row],[date]]),1)</f>
        <v>45778</v>
      </c>
      <c r="N1277" t="str">
        <f>IF(WEEKDAY(tblTransactions[[#This Row],[date]],2)&gt;5,"Weekend","Weekday")</f>
        <v>Weekday</v>
      </c>
      <c r="O1277" s="13" t="str">
        <f>IF(tblTransactions[[#This Row],[discount_pct]]=0,"0%",IF(tblTransactions[[#This Row],[discount_pct]]&lt;=10%,"1–
10%",IF(tblTransactions[[#This Row],[discount_pct]]&lt;=20%,"11–20%","&gt;20%")))</f>
        <v>0%</v>
      </c>
      <c r="P1277" s="13" t="str">
        <f>_xlfn.XLOOKUP(tblTransactions[[#This Row],[tenant_id]],tblTenants[tenant_id],tblTenants[zone],"NOT FOUND")</f>
        <v>Fashion Avenue</v>
      </c>
      <c r="Q1277" s="13" t="str">
        <f>_xlfn.XLOOKUP(tblTransactions[[#This Row],[tenant_id]],tblTenants[tenant_id],tblTenants[category],"NOT FOUND")</f>
        <v>Accessories</v>
      </c>
    </row>
    <row r="1278" spans="1:17">
      <c r="A1278" t="s">
        <v>1322</v>
      </c>
      <c r="B1278" s="2">
        <v>45694</v>
      </c>
      <c r="C1278">
        <v>20</v>
      </c>
      <c r="D1278" t="s">
        <v>27</v>
      </c>
      <c r="E1278" t="s">
        <v>12</v>
      </c>
      <c r="F1278" s="7">
        <v>1556.66</v>
      </c>
      <c r="G1278" s="10">
        <v>0</v>
      </c>
      <c r="H1278" s="7">
        <v>1556.66</v>
      </c>
      <c r="I1278">
        <v>5</v>
      </c>
      <c r="J1278" t="s">
        <v>13</v>
      </c>
      <c r="K1278" s="13">
        <f>ROUND(tblTransactions[[#This Row],[gross_sales_inr]]*(1-tblTransactions[[#This Row],[discount_pct]]),2)</f>
        <v>1556.66</v>
      </c>
      <c r="L1278" t="str">
        <f>IF(ABS(tblTransactions[[#This Row],[net_sales_inr]]-tblTransactions[[#This Row],[Recalc_Net_Sales]])&lt;0.02,"OK","CHECK")</f>
        <v>OK</v>
      </c>
      <c r="M1278" s="14">
        <f>DATE(YEAR(tblTransactions[[#This Row],[date]]),MONTH(tblTransactions[[#This Row],[date]]),1)</f>
        <v>45689</v>
      </c>
      <c r="N1278" t="str">
        <f>IF(WEEKDAY(tblTransactions[[#This Row],[date]],2)&gt;5,"Weekend","Weekday")</f>
        <v>Weekday</v>
      </c>
      <c r="O1278" s="13" t="str">
        <f>IF(tblTransactions[[#This Row],[discount_pct]]=0,"0%",IF(tblTransactions[[#This Row],[discount_pct]]&lt;=10%,"1–
10%",IF(tblTransactions[[#This Row],[discount_pct]]&lt;=20%,"11–20%","&gt;20%")))</f>
        <v>0%</v>
      </c>
      <c r="P1278" s="13" t="str">
        <f>_xlfn.XLOOKUP(tblTransactions[[#This Row],[tenant_id]],tblTenants[tenant_id],tblTenants[zone],"NOT FOUND")</f>
        <v>Beauty &amp; Wellness</v>
      </c>
      <c r="Q1278" s="13" t="str">
        <f>_xlfn.XLOOKUP(tblTransactions[[#This Row],[tenant_id]],tblTenants[tenant_id],tblTenants[category],"NOT FOUND")</f>
        <v>Wellness</v>
      </c>
    </row>
    <row r="1279" spans="1:17">
      <c r="A1279" t="s">
        <v>1323</v>
      </c>
      <c r="B1279" s="2">
        <v>45728</v>
      </c>
      <c r="C1279">
        <v>22</v>
      </c>
      <c r="D1279" t="s">
        <v>204</v>
      </c>
      <c r="E1279" t="s">
        <v>32</v>
      </c>
      <c r="F1279" s="7">
        <v>1067.76</v>
      </c>
      <c r="G1279" s="10">
        <v>0</v>
      </c>
      <c r="H1279" s="7">
        <v>1067.76</v>
      </c>
      <c r="I1279">
        <v>1</v>
      </c>
      <c r="J1279" t="s">
        <v>13</v>
      </c>
      <c r="K1279" s="13">
        <f>ROUND(tblTransactions[[#This Row],[gross_sales_inr]]*(1-tblTransactions[[#This Row],[discount_pct]]),2)</f>
        <v>1067.76</v>
      </c>
      <c r="L1279" t="str">
        <f>IF(ABS(tblTransactions[[#This Row],[net_sales_inr]]-tblTransactions[[#This Row],[Recalc_Net_Sales]])&lt;0.02,"OK","CHECK")</f>
        <v>OK</v>
      </c>
      <c r="M1279" s="14">
        <f>DATE(YEAR(tblTransactions[[#This Row],[date]]),MONTH(tblTransactions[[#This Row],[date]]),1)</f>
        <v>45717</v>
      </c>
      <c r="N1279" t="str">
        <f>IF(WEEKDAY(tblTransactions[[#This Row],[date]],2)&gt;5,"Weekend","Weekday")</f>
        <v>Weekday</v>
      </c>
      <c r="O1279" s="13" t="str">
        <f>IF(tblTransactions[[#This Row],[discount_pct]]=0,"0%",IF(tblTransactions[[#This Row],[discount_pct]]&lt;=10%,"1–
10%",IF(tblTransactions[[#This Row],[discount_pct]]&lt;=20%,"11–20%","&gt;20%")))</f>
        <v>0%</v>
      </c>
      <c r="P1279" s="13" t="str">
        <f>_xlfn.XLOOKUP(tblTransactions[[#This Row],[tenant_id]],tblTenants[tenant_id],tblTenants[zone],"NOT FOUND")</f>
        <v>Home &amp; Living</v>
      </c>
      <c r="Q1279" s="13" t="str">
        <f>_xlfn.XLOOKUP(tblTransactions[[#This Row],[tenant_id]],tblTenants[tenant_id],tblTenants[category],"NOT FOUND")</f>
        <v>Home Decor</v>
      </c>
    </row>
    <row r="1280" spans="1:17">
      <c r="A1280" t="s">
        <v>1324</v>
      </c>
      <c r="B1280" s="2">
        <v>45702</v>
      </c>
      <c r="C1280">
        <v>17</v>
      </c>
      <c r="D1280" t="s">
        <v>104</v>
      </c>
      <c r="E1280" t="s">
        <v>51</v>
      </c>
      <c r="F1280" s="7">
        <v>938.56</v>
      </c>
      <c r="G1280" s="10">
        <v>0.2</v>
      </c>
      <c r="H1280" s="7">
        <v>750.85</v>
      </c>
      <c r="I1280">
        <v>1</v>
      </c>
      <c r="J1280" t="s">
        <v>16</v>
      </c>
      <c r="K1280" s="13">
        <f>ROUND(tblTransactions[[#This Row],[gross_sales_inr]]*(1-tblTransactions[[#This Row],[discount_pct]]),2)</f>
        <v>750.85</v>
      </c>
      <c r="L1280" t="str">
        <f>IF(ABS(tblTransactions[[#This Row],[net_sales_inr]]-tblTransactions[[#This Row],[Recalc_Net_Sales]])&lt;0.02,"OK","CHECK")</f>
        <v>OK</v>
      </c>
      <c r="M1280" s="14">
        <f>DATE(YEAR(tblTransactions[[#This Row],[date]]),MONTH(tblTransactions[[#This Row],[date]]),1)</f>
        <v>45689</v>
      </c>
      <c r="N1280" t="str">
        <f>IF(WEEKDAY(tblTransactions[[#This Row],[date]],2)&gt;5,"Weekend","Weekday")</f>
        <v>Weekday</v>
      </c>
      <c r="O128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80" s="13" t="str">
        <f>_xlfn.XLOOKUP(tblTransactions[[#This Row],[tenant_id]],tblTenants[tenant_id],tblTenants[zone],"NOT FOUND")</f>
        <v>Entertainment</v>
      </c>
      <c r="Q1280" s="13" t="str">
        <f>_xlfn.XLOOKUP(tblTransactions[[#This Row],[tenant_id]],tblTenants[tenant_id],tblTenants[category],"NOT FOUND")</f>
        <v>Family Entertainment</v>
      </c>
    </row>
    <row r="1281" spans="1:17">
      <c r="A1281" t="s">
        <v>1325</v>
      </c>
      <c r="B1281" s="2">
        <v>45808</v>
      </c>
      <c r="C1281">
        <v>13</v>
      </c>
      <c r="D1281" t="s">
        <v>87</v>
      </c>
      <c r="E1281" t="s">
        <v>12</v>
      </c>
      <c r="F1281" s="7">
        <v>1533.72</v>
      </c>
      <c r="G1281" s="10">
        <v>0.05</v>
      </c>
      <c r="H1281" s="7">
        <v>1457.03</v>
      </c>
      <c r="I1281">
        <v>4</v>
      </c>
      <c r="J1281" t="s">
        <v>16</v>
      </c>
      <c r="K1281" s="13">
        <f>ROUND(tblTransactions[[#This Row],[gross_sales_inr]]*(1-tblTransactions[[#This Row],[discount_pct]]),2)</f>
        <v>1457.03</v>
      </c>
      <c r="L1281" t="str">
        <f>IF(ABS(tblTransactions[[#This Row],[net_sales_inr]]-tblTransactions[[#This Row],[Recalc_Net_Sales]])&lt;0.02,"OK","CHECK")</f>
        <v>OK</v>
      </c>
      <c r="M1281" s="14">
        <f>DATE(YEAR(tblTransactions[[#This Row],[date]]),MONTH(tblTransactions[[#This Row],[date]]),1)</f>
        <v>45778</v>
      </c>
      <c r="N1281" t="str">
        <f>IF(WEEKDAY(tblTransactions[[#This Row],[date]],2)&gt;5,"Weekend","Weekday")</f>
        <v>Weekend</v>
      </c>
      <c r="O128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81" s="13" t="str">
        <f>_xlfn.XLOOKUP(tblTransactions[[#This Row],[tenant_id]],tblTenants[tenant_id],tblTenants[zone],"NOT FOUND")</f>
        <v>Fashion Avenue</v>
      </c>
      <c r="Q1281" s="13" t="str">
        <f>_xlfn.XLOOKUP(tblTransactions[[#This Row],[tenant_id]],tblTenants[tenant_id],tblTenants[category],"NOT FOUND")</f>
        <v>Footwear</v>
      </c>
    </row>
    <row r="1282" spans="1:17">
      <c r="A1282" t="s">
        <v>1326</v>
      </c>
      <c r="B1282" s="2">
        <v>45787</v>
      </c>
      <c r="C1282">
        <v>13</v>
      </c>
      <c r="D1282" t="s">
        <v>15</v>
      </c>
      <c r="E1282" t="s">
        <v>12</v>
      </c>
      <c r="F1282" s="7">
        <v>382.75</v>
      </c>
      <c r="G1282" s="10">
        <v>0.1</v>
      </c>
      <c r="H1282" s="7">
        <v>344.48</v>
      </c>
      <c r="I1282">
        <v>1</v>
      </c>
      <c r="J1282" t="s">
        <v>13</v>
      </c>
      <c r="K1282" s="13">
        <f>ROUND(tblTransactions[[#This Row],[gross_sales_inr]]*(1-tblTransactions[[#This Row],[discount_pct]]),2)</f>
        <v>344.48</v>
      </c>
      <c r="L1282" t="str">
        <f>IF(ABS(tblTransactions[[#This Row],[net_sales_inr]]-tblTransactions[[#This Row],[Recalc_Net_Sales]])&lt;0.02,"OK","CHECK")</f>
        <v>OK</v>
      </c>
      <c r="M1282" s="14">
        <f>DATE(YEAR(tblTransactions[[#This Row],[date]]),MONTH(tblTransactions[[#This Row],[date]]),1)</f>
        <v>45778</v>
      </c>
      <c r="N1282" t="str">
        <f>IF(WEEKDAY(tblTransactions[[#This Row],[date]],2)&gt;5,"Weekend","Weekday")</f>
        <v>Weekend</v>
      </c>
      <c r="O128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82" s="13" t="str">
        <f>_xlfn.XLOOKUP(tblTransactions[[#This Row],[tenant_id]],tblTenants[tenant_id],tblTenants[zone],"NOT FOUND")</f>
        <v>Fashion Avenue</v>
      </c>
      <c r="Q1282" s="13" t="str">
        <f>_xlfn.XLOOKUP(tblTransactions[[#This Row],[tenant_id]],tblTenants[tenant_id],tblTenants[category],"NOT FOUND")</f>
        <v>Accessories</v>
      </c>
    </row>
    <row r="1283" spans="1:17">
      <c r="A1283" t="s">
        <v>1327</v>
      </c>
      <c r="B1283" s="2">
        <v>45721</v>
      </c>
      <c r="C1283">
        <v>16</v>
      </c>
      <c r="D1283" t="s">
        <v>204</v>
      </c>
      <c r="E1283" t="s">
        <v>32</v>
      </c>
      <c r="F1283" s="7">
        <v>1310.02</v>
      </c>
      <c r="G1283" s="10">
        <v>0.3</v>
      </c>
      <c r="H1283" s="7">
        <v>917.01</v>
      </c>
      <c r="I1283">
        <v>4</v>
      </c>
      <c r="J1283" t="s">
        <v>13</v>
      </c>
      <c r="K1283" s="13">
        <f>ROUND(tblTransactions[[#This Row],[gross_sales_inr]]*(1-tblTransactions[[#This Row],[discount_pct]]),2)</f>
        <v>917.01</v>
      </c>
      <c r="L1283" t="str">
        <f>IF(ABS(tblTransactions[[#This Row],[net_sales_inr]]-tblTransactions[[#This Row],[Recalc_Net_Sales]])&lt;0.02,"OK","CHECK")</f>
        <v>OK</v>
      </c>
      <c r="M1283" s="14">
        <f>DATE(YEAR(tblTransactions[[#This Row],[date]]),MONTH(tblTransactions[[#This Row],[date]]),1)</f>
        <v>45717</v>
      </c>
      <c r="N1283" t="str">
        <f>IF(WEEKDAY(tblTransactions[[#This Row],[date]],2)&gt;5,"Weekend","Weekday")</f>
        <v>Weekday</v>
      </c>
      <c r="O1283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283" s="13" t="str">
        <f>_xlfn.XLOOKUP(tblTransactions[[#This Row],[tenant_id]],tblTenants[tenant_id],tblTenants[zone],"NOT FOUND")</f>
        <v>Home &amp; Living</v>
      </c>
      <c r="Q1283" s="13" t="str">
        <f>_xlfn.XLOOKUP(tblTransactions[[#This Row],[tenant_id]],tblTenants[tenant_id],tblTenants[category],"NOT FOUND")</f>
        <v>Home Decor</v>
      </c>
    </row>
    <row r="1284" spans="1:17">
      <c r="A1284" t="s">
        <v>1328</v>
      </c>
      <c r="B1284" s="2">
        <v>45785</v>
      </c>
      <c r="C1284">
        <v>14</v>
      </c>
      <c r="D1284" t="s">
        <v>85</v>
      </c>
      <c r="E1284" t="s">
        <v>21</v>
      </c>
      <c r="F1284" s="7">
        <v>577.80999999999995</v>
      </c>
      <c r="G1284" s="10">
        <v>0</v>
      </c>
      <c r="H1284" s="7">
        <v>577.80999999999995</v>
      </c>
      <c r="I1284">
        <v>2</v>
      </c>
      <c r="J1284" t="s">
        <v>16</v>
      </c>
      <c r="K1284" s="13">
        <f>ROUND(tblTransactions[[#This Row],[gross_sales_inr]]*(1-tblTransactions[[#This Row],[discount_pct]]),2)</f>
        <v>577.80999999999995</v>
      </c>
      <c r="L1284" t="str">
        <f>IF(ABS(tblTransactions[[#This Row],[net_sales_inr]]-tblTransactions[[#This Row],[Recalc_Net_Sales]])&lt;0.02,"OK","CHECK")</f>
        <v>OK</v>
      </c>
      <c r="M1284" s="14">
        <f>DATE(YEAR(tblTransactions[[#This Row],[date]]),MONTH(tblTransactions[[#This Row],[date]]),1)</f>
        <v>45778</v>
      </c>
      <c r="N1284" t="str">
        <f>IF(WEEKDAY(tblTransactions[[#This Row],[date]],2)&gt;5,"Weekend","Weekday")</f>
        <v>Weekday</v>
      </c>
      <c r="O1284" s="13" t="str">
        <f>IF(tblTransactions[[#This Row],[discount_pct]]=0,"0%",IF(tblTransactions[[#This Row],[discount_pct]]&lt;=10%,"1–
10%",IF(tblTransactions[[#This Row],[discount_pct]]&lt;=20%,"11–20%","&gt;20%")))</f>
        <v>0%</v>
      </c>
      <c r="P1284" s="13" t="str">
        <f>_xlfn.XLOOKUP(tblTransactions[[#This Row],[tenant_id]],tblTenants[tenant_id],tblTenants[zone],"NOT FOUND")</f>
        <v>Home &amp; Living</v>
      </c>
      <c r="Q1284" s="13" t="str">
        <f>_xlfn.XLOOKUP(tblTransactions[[#This Row],[tenant_id]],tblTenants[tenant_id],tblTenants[category],"NOT FOUND")</f>
        <v>Electronics</v>
      </c>
    </row>
    <row r="1285" spans="1:17">
      <c r="A1285" t="s">
        <v>1329</v>
      </c>
      <c r="B1285" s="2">
        <v>45818</v>
      </c>
      <c r="C1285">
        <v>13</v>
      </c>
      <c r="D1285" t="s">
        <v>98</v>
      </c>
      <c r="E1285" t="s">
        <v>12</v>
      </c>
      <c r="F1285" s="7">
        <v>956.21</v>
      </c>
      <c r="G1285" s="10">
        <v>0.15</v>
      </c>
      <c r="H1285" s="7">
        <v>812.78</v>
      </c>
      <c r="I1285">
        <v>1</v>
      </c>
      <c r="J1285" t="s">
        <v>13</v>
      </c>
      <c r="K1285" s="13">
        <f>ROUND(tblTransactions[[#This Row],[gross_sales_inr]]*(1-tblTransactions[[#This Row],[discount_pct]]),2)</f>
        <v>812.78</v>
      </c>
      <c r="L1285" t="str">
        <f>IF(ABS(tblTransactions[[#This Row],[net_sales_inr]]-tblTransactions[[#This Row],[Recalc_Net_Sales]])&lt;0.02,"OK","CHECK")</f>
        <v>OK</v>
      </c>
      <c r="M1285" s="14">
        <f>DATE(YEAR(tblTransactions[[#This Row],[date]]),MONTH(tblTransactions[[#This Row],[date]]),1)</f>
        <v>45809</v>
      </c>
      <c r="N1285" t="str">
        <f>IF(WEEKDAY(tblTransactions[[#This Row],[date]],2)&gt;5,"Weekend","Weekday")</f>
        <v>Weekday</v>
      </c>
      <c r="O128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85" s="13" t="str">
        <f>_xlfn.XLOOKUP(tblTransactions[[#This Row],[tenant_id]],tblTenants[tenant_id],tblTenants[zone],"NOT FOUND")</f>
        <v>Fashion Avenue</v>
      </c>
      <c r="Q1285" s="13" t="str">
        <f>_xlfn.XLOOKUP(tblTransactions[[#This Row],[tenant_id]],tblTenants[tenant_id],tblTenants[category],"NOT FOUND")</f>
        <v>Accessories</v>
      </c>
    </row>
    <row r="1286" spans="1:17">
      <c r="A1286" t="s">
        <v>1330</v>
      </c>
      <c r="B1286" s="2">
        <v>45741</v>
      </c>
      <c r="C1286">
        <v>21</v>
      </c>
      <c r="D1286" t="s">
        <v>63</v>
      </c>
      <c r="E1286" t="s">
        <v>12</v>
      </c>
      <c r="F1286" s="7">
        <v>1317.06</v>
      </c>
      <c r="G1286" s="10">
        <v>0.1</v>
      </c>
      <c r="H1286" s="7">
        <v>1185.3499999999999</v>
      </c>
      <c r="I1286">
        <v>2</v>
      </c>
      <c r="J1286" t="s">
        <v>13</v>
      </c>
      <c r="K1286" s="13">
        <f>ROUND(tblTransactions[[#This Row],[gross_sales_inr]]*(1-tblTransactions[[#This Row],[discount_pct]]),2)</f>
        <v>1185.3499999999999</v>
      </c>
      <c r="L1286" t="str">
        <f>IF(ABS(tblTransactions[[#This Row],[net_sales_inr]]-tblTransactions[[#This Row],[Recalc_Net_Sales]])&lt;0.02,"OK","CHECK")</f>
        <v>OK</v>
      </c>
      <c r="M1286" s="14">
        <f>DATE(YEAR(tblTransactions[[#This Row],[date]]),MONTH(tblTransactions[[#This Row],[date]]),1)</f>
        <v>45717</v>
      </c>
      <c r="N1286" t="str">
        <f>IF(WEEKDAY(tblTransactions[[#This Row],[date]],2)&gt;5,"Weekend","Weekday")</f>
        <v>Weekday</v>
      </c>
      <c r="O128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86" s="13" t="str">
        <f>_xlfn.XLOOKUP(tblTransactions[[#This Row],[tenant_id]],tblTenants[tenant_id],tblTenants[zone],"NOT FOUND")</f>
        <v>Entertainment</v>
      </c>
      <c r="Q1286" s="13" t="str">
        <f>_xlfn.XLOOKUP(tblTransactions[[#This Row],[tenant_id]],tblTenants[tenant_id],tblTenants[category],"NOT FOUND")</f>
        <v>Family Entertainment</v>
      </c>
    </row>
    <row r="1287" spans="1:17">
      <c r="A1287" t="s">
        <v>1331</v>
      </c>
      <c r="B1287" s="2">
        <v>45835</v>
      </c>
      <c r="C1287">
        <v>17</v>
      </c>
      <c r="D1287" t="s">
        <v>72</v>
      </c>
      <c r="E1287" t="s">
        <v>32</v>
      </c>
      <c r="F1287" s="7">
        <v>577.4</v>
      </c>
      <c r="G1287" s="10">
        <v>0.1</v>
      </c>
      <c r="H1287" s="7">
        <v>519.66</v>
      </c>
      <c r="I1287">
        <v>1</v>
      </c>
      <c r="J1287" t="s">
        <v>13</v>
      </c>
      <c r="K1287" s="13">
        <f>ROUND(tblTransactions[[#This Row],[gross_sales_inr]]*(1-tblTransactions[[#This Row],[discount_pct]]),2)</f>
        <v>519.66</v>
      </c>
      <c r="L1287" t="str">
        <f>IF(ABS(tblTransactions[[#This Row],[net_sales_inr]]-tblTransactions[[#This Row],[Recalc_Net_Sales]])&lt;0.02,"OK","CHECK")</f>
        <v>OK</v>
      </c>
      <c r="M1287" s="14">
        <f>DATE(YEAR(tblTransactions[[#This Row],[date]]),MONTH(tblTransactions[[#This Row],[date]]),1)</f>
        <v>45809</v>
      </c>
      <c r="N1287" t="str">
        <f>IF(WEEKDAY(tblTransactions[[#This Row],[date]],2)&gt;5,"Weekend","Weekday")</f>
        <v>Weekday</v>
      </c>
      <c r="O128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87" s="13" t="str">
        <f>_xlfn.XLOOKUP(tblTransactions[[#This Row],[tenant_id]],tblTenants[tenant_id],tblTenants[zone],"NOT FOUND")</f>
        <v>Entertainment</v>
      </c>
      <c r="Q1287" s="13" t="str">
        <f>_xlfn.XLOOKUP(tblTransactions[[#This Row],[tenant_id]],tblTenants[tenant_id],tblTenants[category],"NOT FOUND")</f>
        <v>Arcade</v>
      </c>
    </row>
    <row r="1288" spans="1:17">
      <c r="A1288" t="s">
        <v>1332</v>
      </c>
      <c r="B1288" s="2">
        <v>45690</v>
      </c>
      <c r="C1288">
        <v>18</v>
      </c>
      <c r="D1288" t="s">
        <v>204</v>
      </c>
      <c r="E1288" t="s">
        <v>51</v>
      </c>
      <c r="F1288" s="7">
        <v>1384.72</v>
      </c>
      <c r="G1288" s="10">
        <v>0.05</v>
      </c>
      <c r="H1288" s="7">
        <v>1315.48</v>
      </c>
      <c r="I1288">
        <v>3</v>
      </c>
      <c r="J1288" t="s">
        <v>13</v>
      </c>
      <c r="K1288" s="13">
        <f>ROUND(tblTransactions[[#This Row],[gross_sales_inr]]*(1-tblTransactions[[#This Row],[discount_pct]]),2)</f>
        <v>1315.48</v>
      </c>
      <c r="L1288" t="str">
        <f>IF(ABS(tblTransactions[[#This Row],[net_sales_inr]]-tblTransactions[[#This Row],[Recalc_Net_Sales]])&lt;0.02,"OK","CHECK")</f>
        <v>OK</v>
      </c>
      <c r="M1288" s="14">
        <f>DATE(YEAR(tblTransactions[[#This Row],[date]]),MONTH(tblTransactions[[#This Row],[date]]),1)</f>
        <v>45689</v>
      </c>
      <c r="N1288" t="str">
        <f>IF(WEEKDAY(tblTransactions[[#This Row],[date]],2)&gt;5,"Weekend","Weekday")</f>
        <v>Weekend</v>
      </c>
      <c r="O128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88" s="13" t="str">
        <f>_xlfn.XLOOKUP(tblTransactions[[#This Row],[tenant_id]],tblTenants[tenant_id],tblTenants[zone],"NOT FOUND")</f>
        <v>Home &amp; Living</v>
      </c>
      <c r="Q1288" s="13" t="str">
        <f>_xlfn.XLOOKUP(tblTransactions[[#This Row],[tenant_id]],tblTenants[tenant_id],tblTenants[category],"NOT FOUND")</f>
        <v>Home Decor</v>
      </c>
    </row>
    <row r="1289" spans="1:17">
      <c r="A1289" t="s">
        <v>1333</v>
      </c>
      <c r="B1289" s="2">
        <v>45761</v>
      </c>
      <c r="C1289">
        <v>14</v>
      </c>
      <c r="D1289" t="s">
        <v>59</v>
      </c>
      <c r="E1289" t="s">
        <v>12</v>
      </c>
      <c r="F1289" s="7">
        <v>1030.53</v>
      </c>
      <c r="G1289" s="10">
        <v>0.3</v>
      </c>
      <c r="H1289" s="7">
        <v>721.37</v>
      </c>
      <c r="I1289">
        <v>4</v>
      </c>
      <c r="J1289" t="s">
        <v>13</v>
      </c>
      <c r="K1289" s="13">
        <f>ROUND(tblTransactions[[#This Row],[gross_sales_inr]]*(1-tblTransactions[[#This Row],[discount_pct]]),2)</f>
        <v>721.37</v>
      </c>
      <c r="L1289" t="str">
        <f>IF(ABS(tblTransactions[[#This Row],[net_sales_inr]]-tblTransactions[[#This Row],[Recalc_Net_Sales]])&lt;0.02,"OK","CHECK")</f>
        <v>OK</v>
      </c>
      <c r="M1289" s="14">
        <f>DATE(YEAR(tblTransactions[[#This Row],[date]]),MONTH(tblTransactions[[#This Row],[date]]),1)</f>
        <v>45748</v>
      </c>
      <c r="N1289" t="str">
        <f>IF(WEEKDAY(tblTransactions[[#This Row],[date]],2)&gt;5,"Weekend","Weekday")</f>
        <v>Weekday</v>
      </c>
      <c r="O1289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289" s="13" t="str">
        <f>_xlfn.XLOOKUP(tblTransactions[[#This Row],[tenant_id]],tblTenants[tenant_id],tblTenants[zone],"NOT FOUND")</f>
        <v>Fashion Avenue</v>
      </c>
      <c r="Q1289" s="13" t="str">
        <f>_xlfn.XLOOKUP(tblTransactions[[#This Row],[tenant_id]],tblTenants[tenant_id],tblTenants[category],"NOT FOUND")</f>
        <v>Footwear</v>
      </c>
    </row>
    <row r="1290" spans="1:17">
      <c r="A1290" t="s">
        <v>1334</v>
      </c>
      <c r="B1290" s="2">
        <v>45815</v>
      </c>
      <c r="C1290">
        <v>16</v>
      </c>
      <c r="D1290" t="s">
        <v>43</v>
      </c>
      <c r="E1290" t="s">
        <v>12</v>
      </c>
      <c r="F1290" s="7">
        <v>349.76</v>
      </c>
      <c r="G1290" s="10">
        <v>0</v>
      </c>
      <c r="H1290" s="7">
        <v>349.76</v>
      </c>
      <c r="I1290">
        <v>1</v>
      </c>
      <c r="J1290" t="s">
        <v>16</v>
      </c>
      <c r="K1290" s="13">
        <f>ROUND(tblTransactions[[#This Row],[gross_sales_inr]]*(1-tblTransactions[[#This Row],[discount_pct]]),2)</f>
        <v>349.76</v>
      </c>
      <c r="L1290" t="str">
        <f>IF(ABS(tblTransactions[[#This Row],[net_sales_inr]]-tblTransactions[[#This Row],[Recalc_Net_Sales]])&lt;0.02,"OK","CHECK")</f>
        <v>OK</v>
      </c>
      <c r="M1290" s="14">
        <f>DATE(YEAR(tblTransactions[[#This Row],[date]]),MONTH(tblTransactions[[#This Row],[date]]),1)</f>
        <v>45809</v>
      </c>
      <c r="N1290" t="str">
        <f>IF(WEEKDAY(tblTransactions[[#This Row],[date]],2)&gt;5,"Weekend","Weekday")</f>
        <v>Weekend</v>
      </c>
      <c r="O1290" s="13" t="str">
        <f>IF(tblTransactions[[#This Row],[discount_pct]]=0,"0%",IF(tblTransactions[[#This Row],[discount_pct]]&lt;=10%,"1–
10%",IF(tblTransactions[[#This Row],[discount_pct]]&lt;=20%,"11–20%","&gt;20%")))</f>
        <v>0%</v>
      </c>
      <c r="P1290" s="13" t="str">
        <f>_xlfn.XLOOKUP(tblTransactions[[#This Row],[tenant_id]],tblTenants[tenant_id],tblTenants[zone],"NOT FOUND")</f>
        <v>Food Court</v>
      </c>
      <c r="Q1290" s="13" t="str">
        <f>_xlfn.XLOOKUP(tblTransactions[[#This Row],[tenant_id]],tblTenants[tenant_id],tblTenants[category],"NOT FOUND")</f>
        <v>Casual Dining</v>
      </c>
    </row>
    <row r="1291" spans="1:17">
      <c r="A1291" t="s">
        <v>1335</v>
      </c>
      <c r="B1291" s="2">
        <v>45658</v>
      </c>
      <c r="C1291">
        <v>21</v>
      </c>
      <c r="D1291" t="s">
        <v>98</v>
      </c>
      <c r="E1291" t="s">
        <v>32</v>
      </c>
      <c r="F1291" s="7">
        <v>1080.06</v>
      </c>
      <c r="G1291" s="10">
        <v>0.15</v>
      </c>
      <c r="H1291" s="7">
        <v>918.05</v>
      </c>
      <c r="I1291">
        <v>1</v>
      </c>
      <c r="J1291" t="s">
        <v>16</v>
      </c>
      <c r="K1291" s="13">
        <f>ROUND(tblTransactions[[#This Row],[gross_sales_inr]]*(1-tblTransactions[[#This Row],[discount_pct]]),2)</f>
        <v>918.05</v>
      </c>
      <c r="L1291" t="str">
        <f>IF(ABS(tblTransactions[[#This Row],[net_sales_inr]]-tblTransactions[[#This Row],[Recalc_Net_Sales]])&lt;0.02,"OK","CHECK")</f>
        <v>OK</v>
      </c>
      <c r="M1291" s="14">
        <f>DATE(YEAR(tblTransactions[[#This Row],[date]]),MONTH(tblTransactions[[#This Row],[date]]),1)</f>
        <v>45658</v>
      </c>
      <c r="N1291" t="str">
        <f>IF(WEEKDAY(tblTransactions[[#This Row],[date]],2)&gt;5,"Weekend","Weekday")</f>
        <v>Weekday</v>
      </c>
      <c r="O129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91" s="13" t="str">
        <f>_xlfn.XLOOKUP(tblTransactions[[#This Row],[tenant_id]],tblTenants[tenant_id],tblTenants[zone],"NOT FOUND")</f>
        <v>Fashion Avenue</v>
      </c>
      <c r="Q1291" s="13" t="str">
        <f>_xlfn.XLOOKUP(tblTransactions[[#This Row],[tenant_id]],tblTenants[tenant_id],tblTenants[category],"NOT FOUND")</f>
        <v>Accessories</v>
      </c>
    </row>
    <row r="1292" spans="1:17">
      <c r="A1292" t="s">
        <v>1336</v>
      </c>
      <c r="B1292" s="2">
        <v>45775</v>
      </c>
      <c r="C1292">
        <v>10</v>
      </c>
      <c r="D1292" t="s">
        <v>72</v>
      </c>
      <c r="E1292" t="s">
        <v>32</v>
      </c>
      <c r="F1292" s="7">
        <v>6832.61</v>
      </c>
      <c r="G1292" s="10">
        <v>0.2</v>
      </c>
      <c r="H1292" s="7">
        <v>5466.09</v>
      </c>
      <c r="I1292">
        <v>4</v>
      </c>
      <c r="J1292" t="s">
        <v>13</v>
      </c>
      <c r="K1292" s="13">
        <f>ROUND(tblTransactions[[#This Row],[gross_sales_inr]]*(1-tblTransactions[[#This Row],[discount_pct]]),2)</f>
        <v>5466.09</v>
      </c>
      <c r="L1292" t="str">
        <f>IF(ABS(tblTransactions[[#This Row],[net_sales_inr]]-tblTransactions[[#This Row],[Recalc_Net_Sales]])&lt;0.02,"OK","CHECK")</f>
        <v>OK</v>
      </c>
      <c r="M1292" s="14">
        <f>DATE(YEAR(tblTransactions[[#This Row],[date]]),MONTH(tblTransactions[[#This Row],[date]]),1)</f>
        <v>45748</v>
      </c>
      <c r="N1292" t="str">
        <f>IF(WEEKDAY(tblTransactions[[#This Row],[date]],2)&gt;5,"Weekend","Weekday")</f>
        <v>Weekday</v>
      </c>
      <c r="O129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92" s="13" t="str">
        <f>_xlfn.XLOOKUP(tblTransactions[[#This Row],[tenant_id]],tblTenants[tenant_id],tblTenants[zone],"NOT FOUND")</f>
        <v>Entertainment</v>
      </c>
      <c r="Q1292" s="13" t="str">
        <f>_xlfn.XLOOKUP(tblTransactions[[#This Row],[tenant_id]],tblTenants[tenant_id],tblTenants[category],"NOT FOUND")</f>
        <v>Arcade</v>
      </c>
    </row>
    <row r="1293" spans="1:17">
      <c r="A1293" t="s">
        <v>1337</v>
      </c>
      <c r="B1293" s="2">
        <v>45713</v>
      </c>
      <c r="C1293">
        <v>10</v>
      </c>
      <c r="D1293" t="s">
        <v>45</v>
      </c>
      <c r="E1293" t="s">
        <v>21</v>
      </c>
      <c r="F1293" s="7">
        <v>273.57</v>
      </c>
      <c r="G1293" s="10">
        <v>0</v>
      </c>
      <c r="H1293" s="7">
        <v>273.57</v>
      </c>
      <c r="I1293">
        <v>2</v>
      </c>
      <c r="J1293" t="s">
        <v>13</v>
      </c>
      <c r="K1293" s="13">
        <f>ROUND(tblTransactions[[#This Row],[gross_sales_inr]]*(1-tblTransactions[[#This Row],[discount_pct]]),2)</f>
        <v>273.57</v>
      </c>
      <c r="L1293" t="str">
        <f>IF(ABS(tblTransactions[[#This Row],[net_sales_inr]]-tblTransactions[[#This Row],[Recalc_Net_Sales]])&lt;0.02,"OK","CHECK")</f>
        <v>OK</v>
      </c>
      <c r="M1293" s="14">
        <f>DATE(YEAR(tblTransactions[[#This Row],[date]]),MONTH(tblTransactions[[#This Row],[date]]),1)</f>
        <v>45689</v>
      </c>
      <c r="N1293" t="str">
        <f>IF(WEEKDAY(tblTransactions[[#This Row],[date]],2)&gt;5,"Weekend","Weekday")</f>
        <v>Weekday</v>
      </c>
      <c r="O1293" s="13" t="str">
        <f>IF(tblTransactions[[#This Row],[discount_pct]]=0,"0%",IF(tblTransactions[[#This Row],[discount_pct]]&lt;=10%,"1–
10%",IF(tblTransactions[[#This Row],[discount_pct]]&lt;=20%,"11–20%","&gt;20%")))</f>
        <v>0%</v>
      </c>
      <c r="P1293" s="13" t="str">
        <f>_xlfn.XLOOKUP(tblTransactions[[#This Row],[tenant_id]],tblTenants[tenant_id],tblTenants[zone],"NOT FOUND")</f>
        <v>Home &amp; Living</v>
      </c>
      <c r="Q1293" s="13" t="str">
        <f>_xlfn.XLOOKUP(tblTransactions[[#This Row],[tenant_id]],tblTenants[tenant_id],tblTenants[category],"NOT FOUND")</f>
        <v>Home Decor</v>
      </c>
    </row>
    <row r="1294" spans="1:17">
      <c r="A1294" t="s">
        <v>1338</v>
      </c>
      <c r="B1294" s="2">
        <v>45777</v>
      </c>
      <c r="C1294">
        <v>14</v>
      </c>
      <c r="D1294" t="s">
        <v>59</v>
      </c>
      <c r="E1294" t="s">
        <v>32</v>
      </c>
      <c r="F1294" s="7">
        <v>468.39</v>
      </c>
      <c r="G1294" s="10">
        <v>0</v>
      </c>
      <c r="H1294" s="7">
        <v>468.39</v>
      </c>
      <c r="I1294">
        <v>3</v>
      </c>
      <c r="J1294" t="s">
        <v>13</v>
      </c>
      <c r="K1294" s="13">
        <f>ROUND(tblTransactions[[#This Row],[gross_sales_inr]]*(1-tblTransactions[[#This Row],[discount_pct]]),2)</f>
        <v>468.39</v>
      </c>
      <c r="L1294" t="str">
        <f>IF(ABS(tblTransactions[[#This Row],[net_sales_inr]]-tblTransactions[[#This Row],[Recalc_Net_Sales]])&lt;0.02,"OK","CHECK")</f>
        <v>OK</v>
      </c>
      <c r="M1294" s="14">
        <f>DATE(YEAR(tblTransactions[[#This Row],[date]]),MONTH(tblTransactions[[#This Row],[date]]),1)</f>
        <v>45748</v>
      </c>
      <c r="N1294" t="str">
        <f>IF(WEEKDAY(tblTransactions[[#This Row],[date]],2)&gt;5,"Weekend","Weekday")</f>
        <v>Weekday</v>
      </c>
      <c r="O1294" s="13" t="str">
        <f>IF(tblTransactions[[#This Row],[discount_pct]]=0,"0%",IF(tblTransactions[[#This Row],[discount_pct]]&lt;=10%,"1–
10%",IF(tblTransactions[[#This Row],[discount_pct]]&lt;=20%,"11–20%","&gt;20%")))</f>
        <v>0%</v>
      </c>
      <c r="P1294" s="13" t="str">
        <f>_xlfn.XLOOKUP(tblTransactions[[#This Row],[tenant_id]],tblTenants[tenant_id],tblTenants[zone],"NOT FOUND")</f>
        <v>Fashion Avenue</v>
      </c>
      <c r="Q1294" s="13" t="str">
        <f>_xlfn.XLOOKUP(tblTransactions[[#This Row],[tenant_id]],tblTenants[tenant_id],tblTenants[category],"NOT FOUND")</f>
        <v>Footwear</v>
      </c>
    </row>
    <row r="1295" spans="1:17">
      <c r="A1295" t="s">
        <v>1339</v>
      </c>
      <c r="B1295" s="2">
        <v>45746</v>
      </c>
      <c r="C1295">
        <v>18</v>
      </c>
      <c r="D1295" t="s">
        <v>57</v>
      </c>
      <c r="E1295" t="s">
        <v>32</v>
      </c>
      <c r="F1295" s="7">
        <v>4731.76</v>
      </c>
      <c r="G1295" s="10">
        <v>0.1</v>
      </c>
      <c r="H1295" s="7">
        <v>4258.58</v>
      </c>
      <c r="I1295">
        <v>3</v>
      </c>
      <c r="J1295" t="s">
        <v>13</v>
      </c>
      <c r="K1295" s="13">
        <f>ROUND(tblTransactions[[#This Row],[gross_sales_inr]]*(1-tblTransactions[[#This Row],[discount_pct]]),2)</f>
        <v>4258.58</v>
      </c>
      <c r="L1295" t="str">
        <f>IF(ABS(tblTransactions[[#This Row],[net_sales_inr]]-tblTransactions[[#This Row],[Recalc_Net_Sales]])&lt;0.02,"OK","CHECK")</f>
        <v>OK</v>
      </c>
      <c r="M1295" s="14">
        <f>DATE(YEAR(tblTransactions[[#This Row],[date]]),MONTH(tblTransactions[[#This Row],[date]]),1)</f>
        <v>45717</v>
      </c>
      <c r="N1295" t="str">
        <f>IF(WEEKDAY(tblTransactions[[#This Row],[date]],2)&gt;5,"Weekend","Weekday")</f>
        <v>Weekend</v>
      </c>
      <c r="O129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95" s="13" t="str">
        <f>_xlfn.XLOOKUP(tblTransactions[[#This Row],[tenant_id]],tblTenants[tenant_id],tblTenants[zone],"NOT FOUND")</f>
        <v>Food Court</v>
      </c>
      <c r="Q1295" s="13" t="str">
        <f>_xlfn.XLOOKUP(tblTransactions[[#This Row],[tenant_id]],tblTenants[tenant_id],tblTenants[category],"NOT FOUND")</f>
        <v>Casual Dining</v>
      </c>
    </row>
    <row r="1296" spans="1:17">
      <c r="A1296" t="s">
        <v>1340</v>
      </c>
      <c r="B1296" s="2">
        <v>45753</v>
      </c>
      <c r="C1296">
        <v>16</v>
      </c>
      <c r="D1296" t="s">
        <v>57</v>
      </c>
      <c r="E1296" t="s">
        <v>12</v>
      </c>
      <c r="F1296" s="7">
        <v>651.19000000000005</v>
      </c>
      <c r="G1296" s="10">
        <v>0.1</v>
      </c>
      <c r="H1296" s="7">
        <v>586.07000000000005</v>
      </c>
      <c r="I1296">
        <v>4</v>
      </c>
      <c r="J1296" t="s">
        <v>13</v>
      </c>
      <c r="K1296" s="13">
        <f>ROUND(tblTransactions[[#This Row],[gross_sales_inr]]*(1-tblTransactions[[#This Row],[discount_pct]]),2)</f>
        <v>586.07000000000005</v>
      </c>
      <c r="L1296" t="str">
        <f>IF(ABS(tblTransactions[[#This Row],[net_sales_inr]]-tblTransactions[[#This Row],[Recalc_Net_Sales]])&lt;0.02,"OK","CHECK")</f>
        <v>OK</v>
      </c>
      <c r="M1296" s="14">
        <f>DATE(YEAR(tblTransactions[[#This Row],[date]]),MONTH(tblTransactions[[#This Row],[date]]),1)</f>
        <v>45748</v>
      </c>
      <c r="N1296" t="str">
        <f>IF(WEEKDAY(tblTransactions[[#This Row],[date]],2)&gt;5,"Weekend","Weekday")</f>
        <v>Weekend</v>
      </c>
      <c r="O129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96" s="13" t="str">
        <f>_xlfn.XLOOKUP(tblTransactions[[#This Row],[tenant_id]],tblTenants[tenant_id],tblTenants[zone],"NOT FOUND")</f>
        <v>Food Court</v>
      </c>
      <c r="Q1296" s="13" t="str">
        <f>_xlfn.XLOOKUP(tblTransactions[[#This Row],[tenant_id]],tblTenants[tenant_id],tblTenants[category],"NOT FOUND")</f>
        <v>Casual Dining</v>
      </c>
    </row>
    <row r="1297" spans="1:17">
      <c r="A1297" t="s">
        <v>1341</v>
      </c>
      <c r="B1297" s="2">
        <v>45671</v>
      </c>
      <c r="C1297">
        <v>16</v>
      </c>
      <c r="D1297" t="s">
        <v>41</v>
      </c>
      <c r="E1297" t="s">
        <v>12</v>
      </c>
      <c r="F1297" s="7">
        <v>2315.4299999999998</v>
      </c>
      <c r="G1297" s="10">
        <v>0</v>
      </c>
      <c r="H1297" s="7">
        <v>2315.4299999999998</v>
      </c>
      <c r="I1297">
        <v>1</v>
      </c>
      <c r="J1297" t="s">
        <v>16</v>
      </c>
      <c r="K1297" s="13">
        <f>ROUND(tblTransactions[[#This Row],[gross_sales_inr]]*(1-tblTransactions[[#This Row],[discount_pct]]),2)</f>
        <v>2315.4299999999998</v>
      </c>
      <c r="L1297" t="str">
        <f>IF(ABS(tblTransactions[[#This Row],[net_sales_inr]]-tblTransactions[[#This Row],[Recalc_Net_Sales]])&lt;0.02,"OK","CHECK")</f>
        <v>OK</v>
      </c>
      <c r="M1297" s="14">
        <f>DATE(YEAR(tblTransactions[[#This Row],[date]]),MONTH(tblTransactions[[#This Row],[date]]),1)</f>
        <v>45658</v>
      </c>
      <c r="N1297" t="str">
        <f>IF(WEEKDAY(tblTransactions[[#This Row],[date]],2)&gt;5,"Weekend","Weekday")</f>
        <v>Weekday</v>
      </c>
      <c r="O1297" s="13" t="str">
        <f>IF(tblTransactions[[#This Row],[discount_pct]]=0,"0%",IF(tblTransactions[[#This Row],[discount_pct]]&lt;=10%,"1–
10%",IF(tblTransactions[[#This Row],[discount_pct]]&lt;=20%,"11–20%","&gt;20%")))</f>
        <v>0%</v>
      </c>
      <c r="P1297" s="13" t="str">
        <f>_xlfn.XLOOKUP(tblTransactions[[#This Row],[tenant_id]],tblTenants[tenant_id],tblTenants[zone],"NOT FOUND")</f>
        <v>Fashion Avenue</v>
      </c>
      <c r="Q1297" s="13" t="str">
        <f>_xlfn.XLOOKUP(tblTransactions[[#This Row],[tenant_id]],tblTenants[tenant_id],tblTenants[category],"NOT FOUND")</f>
        <v>Clothing</v>
      </c>
    </row>
    <row r="1298" spans="1:17">
      <c r="A1298" t="s">
        <v>1342</v>
      </c>
      <c r="B1298" s="2">
        <v>45710</v>
      </c>
      <c r="C1298">
        <v>14</v>
      </c>
      <c r="D1298" t="s">
        <v>80</v>
      </c>
      <c r="E1298" t="s">
        <v>32</v>
      </c>
      <c r="F1298" s="7">
        <v>1456.53</v>
      </c>
      <c r="G1298" s="10">
        <v>0.1</v>
      </c>
      <c r="H1298" s="7">
        <v>1310.88</v>
      </c>
      <c r="I1298">
        <v>1</v>
      </c>
      <c r="J1298" t="s">
        <v>13</v>
      </c>
      <c r="K1298" s="13">
        <f>ROUND(tblTransactions[[#This Row],[gross_sales_inr]]*(1-tblTransactions[[#This Row],[discount_pct]]),2)</f>
        <v>1310.88</v>
      </c>
      <c r="L1298" t="str">
        <f>IF(ABS(tblTransactions[[#This Row],[net_sales_inr]]-tblTransactions[[#This Row],[Recalc_Net_Sales]])&lt;0.02,"OK","CHECK")</f>
        <v>OK</v>
      </c>
      <c r="M1298" s="14">
        <f>DATE(YEAR(tblTransactions[[#This Row],[date]]),MONTH(tblTransactions[[#This Row],[date]]),1)</f>
        <v>45689</v>
      </c>
      <c r="N1298" t="str">
        <f>IF(WEEKDAY(tblTransactions[[#This Row],[date]],2)&gt;5,"Weekend","Weekday")</f>
        <v>Weekend</v>
      </c>
      <c r="O129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298" s="13" t="str">
        <f>_xlfn.XLOOKUP(tblTransactions[[#This Row],[tenant_id]],tblTenants[tenant_id],tblTenants[zone],"NOT FOUND")</f>
        <v>Food Court</v>
      </c>
      <c r="Q1298" s="13" t="str">
        <f>_xlfn.XLOOKUP(tblTransactions[[#This Row],[tenant_id]],tblTenants[tenant_id],tblTenants[category],"NOT FOUND")</f>
        <v>Casual Dining</v>
      </c>
    </row>
    <row r="1299" spans="1:17">
      <c r="A1299" t="s">
        <v>1343</v>
      </c>
      <c r="B1299" s="2">
        <v>45703</v>
      </c>
      <c r="C1299">
        <v>17</v>
      </c>
      <c r="D1299" t="s">
        <v>122</v>
      </c>
      <c r="E1299" t="s">
        <v>32</v>
      </c>
      <c r="F1299" s="7">
        <v>1244.82</v>
      </c>
      <c r="G1299" s="10">
        <v>0.15</v>
      </c>
      <c r="H1299" s="7">
        <v>1058.0999999999999</v>
      </c>
      <c r="I1299">
        <v>1</v>
      </c>
      <c r="J1299" t="s">
        <v>13</v>
      </c>
      <c r="K1299" s="13">
        <f>ROUND(tblTransactions[[#This Row],[gross_sales_inr]]*(1-tblTransactions[[#This Row],[discount_pct]]),2)</f>
        <v>1058.0999999999999</v>
      </c>
      <c r="L1299" t="str">
        <f>IF(ABS(tblTransactions[[#This Row],[net_sales_inr]]-tblTransactions[[#This Row],[Recalc_Net_Sales]])&lt;0.02,"OK","CHECK")</f>
        <v>OK</v>
      </c>
      <c r="M1299" s="14">
        <f>DATE(YEAR(tblTransactions[[#This Row],[date]]),MONTH(tblTransactions[[#This Row],[date]]),1)</f>
        <v>45689</v>
      </c>
      <c r="N1299" t="str">
        <f>IF(WEEKDAY(tblTransactions[[#This Row],[date]],2)&gt;5,"Weekend","Weekday")</f>
        <v>Weekend</v>
      </c>
      <c r="O129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299" s="13" t="str">
        <f>_xlfn.XLOOKUP(tblTransactions[[#This Row],[tenant_id]],tblTenants[tenant_id],tblTenants[zone],"NOT FOUND")</f>
        <v>Beauty &amp; Wellness</v>
      </c>
      <c r="Q1299" s="13" t="str">
        <f>_xlfn.XLOOKUP(tblTransactions[[#This Row],[tenant_id]],tblTenants[tenant_id],tblTenants[category],"NOT FOUND")</f>
        <v>Wellness</v>
      </c>
    </row>
    <row r="1300" spans="1:17">
      <c r="A1300" t="s">
        <v>1344</v>
      </c>
      <c r="B1300" s="2">
        <v>45812</v>
      </c>
      <c r="C1300">
        <v>16</v>
      </c>
      <c r="D1300" t="s">
        <v>11</v>
      </c>
      <c r="E1300" t="s">
        <v>51</v>
      </c>
      <c r="F1300" s="7">
        <v>1062.55</v>
      </c>
      <c r="G1300" s="10">
        <v>0</v>
      </c>
      <c r="H1300" s="7">
        <v>1062.55</v>
      </c>
      <c r="I1300">
        <v>2</v>
      </c>
      <c r="J1300" t="s">
        <v>13</v>
      </c>
      <c r="K1300" s="13">
        <f>ROUND(tblTransactions[[#This Row],[gross_sales_inr]]*(1-tblTransactions[[#This Row],[discount_pct]]),2)</f>
        <v>1062.55</v>
      </c>
      <c r="L1300" t="str">
        <f>IF(ABS(tblTransactions[[#This Row],[net_sales_inr]]-tblTransactions[[#This Row],[Recalc_Net_Sales]])&lt;0.02,"OK","CHECK")</f>
        <v>OK</v>
      </c>
      <c r="M1300" s="14">
        <f>DATE(YEAR(tblTransactions[[#This Row],[date]]),MONTH(tblTransactions[[#This Row],[date]]),1)</f>
        <v>45809</v>
      </c>
      <c r="N1300" t="str">
        <f>IF(WEEKDAY(tblTransactions[[#This Row],[date]],2)&gt;5,"Weekend","Weekday")</f>
        <v>Weekday</v>
      </c>
      <c r="O1300" s="13" t="str">
        <f>IF(tblTransactions[[#This Row],[discount_pct]]=0,"0%",IF(tblTransactions[[#This Row],[discount_pct]]&lt;=10%,"1–
10%",IF(tblTransactions[[#This Row],[discount_pct]]&lt;=20%,"11–20%","&gt;20%")))</f>
        <v>0%</v>
      </c>
      <c r="P1300" s="13" t="str">
        <f>_xlfn.XLOOKUP(tblTransactions[[#This Row],[tenant_id]],tblTenants[tenant_id],tblTenants[zone],"NOT FOUND")</f>
        <v>Home &amp; Living</v>
      </c>
      <c r="Q1300" s="13" t="str">
        <f>_xlfn.XLOOKUP(tblTransactions[[#This Row],[tenant_id]],tblTenants[tenant_id],tblTenants[category],"NOT FOUND")</f>
        <v>Home Decor</v>
      </c>
    </row>
    <row r="1301" spans="1:17">
      <c r="A1301" t="s">
        <v>1345</v>
      </c>
      <c r="B1301" s="2">
        <v>45780</v>
      </c>
      <c r="C1301">
        <v>18</v>
      </c>
      <c r="D1301" t="s">
        <v>15</v>
      </c>
      <c r="E1301" t="s">
        <v>12</v>
      </c>
      <c r="F1301" s="7">
        <v>2147.85</v>
      </c>
      <c r="G1301" s="10">
        <v>0</v>
      </c>
      <c r="H1301" s="7">
        <v>2147.85</v>
      </c>
      <c r="I1301">
        <v>5</v>
      </c>
      <c r="J1301" t="s">
        <v>13</v>
      </c>
      <c r="K1301" s="13">
        <f>ROUND(tblTransactions[[#This Row],[gross_sales_inr]]*(1-tblTransactions[[#This Row],[discount_pct]]),2)</f>
        <v>2147.85</v>
      </c>
      <c r="L1301" t="str">
        <f>IF(ABS(tblTransactions[[#This Row],[net_sales_inr]]-tblTransactions[[#This Row],[Recalc_Net_Sales]])&lt;0.02,"OK","CHECK")</f>
        <v>OK</v>
      </c>
      <c r="M1301" s="14">
        <f>DATE(YEAR(tblTransactions[[#This Row],[date]]),MONTH(tblTransactions[[#This Row],[date]]),1)</f>
        <v>45778</v>
      </c>
      <c r="N1301" t="str">
        <f>IF(WEEKDAY(tblTransactions[[#This Row],[date]],2)&gt;5,"Weekend","Weekday")</f>
        <v>Weekend</v>
      </c>
      <c r="O1301" s="13" t="str">
        <f>IF(tblTransactions[[#This Row],[discount_pct]]=0,"0%",IF(tblTransactions[[#This Row],[discount_pct]]&lt;=10%,"1–
10%",IF(tblTransactions[[#This Row],[discount_pct]]&lt;=20%,"11–20%","&gt;20%")))</f>
        <v>0%</v>
      </c>
      <c r="P1301" s="13" t="str">
        <f>_xlfn.XLOOKUP(tblTransactions[[#This Row],[tenant_id]],tblTenants[tenant_id],tblTenants[zone],"NOT FOUND")</f>
        <v>Fashion Avenue</v>
      </c>
      <c r="Q1301" s="13" t="str">
        <f>_xlfn.XLOOKUP(tblTransactions[[#This Row],[tenant_id]],tblTenants[tenant_id],tblTenants[category],"NOT FOUND")</f>
        <v>Accessories</v>
      </c>
    </row>
    <row r="1302" spans="1:17">
      <c r="A1302" t="s">
        <v>1346</v>
      </c>
      <c r="B1302" s="2">
        <v>45762</v>
      </c>
      <c r="C1302">
        <v>22</v>
      </c>
      <c r="D1302" t="s">
        <v>72</v>
      </c>
      <c r="E1302" t="s">
        <v>12</v>
      </c>
      <c r="F1302" s="7">
        <v>591.89</v>
      </c>
      <c r="G1302" s="10">
        <v>0.05</v>
      </c>
      <c r="H1302" s="7">
        <v>562.29999999999995</v>
      </c>
      <c r="I1302">
        <v>1</v>
      </c>
      <c r="J1302" t="s">
        <v>13</v>
      </c>
      <c r="K1302" s="13">
        <f>ROUND(tblTransactions[[#This Row],[gross_sales_inr]]*(1-tblTransactions[[#This Row],[discount_pct]]),2)</f>
        <v>562.29999999999995</v>
      </c>
      <c r="L1302" t="str">
        <f>IF(ABS(tblTransactions[[#This Row],[net_sales_inr]]-tblTransactions[[#This Row],[Recalc_Net_Sales]])&lt;0.02,"OK","CHECK")</f>
        <v>OK</v>
      </c>
      <c r="M1302" s="14">
        <f>DATE(YEAR(tblTransactions[[#This Row],[date]]),MONTH(tblTransactions[[#This Row],[date]]),1)</f>
        <v>45748</v>
      </c>
      <c r="N1302" t="str">
        <f>IF(WEEKDAY(tblTransactions[[#This Row],[date]],2)&gt;5,"Weekend","Weekday")</f>
        <v>Weekday</v>
      </c>
      <c r="O130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02" s="13" t="str">
        <f>_xlfn.XLOOKUP(tblTransactions[[#This Row],[tenant_id]],tblTenants[tenant_id],tblTenants[zone],"NOT FOUND")</f>
        <v>Entertainment</v>
      </c>
      <c r="Q1302" s="13" t="str">
        <f>_xlfn.XLOOKUP(tblTransactions[[#This Row],[tenant_id]],tblTenants[tenant_id],tblTenants[category],"NOT FOUND")</f>
        <v>Arcade</v>
      </c>
    </row>
    <row r="1303" spans="1:17">
      <c r="A1303" t="s">
        <v>1347</v>
      </c>
      <c r="B1303" s="2">
        <v>45763</v>
      </c>
      <c r="C1303">
        <v>18</v>
      </c>
      <c r="D1303" t="s">
        <v>122</v>
      </c>
      <c r="E1303" t="s">
        <v>32</v>
      </c>
      <c r="F1303" s="7">
        <v>694.74</v>
      </c>
      <c r="G1303" s="10">
        <v>0</v>
      </c>
      <c r="H1303" s="7">
        <v>694.74</v>
      </c>
      <c r="I1303">
        <v>1</v>
      </c>
      <c r="J1303" t="s">
        <v>16</v>
      </c>
      <c r="K1303" s="13">
        <f>ROUND(tblTransactions[[#This Row],[gross_sales_inr]]*(1-tblTransactions[[#This Row],[discount_pct]]),2)</f>
        <v>694.74</v>
      </c>
      <c r="L1303" t="str">
        <f>IF(ABS(tblTransactions[[#This Row],[net_sales_inr]]-tblTransactions[[#This Row],[Recalc_Net_Sales]])&lt;0.02,"OK","CHECK")</f>
        <v>OK</v>
      </c>
      <c r="M1303" s="14">
        <f>DATE(YEAR(tblTransactions[[#This Row],[date]]),MONTH(tblTransactions[[#This Row],[date]]),1)</f>
        <v>45748</v>
      </c>
      <c r="N1303" t="str">
        <f>IF(WEEKDAY(tblTransactions[[#This Row],[date]],2)&gt;5,"Weekend","Weekday")</f>
        <v>Weekday</v>
      </c>
      <c r="O1303" s="13" t="str">
        <f>IF(tblTransactions[[#This Row],[discount_pct]]=0,"0%",IF(tblTransactions[[#This Row],[discount_pct]]&lt;=10%,"1–
10%",IF(tblTransactions[[#This Row],[discount_pct]]&lt;=20%,"11–20%","&gt;20%")))</f>
        <v>0%</v>
      </c>
      <c r="P1303" s="13" t="str">
        <f>_xlfn.XLOOKUP(tblTransactions[[#This Row],[tenant_id]],tblTenants[tenant_id],tblTenants[zone],"NOT FOUND")</f>
        <v>Beauty &amp; Wellness</v>
      </c>
      <c r="Q1303" s="13" t="str">
        <f>_xlfn.XLOOKUP(tblTransactions[[#This Row],[tenant_id]],tblTenants[tenant_id],tblTenants[category],"NOT FOUND")</f>
        <v>Wellness</v>
      </c>
    </row>
    <row r="1304" spans="1:17">
      <c r="A1304" t="s">
        <v>1348</v>
      </c>
      <c r="B1304" s="2">
        <v>45780</v>
      </c>
      <c r="C1304">
        <v>22</v>
      </c>
      <c r="D1304" t="s">
        <v>20</v>
      </c>
      <c r="E1304" t="s">
        <v>12</v>
      </c>
      <c r="F1304" s="7">
        <v>820.1</v>
      </c>
      <c r="G1304" s="10">
        <v>0.3</v>
      </c>
      <c r="H1304" s="7">
        <v>574.07000000000005</v>
      </c>
      <c r="I1304">
        <v>1</v>
      </c>
      <c r="J1304" t="s">
        <v>13</v>
      </c>
      <c r="K1304" s="13">
        <f>ROUND(tblTransactions[[#This Row],[gross_sales_inr]]*(1-tblTransactions[[#This Row],[discount_pct]]),2)</f>
        <v>574.07000000000005</v>
      </c>
      <c r="L1304" t="str">
        <f>IF(ABS(tblTransactions[[#This Row],[net_sales_inr]]-tblTransactions[[#This Row],[Recalc_Net_Sales]])&lt;0.02,"OK","CHECK")</f>
        <v>OK</v>
      </c>
      <c r="M1304" s="14">
        <f>DATE(YEAR(tblTransactions[[#This Row],[date]]),MONTH(tblTransactions[[#This Row],[date]]),1)</f>
        <v>45778</v>
      </c>
      <c r="N1304" t="str">
        <f>IF(WEEKDAY(tblTransactions[[#This Row],[date]],2)&gt;5,"Weekend","Weekday")</f>
        <v>Weekend</v>
      </c>
      <c r="O130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304" s="13" t="str">
        <f>_xlfn.XLOOKUP(tblTransactions[[#This Row],[tenant_id]],tblTenants[tenant_id],tblTenants[zone],"NOT FOUND")</f>
        <v>Fashion Avenue</v>
      </c>
      <c r="Q1304" s="13" t="str">
        <f>_xlfn.XLOOKUP(tblTransactions[[#This Row],[tenant_id]],tblTenants[tenant_id],tblTenants[category],"NOT FOUND")</f>
        <v>Accessories</v>
      </c>
    </row>
    <row r="1305" spans="1:17">
      <c r="A1305" t="s">
        <v>1349</v>
      </c>
      <c r="B1305" s="2">
        <v>45742</v>
      </c>
      <c r="C1305">
        <v>12</v>
      </c>
      <c r="D1305" t="s">
        <v>53</v>
      </c>
      <c r="E1305" t="s">
        <v>12</v>
      </c>
      <c r="F1305" s="7">
        <v>366.76</v>
      </c>
      <c r="G1305" s="10">
        <v>0</v>
      </c>
      <c r="H1305" s="7">
        <v>366.76</v>
      </c>
      <c r="I1305">
        <v>3</v>
      </c>
      <c r="J1305" t="s">
        <v>13</v>
      </c>
      <c r="K1305" s="13">
        <f>ROUND(tblTransactions[[#This Row],[gross_sales_inr]]*(1-tblTransactions[[#This Row],[discount_pct]]),2)</f>
        <v>366.76</v>
      </c>
      <c r="L1305" t="str">
        <f>IF(ABS(tblTransactions[[#This Row],[net_sales_inr]]-tblTransactions[[#This Row],[Recalc_Net_Sales]])&lt;0.02,"OK","CHECK")</f>
        <v>OK</v>
      </c>
      <c r="M1305" s="14">
        <f>DATE(YEAR(tblTransactions[[#This Row],[date]]),MONTH(tblTransactions[[#This Row],[date]]),1)</f>
        <v>45717</v>
      </c>
      <c r="N1305" t="str">
        <f>IF(WEEKDAY(tblTransactions[[#This Row],[date]],2)&gt;5,"Weekend","Weekday")</f>
        <v>Weekday</v>
      </c>
      <c r="O1305" s="13" t="str">
        <f>IF(tblTransactions[[#This Row],[discount_pct]]=0,"0%",IF(tblTransactions[[#This Row],[discount_pct]]&lt;=10%,"1–
10%",IF(tblTransactions[[#This Row],[discount_pct]]&lt;=20%,"11–20%","&gt;20%")))</f>
        <v>0%</v>
      </c>
      <c r="P1305" s="13" t="str">
        <f>_xlfn.XLOOKUP(tblTransactions[[#This Row],[tenant_id]],tblTenants[tenant_id],tblTenants[zone],"NOT FOUND")</f>
        <v>Beauty &amp; Wellness</v>
      </c>
      <c r="Q1305" s="13" t="str">
        <f>_xlfn.XLOOKUP(tblTransactions[[#This Row],[tenant_id]],tblTenants[tenant_id],tblTenants[category],"NOT FOUND")</f>
        <v>Beauty</v>
      </c>
    </row>
    <row r="1306" spans="1:17">
      <c r="A1306" t="s">
        <v>1350</v>
      </c>
      <c r="B1306" s="2">
        <v>45741</v>
      </c>
      <c r="C1306">
        <v>21</v>
      </c>
      <c r="D1306" t="s">
        <v>204</v>
      </c>
      <c r="E1306" t="s">
        <v>12</v>
      </c>
      <c r="F1306" s="7">
        <v>687.55</v>
      </c>
      <c r="G1306" s="10">
        <v>0</v>
      </c>
      <c r="H1306" s="7">
        <v>687.55</v>
      </c>
      <c r="I1306">
        <v>3</v>
      </c>
      <c r="J1306" t="s">
        <v>16</v>
      </c>
      <c r="K1306" s="13">
        <f>ROUND(tblTransactions[[#This Row],[gross_sales_inr]]*(1-tblTransactions[[#This Row],[discount_pct]]),2)</f>
        <v>687.55</v>
      </c>
      <c r="L1306" t="str">
        <f>IF(ABS(tblTransactions[[#This Row],[net_sales_inr]]-tblTransactions[[#This Row],[Recalc_Net_Sales]])&lt;0.02,"OK","CHECK")</f>
        <v>OK</v>
      </c>
      <c r="M1306" s="14">
        <f>DATE(YEAR(tblTransactions[[#This Row],[date]]),MONTH(tblTransactions[[#This Row],[date]]),1)</f>
        <v>45717</v>
      </c>
      <c r="N1306" t="str">
        <f>IF(WEEKDAY(tblTransactions[[#This Row],[date]],2)&gt;5,"Weekend","Weekday")</f>
        <v>Weekday</v>
      </c>
      <c r="O1306" s="13" t="str">
        <f>IF(tblTransactions[[#This Row],[discount_pct]]=0,"0%",IF(tblTransactions[[#This Row],[discount_pct]]&lt;=10%,"1–
10%",IF(tblTransactions[[#This Row],[discount_pct]]&lt;=20%,"11–20%","&gt;20%")))</f>
        <v>0%</v>
      </c>
      <c r="P1306" s="13" t="str">
        <f>_xlfn.XLOOKUP(tblTransactions[[#This Row],[tenant_id]],tblTenants[tenant_id],tblTenants[zone],"NOT FOUND")</f>
        <v>Home &amp; Living</v>
      </c>
      <c r="Q1306" s="13" t="str">
        <f>_xlfn.XLOOKUP(tblTransactions[[#This Row],[tenant_id]],tblTenants[tenant_id],tblTenants[category],"NOT FOUND")</f>
        <v>Home Decor</v>
      </c>
    </row>
    <row r="1307" spans="1:17">
      <c r="A1307" t="s">
        <v>1351</v>
      </c>
      <c r="B1307" s="2">
        <v>45767</v>
      </c>
      <c r="C1307">
        <v>16</v>
      </c>
      <c r="D1307" t="s">
        <v>98</v>
      </c>
      <c r="E1307" t="s">
        <v>12</v>
      </c>
      <c r="F1307" s="7">
        <v>838.59</v>
      </c>
      <c r="G1307" s="10">
        <v>0.3</v>
      </c>
      <c r="H1307" s="7">
        <v>587.01</v>
      </c>
      <c r="I1307">
        <v>5</v>
      </c>
      <c r="J1307" t="s">
        <v>13</v>
      </c>
      <c r="K1307" s="13">
        <f>ROUND(tblTransactions[[#This Row],[gross_sales_inr]]*(1-tblTransactions[[#This Row],[discount_pct]]),2)</f>
        <v>587.01</v>
      </c>
      <c r="L1307" t="str">
        <f>IF(ABS(tblTransactions[[#This Row],[net_sales_inr]]-tblTransactions[[#This Row],[Recalc_Net_Sales]])&lt;0.02,"OK","CHECK")</f>
        <v>OK</v>
      </c>
      <c r="M1307" s="14">
        <f>DATE(YEAR(tblTransactions[[#This Row],[date]]),MONTH(tblTransactions[[#This Row],[date]]),1)</f>
        <v>45748</v>
      </c>
      <c r="N1307" t="str">
        <f>IF(WEEKDAY(tblTransactions[[#This Row],[date]],2)&gt;5,"Weekend","Weekday")</f>
        <v>Weekend</v>
      </c>
      <c r="O130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307" s="13" t="str">
        <f>_xlfn.XLOOKUP(tblTransactions[[#This Row],[tenant_id]],tblTenants[tenant_id],tblTenants[zone],"NOT FOUND")</f>
        <v>Fashion Avenue</v>
      </c>
      <c r="Q1307" s="13" t="str">
        <f>_xlfn.XLOOKUP(tblTransactions[[#This Row],[tenant_id]],tblTenants[tenant_id],tblTenants[category],"NOT FOUND")</f>
        <v>Accessories</v>
      </c>
    </row>
    <row r="1308" spans="1:17">
      <c r="A1308" t="s">
        <v>1352</v>
      </c>
      <c r="B1308" s="2">
        <v>45828</v>
      </c>
      <c r="C1308">
        <v>10</v>
      </c>
      <c r="D1308" t="s">
        <v>104</v>
      </c>
      <c r="E1308" t="s">
        <v>32</v>
      </c>
      <c r="F1308" s="7">
        <v>644.08000000000004</v>
      </c>
      <c r="G1308" s="10">
        <v>0</v>
      </c>
      <c r="H1308" s="7">
        <v>644.08000000000004</v>
      </c>
      <c r="I1308">
        <v>2</v>
      </c>
      <c r="J1308" t="s">
        <v>16</v>
      </c>
      <c r="K1308" s="13">
        <f>ROUND(tblTransactions[[#This Row],[gross_sales_inr]]*(1-tblTransactions[[#This Row],[discount_pct]]),2)</f>
        <v>644.08000000000004</v>
      </c>
      <c r="L1308" t="str">
        <f>IF(ABS(tblTransactions[[#This Row],[net_sales_inr]]-tblTransactions[[#This Row],[Recalc_Net_Sales]])&lt;0.02,"OK","CHECK")</f>
        <v>OK</v>
      </c>
      <c r="M1308" s="14">
        <f>DATE(YEAR(tblTransactions[[#This Row],[date]]),MONTH(tblTransactions[[#This Row],[date]]),1)</f>
        <v>45809</v>
      </c>
      <c r="N1308" t="str">
        <f>IF(WEEKDAY(tblTransactions[[#This Row],[date]],2)&gt;5,"Weekend","Weekday")</f>
        <v>Weekday</v>
      </c>
      <c r="O1308" s="13" t="str">
        <f>IF(tblTransactions[[#This Row],[discount_pct]]=0,"0%",IF(tblTransactions[[#This Row],[discount_pct]]&lt;=10%,"1–
10%",IF(tblTransactions[[#This Row],[discount_pct]]&lt;=20%,"11–20%","&gt;20%")))</f>
        <v>0%</v>
      </c>
      <c r="P1308" s="13" t="str">
        <f>_xlfn.XLOOKUP(tblTransactions[[#This Row],[tenant_id]],tblTenants[tenant_id],tblTenants[zone],"NOT FOUND")</f>
        <v>Entertainment</v>
      </c>
      <c r="Q1308" s="13" t="str">
        <f>_xlfn.XLOOKUP(tblTransactions[[#This Row],[tenant_id]],tblTenants[tenant_id],tblTenants[category],"NOT FOUND")</f>
        <v>Family Entertainment</v>
      </c>
    </row>
    <row r="1309" spans="1:17">
      <c r="A1309" t="s">
        <v>1353</v>
      </c>
      <c r="B1309" s="2">
        <v>45836</v>
      </c>
      <c r="C1309">
        <v>21</v>
      </c>
      <c r="D1309" t="s">
        <v>15</v>
      </c>
      <c r="E1309" t="s">
        <v>12</v>
      </c>
      <c r="F1309" s="7">
        <v>3454.67</v>
      </c>
      <c r="G1309" s="10">
        <v>0</v>
      </c>
      <c r="H1309" s="7">
        <v>3454.67</v>
      </c>
      <c r="I1309">
        <v>2</v>
      </c>
      <c r="J1309" t="s">
        <v>13</v>
      </c>
      <c r="K1309" s="13">
        <f>ROUND(tblTransactions[[#This Row],[gross_sales_inr]]*(1-tblTransactions[[#This Row],[discount_pct]]),2)</f>
        <v>3454.67</v>
      </c>
      <c r="L1309" t="str">
        <f>IF(ABS(tblTransactions[[#This Row],[net_sales_inr]]-tblTransactions[[#This Row],[Recalc_Net_Sales]])&lt;0.02,"OK","CHECK")</f>
        <v>OK</v>
      </c>
      <c r="M1309" s="14">
        <f>DATE(YEAR(tblTransactions[[#This Row],[date]]),MONTH(tblTransactions[[#This Row],[date]]),1)</f>
        <v>45809</v>
      </c>
      <c r="N1309" t="str">
        <f>IF(WEEKDAY(tblTransactions[[#This Row],[date]],2)&gt;5,"Weekend","Weekday")</f>
        <v>Weekend</v>
      </c>
      <c r="O1309" s="13" t="str">
        <f>IF(tblTransactions[[#This Row],[discount_pct]]=0,"0%",IF(tblTransactions[[#This Row],[discount_pct]]&lt;=10%,"1–
10%",IF(tblTransactions[[#This Row],[discount_pct]]&lt;=20%,"11–20%","&gt;20%")))</f>
        <v>0%</v>
      </c>
      <c r="P1309" s="13" t="str">
        <f>_xlfn.XLOOKUP(tblTransactions[[#This Row],[tenant_id]],tblTenants[tenant_id],tblTenants[zone],"NOT FOUND")</f>
        <v>Fashion Avenue</v>
      </c>
      <c r="Q1309" s="13" t="str">
        <f>_xlfn.XLOOKUP(tblTransactions[[#This Row],[tenant_id]],tblTenants[tenant_id],tblTenants[category],"NOT FOUND")</f>
        <v>Accessories</v>
      </c>
    </row>
    <row r="1310" spans="1:17">
      <c r="A1310" t="s">
        <v>1354</v>
      </c>
      <c r="B1310" s="2">
        <v>45716</v>
      </c>
      <c r="C1310">
        <v>17</v>
      </c>
      <c r="D1310" t="s">
        <v>45</v>
      </c>
      <c r="E1310" t="s">
        <v>32</v>
      </c>
      <c r="F1310" s="7">
        <v>424.83</v>
      </c>
      <c r="G1310" s="10">
        <v>0</v>
      </c>
      <c r="H1310" s="7">
        <v>424.83</v>
      </c>
      <c r="I1310">
        <v>1</v>
      </c>
      <c r="J1310" t="s">
        <v>13</v>
      </c>
      <c r="K1310" s="13">
        <f>ROUND(tblTransactions[[#This Row],[gross_sales_inr]]*(1-tblTransactions[[#This Row],[discount_pct]]),2)</f>
        <v>424.83</v>
      </c>
      <c r="L1310" t="str">
        <f>IF(ABS(tblTransactions[[#This Row],[net_sales_inr]]-tblTransactions[[#This Row],[Recalc_Net_Sales]])&lt;0.02,"OK","CHECK")</f>
        <v>OK</v>
      </c>
      <c r="M1310" s="14">
        <f>DATE(YEAR(tblTransactions[[#This Row],[date]]),MONTH(tblTransactions[[#This Row],[date]]),1)</f>
        <v>45689</v>
      </c>
      <c r="N1310" t="str">
        <f>IF(WEEKDAY(tblTransactions[[#This Row],[date]],2)&gt;5,"Weekend","Weekday")</f>
        <v>Weekday</v>
      </c>
      <c r="O1310" s="13" t="str">
        <f>IF(tblTransactions[[#This Row],[discount_pct]]=0,"0%",IF(tblTransactions[[#This Row],[discount_pct]]&lt;=10%,"1–
10%",IF(tblTransactions[[#This Row],[discount_pct]]&lt;=20%,"11–20%","&gt;20%")))</f>
        <v>0%</v>
      </c>
      <c r="P1310" s="13" t="str">
        <f>_xlfn.XLOOKUP(tblTransactions[[#This Row],[tenant_id]],tblTenants[tenant_id],tblTenants[zone],"NOT FOUND")</f>
        <v>Home &amp; Living</v>
      </c>
      <c r="Q1310" s="13" t="str">
        <f>_xlfn.XLOOKUP(tblTransactions[[#This Row],[tenant_id]],tblTenants[tenant_id],tblTenants[category],"NOT FOUND")</f>
        <v>Home Decor</v>
      </c>
    </row>
    <row r="1311" spans="1:17">
      <c r="A1311" t="s">
        <v>1355</v>
      </c>
      <c r="B1311" s="2">
        <v>45798</v>
      </c>
      <c r="C1311">
        <v>18</v>
      </c>
      <c r="D1311" t="s">
        <v>63</v>
      </c>
      <c r="E1311" t="s">
        <v>12</v>
      </c>
      <c r="F1311" s="7">
        <v>285.95</v>
      </c>
      <c r="G1311" s="10">
        <v>0.1</v>
      </c>
      <c r="H1311" s="7">
        <v>257.36</v>
      </c>
      <c r="I1311">
        <v>3</v>
      </c>
      <c r="J1311" t="s">
        <v>16</v>
      </c>
      <c r="K1311" s="13">
        <f>ROUND(tblTransactions[[#This Row],[gross_sales_inr]]*(1-tblTransactions[[#This Row],[discount_pct]]),2)</f>
        <v>257.36</v>
      </c>
      <c r="L1311" t="str">
        <f>IF(ABS(tblTransactions[[#This Row],[net_sales_inr]]-tblTransactions[[#This Row],[Recalc_Net_Sales]])&lt;0.02,"OK","CHECK")</f>
        <v>OK</v>
      </c>
      <c r="M1311" s="14">
        <f>DATE(YEAR(tblTransactions[[#This Row],[date]]),MONTH(tblTransactions[[#This Row],[date]]),1)</f>
        <v>45778</v>
      </c>
      <c r="N1311" t="str">
        <f>IF(WEEKDAY(tblTransactions[[#This Row],[date]],2)&gt;5,"Weekend","Weekday")</f>
        <v>Weekday</v>
      </c>
      <c r="O131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11" s="13" t="str">
        <f>_xlfn.XLOOKUP(tblTransactions[[#This Row],[tenant_id]],tblTenants[tenant_id],tblTenants[zone],"NOT FOUND")</f>
        <v>Entertainment</v>
      </c>
      <c r="Q1311" s="13" t="str">
        <f>_xlfn.XLOOKUP(tblTransactions[[#This Row],[tenant_id]],tblTenants[tenant_id],tblTenants[category],"NOT FOUND")</f>
        <v>Family Entertainment</v>
      </c>
    </row>
    <row r="1312" spans="1:17">
      <c r="A1312" t="s">
        <v>1356</v>
      </c>
      <c r="B1312" s="2">
        <v>45748</v>
      </c>
      <c r="C1312">
        <v>14</v>
      </c>
      <c r="D1312" t="s">
        <v>87</v>
      </c>
      <c r="E1312" t="s">
        <v>12</v>
      </c>
      <c r="F1312" s="7">
        <v>913.27</v>
      </c>
      <c r="G1312" s="10">
        <v>0</v>
      </c>
      <c r="H1312" s="7">
        <v>913.27</v>
      </c>
      <c r="I1312">
        <v>1</v>
      </c>
      <c r="J1312" t="s">
        <v>13</v>
      </c>
      <c r="K1312" s="13">
        <f>ROUND(tblTransactions[[#This Row],[gross_sales_inr]]*(1-tblTransactions[[#This Row],[discount_pct]]),2)</f>
        <v>913.27</v>
      </c>
      <c r="L1312" t="str">
        <f>IF(ABS(tblTransactions[[#This Row],[net_sales_inr]]-tblTransactions[[#This Row],[Recalc_Net_Sales]])&lt;0.02,"OK","CHECK")</f>
        <v>OK</v>
      </c>
      <c r="M1312" s="14">
        <f>DATE(YEAR(tblTransactions[[#This Row],[date]]),MONTH(tblTransactions[[#This Row],[date]]),1)</f>
        <v>45748</v>
      </c>
      <c r="N1312" t="str">
        <f>IF(WEEKDAY(tblTransactions[[#This Row],[date]],2)&gt;5,"Weekend","Weekday")</f>
        <v>Weekday</v>
      </c>
      <c r="O1312" s="13" t="str">
        <f>IF(tblTransactions[[#This Row],[discount_pct]]=0,"0%",IF(tblTransactions[[#This Row],[discount_pct]]&lt;=10%,"1–
10%",IF(tblTransactions[[#This Row],[discount_pct]]&lt;=20%,"11–20%","&gt;20%")))</f>
        <v>0%</v>
      </c>
      <c r="P1312" s="13" t="str">
        <f>_xlfn.XLOOKUP(tblTransactions[[#This Row],[tenant_id]],tblTenants[tenant_id],tblTenants[zone],"NOT FOUND")</f>
        <v>Fashion Avenue</v>
      </c>
      <c r="Q1312" s="13" t="str">
        <f>_xlfn.XLOOKUP(tblTransactions[[#This Row],[tenant_id]],tblTenants[tenant_id],tblTenants[category],"NOT FOUND")</f>
        <v>Footwear</v>
      </c>
    </row>
    <row r="1313" spans="1:17">
      <c r="A1313" t="s">
        <v>1357</v>
      </c>
      <c r="B1313" s="2">
        <v>45742</v>
      </c>
      <c r="C1313">
        <v>19</v>
      </c>
      <c r="D1313" t="s">
        <v>41</v>
      </c>
      <c r="E1313" t="s">
        <v>12</v>
      </c>
      <c r="F1313" s="7">
        <v>2319.31</v>
      </c>
      <c r="G1313" s="10">
        <v>0</v>
      </c>
      <c r="H1313" s="7">
        <v>2319.31</v>
      </c>
      <c r="I1313">
        <v>2</v>
      </c>
      <c r="J1313" t="s">
        <v>13</v>
      </c>
      <c r="K1313" s="13">
        <f>ROUND(tblTransactions[[#This Row],[gross_sales_inr]]*(1-tblTransactions[[#This Row],[discount_pct]]),2)</f>
        <v>2319.31</v>
      </c>
      <c r="L1313" t="str">
        <f>IF(ABS(tblTransactions[[#This Row],[net_sales_inr]]-tblTransactions[[#This Row],[Recalc_Net_Sales]])&lt;0.02,"OK","CHECK")</f>
        <v>OK</v>
      </c>
      <c r="M1313" s="14">
        <f>DATE(YEAR(tblTransactions[[#This Row],[date]]),MONTH(tblTransactions[[#This Row],[date]]),1)</f>
        <v>45717</v>
      </c>
      <c r="N1313" t="str">
        <f>IF(WEEKDAY(tblTransactions[[#This Row],[date]],2)&gt;5,"Weekend","Weekday")</f>
        <v>Weekday</v>
      </c>
      <c r="O1313" s="13" t="str">
        <f>IF(tblTransactions[[#This Row],[discount_pct]]=0,"0%",IF(tblTransactions[[#This Row],[discount_pct]]&lt;=10%,"1–
10%",IF(tblTransactions[[#This Row],[discount_pct]]&lt;=20%,"11–20%","&gt;20%")))</f>
        <v>0%</v>
      </c>
      <c r="P1313" s="13" t="str">
        <f>_xlfn.XLOOKUP(tblTransactions[[#This Row],[tenant_id]],tblTenants[tenant_id],tblTenants[zone],"NOT FOUND")</f>
        <v>Fashion Avenue</v>
      </c>
      <c r="Q1313" s="13" t="str">
        <f>_xlfn.XLOOKUP(tblTransactions[[#This Row],[tenant_id]],tblTenants[tenant_id],tblTenants[category],"NOT FOUND")</f>
        <v>Clothing</v>
      </c>
    </row>
    <row r="1314" spans="1:17">
      <c r="A1314" t="s">
        <v>1358</v>
      </c>
      <c r="B1314" s="2">
        <v>45792</v>
      </c>
      <c r="C1314">
        <v>13</v>
      </c>
      <c r="D1314" t="s">
        <v>98</v>
      </c>
      <c r="E1314" t="s">
        <v>32</v>
      </c>
      <c r="F1314" s="7">
        <v>1071.6500000000001</v>
      </c>
      <c r="G1314" s="10">
        <v>0.3</v>
      </c>
      <c r="H1314" s="7">
        <v>750.15</v>
      </c>
      <c r="I1314">
        <v>3</v>
      </c>
      <c r="J1314" t="s">
        <v>16</v>
      </c>
      <c r="K1314" s="13">
        <f>ROUND(tblTransactions[[#This Row],[gross_sales_inr]]*(1-tblTransactions[[#This Row],[discount_pct]]),2)</f>
        <v>750.16</v>
      </c>
      <c r="L1314" t="str">
        <f>IF(ABS(tblTransactions[[#This Row],[net_sales_inr]]-tblTransactions[[#This Row],[Recalc_Net_Sales]])&lt;0.02,"OK","CHECK")</f>
        <v>OK</v>
      </c>
      <c r="M1314" s="14">
        <f>DATE(YEAR(tblTransactions[[#This Row],[date]]),MONTH(tblTransactions[[#This Row],[date]]),1)</f>
        <v>45778</v>
      </c>
      <c r="N1314" t="str">
        <f>IF(WEEKDAY(tblTransactions[[#This Row],[date]],2)&gt;5,"Weekend","Weekday")</f>
        <v>Weekday</v>
      </c>
      <c r="O131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314" s="13" t="str">
        <f>_xlfn.XLOOKUP(tblTransactions[[#This Row],[tenant_id]],tblTenants[tenant_id],tblTenants[zone],"NOT FOUND")</f>
        <v>Fashion Avenue</v>
      </c>
      <c r="Q1314" s="13" t="str">
        <f>_xlfn.XLOOKUP(tblTransactions[[#This Row],[tenant_id]],tblTenants[tenant_id],tblTenants[category],"NOT FOUND")</f>
        <v>Accessories</v>
      </c>
    </row>
    <row r="1315" spans="1:17">
      <c r="A1315" t="s">
        <v>1359</v>
      </c>
      <c r="B1315" s="2">
        <v>45667</v>
      </c>
      <c r="C1315">
        <v>18</v>
      </c>
      <c r="D1315" t="s">
        <v>70</v>
      </c>
      <c r="E1315" t="s">
        <v>51</v>
      </c>
      <c r="F1315" s="7">
        <v>912.9</v>
      </c>
      <c r="G1315" s="10">
        <v>0</v>
      </c>
      <c r="H1315" s="7">
        <v>912.9</v>
      </c>
      <c r="I1315">
        <v>3</v>
      </c>
      <c r="J1315" t="s">
        <v>16</v>
      </c>
      <c r="K1315" s="13">
        <f>ROUND(tblTransactions[[#This Row],[gross_sales_inr]]*(1-tblTransactions[[#This Row],[discount_pct]]),2)</f>
        <v>912.9</v>
      </c>
      <c r="L1315" t="str">
        <f>IF(ABS(tblTransactions[[#This Row],[net_sales_inr]]-tblTransactions[[#This Row],[Recalc_Net_Sales]])&lt;0.02,"OK","CHECK")</f>
        <v>OK</v>
      </c>
      <c r="M1315" s="14">
        <f>DATE(YEAR(tblTransactions[[#This Row],[date]]),MONTH(tblTransactions[[#This Row],[date]]),1)</f>
        <v>45658</v>
      </c>
      <c r="N1315" t="str">
        <f>IF(WEEKDAY(tblTransactions[[#This Row],[date]],2)&gt;5,"Weekend","Weekday")</f>
        <v>Weekday</v>
      </c>
      <c r="O1315" s="13" t="str">
        <f>IF(tblTransactions[[#This Row],[discount_pct]]=0,"0%",IF(tblTransactions[[#This Row],[discount_pct]]&lt;=10%,"1–
10%",IF(tblTransactions[[#This Row],[discount_pct]]&lt;=20%,"11–20%","&gt;20%")))</f>
        <v>0%</v>
      </c>
      <c r="P1315" s="13" t="str">
        <f>_xlfn.XLOOKUP(tblTransactions[[#This Row],[tenant_id]],tblTenants[tenant_id],tblTenants[zone],"NOT FOUND")</f>
        <v>Food Court</v>
      </c>
      <c r="Q1315" s="13" t="str">
        <f>_xlfn.XLOOKUP(tblTransactions[[#This Row],[tenant_id]],tblTenants[tenant_id],tblTenants[category],"NOT FOUND")</f>
        <v>Quick Service</v>
      </c>
    </row>
    <row r="1316" spans="1:17">
      <c r="A1316" t="s">
        <v>1360</v>
      </c>
      <c r="B1316" s="2">
        <v>45783</v>
      </c>
      <c r="C1316">
        <v>20</v>
      </c>
      <c r="D1316" t="s">
        <v>34</v>
      </c>
      <c r="E1316" t="s">
        <v>21</v>
      </c>
      <c r="F1316" s="7">
        <v>1460.67</v>
      </c>
      <c r="G1316" s="10">
        <v>0</v>
      </c>
      <c r="H1316" s="7">
        <v>1460.67</v>
      </c>
      <c r="I1316">
        <v>2</v>
      </c>
      <c r="J1316" t="s">
        <v>13</v>
      </c>
      <c r="K1316" s="13">
        <f>ROUND(tblTransactions[[#This Row],[gross_sales_inr]]*(1-tblTransactions[[#This Row],[discount_pct]]),2)</f>
        <v>1460.67</v>
      </c>
      <c r="L1316" t="str">
        <f>IF(ABS(tblTransactions[[#This Row],[net_sales_inr]]-tblTransactions[[#This Row],[Recalc_Net_Sales]])&lt;0.02,"OK","CHECK")</f>
        <v>OK</v>
      </c>
      <c r="M1316" s="14">
        <f>DATE(YEAR(tblTransactions[[#This Row],[date]]),MONTH(tblTransactions[[#This Row],[date]]),1)</f>
        <v>45778</v>
      </c>
      <c r="N1316" t="str">
        <f>IF(WEEKDAY(tblTransactions[[#This Row],[date]],2)&gt;5,"Weekend","Weekday")</f>
        <v>Weekday</v>
      </c>
      <c r="O1316" s="13" t="str">
        <f>IF(tblTransactions[[#This Row],[discount_pct]]=0,"0%",IF(tblTransactions[[#This Row],[discount_pct]]&lt;=10%,"1–
10%",IF(tblTransactions[[#This Row],[discount_pct]]&lt;=20%,"11–20%","&gt;20%")))</f>
        <v>0%</v>
      </c>
      <c r="P1316" s="13" t="str">
        <f>_xlfn.XLOOKUP(tblTransactions[[#This Row],[tenant_id]],tblTenants[tenant_id],tblTenants[zone],"NOT FOUND")</f>
        <v>Home &amp; Living</v>
      </c>
      <c r="Q1316" s="13" t="str">
        <f>_xlfn.XLOOKUP(tblTransactions[[#This Row],[tenant_id]],tblTenants[tenant_id],tblTenants[category],"NOT FOUND")</f>
        <v>Electronics</v>
      </c>
    </row>
    <row r="1317" spans="1:17">
      <c r="A1317" t="s">
        <v>1361</v>
      </c>
      <c r="B1317" s="2">
        <v>45820</v>
      </c>
      <c r="C1317">
        <v>18</v>
      </c>
      <c r="D1317" t="s">
        <v>18</v>
      </c>
      <c r="E1317" t="s">
        <v>12</v>
      </c>
      <c r="F1317" s="7">
        <v>848.07</v>
      </c>
      <c r="G1317" s="10">
        <v>0</v>
      </c>
      <c r="H1317" s="7">
        <v>848.07</v>
      </c>
      <c r="I1317">
        <v>1</v>
      </c>
      <c r="J1317" t="s">
        <v>13</v>
      </c>
      <c r="K1317" s="13">
        <f>ROUND(tblTransactions[[#This Row],[gross_sales_inr]]*(1-tblTransactions[[#This Row],[discount_pct]]),2)</f>
        <v>848.07</v>
      </c>
      <c r="L1317" t="str">
        <f>IF(ABS(tblTransactions[[#This Row],[net_sales_inr]]-tblTransactions[[#This Row],[Recalc_Net_Sales]])&lt;0.02,"OK","CHECK")</f>
        <v>OK</v>
      </c>
      <c r="M1317" s="14">
        <f>DATE(YEAR(tblTransactions[[#This Row],[date]]),MONTH(tblTransactions[[#This Row],[date]]),1)</f>
        <v>45809</v>
      </c>
      <c r="N1317" t="str">
        <f>IF(WEEKDAY(tblTransactions[[#This Row],[date]],2)&gt;5,"Weekend","Weekday")</f>
        <v>Weekday</v>
      </c>
      <c r="O1317" s="13" t="str">
        <f>IF(tblTransactions[[#This Row],[discount_pct]]=0,"0%",IF(tblTransactions[[#This Row],[discount_pct]]&lt;=10%,"1–
10%",IF(tblTransactions[[#This Row],[discount_pct]]&lt;=20%,"11–20%","&gt;20%")))</f>
        <v>0%</v>
      </c>
      <c r="P1317" s="13" t="str">
        <f>_xlfn.XLOOKUP(tblTransactions[[#This Row],[tenant_id]],tblTenants[tenant_id],tblTenants[zone],"NOT FOUND")</f>
        <v>Beauty &amp; Wellness</v>
      </c>
      <c r="Q1317" s="13" t="str">
        <f>_xlfn.XLOOKUP(tblTransactions[[#This Row],[tenant_id]],tblTenants[tenant_id],tblTenants[category],"NOT FOUND")</f>
        <v>Beauty</v>
      </c>
    </row>
    <row r="1318" spans="1:17">
      <c r="A1318" t="s">
        <v>1362</v>
      </c>
      <c r="B1318" s="2">
        <v>45810</v>
      </c>
      <c r="C1318">
        <v>21</v>
      </c>
      <c r="D1318" t="s">
        <v>45</v>
      </c>
      <c r="E1318" t="s">
        <v>12</v>
      </c>
      <c r="F1318" s="7">
        <v>910.22</v>
      </c>
      <c r="G1318" s="10">
        <v>0.1</v>
      </c>
      <c r="H1318" s="7">
        <v>819.2</v>
      </c>
      <c r="I1318">
        <v>4</v>
      </c>
      <c r="J1318" t="s">
        <v>13</v>
      </c>
      <c r="K1318" s="13">
        <f>ROUND(tblTransactions[[#This Row],[gross_sales_inr]]*(1-tblTransactions[[#This Row],[discount_pct]]),2)</f>
        <v>819.2</v>
      </c>
      <c r="L1318" t="str">
        <f>IF(ABS(tblTransactions[[#This Row],[net_sales_inr]]-tblTransactions[[#This Row],[Recalc_Net_Sales]])&lt;0.02,"OK","CHECK")</f>
        <v>OK</v>
      </c>
      <c r="M1318" s="14">
        <f>DATE(YEAR(tblTransactions[[#This Row],[date]]),MONTH(tblTransactions[[#This Row],[date]]),1)</f>
        <v>45809</v>
      </c>
      <c r="N1318" t="str">
        <f>IF(WEEKDAY(tblTransactions[[#This Row],[date]],2)&gt;5,"Weekend","Weekday")</f>
        <v>Weekday</v>
      </c>
      <c r="O131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18" s="13" t="str">
        <f>_xlfn.XLOOKUP(tblTransactions[[#This Row],[tenant_id]],tblTenants[tenant_id],tblTenants[zone],"NOT FOUND")</f>
        <v>Home &amp; Living</v>
      </c>
      <c r="Q1318" s="13" t="str">
        <f>_xlfn.XLOOKUP(tblTransactions[[#This Row],[tenant_id]],tblTenants[tenant_id],tblTenants[category],"NOT FOUND")</f>
        <v>Home Decor</v>
      </c>
    </row>
    <row r="1319" spans="1:17">
      <c r="A1319" t="s">
        <v>1363</v>
      </c>
      <c r="B1319" s="2">
        <v>45673</v>
      </c>
      <c r="C1319">
        <v>20</v>
      </c>
      <c r="D1319" t="s">
        <v>104</v>
      </c>
      <c r="E1319" t="s">
        <v>21</v>
      </c>
      <c r="F1319" s="7">
        <v>1424.18</v>
      </c>
      <c r="G1319" s="10">
        <v>0</v>
      </c>
      <c r="H1319" s="7">
        <v>1424.18</v>
      </c>
      <c r="I1319">
        <v>1</v>
      </c>
      <c r="J1319" t="s">
        <v>16</v>
      </c>
      <c r="K1319" s="13">
        <f>ROUND(tblTransactions[[#This Row],[gross_sales_inr]]*(1-tblTransactions[[#This Row],[discount_pct]]),2)</f>
        <v>1424.18</v>
      </c>
      <c r="L1319" t="str">
        <f>IF(ABS(tblTransactions[[#This Row],[net_sales_inr]]-tblTransactions[[#This Row],[Recalc_Net_Sales]])&lt;0.02,"OK","CHECK")</f>
        <v>OK</v>
      </c>
      <c r="M1319" s="14">
        <f>DATE(YEAR(tblTransactions[[#This Row],[date]]),MONTH(tblTransactions[[#This Row],[date]]),1)</f>
        <v>45658</v>
      </c>
      <c r="N1319" t="str">
        <f>IF(WEEKDAY(tblTransactions[[#This Row],[date]],2)&gt;5,"Weekend","Weekday")</f>
        <v>Weekday</v>
      </c>
      <c r="O1319" s="13" t="str">
        <f>IF(tblTransactions[[#This Row],[discount_pct]]=0,"0%",IF(tblTransactions[[#This Row],[discount_pct]]&lt;=10%,"1–
10%",IF(tblTransactions[[#This Row],[discount_pct]]&lt;=20%,"11–20%","&gt;20%")))</f>
        <v>0%</v>
      </c>
      <c r="P1319" s="13" t="str">
        <f>_xlfn.XLOOKUP(tblTransactions[[#This Row],[tenant_id]],tblTenants[tenant_id],tblTenants[zone],"NOT FOUND")</f>
        <v>Entertainment</v>
      </c>
      <c r="Q1319" s="13" t="str">
        <f>_xlfn.XLOOKUP(tblTransactions[[#This Row],[tenant_id]],tblTenants[tenant_id],tblTenants[category],"NOT FOUND")</f>
        <v>Family Entertainment</v>
      </c>
    </row>
    <row r="1320" spans="1:17">
      <c r="A1320" t="s">
        <v>1364</v>
      </c>
      <c r="B1320" s="2">
        <v>45720</v>
      </c>
      <c r="C1320">
        <v>13</v>
      </c>
      <c r="D1320" t="s">
        <v>25</v>
      </c>
      <c r="E1320" t="s">
        <v>32</v>
      </c>
      <c r="F1320" s="7">
        <v>2303.2800000000002</v>
      </c>
      <c r="G1320" s="10">
        <v>0.3</v>
      </c>
      <c r="H1320" s="7">
        <v>1612.3</v>
      </c>
      <c r="I1320">
        <v>1</v>
      </c>
      <c r="J1320" t="s">
        <v>13</v>
      </c>
      <c r="K1320" s="13">
        <f>ROUND(tblTransactions[[#This Row],[gross_sales_inr]]*(1-tblTransactions[[#This Row],[discount_pct]]),2)</f>
        <v>1612.3</v>
      </c>
      <c r="L1320" t="str">
        <f>IF(ABS(tblTransactions[[#This Row],[net_sales_inr]]-tblTransactions[[#This Row],[Recalc_Net_Sales]])&lt;0.02,"OK","CHECK")</f>
        <v>OK</v>
      </c>
      <c r="M1320" s="14">
        <f>DATE(YEAR(tblTransactions[[#This Row],[date]]),MONTH(tblTransactions[[#This Row],[date]]),1)</f>
        <v>45717</v>
      </c>
      <c r="N1320" t="str">
        <f>IF(WEEKDAY(tblTransactions[[#This Row],[date]],2)&gt;5,"Weekend","Weekday")</f>
        <v>Weekday</v>
      </c>
      <c r="O132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320" s="13" t="str">
        <f>_xlfn.XLOOKUP(tblTransactions[[#This Row],[tenant_id]],tblTenants[tenant_id],tblTenants[zone],"NOT FOUND")</f>
        <v>Beauty &amp; Wellness</v>
      </c>
      <c r="Q1320" s="13" t="str">
        <f>_xlfn.XLOOKUP(tblTransactions[[#This Row],[tenant_id]],tblTenants[tenant_id],tblTenants[category],"NOT FOUND")</f>
        <v>Beauty</v>
      </c>
    </row>
    <row r="1321" spans="1:17">
      <c r="A1321" t="s">
        <v>1365</v>
      </c>
      <c r="B1321" s="2">
        <v>45821</v>
      </c>
      <c r="C1321">
        <v>21</v>
      </c>
      <c r="D1321" t="s">
        <v>27</v>
      </c>
      <c r="E1321" t="s">
        <v>32</v>
      </c>
      <c r="F1321" s="7">
        <v>537.53</v>
      </c>
      <c r="G1321" s="10">
        <v>0.3</v>
      </c>
      <c r="H1321" s="7">
        <v>376.27</v>
      </c>
      <c r="I1321">
        <v>1</v>
      </c>
      <c r="J1321" t="s">
        <v>13</v>
      </c>
      <c r="K1321" s="13">
        <f>ROUND(tblTransactions[[#This Row],[gross_sales_inr]]*(1-tblTransactions[[#This Row],[discount_pct]]),2)</f>
        <v>376.27</v>
      </c>
      <c r="L1321" t="str">
        <f>IF(ABS(tblTransactions[[#This Row],[net_sales_inr]]-tblTransactions[[#This Row],[Recalc_Net_Sales]])&lt;0.02,"OK","CHECK")</f>
        <v>OK</v>
      </c>
      <c r="M1321" s="14">
        <f>DATE(YEAR(tblTransactions[[#This Row],[date]]),MONTH(tblTransactions[[#This Row],[date]]),1)</f>
        <v>45809</v>
      </c>
      <c r="N1321" t="str">
        <f>IF(WEEKDAY(tblTransactions[[#This Row],[date]],2)&gt;5,"Weekend","Weekday")</f>
        <v>Weekday</v>
      </c>
      <c r="O1321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321" s="13" t="str">
        <f>_xlfn.XLOOKUP(tblTransactions[[#This Row],[tenant_id]],tblTenants[tenant_id],tblTenants[zone],"NOT FOUND")</f>
        <v>Beauty &amp; Wellness</v>
      </c>
      <c r="Q1321" s="13" t="str">
        <f>_xlfn.XLOOKUP(tblTransactions[[#This Row],[tenant_id]],tblTenants[tenant_id],tblTenants[category],"NOT FOUND")</f>
        <v>Wellness</v>
      </c>
    </row>
    <row r="1322" spans="1:17">
      <c r="A1322" t="s">
        <v>1366</v>
      </c>
      <c r="B1322" s="2">
        <v>45681</v>
      </c>
      <c r="C1322">
        <v>15</v>
      </c>
      <c r="D1322" t="s">
        <v>15</v>
      </c>
      <c r="E1322" t="s">
        <v>12</v>
      </c>
      <c r="F1322" s="7">
        <v>1301.46</v>
      </c>
      <c r="G1322" s="10">
        <v>0</v>
      </c>
      <c r="H1322" s="7">
        <v>1301.46</v>
      </c>
      <c r="I1322">
        <v>2</v>
      </c>
      <c r="J1322" t="s">
        <v>13</v>
      </c>
      <c r="K1322" s="13">
        <f>ROUND(tblTransactions[[#This Row],[gross_sales_inr]]*(1-tblTransactions[[#This Row],[discount_pct]]),2)</f>
        <v>1301.46</v>
      </c>
      <c r="L1322" t="str">
        <f>IF(ABS(tblTransactions[[#This Row],[net_sales_inr]]-tblTransactions[[#This Row],[Recalc_Net_Sales]])&lt;0.02,"OK","CHECK")</f>
        <v>OK</v>
      </c>
      <c r="M1322" s="14">
        <f>DATE(YEAR(tblTransactions[[#This Row],[date]]),MONTH(tblTransactions[[#This Row],[date]]),1)</f>
        <v>45658</v>
      </c>
      <c r="N1322" t="str">
        <f>IF(WEEKDAY(tblTransactions[[#This Row],[date]],2)&gt;5,"Weekend","Weekday")</f>
        <v>Weekday</v>
      </c>
      <c r="O1322" s="13" t="str">
        <f>IF(tblTransactions[[#This Row],[discount_pct]]=0,"0%",IF(tblTransactions[[#This Row],[discount_pct]]&lt;=10%,"1–
10%",IF(tblTransactions[[#This Row],[discount_pct]]&lt;=20%,"11–20%","&gt;20%")))</f>
        <v>0%</v>
      </c>
      <c r="P1322" s="13" t="str">
        <f>_xlfn.XLOOKUP(tblTransactions[[#This Row],[tenant_id]],tblTenants[tenant_id],tblTenants[zone],"NOT FOUND")</f>
        <v>Fashion Avenue</v>
      </c>
      <c r="Q1322" s="13" t="str">
        <f>_xlfn.XLOOKUP(tblTransactions[[#This Row],[tenant_id]],tblTenants[tenant_id],tblTenants[category],"NOT FOUND")</f>
        <v>Accessories</v>
      </c>
    </row>
    <row r="1323" spans="1:17">
      <c r="A1323" t="s">
        <v>1367</v>
      </c>
      <c r="B1323" s="2">
        <v>45787</v>
      </c>
      <c r="C1323">
        <v>20</v>
      </c>
      <c r="D1323" t="s">
        <v>43</v>
      </c>
      <c r="E1323" t="s">
        <v>51</v>
      </c>
      <c r="F1323" s="7">
        <v>1228.9100000000001</v>
      </c>
      <c r="G1323" s="10">
        <v>0.3</v>
      </c>
      <c r="H1323" s="7">
        <v>860.24</v>
      </c>
      <c r="I1323">
        <v>2</v>
      </c>
      <c r="J1323" t="s">
        <v>16</v>
      </c>
      <c r="K1323" s="13">
        <f>ROUND(tblTransactions[[#This Row],[gross_sales_inr]]*(1-tblTransactions[[#This Row],[discount_pct]]),2)</f>
        <v>860.24</v>
      </c>
      <c r="L1323" t="str">
        <f>IF(ABS(tblTransactions[[#This Row],[net_sales_inr]]-tblTransactions[[#This Row],[Recalc_Net_Sales]])&lt;0.02,"OK","CHECK")</f>
        <v>OK</v>
      </c>
      <c r="M1323" s="14">
        <f>DATE(YEAR(tblTransactions[[#This Row],[date]]),MONTH(tblTransactions[[#This Row],[date]]),1)</f>
        <v>45778</v>
      </c>
      <c r="N1323" t="str">
        <f>IF(WEEKDAY(tblTransactions[[#This Row],[date]],2)&gt;5,"Weekend","Weekday")</f>
        <v>Weekend</v>
      </c>
      <c r="O1323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323" s="13" t="str">
        <f>_xlfn.XLOOKUP(tblTransactions[[#This Row],[tenant_id]],tblTenants[tenant_id],tblTenants[zone],"NOT FOUND")</f>
        <v>Food Court</v>
      </c>
      <c r="Q1323" s="13" t="str">
        <f>_xlfn.XLOOKUP(tblTransactions[[#This Row],[tenant_id]],tblTenants[tenant_id],tblTenants[category],"NOT FOUND")</f>
        <v>Casual Dining</v>
      </c>
    </row>
    <row r="1324" spans="1:17">
      <c r="A1324" t="s">
        <v>1368</v>
      </c>
      <c r="B1324" s="2">
        <v>45824</v>
      </c>
      <c r="C1324">
        <v>13</v>
      </c>
      <c r="D1324" t="s">
        <v>45</v>
      </c>
      <c r="E1324" t="s">
        <v>12</v>
      </c>
      <c r="F1324" s="7">
        <v>1451.62</v>
      </c>
      <c r="G1324" s="10">
        <v>0.15</v>
      </c>
      <c r="H1324" s="7">
        <v>1233.8800000000001</v>
      </c>
      <c r="I1324">
        <v>2</v>
      </c>
      <c r="J1324" t="s">
        <v>13</v>
      </c>
      <c r="K1324" s="13">
        <f>ROUND(tblTransactions[[#This Row],[gross_sales_inr]]*(1-tblTransactions[[#This Row],[discount_pct]]),2)</f>
        <v>1233.8800000000001</v>
      </c>
      <c r="L1324" t="str">
        <f>IF(ABS(tblTransactions[[#This Row],[net_sales_inr]]-tblTransactions[[#This Row],[Recalc_Net_Sales]])&lt;0.02,"OK","CHECK")</f>
        <v>OK</v>
      </c>
      <c r="M1324" s="14">
        <f>DATE(YEAR(tblTransactions[[#This Row],[date]]),MONTH(tblTransactions[[#This Row],[date]]),1)</f>
        <v>45809</v>
      </c>
      <c r="N1324" t="str">
        <f>IF(WEEKDAY(tblTransactions[[#This Row],[date]],2)&gt;5,"Weekend","Weekday")</f>
        <v>Weekday</v>
      </c>
      <c r="O132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24" s="13" t="str">
        <f>_xlfn.XLOOKUP(tblTransactions[[#This Row],[tenant_id]],tblTenants[tenant_id],tblTenants[zone],"NOT FOUND")</f>
        <v>Home &amp; Living</v>
      </c>
      <c r="Q1324" s="13" t="str">
        <f>_xlfn.XLOOKUP(tblTransactions[[#This Row],[tenant_id]],tblTenants[tenant_id],tblTenants[category],"NOT FOUND")</f>
        <v>Home Decor</v>
      </c>
    </row>
    <row r="1325" spans="1:17">
      <c r="A1325" t="s">
        <v>1369</v>
      </c>
      <c r="B1325" s="2">
        <v>45763</v>
      </c>
      <c r="C1325">
        <v>22</v>
      </c>
      <c r="D1325" t="s">
        <v>15</v>
      </c>
      <c r="E1325" t="s">
        <v>12</v>
      </c>
      <c r="F1325" s="7">
        <v>713.85</v>
      </c>
      <c r="G1325" s="10">
        <v>0.2</v>
      </c>
      <c r="H1325" s="7">
        <v>571.08000000000004</v>
      </c>
      <c r="I1325">
        <v>3</v>
      </c>
      <c r="J1325" t="s">
        <v>13</v>
      </c>
      <c r="K1325" s="13">
        <f>ROUND(tblTransactions[[#This Row],[gross_sales_inr]]*(1-tblTransactions[[#This Row],[discount_pct]]),2)</f>
        <v>571.08000000000004</v>
      </c>
      <c r="L1325" t="str">
        <f>IF(ABS(tblTransactions[[#This Row],[net_sales_inr]]-tblTransactions[[#This Row],[Recalc_Net_Sales]])&lt;0.02,"OK","CHECK")</f>
        <v>OK</v>
      </c>
      <c r="M1325" s="14">
        <f>DATE(YEAR(tblTransactions[[#This Row],[date]]),MONTH(tblTransactions[[#This Row],[date]]),1)</f>
        <v>45748</v>
      </c>
      <c r="N1325" t="str">
        <f>IF(WEEKDAY(tblTransactions[[#This Row],[date]],2)&gt;5,"Weekend","Weekday")</f>
        <v>Weekday</v>
      </c>
      <c r="O132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25" s="13" t="str">
        <f>_xlfn.XLOOKUP(tblTransactions[[#This Row],[tenant_id]],tblTenants[tenant_id],tblTenants[zone],"NOT FOUND")</f>
        <v>Fashion Avenue</v>
      </c>
      <c r="Q1325" s="13" t="str">
        <f>_xlfn.XLOOKUP(tblTransactions[[#This Row],[tenant_id]],tblTenants[tenant_id],tblTenants[category],"NOT FOUND")</f>
        <v>Accessories</v>
      </c>
    </row>
    <row r="1326" spans="1:17">
      <c r="A1326" t="s">
        <v>1370</v>
      </c>
      <c r="B1326" s="2">
        <v>45694</v>
      </c>
      <c r="C1326">
        <v>11</v>
      </c>
      <c r="D1326" t="s">
        <v>55</v>
      </c>
      <c r="E1326" t="s">
        <v>12</v>
      </c>
      <c r="F1326" s="7">
        <v>1963.62</v>
      </c>
      <c r="G1326" s="10">
        <v>0.15</v>
      </c>
      <c r="H1326" s="7">
        <v>1669.08</v>
      </c>
      <c r="I1326">
        <v>2</v>
      </c>
      <c r="J1326" t="s">
        <v>13</v>
      </c>
      <c r="K1326" s="13">
        <f>ROUND(tblTransactions[[#This Row],[gross_sales_inr]]*(1-tblTransactions[[#This Row],[discount_pct]]),2)</f>
        <v>1669.08</v>
      </c>
      <c r="L1326" t="str">
        <f>IF(ABS(tblTransactions[[#This Row],[net_sales_inr]]-tblTransactions[[#This Row],[Recalc_Net_Sales]])&lt;0.02,"OK","CHECK")</f>
        <v>OK</v>
      </c>
      <c r="M1326" s="14">
        <f>DATE(YEAR(tblTransactions[[#This Row],[date]]),MONTH(tblTransactions[[#This Row],[date]]),1)</f>
        <v>45689</v>
      </c>
      <c r="N1326" t="str">
        <f>IF(WEEKDAY(tblTransactions[[#This Row],[date]],2)&gt;5,"Weekend","Weekday")</f>
        <v>Weekday</v>
      </c>
      <c r="O132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26" s="13" t="str">
        <f>_xlfn.XLOOKUP(tblTransactions[[#This Row],[tenant_id]],tblTenants[tenant_id],tblTenants[zone],"NOT FOUND")</f>
        <v>Food Court</v>
      </c>
      <c r="Q1326" s="13" t="str">
        <f>_xlfn.XLOOKUP(tblTransactions[[#This Row],[tenant_id]],tblTenants[tenant_id],tblTenants[category],"NOT FOUND")</f>
        <v>Quick Service</v>
      </c>
    </row>
    <row r="1327" spans="1:17">
      <c r="A1327" t="s">
        <v>1371</v>
      </c>
      <c r="B1327" s="2">
        <v>45809</v>
      </c>
      <c r="C1327">
        <v>12</v>
      </c>
      <c r="D1327" t="s">
        <v>80</v>
      </c>
      <c r="E1327" t="s">
        <v>12</v>
      </c>
      <c r="F1327" s="7">
        <v>1071.73</v>
      </c>
      <c r="G1327" s="10">
        <v>0</v>
      </c>
      <c r="H1327" s="7">
        <v>1071.73</v>
      </c>
      <c r="I1327">
        <v>4</v>
      </c>
      <c r="J1327" t="s">
        <v>16</v>
      </c>
      <c r="K1327" s="13">
        <f>ROUND(tblTransactions[[#This Row],[gross_sales_inr]]*(1-tblTransactions[[#This Row],[discount_pct]]),2)</f>
        <v>1071.73</v>
      </c>
      <c r="L1327" t="str">
        <f>IF(ABS(tblTransactions[[#This Row],[net_sales_inr]]-tblTransactions[[#This Row],[Recalc_Net_Sales]])&lt;0.02,"OK","CHECK")</f>
        <v>OK</v>
      </c>
      <c r="M1327" s="14">
        <f>DATE(YEAR(tblTransactions[[#This Row],[date]]),MONTH(tblTransactions[[#This Row],[date]]),1)</f>
        <v>45809</v>
      </c>
      <c r="N1327" t="str">
        <f>IF(WEEKDAY(tblTransactions[[#This Row],[date]],2)&gt;5,"Weekend","Weekday")</f>
        <v>Weekend</v>
      </c>
      <c r="O1327" s="13" t="str">
        <f>IF(tblTransactions[[#This Row],[discount_pct]]=0,"0%",IF(tblTransactions[[#This Row],[discount_pct]]&lt;=10%,"1–
10%",IF(tblTransactions[[#This Row],[discount_pct]]&lt;=20%,"11–20%","&gt;20%")))</f>
        <v>0%</v>
      </c>
      <c r="P1327" s="13" t="str">
        <f>_xlfn.XLOOKUP(tblTransactions[[#This Row],[tenant_id]],tblTenants[tenant_id],tblTenants[zone],"NOT FOUND")</f>
        <v>Food Court</v>
      </c>
      <c r="Q1327" s="13" t="str">
        <f>_xlfn.XLOOKUP(tblTransactions[[#This Row],[tenant_id]],tblTenants[tenant_id],tblTenants[category],"NOT FOUND")</f>
        <v>Casual Dining</v>
      </c>
    </row>
    <row r="1328" spans="1:17">
      <c r="A1328" t="s">
        <v>1372</v>
      </c>
      <c r="B1328" s="2">
        <v>45705</v>
      </c>
      <c r="C1328">
        <v>18</v>
      </c>
      <c r="D1328" t="s">
        <v>85</v>
      </c>
      <c r="E1328" t="s">
        <v>12</v>
      </c>
      <c r="F1328" s="7">
        <v>2204.36</v>
      </c>
      <c r="G1328" s="10">
        <v>0.05</v>
      </c>
      <c r="H1328" s="7">
        <v>2094.14</v>
      </c>
      <c r="I1328">
        <v>4</v>
      </c>
      <c r="J1328" t="s">
        <v>13</v>
      </c>
      <c r="K1328" s="13">
        <f>ROUND(tblTransactions[[#This Row],[gross_sales_inr]]*(1-tblTransactions[[#This Row],[discount_pct]]),2)</f>
        <v>2094.14</v>
      </c>
      <c r="L1328" t="str">
        <f>IF(ABS(tblTransactions[[#This Row],[net_sales_inr]]-tblTransactions[[#This Row],[Recalc_Net_Sales]])&lt;0.02,"OK","CHECK")</f>
        <v>OK</v>
      </c>
      <c r="M1328" s="14">
        <f>DATE(YEAR(tblTransactions[[#This Row],[date]]),MONTH(tblTransactions[[#This Row],[date]]),1)</f>
        <v>45689</v>
      </c>
      <c r="N1328" t="str">
        <f>IF(WEEKDAY(tblTransactions[[#This Row],[date]],2)&gt;5,"Weekend","Weekday")</f>
        <v>Weekday</v>
      </c>
      <c r="O132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28" s="13" t="str">
        <f>_xlfn.XLOOKUP(tblTransactions[[#This Row],[tenant_id]],tblTenants[tenant_id],tblTenants[zone],"NOT FOUND")</f>
        <v>Home &amp; Living</v>
      </c>
      <c r="Q1328" s="13" t="str">
        <f>_xlfn.XLOOKUP(tblTransactions[[#This Row],[tenant_id]],tblTenants[tenant_id],tblTenants[category],"NOT FOUND")</f>
        <v>Electronics</v>
      </c>
    </row>
    <row r="1329" spans="1:17">
      <c r="A1329" t="s">
        <v>1373</v>
      </c>
      <c r="B1329" s="2">
        <v>45734</v>
      </c>
      <c r="C1329">
        <v>20</v>
      </c>
      <c r="D1329" t="s">
        <v>104</v>
      </c>
      <c r="E1329" t="s">
        <v>12</v>
      </c>
      <c r="F1329" s="7">
        <v>1626.98</v>
      </c>
      <c r="G1329" s="10">
        <v>0</v>
      </c>
      <c r="H1329" s="7">
        <v>1626.98</v>
      </c>
      <c r="I1329">
        <v>4</v>
      </c>
      <c r="J1329" t="s">
        <v>13</v>
      </c>
      <c r="K1329" s="13">
        <f>ROUND(tblTransactions[[#This Row],[gross_sales_inr]]*(1-tblTransactions[[#This Row],[discount_pct]]),2)</f>
        <v>1626.98</v>
      </c>
      <c r="L1329" t="str">
        <f>IF(ABS(tblTransactions[[#This Row],[net_sales_inr]]-tblTransactions[[#This Row],[Recalc_Net_Sales]])&lt;0.02,"OK","CHECK")</f>
        <v>OK</v>
      </c>
      <c r="M1329" s="14">
        <f>DATE(YEAR(tblTransactions[[#This Row],[date]]),MONTH(tblTransactions[[#This Row],[date]]),1)</f>
        <v>45717</v>
      </c>
      <c r="N1329" t="str">
        <f>IF(WEEKDAY(tblTransactions[[#This Row],[date]],2)&gt;5,"Weekend","Weekday")</f>
        <v>Weekday</v>
      </c>
      <c r="O1329" s="13" t="str">
        <f>IF(tblTransactions[[#This Row],[discount_pct]]=0,"0%",IF(tblTransactions[[#This Row],[discount_pct]]&lt;=10%,"1–
10%",IF(tblTransactions[[#This Row],[discount_pct]]&lt;=20%,"11–20%","&gt;20%")))</f>
        <v>0%</v>
      </c>
      <c r="P1329" s="13" t="str">
        <f>_xlfn.XLOOKUP(tblTransactions[[#This Row],[tenant_id]],tblTenants[tenant_id],tblTenants[zone],"NOT FOUND")</f>
        <v>Entertainment</v>
      </c>
      <c r="Q1329" s="13" t="str">
        <f>_xlfn.XLOOKUP(tblTransactions[[#This Row],[tenant_id]],tblTenants[tenant_id],tblTenants[category],"NOT FOUND")</f>
        <v>Family Entertainment</v>
      </c>
    </row>
    <row r="1330" spans="1:17">
      <c r="A1330" t="s">
        <v>1374</v>
      </c>
      <c r="B1330" s="2">
        <v>45731</v>
      </c>
      <c r="C1330">
        <v>13</v>
      </c>
      <c r="D1330" t="s">
        <v>20</v>
      </c>
      <c r="E1330" t="s">
        <v>32</v>
      </c>
      <c r="F1330" s="7">
        <v>448.51</v>
      </c>
      <c r="G1330" s="10">
        <v>0</v>
      </c>
      <c r="H1330" s="7">
        <v>448.51</v>
      </c>
      <c r="I1330">
        <v>6</v>
      </c>
      <c r="J1330" t="s">
        <v>16</v>
      </c>
      <c r="K1330" s="13">
        <f>ROUND(tblTransactions[[#This Row],[gross_sales_inr]]*(1-tblTransactions[[#This Row],[discount_pct]]),2)</f>
        <v>448.51</v>
      </c>
      <c r="L1330" t="str">
        <f>IF(ABS(tblTransactions[[#This Row],[net_sales_inr]]-tblTransactions[[#This Row],[Recalc_Net_Sales]])&lt;0.02,"OK","CHECK")</f>
        <v>OK</v>
      </c>
      <c r="M1330" s="14">
        <f>DATE(YEAR(tblTransactions[[#This Row],[date]]),MONTH(tblTransactions[[#This Row],[date]]),1)</f>
        <v>45717</v>
      </c>
      <c r="N1330" t="str">
        <f>IF(WEEKDAY(tblTransactions[[#This Row],[date]],2)&gt;5,"Weekend","Weekday")</f>
        <v>Weekend</v>
      </c>
      <c r="O1330" s="13" t="str">
        <f>IF(tblTransactions[[#This Row],[discount_pct]]=0,"0%",IF(tblTransactions[[#This Row],[discount_pct]]&lt;=10%,"1–
10%",IF(tblTransactions[[#This Row],[discount_pct]]&lt;=20%,"11–20%","&gt;20%")))</f>
        <v>0%</v>
      </c>
      <c r="P1330" s="13" t="str">
        <f>_xlfn.XLOOKUP(tblTransactions[[#This Row],[tenant_id]],tblTenants[tenant_id],tblTenants[zone],"NOT FOUND")</f>
        <v>Fashion Avenue</v>
      </c>
      <c r="Q1330" s="13" t="str">
        <f>_xlfn.XLOOKUP(tblTransactions[[#This Row],[tenant_id]],tblTenants[tenant_id],tblTenants[category],"NOT FOUND")</f>
        <v>Accessories</v>
      </c>
    </row>
    <row r="1331" spans="1:17">
      <c r="A1331" t="s">
        <v>1375</v>
      </c>
      <c r="B1331" s="2">
        <v>45781</v>
      </c>
      <c r="C1331">
        <v>17</v>
      </c>
      <c r="D1331" t="s">
        <v>85</v>
      </c>
      <c r="E1331" t="s">
        <v>32</v>
      </c>
      <c r="F1331" s="7">
        <v>581.71</v>
      </c>
      <c r="G1331" s="10">
        <v>0.15</v>
      </c>
      <c r="H1331" s="7">
        <v>494.45</v>
      </c>
      <c r="I1331">
        <v>2</v>
      </c>
      <c r="J1331" t="s">
        <v>13</v>
      </c>
      <c r="K1331" s="13">
        <f>ROUND(tblTransactions[[#This Row],[gross_sales_inr]]*(1-tblTransactions[[#This Row],[discount_pct]]),2)</f>
        <v>494.45</v>
      </c>
      <c r="L1331" t="str">
        <f>IF(ABS(tblTransactions[[#This Row],[net_sales_inr]]-tblTransactions[[#This Row],[Recalc_Net_Sales]])&lt;0.02,"OK","CHECK")</f>
        <v>OK</v>
      </c>
      <c r="M1331" s="14">
        <f>DATE(YEAR(tblTransactions[[#This Row],[date]]),MONTH(tblTransactions[[#This Row],[date]]),1)</f>
        <v>45778</v>
      </c>
      <c r="N1331" t="str">
        <f>IF(WEEKDAY(tblTransactions[[#This Row],[date]],2)&gt;5,"Weekend","Weekday")</f>
        <v>Weekend</v>
      </c>
      <c r="O133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31" s="13" t="str">
        <f>_xlfn.XLOOKUP(tblTransactions[[#This Row],[tenant_id]],tblTenants[tenant_id],tblTenants[zone],"NOT FOUND")</f>
        <v>Home &amp; Living</v>
      </c>
      <c r="Q1331" s="13" t="str">
        <f>_xlfn.XLOOKUP(tblTransactions[[#This Row],[tenant_id]],tblTenants[tenant_id],tblTenants[category],"NOT FOUND")</f>
        <v>Electronics</v>
      </c>
    </row>
    <row r="1332" spans="1:17">
      <c r="A1332" t="s">
        <v>1376</v>
      </c>
      <c r="B1332" s="2">
        <v>45669</v>
      </c>
      <c r="C1332">
        <v>10</v>
      </c>
      <c r="D1332" t="s">
        <v>34</v>
      </c>
      <c r="E1332" t="s">
        <v>21</v>
      </c>
      <c r="F1332" s="7">
        <v>358.21</v>
      </c>
      <c r="G1332" s="10">
        <v>0.05</v>
      </c>
      <c r="H1332" s="7">
        <v>340.3</v>
      </c>
      <c r="I1332">
        <v>3</v>
      </c>
      <c r="J1332" t="s">
        <v>13</v>
      </c>
      <c r="K1332" s="13">
        <f>ROUND(tblTransactions[[#This Row],[gross_sales_inr]]*(1-tblTransactions[[#This Row],[discount_pct]]),2)</f>
        <v>340.3</v>
      </c>
      <c r="L1332" t="str">
        <f>IF(ABS(tblTransactions[[#This Row],[net_sales_inr]]-tblTransactions[[#This Row],[Recalc_Net_Sales]])&lt;0.02,"OK","CHECK")</f>
        <v>OK</v>
      </c>
      <c r="M1332" s="14">
        <f>DATE(YEAR(tblTransactions[[#This Row],[date]]),MONTH(tblTransactions[[#This Row],[date]]),1)</f>
        <v>45658</v>
      </c>
      <c r="N1332" t="str">
        <f>IF(WEEKDAY(tblTransactions[[#This Row],[date]],2)&gt;5,"Weekend","Weekday")</f>
        <v>Weekend</v>
      </c>
      <c r="O133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32" s="13" t="str">
        <f>_xlfn.XLOOKUP(tblTransactions[[#This Row],[tenant_id]],tblTenants[tenant_id],tblTenants[zone],"NOT FOUND")</f>
        <v>Home &amp; Living</v>
      </c>
      <c r="Q1332" s="13" t="str">
        <f>_xlfn.XLOOKUP(tblTransactions[[#This Row],[tenant_id]],tblTenants[tenant_id],tblTenants[category],"NOT FOUND")</f>
        <v>Electronics</v>
      </c>
    </row>
    <row r="1333" spans="1:17">
      <c r="A1333" t="s">
        <v>1377</v>
      </c>
      <c r="B1333" s="2">
        <v>45670</v>
      </c>
      <c r="C1333">
        <v>21</v>
      </c>
      <c r="D1333" t="s">
        <v>27</v>
      </c>
      <c r="E1333" t="s">
        <v>12</v>
      </c>
      <c r="F1333" s="7">
        <v>719.97</v>
      </c>
      <c r="G1333" s="10">
        <v>0</v>
      </c>
      <c r="H1333" s="7">
        <v>719.97</v>
      </c>
      <c r="I1333">
        <v>2</v>
      </c>
      <c r="J1333" t="s">
        <v>13</v>
      </c>
      <c r="K1333" s="13">
        <f>ROUND(tblTransactions[[#This Row],[gross_sales_inr]]*(1-tblTransactions[[#This Row],[discount_pct]]),2)</f>
        <v>719.97</v>
      </c>
      <c r="L1333" t="str">
        <f>IF(ABS(tblTransactions[[#This Row],[net_sales_inr]]-tblTransactions[[#This Row],[Recalc_Net_Sales]])&lt;0.02,"OK","CHECK")</f>
        <v>OK</v>
      </c>
      <c r="M1333" s="14">
        <f>DATE(YEAR(tblTransactions[[#This Row],[date]]),MONTH(tblTransactions[[#This Row],[date]]),1)</f>
        <v>45658</v>
      </c>
      <c r="N1333" t="str">
        <f>IF(WEEKDAY(tblTransactions[[#This Row],[date]],2)&gt;5,"Weekend","Weekday")</f>
        <v>Weekday</v>
      </c>
      <c r="O1333" s="13" t="str">
        <f>IF(tblTransactions[[#This Row],[discount_pct]]=0,"0%",IF(tblTransactions[[#This Row],[discount_pct]]&lt;=10%,"1–
10%",IF(tblTransactions[[#This Row],[discount_pct]]&lt;=20%,"11–20%","&gt;20%")))</f>
        <v>0%</v>
      </c>
      <c r="P1333" s="13" t="str">
        <f>_xlfn.XLOOKUP(tblTransactions[[#This Row],[tenant_id]],tblTenants[tenant_id],tblTenants[zone],"NOT FOUND")</f>
        <v>Beauty &amp; Wellness</v>
      </c>
      <c r="Q1333" s="13" t="str">
        <f>_xlfn.XLOOKUP(tblTransactions[[#This Row],[tenant_id]],tblTenants[tenant_id],tblTenants[category],"NOT FOUND")</f>
        <v>Wellness</v>
      </c>
    </row>
    <row r="1334" spans="1:17">
      <c r="A1334" t="s">
        <v>1378</v>
      </c>
      <c r="B1334" s="2">
        <v>45799</v>
      </c>
      <c r="C1334">
        <v>20</v>
      </c>
      <c r="D1334" t="s">
        <v>85</v>
      </c>
      <c r="E1334" t="s">
        <v>21</v>
      </c>
      <c r="F1334" s="7">
        <v>1037.6600000000001</v>
      </c>
      <c r="G1334" s="10">
        <v>0</v>
      </c>
      <c r="H1334" s="7">
        <v>1037.6600000000001</v>
      </c>
      <c r="I1334">
        <v>1</v>
      </c>
      <c r="J1334" t="s">
        <v>13</v>
      </c>
      <c r="K1334" s="13">
        <f>ROUND(tblTransactions[[#This Row],[gross_sales_inr]]*(1-tblTransactions[[#This Row],[discount_pct]]),2)</f>
        <v>1037.6600000000001</v>
      </c>
      <c r="L1334" t="str">
        <f>IF(ABS(tblTransactions[[#This Row],[net_sales_inr]]-tblTransactions[[#This Row],[Recalc_Net_Sales]])&lt;0.02,"OK","CHECK")</f>
        <v>OK</v>
      </c>
      <c r="M1334" s="14">
        <f>DATE(YEAR(tblTransactions[[#This Row],[date]]),MONTH(tblTransactions[[#This Row],[date]]),1)</f>
        <v>45778</v>
      </c>
      <c r="N1334" t="str">
        <f>IF(WEEKDAY(tblTransactions[[#This Row],[date]],2)&gt;5,"Weekend","Weekday")</f>
        <v>Weekday</v>
      </c>
      <c r="O1334" s="13" t="str">
        <f>IF(tblTransactions[[#This Row],[discount_pct]]=0,"0%",IF(tblTransactions[[#This Row],[discount_pct]]&lt;=10%,"1–
10%",IF(tblTransactions[[#This Row],[discount_pct]]&lt;=20%,"11–20%","&gt;20%")))</f>
        <v>0%</v>
      </c>
      <c r="P1334" s="13" t="str">
        <f>_xlfn.XLOOKUP(tblTransactions[[#This Row],[tenant_id]],tblTenants[tenant_id],tblTenants[zone],"NOT FOUND")</f>
        <v>Home &amp; Living</v>
      </c>
      <c r="Q1334" s="13" t="str">
        <f>_xlfn.XLOOKUP(tblTransactions[[#This Row],[tenant_id]],tblTenants[tenant_id],tblTenants[category],"NOT FOUND")</f>
        <v>Electronics</v>
      </c>
    </row>
    <row r="1335" spans="1:17">
      <c r="A1335" t="s">
        <v>1379</v>
      </c>
      <c r="B1335" s="2">
        <v>45693</v>
      </c>
      <c r="C1335">
        <v>14</v>
      </c>
      <c r="D1335" t="s">
        <v>61</v>
      </c>
      <c r="E1335" t="s">
        <v>51</v>
      </c>
      <c r="F1335" s="7">
        <v>1224.3900000000001</v>
      </c>
      <c r="G1335" s="10">
        <v>0.1</v>
      </c>
      <c r="H1335" s="7">
        <v>1101.95</v>
      </c>
      <c r="I1335">
        <v>4</v>
      </c>
      <c r="J1335" t="s">
        <v>13</v>
      </c>
      <c r="K1335" s="13">
        <f>ROUND(tblTransactions[[#This Row],[gross_sales_inr]]*(1-tblTransactions[[#This Row],[discount_pct]]),2)</f>
        <v>1101.95</v>
      </c>
      <c r="L1335" t="str">
        <f>IF(ABS(tblTransactions[[#This Row],[net_sales_inr]]-tblTransactions[[#This Row],[Recalc_Net_Sales]])&lt;0.02,"OK","CHECK")</f>
        <v>OK</v>
      </c>
      <c r="M1335" s="14">
        <f>DATE(YEAR(tblTransactions[[#This Row],[date]]),MONTH(tblTransactions[[#This Row],[date]]),1)</f>
        <v>45689</v>
      </c>
      <c r="N1335" t="str">
        <f>IF(WEEKDAY(tblTransactions[[#This Row],[date]],2)&gt;5,"Weekend","Weekday")</f>
        <v>Weekday</v>
      </c>
      <c r="O133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35" s="13" t="str">
        <f>_xlfn.XLOOKUP(tblTransactions[[#This Row],[tenant_id]],tblTenants[tenant_id],tblTenants[zone],"NOT FOUND")</f>
        <v>Food Court</v>
      </c>
      <c r="Q1335" s="13" t="str">
        <f>_xlfn.XLOOKUP(tblTransactions[[#This Row],[tenant_id]],tblTenants[tenant_id],tblTenants[category],"NOT FOUND")</f>
        <v>Quick Service</v>
      </c>
    </row>
    <row r="1336" spans="1:17">
      <c r="A1336" t="s">
        <v>1380</v>
      </c>
      <c r="B1336" s="2">
        <v>45783</v>
      </c>
      <c r="C1336">
        <v>22</v>
      </c>
      <c r="D1336" t="s">
        <v>34</v>
      </c>
      <c r="E1336" t="s">
        <v>32</v>
      </c>
      <c r="F1336" s="7">
        <v>1128.28</v>
      </c>
      <c r="G1336" s="10">
        <v>0.1</v>
      </c>
      <c r="H1336" s="7">
        <v>1015.45</v>
      </c>
      <c r="I1336">
        <v>1</v>
      </c>
      <c r="J1336" t="s">
        <v>16</v>
      </c>
      <c r="K1336" s="13">
        <f>ROUND(tblTransactions[[#This Row],[gross_sales_inr]]*(1-tblTransactions[[#This Row],[discount_pct]]),2)</f>
        <v>1015.45</v>
      </c>
      <c r="L1336" t="str">
        <f>IF(ABS(tblTransactions[[#This Row],[net_sales_inr]]-tblTransactions[[#This Row],[Recalc_Net_Sales]])&lt;0.02,"OK","CHECK")</f>
        <v>OK</v>
      </c>
      <c r="M1336" s="14">
        <f>DATE(YEAR(tblTransactions[[#This Row],[date]]),MONTH(tblTransactions[[#This Row],[date]]),1)</f>
        <v>45778</v>
      </c>
      <c r="N1336" t="str">
        <f>IF(WEEKDAY(tblTransactions[[#This Row],[date]],2)&gt;5,"Weekend","Weekday")</f>
        <v>Weekday</v>
      </c>
      <c r="O133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36" s="13" t="str">
        <f>_xlfn.XLOOKUP(tblTransactions[[#This Row],[tenant_id]],tblTenants[tenant_id],tblTenants[zone],"NOT FOUND")</f>
        <v>Home &amp; Living</v>
      </c>
      <c r="Q1336" s="13" t="str">
        <f>_xlfn.XLOOKUP(tblTransactions[[#This Row],[tenant_id]],tblTenants[tenant_id],tblTenants[category],"NOT FOUND")</f>
        <v>Electronics</v>
      </c>
    </row>
    <row r="1337" spans="1:17">
      <c r="A1337" t="s">
        <v>1381</v>
      </c>
      <c r="B1337" s="2">
        <v>45747</v>
      </c>
      <c r="C1337">
        <v>21</v>
      </c>
      <c r="D1337" t="s">
        <v>27</v>
      </c>
      <c r="E1337" t="s">
        <v>12</v>
      </c>
      <c r="F1337" s="7">
        <v>3240.98</v>
      </c>
      <c r="G1337" s="10">
        <v>0</v>
      </c>
      <c r="H1337" s="7">
        <v>3240.98</v>
      </c>
      <c r="I1337">
        <v>6</v>
      </c>
      <c r="J1337" t="s">
        <v>13</v>
      </c>
      <c r="K1337" s="13">
        <f>ROUND(tblTransactions[[#This Row],[gross_sales_inr]]*(1-tblTransactions[[#This Row],[discount_pct]]),2)</f>
        <v>3240.98</v>
      </c>
      <c r="L1337" t="str">
        <f>IF(ABS(tblTransactions[[#This Row],[net_sales_inr]]-tblTransactions[[#This Row],[Recalc_Net_Sales]])&lt;0.02,"OK","CHECK")</f>
        <v>OK</v>
      </c>
      <c r="M1337" s="14">
        <f>DATE(YEAR(tblTransactions[[#This Row],[date]]),MONTH(tblTransactions[[#This Row],[date]]),1)</f>
        <v>45717</v>
      </c>
      <c r="N1337" t="str">
        <f>IF(WEEKDAY(tblTransactions[[#This Row],[date]],2)&gt;5,"Weekend","Weekday")</f>
        <v>Weekday</v>
      </c>
      <c r="O1337" s="13" t="str">
        <f>IF(tblTransactions[[#This Row],[discount_pct]]=0,"0%",IF(tblTransactions[[#This Row],[discount_pct]]&lt;=10%,"1–
10%",IF(tblTransactions[[#This Row],[discount_pct]]&lt;=20%,"11–20%","&gt;20%")))</f>
        <v>0%</v>
      </c>
      <c r="P1337" s="13" t="str">
        <f>_xlfn.XLOOKUP(tblTransactions[[#This Row],[tenant_id]],tblTenants[tenant_id],tblTenants[zone],"NOT FOUND")</f>
        <v>Beauty &amp; Wellness</v>
      </c>
      <c r="Q1337" s="13" t="str">
        <f>_xlfn.XLOOKUP(tblTransactions[[#This Row],[tenant_id]],tblTenants[tenant_id],tblTenants[category],"NOT FOUND")</f>
        <v>Wellness</v>
      </c>
    </row>
    <row r="1338" spans="1:17">
      <c r="A1338" t="s">
        <v>1382</v>
      </c>
      <c r="B1338" s="2">
        <v>45665</v>
      </c>
      <c r="C1338">
        <v>11</v>
      </c>
      <c r="D1338" t="s">
        <v>25</v>
      </c>
      <c r="E1338" t="s">
        <v>32</v>
      </c>
      <c r="F1338" s="7">
        <v>1576.89</v>
      </c>
      <c r="G1338" s="10">
        <v>0.3</v>
      </c>
      <c r="H1338" s="7">
        <v>1103.82</v>
      </c>
      <c r="I1338">
        <v>1</v>
      </c>
      <c r="J1338" t="s">
        <v>13</v>
      </c>
      <c r="K1338" s="13">
        <f>ROUND(tblTransactions[[#This Row],[gross_sales_inr]]*(1-tblTransactions[[#This Row],[discount_pct]]),2)</f>
        <v>1103.82</v>
      </c>
      <c r="L1338" t="str">
        <f>IF(ABS(tblTransactions[[#This Row],[net_sales_inr]]-tblTransactions[[#This Row],[Recalc_Net_Sales]])&lt;0.02,"OK","CHECK")</f>
        <v>OK</v>
      </c>
      <c r="M1338" s="14">
        <f>DATE(YEAR(tblTransactions[[#This Row],[date]]),MONTH(tblTransactions[[#This Row],[date]]),1)</f>
        <v>45658</v>
      </c>
      <c r="N1338" t="str">
        <f>IF(WEEKDAY(tblTransactions[[#This Row],[date]],2)&gt;5,"Weekend","Weekday")</f>
        <v>Weekday</v>
      </c>
      <c r="O1338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338" s="13" t="str">
        <f>_xlfn.XLOOKUP(tblTransactions[[#This Row],[tenant_id]],tblTenants[tenant_id],tblTenants[zone],"NOT FOUND")</f>
        <v>Beauty &amp; Wellness</v>
      </c>
      <c r="Q1338" s="13" t="str">
        <f>_xlfn.XLOOKUP(tblTransactions[[#This Row],[tenant_id]],tblTenants[tenant_id],tblTenants[category],"NOT FOUND")</f>
        <v>Beauty</v>
      </c>
    </row>
    <row r="1339" spans="1:17">
      <c r="A1339" t="s">
        <v>1383</v>
      </c>
      <c r="B1339" s="2">
        <v>45818</v>
      </c>
      <c r="C1339">
        <v>20</v>
      </c>
      <c r="D1339" t="s">
        <v>29</v>
      </c>
      <c r="E1339" t="s">
        <v>32</v>
      </c>
      <c r="F1339" s="7">
        <v>1272.3800000000001</v>
      </c>
      <c r="G1339" s="10">
        <v>0.3</v>
      </c>
      <c r="H1339" s="7">
        <v>890.67</v>
      </c>
      <c r="I1339">
        <v>2</v>
      </c>
      <c r="J1339" t="s">
        <v>13</v>
      </c>
      <c r="K1339" s="13">
        <f>ROUND(tblTransactions[[#This Row],[gross_sales_inr]]*(1-tblTransactions[[#This Row],[discount_pct]]),2)</f>
        <v>890.67</v>
      </c>
      <c r="L1339" t="str">
        <f>IF(ABS(tblTransactions[[#This Row],[net_sales_inr]]-tblTransactions[[#This Row],[Recalc_Net_Sales]])&lt;0.02,"OK","CHECK")</f>
        <v>OK</v>
      </c>
      <c r="M1339" s="14">
        <f>DATE(YEAR(tblTransactions[[#This Row],[date]]),MONTH(tblTransactions[[#This Row],[date]]),1)</f>
        <v>45809</v>
      </c>
      <c r="N1339" t="str">
        <f>IF(WEEKDAY(tblTransactions[[#This Row],[date]],2)&gt;5,"Weekend","Weekday")</f>
        <v>Weekday</v>
      </c>
      <c r="O1339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339" s="13" t="str">
        <f>_xlfn.XLOOKUP(tblTransactions[[#This Row],[tenant_id]],tblTenants[tenant_id],tblTenants[zone],"NOT FOUND")</f>
        <v>Entertainment</v>
      </c>
      <c r="Q1339" s="13" t="str">
        <f>_xlfn.XLOOKUP(tblTransactions[[#This Row],[tenant_id]],tblTenants[tenant_id],tblTenants[category],"NOT FOUND")</f>
        <v>Cinema</v>
      </c>
    </row>
    <row r="1340" spans="1:17">
      <c r="A1340" t="s">
        <v>1384</v>
      </c>
      <c r="B1340" s="2">
        <v>45750</v>
      </c>
      <c r="C1340">
        <v>16</v>
      </c>
      <c r="D1340" t="s">
        <v>18</v>
      </c>
      <c r="E1340" t="s">
        <v>12</v>
      </c>
      <c r="F1340" s="7">
        <v>791.92</v>
      </c>
      <c r="G1340" s="10">
        <v>0</v>
      </c>
      <c r="H1340" s="7">
        <v>791.92</v>
      </c>
      <c r="I1340">
        <v>4</v>
      </c>
      <c r="J1340" t="s">
        <v>16</v>
      </c>
      <c r="K1340" s="13">
        <f>ROUND(tblTransactions[[#This Row],[gross_sales_inr]]*(1-tblTransactions[[#This Row],[discount_pct]]),2)</f>
        <v>791.92</v>
      </c>
      <c r="L1340" t="str">
        <f>IF(ABS(tblTransactions[[#This Row],[net_sales_inr]]-tblTransactions[[#This Row],[Recalc_Net_Sales]])&lt;0.02,"OK","CHECK")</f>
        <v>OK</v>
      </c>
      <c r="M1340" s="14">
        <f>DATE(YEAR(tblTransactions[[#This Row],[date]]),MONTH(tblTransactions[[#This Row],[date]]),1)</f>
        <v>45748</v>
      </c>
      <c r="N1340" t="str">
        <f>IF(WEEKDAY(tblTransactions[[#This Row],[date]],2)&gt;5,"Weekend","Weekday")</f>
        <v>Weekday</v>
      </c>
      <c r="O1340" s="13" t="str">
        <f>IF(tblTransactions[[#This Row],[discount_pct]]=0,"0%",IF(tblTransactions[[#This Row],[discount_pct]]&lt;=10%,"1–
10%",IF(tblTransactions[[#This Row],[discount_pct]]&lt;=20%,"11–20%","&gt;20%")))</f>
        <v>0%</v>
      </c>
      <c r="P1340" s="13" t="str">
        <f>_xlfn.XLOOKUP(tblTransactions[[#This Row],[tenant_id]],tblTenants[tenant_id],tblTenants[zone],"NOT FOUND")</f>
        <v>Beauty &amp; Wellness</v>
      </c>
      <c r="Q1340" s="13" t="str">
        <f>_xlfn.XLOOKUP(tblTransactions[[#This Row],[tenant_id]],tblTenants[tenant_id],tblTenants[category],"NOT FOUND")</f>
        <v>Beauty</v>
      </c>
    </row>
    <row r="1341" spans="1:17">
      <c r="A1341" t="s">
        <v>1385</v>
      </c>
      <c r="B1341" s="2">
        <v>45788</v>
      </c>
      <c r="C1341">
        <v>14</v>
      </c>
      <c r="D1341" t="s">
        <v>11</v>
      </c>
      <c r="E1341" t="s">
        <v>32</v>
      </c>
      <c r="F1341" s="7">
        <v>1334.2</v>
      </c>
      <c r="G1341" s="10">
        <v>0.1</v>
      </c>
      <c r="H1341" s="7">
        <v>1200.78</v>
      </c>
      <c r="I1341">
        <v>2</v>
      </c>
      <c r="J1341" t="s">
        <v>13</v>
      </c>
      <c r="K1341" s="13">
        <f>ROUND(tblTransactions[[#This Row],[gross_sales_inr]]*(1-tblTransactions[[#This Row],[discount_pct]]),2)</f>
        <v>1200.78</v>
      </c>
      <c r="L1341" t="str">
        <f>IF(ABS(tblTransactions[[#This Row],[net_sales_inr]]-tblTransactions[[#This Row],[Recalc_Net_Sales]])&lt;0.02,"OK","CHECK")</f>
        <v>OK</v>
      </c>
      <c r="M1341" s="14">
        <f>DATE(YEAR(tblTransactions[[#This Row],[date]]),MONTH(tblTransactions[[#This Row],[date]]),1)</f>
        <v>45778</v>
      </c>
      <c r="N1341" t="str">
        <f>IF(WEEKDAY(tblTransactions[[#This Row],[date]],2)&gt;5,"Weekend","Weekday")</f>
        <v>Weekend</v>
      </c>
      <c r="O134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41" s="13" t="str">
        <f>_xlfn.XLOOKUP(tblTransactions[[#This Row],[tenant_id]],tblTenants[tenant_id],tblTenants[zone],"NOT FOUND")</f>
        <v>Home &amp; Living</v>
      </c>
      <c r="Q1341" s="13" t="str">
        <f>_xlfn.XLOOKUP(tblTransactions[[#This Row],[tenant_id]],tblTenants[tenant_id],tblTenants[category],"NOT FOUND")</f>
        <v>Home Decor</v>
      </c>
    </row>
    <row r="1342" spans="1:17">
      <c r="A1342" t="s">
        <v>1386</v>
      </c>
      <c r="B1342" s="2">
        <v>45767</v>
      </c>
      <c r="C1342">
        <v>12</v>
      </c>
      <c r="D1342" t="s">
        <v>204</v>
      </c>
      <c r="E1342" t="s">
        <v>12</v>
      </c>
      <c r="F1342" s="7">
        <v>375.82</v>
      </c>
      <c r="G1342" s="10">
        <v>0.3</v>
      </c>
      <c r="H1342" s="7">
        <v>263.07</v>
      </c>
      <c r="I1342">
        <v>3</v>
      </c>
      <c r="J1342" t="s">
        <v>16</v>
      </c>
      <c r="K1342" s="13">
        <f>ROUND(tblTransactions[[#This Row],[gross_sales_inr]]*(1-tblTransactions[[#This Row],[discount_pct]]),2)</f>
        <v>263.07</v>
      </c>
      <c r="L1342" t="str">
        <f>IF(ABS(tblTransactions[[#This Row],[net_sales_inr]]-tblTransactions[[#This Row],[Recalc_Net_Sales]])&lt;0.02,"OK","CHECK")</f>
        <v>OK</v>
      </c>
      <c r="M1342" s="14">
        <f>DATE(YEAR(tblTransactions[[#This Row],[date]]),MONTH(tblTransactions[[#This Row],[date]]),1)</f>
        <v>45748</v>
      </c>
      <c r="N1342" t="str">
        <f>IF(WEEKDAY(tblTransactions[[#This Row],[date]],2)&gt;5,"Weekend","Weekday")</f>
        <v>Weekend</v>
      </c>
      <c r="O1342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342" s="13" t="str">
        <f>_xlfn.XLOOKUP(tblTransactions[[#This Row],[tenant_id]],tblTenants[tenant_id],tblTenants[zone],"NOT FOUND")</f>
        <v>Home &amp; Living</v>
      </c>
      <c r="Q1342" s="13" t="str">
        <f>_xlfn.XLOOKUP(tblTransactions[[#This Row],[tenant_id]],tblTenants[tenant_id],tblTenants[category],"NOT FOUND")</f>
        <v>Home Decor</v>
      </c>
    </row>
    <row r="1343" spans="1:17">
      <c r="A1343" t="s">
        <v>1387</v>
      </c>
      <c r="B1343" s="2">
        <v>45798</v>
      </c>
      <c r="C1343">
        <v>10</v>
      </c>
      <c r="D1343" t="s">
        <v>70</v>
      </c>
      <c r="E1343" t="s">
        <v>12</v>
      </c>
      <c r="F1343" s="7">
        <v>458.85</v>
      </c>
      <c r="G1343" s="10">
        <v>0</v>
      </c>
      <c r="H1343" s="7">
        <v>458.85</v>
      </c>
      <c r="I1343">
        <v>4</v>
      </c>
      <c r="J1343" t="s">
        <v>16</v>
      </c>
      <c r="K1343" s="13">
        <f>ROUND(tblTransactions[[#This Row],[gross_sales_inr]]*(1-tblTransactions[[#This Row],[discount_pct]]),2)</f>
        <v>458.85</v>
      </c>
      <c r="L1343" t="str">
        <f>IF(ABS(tblTransactions[[#This Row],[net_sales_inr]]-tblTransactions[[#This Row],[Recalc_Net_Sales]])&lt;0.02,"OK","CHECK")</f>
        <v>OK</v>
      </c>
      <c r="M1343" s="14">
        <f>DATE(YEAR(tblTransactions[[#This Row],[date]]),MONTH(tblTransactions[[#This Row],[date]]),1)</f>
        <v>45778</v>
      </c>
      <c r="N1343" t="str">
        <f>IF(WEEKDAY(tblTransactions[[#This Row],[date]],2)&gt;5,"Weekend","Weekday")</f>
        <v>Weekday</v>
      </c>
      <c r="O1343" s="13" t="str">
        <f>IF(tblTransactions[[#This Row],[discount_pct]]=0,"0%",IF(tblTransactions[[#This Row],[discount_pct]]&lt;=10%,"1–
10%",IF(tblTransactions[[#This Row],[discount_pct]]&lt;=20%,"11–20%","&gt;20%")))</f>
        <v>0%</v>
      </c>
      <c r="P1343" s="13" t="str">
        <f>_xlfn.XLOOKUP(tblTransactions[[#This Row],[tenant_id]],tblTenants[tenant_id],tblTenants[zone],"NOT FOUND")</f>
        <v>Food Court</v>
      </c>
      <c r="Q1343" s="13" t="str">
        <f>_xlfn.XLOOKUP(tblTransactions[[#This Row],[tenant_id]],tblTenants[tenant_id],tblTenants[category],"NOT FOUND")</f>
        <v>Quick Service</v>
      </c>
    </row>
    <row r="1344" spans="1:17">
      <c r="A1344" t="s">
        <v>1388</v>
      </c>
      <c r="B1344" s="2">
        <v>45671</v>
      </c>
      <c r="C1344">
        <v>11</v>
      </c>
      <c r="D1344" t="s">
        <v>63</v>
      </c>
      <c r="E1344" t="s">
        <v>32</v>
      </c>
      <c r="F1344" s="7">
        <v>1413.07</v>
      </c>
      <c r="G1344" s="10">
        <v>0.1</v>
      </c>
      <c r="H1344" s="7">
        <v>1271.76</v>
      </c>
      <c r="I1344">
        <v>1</v>
      </c>
      <c r="J1344" t="s">
        <v>13</v>
      </c>
      <c r="K1344" s="13">
        <f>ROUND(tblTransactions[[#This Row],[gross_sales_inr]]*(1-tblTransactions[[#This Row],[discount_pct]]),2)</f>
        <v>1271.76</v>
      </c>
      <c r="L1344" t="str">
        <f>IF(ABS(tblTransactions[[#This Row],[net_sales_inr]]-tblTransactions[[#This Row],[Recalc_Net_Sales]])&lt;0.02,"OK","CHECK")</f>
        <v>OK</v>
      </c>
      <c r="M1344" s="14">
        <f>DATE(YEAR(tblTransactions[[#This Row],[date]]),MONTH(tblTransactions[[#This Row],[date]]),1)</f>
        <v>45658</v>
      </c>
      <c r="N1344" t="str">
        <f>IF(WEEKDAY(tblTransactions[[#This Row],[date]],2)&gt;5,"Weekend","Weekday")</f>
        <v>Weekday</v>
      </c>
      <c r="O134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44" s="13" t="str">
        <f>_xlfn.XLOOKUP(tblTransactions[[#This Row],[tenant_id]],tblTenants[tenant_id],tblTenants[zone],"NOT FOUND")</f>
        <v>Entertainment</v>
      </c>
      <c r="Q1344" s="13" t="str">
        <f>_xlfn.XLOOKUP(tblTransactions[[#This Row],[tenant_id]],tblTenants[tenant_id],tblTenants[category],"NOT FOUND")</f>
        <v>Family Entertainment</v>
      </c>
    </row>
    <row r="1345" spans="1:17">
      <c r="A1345" t="s">
        <v>1389</v>
      </c>
      <c r="B1345" s="2">
        <v>45745</v>
      </c>
      <c r="C1345">
        <v>16</v>
      </c>
      <c r="D1345" t="s">
        <v>15</v>
      </c>
      <c r="E1345" t="s">
        <v>21</v>
      </c>
      <c r="F1345" s="7">
        <v>708.94</v>
      </c>
      <c r="G1345" s="10">
        <v>0.15</v>
      </c>
      <c r="H1345" s="7">
        <v>602.6</v>
      </c>
      <c r="I1345">
        <v>3</v>
      </c>
      <c r="J1345" t="s">
        <v>13</v>
      </c>
      <c r="K1345" s="13">
        <f>ROUND(tblTransactions[[#This Row],[gross_sales_inr]]*(1-tblTransactions[[#This Row],[discount_pct]]),2)</f>
        <v>602.6</v>
      </c>
      <c r="L1345" t="str">
        <f>IF(ABS(tblTransactions[[#This Row],[net_sales_inr]]-tblTransactions[[#This Row],[Recalc_Net_Sales]])&lt;0.02,"OK","CHECK")</f>
        <v>OK</v>
      </c>
      <c r="M1345" s="14">
        <f>DATE(YEAR(tblTransactions[[#This Row],[date]]),MONTH(tblTransactions[[#This Row],[date]]),1)</f>
        <v>45717</v>
      </c>
      <c r="N1345" t="str">
        <f>IF(WEEKDAY(tblTransactions[[#This Row],[date]],2)&gt;5,"Weekend","Weekday")</f>
        <v>Weekend</v>
      </c>
      <c r="O134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45" s="13" t="str">
        <f>_xlfn.XLOOKUP(tblTransactions[[#This Row],[tenant_id]],tblTenants[tenant_id],tblTenants[zone],"NOT FOUND")</f>
        <v>Fashion Avenue</v>
      </c>
      <c r="Q1345" s="13" t="str">
        <f>_xlfn.XLOOKUP(tblTransactions[[#This Row],[tenant_id]],tblTenants[tenant_id],tblTenants[category],"NOT FOUND")</f>
        <v>Accessories</v>
      </c>
    </row>
    <row r="1346" spans="1:17">
      <c r="A1346" t="s">
        <v>1390</v>
      </c>
      <c r="B1346" s="2">
        <v>45694</v>
      </c>
      <c r="C1346">
        <v>13</v>
      </c>
      <c r="D1346" t="s">
        <v>18</v>
      </c>
      <c r="E1346" t="s">
        <v>21</v>
      </c>
      <c r="F1346" s="7">
        <v>2878.19</v>
      </c>
      <c r="G1346" s="10">
        <v>0.05</v>
      </c>
      <c r="H1346" s="7">
        <v>2734.28</v>
      </c>
      <c r="I1346">
        <v>2</v>
      </c>
      <c r="J1346" t="s">
        <v>16</v>
      </c>
      <c r="K1346" s="13">
        <f>ROUND(tblTransactions[[#This Row],[gross_sales_inr]]*(1-tblTransactions[[#This Row],[discount_pct]]),2)</f>
        <v>2734.28</v>
      </c>
      <c r="L1346" t="str">
        <f>IF(ABS(tblTransactions[[#This Row],[net_sales_inr]]-tblTransactions[[#This Row],[Recalc_Net_Sales]])&lt;0.02,"OK","CHECK")</f>
        <v>OK</v>
      </c>
      <c r="M1346" s="14">
        <f>DATE(YEAR(tblTransactions[[#This Row],[date]]),MONTH(tblTransactions[[#This Row],[date]]),1)</f>
        <v>45689</v>
      </c>
      <c r="N1346" t="str">
        <f>IF(WEEKDAY(tblTransactions[[#This Row],[date]],2)&gt;5,"Weekend","Weekday")</f>
        <v>Weekday</v>
      </c>
      <c r="O134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46" s="13" t="str">
        <f>_xlfn.XLOOKUP(tblTransactions[[#This Row],[tenant_id]],tblTenants[tenant_id],tblTenants[zone],"NOT FOUND")</f>
        <v>Beauty &amp; Wellness</v>
      </c>
      <c r="Q1346" s="13" t="str">
        <f>_xlfn.XLOOKUP(tblTransactions[[#This Row],[tenant_id]],tblTenants[tenant_id],tblTenants[category],"NOT FOUND")</f>
        <v>Beauty</v>
      </c>
    </row>
    <row r="1347" spans="1:17">
      <c r="A1347" t="s">
        <v>1391</v>
      </c>
      <c r="B1347" s="2">
        <v>45835</v>
      </c>
      <c r="C1347">
        <v>12</v>
      </c>
      <c r="D1347" t="s">
        <v>80</v>
      </c>
      <c r="E1347" t="s">
        <v>12</v>
      </c>
      <c r="F1347" s="7">
        <v>826.16</v>
      </c>
      <c r="G1347" s="10">
        <v>0</v>
      </c>
      <c r="H1347" s="7">
        <v>826.16</v>
      </c>
      <c r="I1347">
        <v>3</v>
      </c>
      <c r="J1347" t="s">
        <v>13</v>
      </c>
      <c r="K1347" s="13">
        <f>ROUND(tblTransactions[[#This Row],[gross_sales_inr]]*(1-tblTransactions[[#This Row],[discount_pct]]),2)</f>
        <v>826.16</v>
      </c>
      <c r="L1347" t="str">
        <f>IF(ABS(tblTransactions[[#This Row],[net_sales_inr]]-tblTransactions[[#This Row],[Recalc_Net_Sales]])&lt;0.02,"OK","CHECK")</f>
        <v>OK</v>
      </c>
      <c r="M1347" s="14">
        <f>DATE(YEAR(tblTransactions[[#This Row],[date]]),MONTH(tblTransactions[[#This Row],[date]]),1)</f>
        <v>45809</v>
      </c>
      <c r="N1347" t="str">
        <f>IF(WEEKDAY(tblTransactions[[#This Row],[date]],2)&gt;5,"Weekend","Weekday")</f>
        <v>Weekday</v>
      </c>
      <c r="O1347" s="13" t="str">
        <f>IF(tblTransactions[[#This Row],[discount_pct]]=0,"0%",IF(tblTransactions[[#This Row],[discount_pct]]&lt;=10%,"1–
10%",IF(tblTransactions[[#This Row],[discount_pct]]&lt;=20%,"11–20%","&gt;20%")))</f>
        <v>0%</v>
      </c>
      <c r="P1347" s="13" t="str">
        <f>_xlfn.XLOOKUP(tblTransactions[[#This Row],[tenant_id]],tblTenants[tenant_id],tblTenants[zone],"NOT FOUND")</f>
        <v>Food Court</v>
      </c>
      <c r="Q1347" s="13" t="str">
        <f>_xlfn.XLOOKUP(tblTransactions[[#This Row],[tenant_id]],tblTenants[tenant_id],tblTenants[category],"NOT FOUND")</f>
        <v>Casual Dining</v>
      </c>
    </row>
    <row r="1348" spans="1:17">
      <c r="A1348" t="s">
        <v>1392</v>
      </c>
      <c r="B1348" s="2">
        <v>45678</v>
      </c>
      <c r="C1348">
        <v>13</v>
      </c>
      <c r="D1348" t="s">
        <v>87</v>
      </c>
      <c r="E1348" t="s">
        <v>32</v>
      </c>
      <c r="F1348" s="7">
        <v>1125.1600000000001</v>
      </c>
      <c r="G1348" s="10">
        <v>0</v>
      </c>
      <c r="H1348" s="7">
        <v>1125.1600000000001</v>
      </c>
      <c r="I1348">
        <v>1</v>
      </c>
      <c r="J1348" t="s">
        <v>13</v>
      </c>
      <c r="K1348" s="13">
        <f>ROUND(tblTransactions[[#This Row],[gross_sales_inr]]*(1-tblTransactions[[#This Row],[discount_pct]]),2)</f>
        <v>1125.1600000000001</v>
      </c>
      <c r="L1348" t="str">
        <f>IF(ABS(tblTransactions[[#This Row],[net_sales_inr]]-tblTransactions[[#This Row],[Recalc_Net_Sales]])&lt;0.02,"OK","CHECK")</f>
        <v>OK</v>
      </c>
      <c r="M1348" s="14">
        <f>DATE(YEAR(tblTransactions[[#This Row],[date]]),MONTH(tblTransactions[[#This Row],[date]]),1)</f>
        <v>45658</v>
      </c>
      <c r="N1348" t="str">
        <f>IF(WEEKDAY(tblTransactions[[#This Row],[date]],2)&gt;5,"Weekend","Weekday")</f>
        <v>Weekday</v>
      </c>
      <c r="O1348" s="13" t="str">
        <f>IF(tblTransactions[[#This Row],[discount_pct]]=0,"0%",IF(tblTransactions[[#This Row],[discount_pct]]&lt;=10%,"1–
10%",IF(tblTransactions[[#This Row],[discount_pct]]&lt;=20%,"11–20%","&gt;20%")))</f>
        <v>0%</v>
      </c>
      <c r="P1348" s="13" t="str">
        <f>_xlfn.XLOOKUP(tblTransactions[[#This Row],[tenant_id]],tblTenants[tenant_id],tblTenants[zone],"NOT FOUND")</f>
        <v>Fashion Avenue</v>
      </c>
      <c r="Q1348" s="13" t="str">
        <f>_xlfn.XLOOKUP(tblTransactions[[#This Row],[tenant_id]],tblTenants[tenant_id],tblTenants[category],"NOT FOUND")</f>
        <v>Footwear</v>
      </c>
    </row>
    <row r="1349" spans="1:17">
      <c r="A1349" t="s">
        <v>1393</v>
      </c>
      <c r="B1349" s="2">
        <v>45683</v>
      </c>
      <c r="C1349">
        <v>22</v>
      </c>
      <c r="D1349" t="s">
        <v>29</v>
      </c>
      <c r="E1349" t="s">
        <v>32</v>
      </c>
      <c r="F1349" s="7">
        <v>2613.9299999999998</v>
      </c>
      <c r="G1349" s="10">
        <v>0.1</v>
      </c>
      <c r="H1349" s="7">
        <v>2352.54</v>
      </c>
      <c r="I1349">
        <v>4</v>
      </c>
      <c r="J1349" t="s">
        <v>13</v>
      </c>
      <c r="K1349" s="13">
        <f>ROUND(tblTransactions[[#This Row],[gross_sales_inr]]*(1-tblTransactions[[#This Row],[discount_pct]]),2)</f>
        <v>2352.54</v>
      </c>
      <c r="L1349" t="str">
        <f>IF(ABS(tblTransactions[[#This Row],[net_sales_inr]]-tblTransactions[[#This Row],[Recalc_Net_Sales]])&lt;0.02,"OK","CHECK")</f>
        <v>OK</v>
      </c>
      <c r="M1349" s="14">
        <f>DATE(YEAR(tblTransactions[[#This Row],[date]]),MONTH(tblTransactions[[#This Row],[date]]),1)</f>
        <v>45658</v>
      </c>
      <c r="N1349" t="str">
        <f>IF(WEEKDAY(tblTransactions[[#This Row],[date]],2)&gt;5,"Weekend","Weekday")</f>
        <v>Weekend</v>
      </c>
      <c r="O134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49" s="13" t="str">
        <f>_xlfn.XLOOKUP(tblTransactions[[#This Row],[tenant_id]],tblTenants[tenant_id],tblTenants[zone],"NOT FOUND")</f>
        <v>Entertainment</v>
      </c>
      <c r="Q1349" s="13" t="str">
        <f>_xlfn.XLOOKUP(tblTransactions[[#This Row],[tenant_id]],tblTenants[tenant_id],tblTenants[category],"NOT FOUND")</f>
        <v>Cinema</v>
      </c>
    </row>
    <row r="1350" spans="1:17">
      <c r="A1350" t="s">
        <v>1394</v>
      </c>
      <c r="B1350" s="2">
        <v>45740</v>
      </c>
      <c r="C1350">
        <v>19</v>
      </c>
      <c r="D1350" t="s">
        <v>122</v>
      </c>
      <c r="E1350" t="s">
        <v>32</v>
      </c>
      <c r="F1350" s="7">
        <v>1154.67</v>
      </c>
      <c r="G1350" s="10">
        <v>0.1</v>
      </c>
      <c r="H1350" s="7">
        <v>1039.2</v>
      </c>
      <c r="I1350">
        <v>3</v>
      </c>
      <c r="J1350" t="s">
        <v>16</v>
      </c>
      <c r="K1350" s="13">
        <f>ROUND(tblTransactions[[#This Row],[gross_sales_inr]]*(1-tblTransactions[[#This Row],[discount_pct]]),2)</f>
        <v>1039.2</v>
      </c>
      <c r="L1350" t="str">
        <f>IF(ABS(tblTransactions[[#This Row],[net_sales_inr]]-tblTransactions[[#This Row],[Recalc_Net_Sales]])&lt;0.02,"OK","CHECK")</f>
        <v>OK</v>
      </c>
      <c r="M1350" s="14">
        <f>DATE(YEAR(tblTransactions[[#This Row],[date]]),MONTH(tblTransactions[[#This Row],[date]]),1)</f>
        <v>45717</v>
      </c>
      <c r="N1350" t="str">
        <f>IF(WEEKDAY(tblTransactions[[#This Row],[date]],2)&gt;5,"Weekend","Weekday")</f>
        <v>Weekday</v>
      </c>
      <c r="O135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50" s="13" t="str">
        <f>_xlfn.XLOOKUP(tblTransactions[[#This Row],[tenant_id]],tblTenants[tenant_id],tblTenants[zone],"NOT FOUND")</f>
        <v>Beauty &amp; Wellness</v>
      </c>
      <c r="Q1350" s="13" t="str">
        <f>_xlfn.XLOOKUP(tblTransactions[[#This Row],[tenant_id]],tblTenants[tenant_id],tblTenants[category],"NOT FOUND")</f>
        <v>Wellness</v>
      </c>
    </row>
    <row r="1351" spans="1:17">
      <c r="A1351" t="s">
        <v>1395</v>
      </c>
      <c r="B1351" s="2">
        <v>45711</v>
      </c>
      <c r="C1351">
        <v>17</v>
      </c>
      <c r="D1351" t="s">
        <v>55</v>
      </c>
      <c r="E1351" t="s">
        <v>12</v>
      </c>
      <c r="F1351" s="7">
        <v>2322.39</v>
      </c>
      <c r="G1351" s="10">
        <v>0</v>
      </c>
      <c r="H1351" s="7">
        <v>2322.39</v>
      </c>
      <c r="I1351">
        <v>1</v>
      </c>
      <c r="J1351" t="s">
        <v>13</v>
      </c>
      <c r="K1351" s="13">
        <f>ROUND(tblTransactions[[#This Row],[gross_sales_inr]]*(1-tblTransactions[[#This Row],[discount_pct]]),2)</f>
        <v>2322.39</v>
      </c>
      <c r="L1351" t="str">
        <f>IF(ABS(tblTransactions[[#This Row],[net_sales_inr]]-tblTransactions[[#This Row],[Recalc_Net_Sales]])&lt;0.02,"OK","CHECK")</f>
        <v>OK</v>
      </c>
      <c r="M1351" s="14">
        <f>DATE(YEAR(tblTransactions[[#This Row],[date]]),MONTH(tblTransactions[[#This Row],[date]]),1)</f>
        <v>45689</v>
      </c>
      <c r="N1351" t="str">
        <f>IF(WEEKDAY(tblTransactions[[#This Row],[date]],2)&gt;5,"Weekend","Weekday")</f>
        <v>Weekend</v>
      </c>
      <c r="O1351" s="13" t="str">
        <f>IF(tblTransactions[[#This Row],[discount_pct]]=0,"0%",IF(tblTransactions[[#This Row],[discount_pct]]&lt;=10%,"1–
10%",IF(tblTransactions[[#This Row],[discount_pct]]&lt;=20%,"11–20%","&gt;20%")))</f>
        <v>0%</v>
      </c>
      <c r="P1351" s="13" t="str">
        <f>_xlfn.XLOOKUP(tblTransactions[[#This Row],[tenant_id]],tblTenants[tenant_id],tblTenants[zone],"NOT FOUND")</f>
        <v>Food Court</v>
      </c>
      <c r="Q1351" s="13" t="str">
        <f>_xlfn.XLOOKUP(tblTransactions[[#This Row],[tenant_id]],tblTenants[tenant_id],tblTenants[category],"NOT FOUND")</f>
        <v>Quick Service</v>
      </c>
    </row>
    <row r="1352" spans="1:17">
      <c r="A1352" t="s">
        <v>1396</v>
      </c>
      <c r="B1352" s="2">
        <v>45777</v>
      </c>
      <c r="C1352">
        <v>14</v>
      </c>
      <c r="D1352" t="s">
        <v>53</v>
      </c>
      <c r="E1352" t="s">
        <v>21</v>
      </c>
      <c r="F1352" s="7">
        <v>663.97</v>
      </c>
      <c r="G1352" s="10">
        <v>0.1</v>
      </c>
      <c r="H1352" s="7">
        <v>597.57000000000005</v>
      </c>
      <c r="I1352">
        <v>2</v>
      </c>
      <c r="J1352" t="s">
        <v>16</v>
      </c>
      <c r="K1352" s="13">
        <f>ROUND(tblTransactions[[#This Row],[gross_sales_inr]]*(1-tblTransactions[[#This Row],[discount_pct]]),2)</f>
        <v>597.57000000000005</v>
      </c>
      <c r="L1352" t="str">
        <f>IF(ABS(tblTransactions[[#This Row],[net_sales_inr]]-tblTransactions[[#This Row],[Recalc_Net_Sales]])&lt;0.02,"OK","CHECK")</f>
        <v>OK</v>
      </c>
      <c r="M1352" s="14">
        <f>DATE(YEAR(tblTransactions[[#This Row],[date]]),MONTH(tblTransactions[[#This Row],[date]]),1)</f>
        <v>45748</v>
      </c>
      <c r="N1352" t="str">
        <f>IF(WEEKDAY(tblTransactions[[#This Row],[date]],2)&gt;5,"Weekend","Weekday")</f>
        <v>Weekday</v>
      </c>
      <c r="O135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52" s="13" t="str">
        <f>_xlfn.XLOOKUP(tblTransactions[[#This Row],[tenant_id]],tblTenants[tenant_id],tblTenants[zone],"NOT FOUND")</f>
        <v>Beauty &amp; Wellness</v>
      </c>
      <c r="Q1352" s="13" t="str">
        <f>_xlfn.XLOOKUP(tblTransactions[[#This Row],[tenant_id]],tblTenants[tenant_id],tblTenants[category],"NOT FOUND")</f>
        <v>Beauty</v>
      </c>
    </row>
    <row r="1353" spans="1:17">
      <c r="A1353" t="s">
        <v>1397</v>
      </c>
      <c r="B1353" s="2">
        <v>45797</v>
      </c>
      <c r="C1353">
        <v>19</v>
      </c>
      <c r="D1353" t="s">
        <v>27</v>
      </c>
      <c r="E1353" t="s">
        <v>12</v>
      </c>
      <c r="F1353" s="7">
        <v>2903.01</v>
      </c>
      <c r="G1353" s="10">
        <v>0</v>
      </c>
      <c r="H1353" s="7">
        <v>2903.01</v>
      </c>
      <c r="I1353">
        <v>2</v>
      </c>
      <c r="J1353" t="s">
        <v>13</v>
      </c>
      <c r="K1353" s="13">
        <f>ROUND(tblTransactions[[#This Row],[gross_sales_inr]]*(1-tblTransactions[[#This Row],[discount_pct]]),2)</f>
        <v>2903.01</v>
      </c>
      <c r="L1353" t="str">
        <f>IF(ABS(tblTransactions[[#This Row],[net_sales_inr]]-tblTransactions[[#This Row],[Recalc_Net_Sales]])&lt;0.02,"OK","CHECK")</f>
        <v>OK</v>
      </c>
      <c r="M1353" s="14">
        <f>DATE(YEAR(tblTransactions[[#This Row],[date]]),MONTH(tblTransactions[[#This Row],[date]]),1)</f>
        <v>45778</v>
      </c>
      <c r="N1353" t="str">
        <f>IF(WEEKDAY(tblTransactions[[#This Row],[date]],2)&gt;5,"Weekend","Weekday")</f>
        <v>Weekday</v>
      </c>
      <c r="O1353" s="13" t="str">
        <f>IF(tblTransactions[[#This Row],[discount_pct]]=0,"0%",IF(tblTransactions[[#This Row],[discount_pct]]&lt;=10%,"1–
10%",IF(tblTransactions[[#This Row],[discount_pct]]&lt;=20%,"11–20%","&gt;20%")))</f>
        <v>0%</v>
      </c>
      <c r="P1353" s="13" t="str">
        <f>_xlfn.XLOOKUP(tblTransactions[[#This Row],[tenant_id]],tblTenants[tenant_id],tblTenants[zone],"NOT FOUND")</f>
        <v>Beauty &amp; Wellness</v>
      </c>
      <c r="Q1353" s="13" t="str">
        <f>_xlfn.XLOOKUP(tblTransactions[[#This Row],[tenant_id]],tblTenants[tenant_id],tblTenants[category],"NOT FOUND")</f>
        <v>Wellness</v>
      </c>
    </row>
    <row r="1354" spans="1:17">
      <c r="A1354" t="s">
        <v>1398</v>
      </c>
      <c r="B1354" s="2">
        <v>45663</v>
      </c>
      <c r="C1354">
        <v>22</v>
      </c>
      <c r="D1354" t="s">
        <v>80</v>
      </c>
      <c r="E1354" t="s">
        <v>12</v>
      </c>
      <c r="F1354" s="7">
        <v>971.9</v>
      </c>
      <c r="G1354" s="10">
        <v>0.2</v>
      </c>
      <c r="H1354" s="7">
        <v>777.52</v>
      </c>
      <c r="I1354">
        <v>4</v>
      </c>
      <c r="J1354" t="s">
        <v>13</v>
      </c>
      <c r="K1354" s="13">
        <f>ROUND(tblTransactions[[#This Row],[gross_sales_inr]]*(1-tblTransactions[[#This Row],[discount_pct]]),2)</f>
        <v>777.52</v>
      </c>
      <c r="L1354" t="str">
        <f>IF(ABS(tblTransactions[[#This Row],[net_sales_inr]]-tblTransactions[[#This Row],[Recalc_Net_Sales]])&lt;0.02,"OK","CHECK")</f>
        <v>OK</v>
      </c>
      <c r="M1354" s="14">
        <f>DATE(YEAR(tblTransactions[[#This Row],[date]]),MONTH(tblTransactions[[#This Row],[date]]),1)</f>
        <v>45658</v>
      </c>
      <c r="N1354" t="str">
        <f>IF(WEEKDAY(tblTransactions[[#This Row],[date]],2)&gt;5,"Weekend","Weekday")</f>
        <v>Weekday</v>
      </c>
      <c r="O135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54" s="13" t="str">
        <f>_xlfn.XLOOKUP(tblTransactions[[#This Row],[tenant_id]],tblTenants[tenant_id],tblTenants[zone],"NOT FOUND")</f>
        <v>Food Court</v>
      </c>
      <c r="Q1354" s="13" t="str">
        <f>_xlfn.XLOOKUP(tblTransactions[[#This Row],[tenant_id]],tblTenants[tenant_id],tblTenants[category],"NOT FOUND")</f>
        <v>Casual Dining</v>
      </c>
    </row>
    <row r="1355" spans="1:17">
      <c r="A1355" t="s">
        <v>1399</v>
      </c>
      <c r="B1355" s="2">
        <v>45800</v>
      </c>
      <c r="C1355">
        <v>16</v>
      </c>
      <c r="D1355" t="s">
        <v>53</v>
      </c>
      <c r="E1355" t="s">
        <v>12</v>
      </c>
      <c r="F1355" s="7">
        <v>3723.78</v>
      </c>
      <c r="G1355" s="10">
        <v>0.15</v>
      </c>
      <c r="H1355" s="7">
        <v>3165.21</v>
      </c>
      <c r="I1355">
        <v>1</v>
      </c>
      <c r="J1355" t="s">
        <v>16</v>
      </c>
      <c r="K1355" s="13">
        <f>ROUND(tblTransactions[[#This Row],[gross_sales_inr]]*(1-tblTransactions[[#This Row],[discount_pct]]),2)</f>
        <v>3165.21</v>
      </c>
      <c r="L1355" t="str">
        <f>IF(ABS(tblTransactions[[#This Row],[net_sales_inr]]-tblTransactions[[#This Row],[Recalc_Net_Sales]])&lt;0.02,"OK","CHECK")</f>
        <v>OK</v>
      </c>
      <c r="M1355" s="14">
        <f>DATE(YEAR(tblTransactions[[#This Row],[date]]),MONTH(tblTransactions[[#This Row],[date]]),1)</f>
        <v>45778</v>
      </c>
      <c r="N1355" t="str">
        <f>IF(WEEKDAY(tblTransactions[[#This Row],[date]],2)&gt;5,"Weekend","Weekday")</f>
        <v>Weekday</v>
      </c>
      <c r="O135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55" s="13" t="str">
        <f>_xlfn.XLOOKUP(tblTransactions[[#This Row],[tenant_id]],tblTenants[tenant_id],tblTenants[zone],"NOT FOUND")</f>
        <v>Beauty &amp; Wellness</v>
      </c>
      <c r="Q1355" s="13" t="str">
        <f>_xlfn.XLOOKUP(tblTransactions[[#This Row],[tenant_id]],tblTenants[tenant_id],tblTenants[category],"NOT FOUND")</f>
        <v>Beauty</v>
      </c>
    </row>
    <row r="1356" spans="1:17">
      <c r="A1356" t="s">
        <v>1400</v>
      </c>
      <c r="B1356" s="2">
        <v>45701</v>
      </c>
      <c r="C1356">
        <v>20</v>
      </c>
      <c r="D1356" t="s">
        <v>31</v>
      </c>
      <c r="E1356" t="s">
        <v>12</v>
      </c>
      <c r="F1356" s="7">
        <v>1456.5</v>
      </c>
      <c r="G1356" s="10">
        <v>0</v>
      </c>
      <c r="H1356" s="7">
        <v>1456.5</v>
      </c>
      <c r="I1356">
        <v>4</v>
      </c>
      <c r="J1356" t="s">
        <v>13</v>
      </c>
      <c r="K1356" s="13">
        <f>ROUND(tblTransactions[[#This Row],[gross_sales_inr]]*(1-tblTransactions[[#This Row],[discount_pct]]),2)</f>
        <v>1456.5</v>
      </c>
      <c r="L1356" t="str">
        <f>IF(ABS(tblTransactions[[#This Row],[net_sales_inr]]-tblTransactions[[#This Row],[Recalc_Net_Sales]])&lt;0.02,"OK","CHECK")</f>
        <v>OK</v>
      </c>
      <c r="M1356" s="14">
        <f>DATE(YEAR(tblTransactions[[#This Row],[date]]),MONTH(tblTransactions[[#This Row],[date]]),1)</f>
        <v>45689</v>
      </c>
      <c r="N1356" t="str">
        <f>IF(WEEKDAY(tblTransactions[[#This Row],[date]],2)&gt;5,"Weekend","Weekday")</f>
        <v>Weekday</v>
      </c>
      <c r="O1356" s="13" t="str">
        <f>IF(tblTransactions[[#This Row],[discount_pct]]=0,"0%",IF(tblTransactions[[#This Row],[discount_pct]]&lt;=10%,"1–
10%",IF(tblTransactions[[#This Row],[discount_pct]]&lt;=20%,"11–20%","&gt;20%")))</f>
        <v>0%</v>
      </c>
      <c r="P1356" s="13" t="str">
        <f>_xlfn.XLOOKUP(tblTransactions[[#This Row],[tenant_id]],tblTenants[tenant_id],tblTenants[zone],"NOT FOUND")</f>
        <v>Entertainment</v>
      </c>
      <c r="Q1356" s="13" t="str">
        <f>_xlfn.XLOOKUP(tblTransactions[[#This Row],[tenant_id]],tblTenants[tenant_id],tblTenants[category],"NOT FOUND")</f>
        <v>Arcade</v>
      </c>
    </row>
    <row r="1357" spans="1:17">
      <c r="A1357" t="s">
        <v>1401</v>
      </c>
      <c r="B1357" s="2">
        <v>45774</v>
      </c>
      <c r="C1357">
        <v>22</v>
      </c>
      <c r="D1357" t="s">
        <v>15</v>
      </c>
      <c r="E1357" t="s">
        <v>32</v>
      </c>
      <c r="F1357" s="7">
        <v>1512.3</v>
      </c>
      <c r="G1357" s="10">
        <v>0</v>
      </c>
      <c r="H1357" s="7">
        <v>1512.3</v>
      </c>
      <c r="I1357">
        <v>1</v>
      </c>
      <c r="J1357" t="s">
        <v>13</v>
      </c>
      <c r="K1357" s="13">
        <f>ROUND(tblTransactions[[#This Row],[gross_sales_inr]]*(1-tblTransactions[[#This Row],[discount_pct]]),2)</f>
        <v>1512.3</v>
      </c>
      <c r="L1357" t="str">
        <f>IF(ABS(tblTransactions[[#This Row],[net_sales_inr]]-tblTransactions[[#This Row],[Recalc_Net_Sales]])&lt;0.02,"OK","CHECK")</f>
        <v>OK</v>
      </c>
      <c r="M1357" s="14">
        <f>DATE(YEAR(tblTransactions[[#This Row],[date]]),MONTH(tblTransactions[[#This Row],[date]]),1)</f>
        <v>45748</v>
      </c>
      <c r="N1357" t="str">
        <f>IF(WEEKDAY(tblTransactions[[#This Row],[date]],2)&gt;5,"Weekend","Weekday")</f>
        <v>Weekend</v>
      </c>
      <c r="O1357" s="13" t="str">
        <f>IF(tblTransactions[[#This Row],[discount_pct]]=0,"0%",IF(tblTransactions[[#This Row],[discount_pct]]&lt;=10%,"1–
10%",IF(tblTransactions[[#This Row],[discount_pct]]&lt;=20%,"11–20%","&gt;20%")))</f>
        <v>0%</v>
      </c>
      <c r="P1357" s="13" t="str">
        <f>_xlfn.XLOOKUP(tblTransactions[[#This Row],[tenant_id]],tblTenants[tenant_id],tblTenants[zone],"NOT FOUND")</f>
        <v>Fashion Avenue</v>
      </c>
      <c r="Q1357" s="13" t="str">
        <f>_xlfn.XLOOKUP(tblTransactions[[#This Row],[tenant_id]],tblTenants[tenant_id],tblTenants[category],"NOT FOUND")</f>
        <v>Accessories</v>
      </c>
    </row>
    <row r="1358" spans="1:17">
      <c r="A1358" t="s">
        <v>1402</v>
      </c>
      <c r="B1358" s="2">
        <v>45666</v>
      </c>
      <c r="C1358">
        <v>16</v>
      </c>
      <c r="D1358" t="s">
        <v>25</v>
      </c>
      <c r="E1358" t="s">
        <v>21</v>
      </c>
      <c r="F1358" s="7">
        <v>1145.6500000000001</v>
      </c>
      <c r="G1358" s="10">
        <v>0</v>
      </c>
      <c r="H1358" s="7">
        <v>1145.6500000000001</v>
      </c>
      <c r="I1358">
        <v>4</v>
      </c>
      <c r="J1358" t="s">
        <v>16</v>
      </c>
      <c r="K1358" s="13">
        <f>ROUND(tblTransactions[[#This Row],[gross_sales_inr]]*(1-tblTransactions[[#This Row],[discount_pct]]),2)</f>
        <v>1145.6500000000001</v>
      </c>
      <c r="L1358" t="str">
        <f>IF(ABS(tblTransactions[[#This Row],[net_sales_inr]]-tblTransactions[[#This Row],[Recalc_Net_Sales]])&lt;0.02,"OK","CHECK")</f>
        <v>OK</v>
      </c>
      <c r="M1358" s="14">
        <f>DATE(YEAR(tblTransactions[[#This Row],[date]]),MONTH(tblTransactions[[#This Row],[date]]),1)</f>
        <v>45658</v>
      </c>
      <c r="N1358" t="str">
        <f>IF(WEEKDAY(tblTransactions[[#This Row],[date]],2)&gt;5,"Weekend","Weekday")</f>
        <v>Weekday</v>
      </c>
      <c r="O1358" s="13" t="str">
        <f>IF(tblTransactions[[#This Row],[discount_pct]]=0,"0%",IF(tblTransactions[[#This Row],[discount_pct]]&lt;=10%,"1–
10%",IF(tblTransactions[[#This Row],[discount_pct]]&lt;=20%,"11–20%","&gt;20%")))</f>
        <v>0%</v>
      </c>
      <c r="P1358" s="13" t="str">
        <f>_xlfn.XLOOKUP(tblTransactions[[#This Row],[tenant_id]],tblTenants[tenant_id],tblTenants[zone],"NOT FOUND")</f>
        <v>Beauty &amp; Wellness</v>
      </c>
      <c r="Q1358" s="13" t="str">
        <f>_xlfn.XLOOKUP(tblTransactions[[#This Row],[tenant_id]],tblTenants[tenant_id],tblTenants[category],"NOT FOUND")</f>
        <v>Beauty</v>
      </c>
    </row>
    <row r="1359" spans="1:17">
      <c r="A1359" t="s">
        <v>1403</v>
      </c>
      <c r="B1359" s="2">
        <v>45735</v>
      </c>
      <c r="C1359">
        <v>13</v>
      </c>
      <c r="D1359" t="s">
        <v>34</v>
      </c>
      <c r="E1359" t="s">
        <v>12</v>
      </c>
      <c r="F1359" s="7">
        <v>1271.4100000000001</v>
      </c>
      <c r="G1359" s="10">
        <v>0.1</v>
      </c>
      <c r="H1359" s="7">
        <v>1144.27</v>
      </c>
      <c r="I1359">
        <v>2</v>
      </c>
      <c r="J1359" t="s">
        <v>13</v>
      </c>
      <c r="K1359" s="13">
        <f>ROUND(tblTransactions[[#This Row],[gross_sales_inr]]*(1-tblTransactions[[#This Row],[discount_pct]]),2)</f>
        <v>1144.27</v>
      </c>
      <c r="L1359" t="str">
        <f>IF(ABS(tblTransactions[[#This Row],[net_sales_inr]]-tblTransactions[[#This Row],[Recalc_Net_Sales]])&lt;0.02,"OK","CHECK")</f>
        <v>OK</v>
      </c>
      <c r="M1359" s="14">
        <f>DATE(YEAR(tblTransactions[[#This Row],[date]]),MONTH(tblTransactions[[#This Row],[date]]),1)</f>
        <v>45717</v>
      </c>
      <c r="N1359" t="str">
        <f>IF(WEEKDAY(tblTransactions[[#This Row],[date]],2)&gt;5,"Weekend","Weekday")</f>
        <v>Weekday</v>
      </c>
      <c r="O135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59" s="13" t="str">
        <f>_xlfn.XLOOKUP(tblTransactions[[#This Row],[tenant_id]],tblTenants[tenant_id],tblTenants[zone],"NOT FOUND")</f>
        <v>Home &amp; Living</v>
      </c>
      <c r="Q1359" s="13" t="str">
        <f>_xlfn.XLOOKUP(tblTransactions[[#This Row],[tenant_id]],tblTenants[tenant_id],tblTenants[category],"NOT FOUND")</f>
        <v>Electronics</v>
      </c>
    </row>
    <row r="1360" spans="1:17">
      <c r="A1360" t="s">
        <v>1404</v>
      </c>
      <c r="B1360" s="2">
        <v>45676</v>
      </c>
      <c r="C1360">
        <v>21</v>
      </c>
      <c r="D1360" t="s">
        <v>122</v>
      </c>
      <c r="E1360" t="s">
        <v>32</v>
      </c>
      <c r="F1360" s="7">
        <v>2272.37</v>
      </c>
      <c r="G1360" s="10">
        <v>0.05</v>
      </c>
      <c r="H1360" s="7">
        <v>2158.75</v>
      </c>
      <c r="I1360">
        <v>1</v>
      </c>
      <c r="J1360" t="s">
        <v>16</v>
      </c>
      <c r="K1360" s="13">
        <f>ROUND(tblTransactions[[#This Row],[gross_sales_inr]]*(1-tblTransactions[[#This Row],[discount_pct]]),2)</f>
        <v>2158.75</v>
      </c>
      <c r="L1360" t="str">
        <f>IF(ABS(tblTransactions[[#This Row],[net_sales_inr]]-tblTransactions[[#This Row],[Recalc_Net_Sales]])&lt;0.02,"OK","CHECK")</f>
        <v>OK</v>
      </c>
      <c r="M1360" s="14">
        <f>DATE(YEAR(tblTransactions[[#This Row],[date]]),MONTH(tblTransactions[[#This Row],[date]]),1)</f>
        <v>45658</v>
      </c>
      <c r="N1360" t="str">
        <f>IF(WEEKDAY(tblTransactions[[#This Row],[date]],2)&gt;5,"Weekend","Weekday")</f>
        <v>Weekend</v>
      </c>
      <c r="O136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60" s="13" t="str">
        <f>_xlfn.XLOOKUP(tblTransactions[[#This Row],[tenant_id]],tblTenants[tenant_id],tblTenants[zone],"NOT FOUND")</f>
        <v>Beauty &amp; Wellness</v>
      </c>
      <c r="Q1360" s="13" t="str">
        <f>_xlfn.XLOOKUP(tblTransactions[[#This Row],[tenant_id]],tblTenants[tenant_id],tblTenants[category],"NOT FOUND")</f>
        <v>Wellness</v>
      </c>
    </row>
    <row r="1361" spans="1:17">
      <c r="A1361" t="s">
        <v>1405</v>
      </c>
      <c r="B1361" s="2">
        <v>45741</v>
      </c>
      <c r="C1361">
        <v>22</v>
      </c>
      <c r="D1361" t="s">
        <v>72</v>
      </c>
      <c r="E1361" t="s">
        <v>12</v>
      </c>
      <c r="F1361" s="7">
        <v>2390.14</v>
      </c>
      <c r="G1361" s="10">
        <v>0.15</v>
      </c>
      <c r="H1361" s="7">
        <v>2031.62</v>
      </c>
      <c r="I1361">
        <v>1</v>
      </c>
      <c r="J1361" t="s">
        <v>16</v>
      </c>
      <c r="K1361" s="13">
        <f>ROUND(tblTransactions[[#This Row],[gross_sales_inr]]*(1-tblTransactions[[#This Row],[discount_pct]]),2)</f>
        <v>2031.62</v>
      </c>
      <c r="L1361" t="str">
        <f>IF(ABS(tblTransactions[[#This Row],[net_sales_inr]]-tblTransactions[[#This Row],[Recalc_Net_Sales]])&lt;0.02,"OK","CHECK")</f>
        <v>OK</v>
      </c>
      <c r="M1361" s="14">
        <f>DATE(YEAR(tblTransactions[[#This Row],[date]]),MONTH(tblTransactions[[#This Row],[date]]),1)</f>
        <v>45717</v>
      </c>
      <c r="N1361" t="str">
        <f>IF(WEEKDAY(tblTransactions[[#This Row],[date]],2)&gt;5,"Weekend","Weekday")</f>
        <v>Weekday</v>
      </c>
      <c r="O136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61" s="13" t="str">
        <f>_xlfn.XLOOKUP(tblTransactions[[#This Row],[tenant_id]],tblTenants[tenant_id],tblTenants[zone],"NOT FOUND")</f>
        <v>Entertainment</v>
      </c>
      <c r="Q1361" s="13" t="str">
        <f>_xlfn.XLOOKUP(tblTransactions[[#This Row],[tenant_id]],tblTenants[tenant_id],tblTenants[category],"NOT FOUND")</f>
        <v>Arcade</v>
      </c>
    </row>
    <row r="1362" spans="1:17">
      <c r="A1362" t="s">
        <v>1406</v>
      </c>
      <c r="B1362" s="2">
        <v>45659</v>
      </c>
      <c r="C1362">
        <v>22</v>
      </c>
      <c r="D1362" t="s">
        <v>85</v>
      </c>
      <c r="E1362" t="s">
        <v>12</v>
      </c>
      <c r="F1362" s="7">
        <v>406.66</v>
      </c>
      <c r="G1362" s="10">
        <v>0.05</v>
      </c>
      <c r="H1362" s="7">
        <v>386.33</v>
      </c>
      <c r="I1362">
        <v>2</v>
      </c>
      <c r="J1362" t="s">
        <v>16</v>
      </c>
      <c r="K1362" s="13">
        <f>ROUND(tblTransactions[[#This Row],[gross_sales_inr]]*(1-tblTransactions[[#This Row],[discount_pct]]),2)</f>
        <v>386.33</v>
      </c>
      <c r="L1362" t="str">
        <f>IF(ABS(tblTransactions[[#This Row],[net_sales_inr]]-tblTransactions[[#This Row],[Recalc_Net_Sales]])&lt;0.02,"OK","CHECK")</f>
        <v>OK</v>
      </c>
      <c r="M1362" s="14">
        <f>DATE(YEAR(tblTransactions[[#This Row],[date]]),MONTH(tblTransactions[[#This Row],[date]]),1)</f>
        <v>45658</v>
      </c>
      <c r="N1362" t="str">
        <f>IF(WEEKDAY(tblTransactions[[#This Row],[date]],2)&gt;5,"Weekend","Weekday")</f>
        <v>Weekday</v>
      </c>
      <c r="O136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62" s="13" t="str">
        <f>_xlfn.XLOOKUP(tblTransactions[[#This Row],[tenant_id]],tblTenants[tenant_id],tblTenants[zone],"NOT FOUND")</f>
        <v>Home &amp; Living</v>
      </c>
      <c r="Q1362" s="13" t="str">
        <f>_xlfn.XLOOKUP(tblTransactions[[#This Row],[tenant_id]],tblTenants[tenant_id],tblTenants[category],"NOT FOUND")</f>
        <v>Electronics</v>
      </c>
    </row>
    <row r="1363" spans="1:17">
      <c r="A1363" t="s">
        <v>1407</v>
      </c>
      <c r="B1363" s="2">
        <v>45832</v>
      </c>
      <c r="C1363">
        <v>13</v>
      </c>
      <c r="D1363" t="s">
        <v>98</v>
      </c>
      <c r="E1363" t="s">
        <v>12</v>
      </c>
      <c r="F1363" s="7">
        <v>479.73</v>
      </c>
      <c r="G1363" s="10">
        <v>0.2</v>
      </c>
      <c r="H1363" s="7">
        <v>383.78</v>
      </c>
      <c r="I1363">
        <v>1</v>
      </c>
      <c r="J1363" t="s">
        <v>13</v>
      </c>
      <c r="K1363" s="13">
        <f>ROUND(tblTransactions[[#This Row],[gross_sales_inr]]*(1-tblTransactions[[#This Row],[discount_pct]]),2)</f>
        <v>383.78</v>
      </c>
      <c r="L1363" t="str">
        <f>IF(ABS(tblTransactions[[#This Row],[net_sales_inr]]-tblTransactions[[#This Row],[Recalc_Net_Sales]])&lt;0.02,"OK","CHECK")</f>
        <v>OK</v>
      </c>
      <c r="M1363" s="14">
        <f>DATE(YEAR(tblTransactions[[#This Row],[date]]),MONTH(tblTransactions[[#This Row],[date]]),1)</f>
        <v>45809</v>
      </c>
      <c r="N1363" t="str">
        <f>IF(WEEKDAY(tblTransactions[[#This Row],[date]],2)&gt;5,"Weekend","Weekday")</f>
        <v>Weekday</v>
      </c>
      <c r="O136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63" s="13" t="str">
        <f>_xlfn.XLOOKUP(tblTransactions[[#This Row],[tenant_id]],tblTenants[tenant_id],tblTenants[zone],"NOT FOUND")</f>
        <v>Fashion Avenue</v>
      </c>
      <c r="Q1363" s="13" t="str">
        <f>_xlfn.XLOOKUP(tblTransactions[[#This Row],[tenant_id]],tblTenants[tenant_id],tblTenants[category],"NOT FOUND")</f>
        <v>Accessories</v>
      </c>
    </row>
    <row r="1364" spans="1:17">
      <c r="A1364" t="s">
        <v>1408</v>
      </c>
      <c r="B1364" s="2">
        <v>45684</v>
      </c>
      <c r="C1364">
        <v>10</v>
      </c>
      <c r="D1364" t="s">
        <v>61</v>
      </c>
      <c r="E1364" t="s">
        <v>12</v>
      </c>
      <c r="F1364" s="7">
        <v>1129.04</v>
      </c>
      <c r="G1364" s="10">
        <v>0.1</v>
      </c>
      <c r="H1364" s="7">
        <v>1016.14</v>
      </c>
      <c r="I1364">
        <v>1</v>
      </c>
      <c r="J1364" t="s">
        <v>13</v>
      </c>
      <c r="K1364" s="13">
        <f>ROUND(tblTransactions[[#This Row],[gross_sales_inr]]*(1-tblTransactions[[#This Row],[discount_pct]]),2)</f>
        <v>1016.14</v>
      </c>
      <c r="L1364" t="str">
        <f>IF(ABS(tblTransactions[[#This Row],[net_sales_inr]]-tblTransactions[[#This Row],[Recalc_Net_Sales]])&lt;0.02,"OK","CHECK")</f>
        <v>OK</v>
      </c>
      <c r="M1364" s="14">
        <f>DATE(YEAR(tblTransactions[[#This Row],[date]]),MONTH(tblTransactions[[#This Row],[date]]),1)</f>
        <v>45658</v>
      </c>
      <c r="N1364" t="str">
        <f>IF(WEEKDAY(tblTransactions[[#This Row],[date]],2)&gt;5,"Weekend","Weekday")</f>
        <v>Weekday</v>
      </c>
      <c r="O136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64" s="13" t="str">
        <f>_xlfn.XLOOKUP(tblTransactions[[#This Row],[tenant_id]],tblTenants[tenant_id],tblTenants[zone],"NOT FOUND")</f>
        <v>Food Court</v>
      </c>
      <c r="Q1364" s="13" t="str">
        <f>_xlfn.XLOOKUP(tblTransactions[[#This Row],[tenant_id]],tblTenants[tenant_id],tblTenants[category],"NOT FOUND")</f>
        <v>Quick Service</v>
      </c>
    </row>
    <row r="1365" spans="1:17">
      <c r="A1365" t="s">
        <v>1409</v>
      </c>
      <c r="B1365" s="2">
        <v>45710</v>
      </c>
      <c r="C1365">
        <v>15</v>
      </c>
      <c r="D1365" t="s">
        <v>25</v>
      </c>
      <c r="E1365" t="s">
        <v>32</v>
      </c>
      <c r="F1365" s="7">
        <v>400.43</v>
      </c>
      <c r="G1365" s="10">
        <v>0</v>
      </c>
      <c r="H1365" s="7">
        <v>400.43</v>
      </c>
      <c r="I1365">
        <v>1</v>
      </c>
      <c r="J1365" t="s">
        <v>16</v>
      </c>
      <c r="K1365" s="13">
        <f>ROUND(tblTransactions[[#This Row],[gross_sales_inr]]*(1-tblTransactions[[#This Row],[discount_pct]]),2)</f>
        <v>400.43</v>
      </c>
      <c r="L1365" t="str">
        <f>IF(ABS(tblTransactions[[#This Row],[net_sales_inr]]-tblTransactions[[#This Row],[Recalc_Net_Sales]])&lt;0.02,"OK","CHECK")</f>
        <v>OK</v>
      </c>
      <c r="M1365" s="14">
        <f>DATE(YEAR(tblTransactions[[#This Row],[date]]),MONTH(tblTransactions[[#This Row],[date]]),1)</f>
        <v>45689</v>
      </c>
      <c r="N1365" t="str">
        <f>IF(WEEKDAY(tblTransactions[[#This Row],[date]],2)&gt;5,"Weekend","Weekday")</f>
        <v>Weekend</v>
      </c>
      <c r="O1365" s="13" t="str">
        <f>IF(tblTransactions[[#This Row],[discount_pct]]=0,"0%",IF(tblTransactions[[#This Row],[discount_pct]]&lt;=10%,"1–
10%",IF(tblTransactions[[#This Row],[discount_pct]]&lt;=20%,"11–20%","&gt;20%")))</f>
        <v>0%</v>
      </c>
      <c r="P1365" s="13" t="str">
        <f>_xlfn.XLOOKUP(tblTransactions[[#This Row],[tenant_id]],tblTenants[tenant_id],tblTenants[zone],"NOT FOUND")</f>
        <v>Beauty &amp; Wellness</v>
      </c>
      <c r="Q1365" s="13" t="str">
        <f>_xlfn.XLOOKUP(tblTransactions[[#This Row],[tenant_id]],tblTenants[tenant_id],tblTenants[category],"NOT FOUND")</f>
        <v>Beauty</v>
      </c>
    </row>
    <row r="1366" spans="1:17">
      <c r="A1366" t="s">
        <v>1410</v>
      </c>
      <c r="B1366" s="2">
        <v>45773</v>
      </c>
      <c r="C1366">
        <v>19</v>
      </c>
      <c r="D1366" t="s">
        <v>63</v>
      </c>
      <c r="E1366" t="s">
        <v>51</v>
      </c>
      <c r="F1366" s="7">
        <v>762.34</v>
      </c>
      <c r="G1366" s="10">
        <v>0</v>
      </c>
      <c r="H1366" s="7">
        <v>762.34</v>
      </c>
      <c r="I1366">
        <v>1</v>
      </c>
      <c r="J1366" t="s">
        <v>16</v>
      </c>
      <c r="K1366" s="13">
        <f>ROUND(tblTransactions[[#This Row],[gross_sales_inr]]*(1-tblTransactions[[#This Row],[discount_pct]]),2)</f>
        <v>762.34</v>
      </c>
      <c r="L1366" t="str">
        <f>IF(ABS(tblTransactions[[#This Row],[net_sales_inr]]-tblTransactions[[#This Row],[Recalc_Net_Sales]])&lt;0.02,"OK","CHECK")</f>
        <v>OK</v>
      </c>
      <c r="M1366" s="14">
        <f>DATE(YEAR(tblTransactions[[#This Row],[date]]),MONTH(tblTransactions[[#This Row],[date]]),1)</f>
        <v>45748</v>
      </c>
      <c r="N1366" t="str">
        <f>IF(WEEKDAY(tblTransactions[[#This Row],[date]],2)&gt;5,"Weekend","Weekday")</f>
        <v>Weekend</v>
      </c>
      <c r="O1366" s="13" t="str">
        <f>IF(tblTransactions[[#This Row],[discount_pct]]=0,"0%",IF(tblTransactions[[#This Row],[discount_pct]]&lt;=10%,"1–
10%",IF(tblTransactions[[#This Row],[discount_pct]]&lt;=20%,"11–20%","&gt;20%")))</f>
        <v>0%</v>
      </c>
      <c r="P1366" s="13" t="str">
        <f>_xlfn.XLOOKUP(tblTransactions[[#This Row],[tenant_id]],tblTenants[tenant_id],tblTenants[zone],"NOT FOUND")</f>
        <v>Entertainment</v>
      </c>
      <c r="Q1366" s="13" t="str">
        <f>_xlfn.XLOOKUP(tblTransactions[[#This Row],[tenant_id]],tblTenants[tenant_id],tblTenants[category],"NOT FOUND")</f>
        <v>Family Entertainment</v>
      </c>
    </row>
    <row r="1367" spans="1:17">
      <c r="A1367" t="s">
        <v>1411</v>
      </c>
      <c r="B1367" s="2">
        <v>45721</v>
      </c>
      <c r="C1367">
        <v>15</v>
      </c>
      <c r="D1367" t="s">
        <v>29</v>
      </c>
      <c r="E1367" t="s">
        <v>32</v>
      </c>
      <c r="F1367" s="7">
        <v>740.41</v>
      </c>
      <c r="G1367" s="10">
        <v>0.1</v>
      </c>
      <c r="H1367" s="7">
        <v>666.37</v>
      </c>
      <c r="I1367">
        <v>2</v>
      </c>
      <c r="J1367" t="s">
        <v>13</v>
      </c>
      <c r="K1367" s="13">
        <f>ROUND(tblTransactions[[#This Row],[gross_sales_inr]]*(1-tblTransactions[[#This Row],[discount_pct]]),2)</f>
        <v>666.37</v>
      </c>
      <c r="L1367" t="str">
        <f>IF(ABS(tblTransactions[[#This Row],[net_sales_inr]]-tblTransactions[[#This Row],[Recalc_Net_Sales]])&lt;0.02,"OK","CHECK")</f>
        <v>OK</v>
      </c>
      <c r="M1367" s="14">
        <f>DATE(YEAR(tblTransactions[[#This Row],[date]]),MONTH(tblTransactions[[#This Row],[date]]),1)</f>
        <v>45717</v>
      </c>
      <c r="N1367" t="str">
        <f>IF(WEEKDAY(tblTransactions[[#This Row],[date]],2)&gt;5,"Weekend","Weekday")</f>
        <v>Weekday</v>
      </c>
      <c r="O136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67" s="13" t="str">
        <f>_xlfn.XLOOKUP(tblTransactions[[#This Row],[tenant_id]],tblTenants[tenant_id],tblTenants[zone],"NOT FOUND")</f>
        <v>Entertainment</v>
      </c>
      <c r="Q1367" s="13" t="str">
        <f>_xlfn.XLOOKUP(tblTransactions[[#This Row],[tenant_id]],tblTenants[tenant_id],tblTenants[category],"NOT FOUND")</f>
        <v>Cinema</v>
      </c>
    </row>
    <row r="1368" spans="1:17">
      <c r="A1368" t="s">
        <v>1412</v>
      </c>
      <c r="B1368" s="2">
        <v>45825</v>
      </c>
      <c r="C1368">
        <v>11</v>
      </c>
      <c r="D1368" t="s">
        <v>34</v>
      </c>
      <c r="E1368" t="s">
        <v>32</v>
      </c>
      <c r="F1368" s="7">
        <v>852.45</v>
      </c>
      <c r="G1368" s="10">
        <v>0</v>
      </c>
      <c r="H1368" s="7">
        <v>852.45</v>
      </c>
      <c r="I1368">
        <v>2</v>
      </c>
      <c r="J1368" t="s">
        <v>16</v>
      </c>
      <c r="K1368" s="13">
        <f>ROUND(tblTransactions[[#This Row],[gross_sales_inr]]*(1-tblTransactions[[#This Row],[discount_pct]]),2)</f>
        <v>852.45</v>
      </c>
      <c r="L1368" t="str">
        <f>IF(ABS(tblTransactions[[#This Row],[net_sales_inr]]-tblTransactions[[#This Row],[Recalc_Net_Sales]])&lt;0.02,"OK","CHECK")</f>
        <v>OK</v>
      </c>
      <c r="M1368" s="14">
        <f>DATE(YEAR(tblTransactions[[#This Row],[date]]),MONTH(tblTransactions[[#This Row],[date]]),1)</f>
        <v>45809</v>
      </c>
      <c r="N1368" t="str">
        <f>IF(WEEKDAY(tblTransactions[[#This Row],[date]],2)&gt;5,"Weekend","Weekday")</f>
        <v>Weekday</v>
      </c>
      <c r="O1368" s="13" t="str">
        <f>IF(tblTransactions[[#This Row],[discount_pct]]=0,"0%",IF(tblTransactions[[#This Row],[discount_pct]]&lt;=10%,"1–
10%",IF(tblTransactions[[#This Row],[discount_pct]]&lt;=20%,"11–20%","&gt;20%")))</f>
        <v>0%</v>
      </c>
      <c r="P1368" s="13" t="str">
        <f>_xlfn.XLOOKUP(tblTransactions[[#This Row],[tenant_id]],tblTenants[tenant_id],tblTenants[zone],"NOT FOUND")</f>
        <v>Home &amp; Living</v>
      </c>
      <c r="Q1368" s="13" t="str">
        <f>_xlfn.XLOOKUP(tblTransactions[[#This Row],[tenant_id]],tblTenants[tenant_id],tblTenants[category],"NOT FOUND")</f>
        <v>Electronics</v>
      </c>
    </row>
    <row r="1369" spans="1:17">
      <c r="A1369" t="s">
        <v>1413</v>
      </c>
      <c r="B1369" s="2">
        <v>45714</v>
      </c>
      <c r="C1369">
        <v>14</v>
      </c>
      <c r="D1369" t="s">
        <v>85</v>
      </c>
      <c r="E1369" t="s">
        <v>32</v>
      </c>
      <c r="F1369" s="7">
        <v>1465.89</v>
      </c>
      <c r="G1369" s="10">
        <v>0</v>
      </c>
      <c r="H1369" s="7">
        <v>1465.89</v>
      </c>
      <c r="I1369">
        <v>4</v>
      </c>
      <c r="J1369" t="s">
        <v>13</v>
      </c>
      <c r="K1369" s="13">
        <f>ROUND(tblTransactions[[#This Row],[gross_sales_inr]]*(1-tblTransactions[[#This Row],[discount_pct]]),2)</f>
        <v>1465.89</v>
      </c>
      <c r="L1369" t="str">
        <f>IF(ABS(tblTransactions[[#This Row],[net_sales_inr]]-tblTransactions[[#This Row],[Recalc_Net_Sales]])&lt;0.02,"OK","CHECK")</f>
        <v>OK</v>
      </c>
      <c r="M1369" s="14">
        <f>DATE(YEAR(tblTransactions[[#This Row],[date]]),MONTH(tblTransactions[[#This Row],[date]]),1)</f>
        <v>45689</v>
      </c>
      <c r="N1369" t="str">
        <f>IF(WEEKDAY(tblTransactions[[#This Row],[date]],2)&gt;5,"Weekend","Weekday")</f>
        <v>Weekday</v>
      </c>
      <c r="O1369" s="13" t="str">
        <f>IF(tblTransactions[[#This Row],[discount_pct]]=0,"0%",IF(tblTransactions[[#This Row],[discount_pct]]&lt;=10%,"1–
10%",IF(tblTransactions[[#This Row],[discount_pct]]&lt;=20%,"11–20%","&gt;20%")))</f>
        <v>0%</v>
      </c>
      <c r="P1369" s="13" t="str">
        <f>_xlfn.XLOOKUP(tblTransactions[[#This Row],[tenant_id]],tblTenants[tenant_id],tblTenants[zone],"NOT FOUND")</f>
        <v>Home &amp; Living</v>
      </c>
      <c r="Q1369" s="13" t="str">
        <f>_xlfn.XLOOKUP(tblTransactions[[#This Row],[tenant_id]],tblTenants[tenant_id],tblTenants[category],"NOT FOUND")</f>
        <v>Electronics</v>
      </c>
    </row>
    <row r="1370" spans="1:17">
      <c r="A1370" t="s">
        <v>1414</v>
      </c>
      <c r="B1370" s="2">
        <v>45680</v>
      </c>
      <c r="C1370">
        <v>17</v>
      </c>
      <c r="D1370" t="s">
        <v>31</v>
      </c>
      <c r="E1370" t="s">
        <v>32</v>
      </c>
      <c r="F1370" s="7">
        <v>1301.8599999999999</v>
      </c>
      <c r="G1370" s="10">
        <v>0</v>
      </c>
      <c r="H1370" s="7">
        <v>1301.8599999999999</v>
      </c>
      <c r="I1370">
        <v>1</v>
      </c>
      <c r="J1370" t="s">
        <v>13</v>
      </c>
      <c r="K1370" s="13">
        <f>ROUND(tblTransactions[[#This Row],[gross_sales_inr]]*(1-tblTransactions[[#This Row],[discount_pct]]),2)</f>
        <v>1301.8599999999999</v>
      </c>
      <c r="L1370" t="str">
        <f>IF(ABS(tblTransactions[[#This Row],[net_sales_inr]]-tblTransactions[[#This Row],[Recalc_Net_Sales]])&lt;0.02,"OK","CHECK")</f>
        <v>OK</v>
      </c>
      <c r="M1370" s="14">
        <f>DATE(YEAR(tblTransactions[[#This Row],[date]]),MONTH(tblTransactions[[#This Row],[date]]),1)</f>
        <v>45658</v>
      </c>
      <c r="N1370" t="str">
        <f>IF(WEEKDAY(tblTransactions[[#This Row],[date]],2)&gt;5,"Weekend","Weekday")</f>
        <v>Weekday</v>
      </c>
      <c r="O1370" s="13" t="str">
        <f>IF(tblTransactions[[#This Row],[discount_pct]]=0,"0%",IF(tblTransactions[[#This Row],[discount_pct]]&lt;=10%,"1–
10%",IF(tblTransactions[[#This Row],[discount_pct]]&lt;=20%,"11–20%","&gt;20%")))</f>
        <v>0%</v>
      </c>
      <c r="P1370" s="13" t="str">
        <f>_xlfn.XLOOKUP(tblTransactions[[#This Row],[tenant_id]],tblTenants[tenant_id],tblTenants[zone],"NOT FOUND")</f>
        <v>Entertainment</v>
      </c>
      <c r="Q1370" s="13" t="str">
        <f>_xlfn.XLOOKUP(tblTransactions[[#This Row],[tenant_id]],tblTenants[tenant_id],tblTenants[category],"NOT FOUND")</f>
        <v>Arcade</v>
      </c>
    </row>
    <row r="1371" spans="1:17">
      <c r="A1371" t="s">
        <v>1415</v>
      </c>
      <c r="B1371" s="2">
        <v>45821</v>
      </c>
      <c r="C1371">
        <v>16</v>
      </c>
      <c r="D1371" t="s">
        <v>34</v>
      </c>
      <c r="E1371" t="s">
        <v>32</v>
      </c>
      <c r="F1371" s="7">
        <v>1258.8800000000001</v>
      </c>
      <c r="G1371" s="10">
        <v>0</v>
      </c>
      <c r="H1371" s="7">
        <v>1258.8800000000001</v>
      </c>
      <c r="I1371">
        <v>3</v>
      </c>
      <c r="J1371" t="s">
        <v>13</v>
      </c>
      <c r="K1371" s="13">
        <f>ROUND(tblTransactions[[#This Row],[gross_sales_inr]]*(1-tblTransactions[[#This Row],[discount_pct]]),2)</f>
        <v>1258.8800000000001</v>
      </c>
      <c r="L1371" t="str">
        <f>IF(ABS(tblTransactions[[#This Row],[net_sales_inr]]-tblTransactions[[#This Row],[Recalc_Net_Sales]])&lt;0.02,"OK","CHECK")</f>
        <v>OK</v>
      </c>
      <c r="M1371" s="14">
        <f>DATE(YEAR(tblTransactions[[#This Row],[date]]),MONTH(tblTransactions[[#This Row],[date]]),1)</f>
        <v>45809</v>
      </c>
      <c r="N1371" t="str">
        <f>IF(WEEKDAY(tblTransactions[[#This Row],[date]],2)&gt;5,"Weekend","Weekday")</f>
        <v>Weekday</v>
      </c>
      <c r="O1371" s="13" t="str">
        <f>IF(tblTransactions[[#This Row],[discount_pct]]=0,"0%",IF(tblTransactions[[#This Row],[discount_pct]]&lt;=10%,"1–
10%",IF(tblTransactions[[#This Row],[discount_pct]]&lt;=20%,"11–20%","&gt;20%")))</f>
        <v>0%</v>
      </c>
      <c r="P1371" s="13" t="str">
        <f>_xlfn.XLOOKUP(tblTransactions[[#This Row],[tenant_id]],tblTenants[tenant_id],tblTenants[zone],"NOT FOUND")</f>
        <v>Home &amp; Living</v>
      </c>
      <c r="Q1371" s="13" t="str">
        <f>_xlfn.XLOOKUP(tblTransactions[[#This Row],[tenant_id]],tblTenants[tenant_id],tblTenants[category],"NOT FOUND")</f>
        <v>Electronics</v>
      </c>
    </row>
    <row r="1372" spans="1:17">
      <c r="A1372" t="s">
        <v>1416</v>
      </c>
      <c r="B1372" s="2">
        <v>45697</v>
      </c>
      <c r="C1372">
        <v>20</v>
      </c>
      <c r="D1372" t="s">
        <v>36</v>
      </c>
      <c r="E1372" t="s">
        <v>32</v>
      </c>
      <c r="F1372" s="7">
        <v>1028.53</v>
      </c>
      <c r="G1372" s="10">
        <v>0.1</v>
      </c>
      <c r="H1372" s="7">
        <v>925.68</v>
      </c>
      <c r="I1372">
        <v>2</v>
      </c>
      <c r="J1372" t="s">
        <v>13</v>
      </c>
      <c r="K1372" s="13">
        <f>ROUND(tblTransactions[[#This Row],[gross_sales_inr]]*(1-tblTransactions[[#This Row],[discount_pct]]),2)</f>
        <v>925.68</v>
      </c>
      <c r="L1372" t="str">
        <f>IF(ABS(tblTransactions[[#This Row],[net_sales_inr]]-tblTransactions[[#This Row],[Recalc_Net_Sales]])&lt;0.02,"OK","CHECK")</f>
        <v>OK</v>
      </c>
      <c r="M1372" s="14">
        <f>DATE(YEAR(tblTransactions[[#This Row],[date]]),MONTH(tblTransactions[[#This Row],[date]]),1)</f>
        <v>45689</v>
      </c>
      <c r="N1372" t="str">
        <f>IF(WEEKDAY(tblTransactions[[#This Row],[date]],2)&gt;5,"Weekend","Weekday")</f>
        <v>Weekend</v>
      </c>
      <c r="O137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72" s="13" t="str">
        <f>_xlfn.XLOOKUP(tblTransactions[[#This Row],[tenant_id]],tblTenants[tenant_id],tblTenants[zone],"NOT FOUND")</f>
        <v>Home &amp; Living</v>
      </c>
      <c r="Q1372" s="13" t="str">
        <f>_xlfn.XLOOKUP(tblTransactions[[#This Row],[tenant_id]],tblTenants[tenant_id],tblTenants[category],"NOT FOUND")</f>
        <v>Electronics</v>
      </c>
    </row>
    <row r="1373" spans="1:17">
      <c r="A1373" t="s">
        <v>1417</v>
      </c>
      <c r="B1373" s="2">
        <v>45779</v>
      </c>
      <c r="C1373">
        <v>13</v>
      </c>
      <c r="D1373" t="s">
        <v>87</v>
      </c>
      <c r="E1373" t="s">
        <v>12</v>
      </c>
      <c r="F1373" s="7">
        <v>305.64</v>
      </c>
      <c r="G1373" s="10">
        <v>0.05</v>
      </c>
      <c r="H1373" s="7">
        <v>290.36</v>
      </c>
      <c r="I1373">
        <v>1</v>
      </c>
      <c r="J1373" t="s">
        <v>16</v>
      </c>
      <c r="K1373" s="13">
        <f>ROUND(tblTransactions[[#This Row],[gross_sales_inr]]*(1-tblTransactions[[#This Row],[discount_pct]]),2)</f>
        <v>290.36</v>
      </c>
      <c r="L1373" t="str">
        <f>IF(ABS(tblTransactions[[#This Row],[net_sales_inr]]-tblTransactions[[#This Row],[Recalc_Net_Sales]])&lt;0.02,"OK","CHECK")</f>
        <v>OK</v>
      </c>
      <c r="M1373" s="14">
        <f>DATE(YEAR(tblTransactions[[#This Row],[date]]),MONTH(tblTransactions[[#This Row],[date]]),1)</f>
        <v>45778</v>
      </c>
      <c r="N1373" t="str">
        <f>IF(WEEKDAY(tblTransactions[[#This Row],[date]],2)&gt;5,"Weekend","Weekday")</f>
        <v>Weekday</v>
      </c>
      <c r="O137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73" s="13" t="str">
        <f>_xlfn.XLOOKUP(tblTransactions[[#This Row],[tenant_id]],tblTenants[tenant_id],tblTenants[zone],"NOT FOUND")</f>
        <v>Fashion Avenue</v>
      </c>
      <c r="Q1373" s="13" t="str">
        <f>_xlfn.XLOOKUP(tblTransactions[[#This Row],[tenant_id]],tblTenants[tenant_id],tblTenants[category],"NOT FOUND")</f>
        <v>Footwear</v>
      </c>
    </row>
    <row r="1374" spans="1:17">
      <c r="A1374" t="s">
        <v>1418</v>
      </c>
      <c r="B1374" s="2">
        <v>45695</v>
      </c>
      <c r="C1374">
        <v>21</v>
      </c>
      <c r="D1374" t="s">
        <v>15</v>
      </c>
      <c r="E1374" t="s">
        <v>21</v>
      </c>
      <c r="F1374" s="7">
        <v>517.91999999999996</v>
      </c>
      <c r="G1374" s="10">
        <v>0.05</v>
      </c>
      <c r="H1374" s="7">
        <v>492.02</v>
      </c>
      <c r="I1374">
        <v>1</v>
      </c>
      <c r="J1374" t="s">
        <v>13</v>
      </c>
      <c r="K1374" s="13">
        <f>ROUND(tblTransactions[[#This Row],[gross_sales_inr]]*(1-tblTransactions[[#This Row],[discount_pct]]),2)</f>
        <v>492.02</v>
      </c>
      <c r="L1374" t="str">
        <f>IF(ABS(tblTransactions[[#This Row],[net_sales_inr]]-tblTransactions[[#This Row],[Recalc_Net_Sales]])&lt;0.02,"OK","CHECK")</f>
        <v>OK</v>
      </c>
      <c r="M1374" s="14">
        <f>DATE(YEAR(tblTransactions[[#This Row],[date]]),MONTH(tblTransactions[[#This Row],[date]]),1)</f>
        <v>45689</v>
      </c>
      <c r="N1374" t="str">
        <f>IF(WEEKDAY(tblTransactions[[#This Row],[date]],2)&gt;5,"Weekend","Weekday")</f>
        <v>Weekday</v>
      </c>
      <c r="O137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74" s="13" t="str">
        <f>_xlfn.XLOOKUP(tblTransactions[[#This Row],[tenant_id]],tblTenants[tenant_id],tblTenants[zone],"NOT FOUND")</f>
        <v>Fashion Avenue</v>
      </c>
      <c r="Q1374" s="13" t="str">
        <f>_xlfn.XLOOKUP(tblTransactions[[#This Row],[tenant_id]],tblTenants[tenant_id],tblTenants[category],"NOT FOUND")</f>
        <v>Accessories</v>
      </c>
    </row>
    <row r="1375" spans="1:17">
      <c r="A1375" t="s">
        <v>1419</v>
      </c>
      <c r="B1375" s="2">
        <v>45684</v>
      </c>
      <c r="C1375">
        <v>17</v>
      </c>
      <c r="D1375" t="s">
        <v>31</v>
      </c>
      <c r="E1375" t="s">
        <v>12</v>
      </c>
      <c r="F1375" s="7">
        <v>363.96</v>
      </c>
      <c r="G1375" s="10">
        <v>0.05</v>
      </c>
      <c r="H1375" s="7">
        <v>345.76</v>
      </c>
      <c r="I1375">
        <v>4</v>
      </c>
      <c r="J1375" t="s">
        <v>16</v>
      </c>
      <c r="K1375" s="13">
        <f>ROUND(tblTransactions[[#This Row],[gross_sales_inr]]*(1-tblTransactions[[#This Row],[discount_pct]]),2)</f>
        <v>345.76</v>
      </c>
      <c r="L1375" t="str">
        <f>IF(ABS(tblTransactions[[#This Row],[net_sales_inr]]-tblTransactions[[#This Row],[Recalc_Net_Sales]])&lt;0.02,"OK","CHECK")</f>
        <v>OK</v>
      </c>
      <c r="M1375" s="14">
        <f>DATE(YEAR(tblTransactions[[#This Row],[date]]),MONTH(tblTransactions[[#This Row],[date]]),1)</f>
        <v>45658</v>
      </c>
      <c r="N1375" t="str">
        <f>IF(WEEKDAY(tblTransactions[[#This Row],[date]],2)&gt;5,"Weekend","Weekday")</f>
        <v>Weekday</v>
      </c>
      <c r="O137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75" s="13" t="str">
        <f>_xlfn.XLOOKUP(tblTransactions[[#This Row],[tenant_id]],tblTenants[tenant_id],tblTenants[zone],"NOT FOUND")</f>
        <v>Entertainment</v>
      </c>
      <c r="Q1375" s="13" t="str">
        <f>_xlfn.XLOOKUP(tblTransactions[[#This Row],[tenant_id]],tblTenants[tenant_id],tblTenants[category],"NOT FOUND")</f>
        <v>Arcade</v>
      </c>
    </row>
    <row r="1376" spans="1:17">
      <c r="A1376" t="s">
        <v>1420</v>
      </c>
      <c r="B1376" s="2">
        <v>45700</v>
      </c>
      <c r="C1376">
        <v>14</v>
      </c>
      <c r="D1376" t="s">
        <v>87</v>
      </c>
      <c r="E1376" t="s">
        <v>12</v>
      </c>
      <c r="F1376" s="7">
        <v>1070.96</v>
      </c>
      <c r="G1376" s="10">
        <v>0.2</v>
      </c>
      <c r="H1376" s="7">
        <v>856.77</v>
      </c>
      <c r="I1376">
        <v>2</v>
      </c>
      <c r="J1376" t="s">
        <v>13</v>
      </c>
      <c r="K1376" s="13">
        <f>ROUND(tblTransactions[[#This Row],[gross_sales_inr]]*(1-tblTransactions[[#This Row],[discount_pct]]),2)</f>
        <v>856.77</v>
      </c>
      <c r="L1376" t="str">
        <f>IF(ABS(tblTransactions[[#This Row],[net_sales_inr]]-tblTransactions[[#This Row],[Recalc_Net_Sales]])&lt;0.02,"OK","CHECK")</f>
        <v>OK</v>
      </c>
      <c r="M1376" s="14">
        <f>DATE(YEAR(tblTransactions[[#This Row],[date]]),MONTH(tblTransactions[[#This Row],[date]]),1)</f>
        <v>45689</v>
      </c>
      <c r="N1376" t="str">
        <f>IF(WEEKDAY(tblTransactions[[#This Row],[date]],2)&gt;5,"Weekend","Weekday")</f>
        <v>Weekday</v>
      </c>
      <c r="O137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76" s="13" t="str">
        <f>_xlfn.XLOOKUP(tblTransactions[[#This Row],[tenant_id]],tblTenants[tenant_id],tblTenants[zone],"NOT FOUND")</f>
        <v>Fashion Avenue</v>
      </c>
      <c r="Q1376" s="13" t="str">
        <f>_xlfn.XLOOKUP(tblTransactions[[#This Row],[tenant_id]],tblTenants[tenant_id],tblTenants[category],"NOT FOUND")</f>
        <v>Footwear</v>
      </c>
    </row>
    <row r="1377" spans="1:17">
      <c r="A1377" t="s">
        <v>1421</v>
      </c>
      <c r="B1377" s="2">
        <v>45819</v>
      </c>
      <c r="C1377">
        <v>14</v>
      </c>
      <c r="D1377" t="s">
        <v>48</v>
      </c>
      <c r="E1377" t="s">
        <v>12</v>
      </c>
      <c r="F1377" s="7">
        <v>582.73</v>
      </c>
      <c r="G1377" s="10">
        <v>0</v>
      </c>
      <c r="H1377" s="7">
        <v>582.73</v>
      </c>
      <c r="I1377">
        <v>4</v>
      </c>
      <c r="J1377" t="s">
        <v>13</v>
      </c>
      <c r="K1377" s="13">
        <f>ROUND(tblTransactions[[#This Row],[gross_sales_inr]]*(1-tblTransactions[[#This Row],[discount_pct]]),2)</f>
        <v>582.73</v>
      </c>
      <c r="L1377" t="str">
        <f>IF(ABS(tblTransactions[[#This Row],[net_sales_inr]]-tblTransactions[[#This Row],[Recalc_Net_Sales]])&lt;0.02,"OK","CHECK")</f>
        <v>OK</v>
      </c>
      <c r="M1377" s="14">
        <f>DATE(YEAR(tblTransactions[[#This Row],[date]]),MONTH(tblTransactions[[#This Row],[date]]),1)</f>
        <v>45809</v>
      </c>
      <c r="N1377" t="str">
        <f>IF(WEEKDAY(tblTransactions[[#This Row],[date]],2)&gt;5,"Weekend","Weekday")</f>
        <v>Weekday</v>
      </c>
      <c r="O1377" s="13" t="str">
        <f>IF(tblTransactions[[#This Row],[discount_pct]]=0,"0%",IF(tblTransactions[[#This Row],[discount_pct]]&lt;=10%,"1–
10%",IF(tblTransactions[[#This Row],[discount_pct]]&lt;=20%,"11–20%","&gt;20%")))</f>
        <v>0%</v>
      </c>
      <c r="P1377" s="13" t="str">
        <f>_xlfn.XLOOKUP(tblTransactions[[#This Row],[tenant_id]],tblTenants[tenant_id],tblTenants[zone],"NOT FOUND")</f>
        <v>Beauty &amp; Wellness</v>
      </c>
      <c r="Q1377" s="13" t="str">
        <f>_xlfn.XLOOKUP(tblTransactions[[#This Row],[tenant_id]],tblTenants[tenant_id],tblTenants[category],"NOT FOUND")</f>
        <v>Wellness</v>
      </c>
    </row>
    <row r="1378" spans="1:17">
      <c r="A1378" t="s">
        <v>1422</v>
      </c>
      <c r="B1378" s="2">
        <v>45694</v>
      </c>
      <c r="C1378">
        <v>14</v>
      </c>
      <c r="D1378" t="s">
        <v>15</v>
      </c>
      <c r="E1378" t="s">
        <v>12</v>
      </c>
      <c r="F1378" s="7">
        <v>2132.63</v>
      </c>
      <c r="G1378" s="10">
        <v>0</v>
      </c>
      <c r="H1378" s="7">
        <v>2132.63</v>
      </c>
      <c r="I1378">
        <v>1</v>
      </c>
      <c r="J1378" t="s">
        <v>16</v>
      </c>
      <c r="K1378" s="13">
        <f>ROUND(tblTransactions[[#This Row],[gross_sales_inr]]*(1-tblTransactions[[#This Row],[discount_pct]]),2)</f>
        <v>2132.63</v>
      </c>
      <c r="L1378" t="str">
        <f>IF(ABS(tblTransactions[[#This Row],[net_sales_inr]]-tblTransactions[[#This Row],[Recalc_Net_Sales]])&lt;0.02,"OK","CHECK")</f>
        <v>OK</v>
      </c>
      <c r="M1378" s="14">
        <f>DATE(YEAR(tblTransactions[[#This Row],[date]]),MONTH(tblTransactions[[#This Row],[date]]),1)</f>
        <v>45689</v>
      </c>
      <c r="N1378" t="str">
        <f>IF(WEEKDAY(tblTransactions[[#This Row],[date]],2)&gt;5,"Weekend","Weekday")</f>
        <v>Weekday</v>
      </c>
      <c r="O1378" s="13" t="str">
        <f>IF(tblTransactions[[#This Row],[discount_pct]]=0,"0%",IF(tblTransactions[[#This Row],[discount_pct]]&lt;=10%,"1–
10%",IF(tblTransactions[[#This Row],[discount_pct]]&lt;=20%,"11–20%","&gt;20%")))</f>
        <v>0%</v>
      </c>
      <c r="P1378" s="13" t="str">
        <f>_xlfn.XLOOKUP(tblTransactions[[#This Row],[tenant_id]],tblTenants[tenant_id],tblTenants[zone],"NOT FOUND")</f>
        <v>Fashion Avenue</v>
      </c>
      <c r="Q1378" s="13" t="str">
        <f>_xlfn.XLOOKUP(tblTransactions[[#This Row],[tenant_id]],tblTenants[tenant_id],tblTenants[category],"NOT FOUND")</f>
        <v>Accessories</v>
      </c>
    </row>
    <row r="1379" spans="1:17">
      <c r="A1379" t="s">
        <v>1423</v>
      </c>
      <c r="B1379" s="2">
        <v>45795</v>
      </c>
      <c r="C1379">
        <v>14</v>
      </c>
      <c r="D1379" t="s">
        <v>57</v>
      </c>
      <c r="E1379" t="s">
        <v>12</v>
      </c>
      <c r="F1379" s="7">
        <v>1143.27</v>
      </c>
      <c r="G1379" s="10">
        <v>0.05</v>
      </c>
      <c r="H1379" s="7">
        <v>1086.1099999999999</v>
      </c>
      <c r="I1379">
        <v>1</v>
      </c>
      <c r="J1379" t="s">
        <v>13</v>
      </c>
      <c r="K1379" s="13">
        <f>ROUND(tblTransactions[[#This Row],[gross_sales_inr]]*(1-tblTransactions[[#This Row],[discount_pct]]),2)</f>
        <v>1086.1099999999999</v>
      </c>
      <c r="L1379" t="str">
        <f>IF(ABS(tblTransactions[[#This Row],[net_sales_inr]]-tblTransactions[[#This Row],[Recalc_Net_Sales]])&lt;0.02,"OK","CHECK")</f>
        <v>OK</v>
      </c>
      <c r="M1379" s="14">
        <f>DATE(YEAR(tblTransactions[[#This Row],[date]]),MONTH(tblTransactions[[#This Row],[date]]),1)</f>
        <v>45778</v>
      </c>
      <c r="N1379" t="str">
        <f>IF(WEEKDAY(tblTransactions[[#This Row],[date]],2)&gt;5,"Weekend","Weekday")</f>
        <v>Weekend</v>
      </c>
      <c r="O137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79" s="13" t="str">
        <f>_xlfn.XLOOKUP(tblTransactions[[#This Row],[tenant_id]],tblTenants[tenant_id],tblTenants[zone],"NOT FOUND")</f>
        <v>Food Court</v>
      </c>
      <c r="Q1379" s="13" t="str">
        <f>_xlfn.XLOOKUP(tblTransactions[[#This Row],[tenant_id]],tblTenants[tenant_id],tblTenants[category],"NOT FOUND")</f>
        <v>Casual Dining</v>
      </c>
    </row>
    <row r="1380" spans="1:17">
      <c r="A1380" t="s">
        <v>1424</v>
      </c>
      <c r="B1380" s="2">
        <v>45767</v>
      </c>
      <c r="C1380">
        <v>13</v>
      </c>
      <c r="D1380" t="s">
        <v>41</v>
      </c>
      <c r="E1380" t="s">
        <v>32</v>
      </c>
      <c r="F1380" s="7">
        <v>1882.05</v>
      </c>
      <c r="G1380" s="10">
        <v>0.2</v>
      </c>
      <c r="H1380" s="7">
        <v>1505.64</v>
      </c>
      <c r="I1380">
        <v>3</v>
      </c>
      <c r="J1380" t="s">
        <v>13</v>
      </c>
      <c r="K1380" s="13">
        <f>ROUND(tblTransactions[[#This Row],[gross_sales_inr]]*(1-tblTransactions[[#This Row],[discount_pct]]),2)</f>
        <v>1505.64</v>
      </c>
      <c r="L1380" t="str">
        <f>IF(ABS(tblTransactions[[#This Row],[net_sales_inr]]-tblTransactions[[#This Row],[Recalc_Net_Sales]])&lt;0.02,"OK","CHECK")</f>
        <v>OK</v>
      </c>
      <c r="M1380" s="14">
        <f>DATE(YEAR(tblTransactions[[#This Row],[date]]),MONTH(tblTransactions[[#This Row],[date]]),1)</f>
        <v>45748</v>
      </c>
      <c r="N1380" t="str">
        <f>IF(WEEKDAY(tblTransactions[[#This Row],[date]],2)&gt;5,"Weekend","Weekday")</f>
        <v>Weekend</v>
      </c>
      <c r="O138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80" s="13" t="str">
        <f>_xlfn.XLOOKUP(tblTransactions[[#This Row],[tenant_id]],tblTenants[tenant_id],tblTenants[zone],"NOT FOUND")</f>
        <v>Fashion Avenue</v>
      </c>
      <c r="Q1380" s="13" t="str">
        <f>_xlfn.XLOOKUP(tblTransactions[[#This Row],[tenant_id]],tblTenants[tenant_id],tblTenants[category],"NOT FOUND")</f>
        <v>Clothing</v>
      </c>
    </row>
    <row r="1381" spans="1:17">
      <c r="A1381" t="s">
        <v>1425</v>
      </c>
      <c r="B1381" s="2">
        <v>45785</v>
      </c>
      <c r="C1381">
        <v>22</v>
      </c>
      <c r="D1381" t="s">
        <v>72</v>
      </c>
      <c r="E1381" t="s">
        <v>32</v>
      </c>
      <c r="F1381" s="7">
        <v>409.29</v>
      </c>
      <c r="G1381" s="10">
        <v>0</v>
      </c>
      <c r="H1381" s="7">
        <v>409.29</v>
      </c>
      <c r="I1381">
        <v>4</v>
      </c>
      <c r="J1381" t="s">
        <v>16</v>
      </c>
      <c r="K1381" s="13">
        <f>ROUND(tblTransactions[[#This Row],[gross_sales_inr]]*(1-tblTransactions[[#This Row],[discount_pct]]),2)</f>
        <v>409.29</v>
      </c>
      <c r="L1381" t="str">
        <f>IF(ABS(tblTransactions[[#This Row],[net_sales_inr]]-tblTransactions[[#This Row],[Recalc_Net_Sales]])&lt;0.02,"OK","CHECK")</f>
        <v>OK</v>
      </c>
      <c r="M1381" s="14">
        <f>DATE(YEAR(tblTransactions[[#This Row],[date]]),MONTH(tblTransactions[[#This Row],[date]]),1)</f>
        <v>45778</v>
      </c>
      <c r="N1381" t="str">
        <f>IF(WEEKDAY(tblTransactions[[#This Row],[date]],2)&gt;5,"Weekend","Weekday")</f>
        <v>Weekday</v>
      </c>
      <c r="O1381" s="13" t="str">
        <f>IF(tblTransactions[[#This Row],[discount_pct]]=0,"0%",IF(tblTransactions[[#This Row],[discount_pct]]&lt;=10%,"1–
10%",IF(tblTransactions[[#This Row],[discount_pct]]&lt;=20%,"11–20%","&gt;20%")))</f>
        <v>0%</v>
      </c>
      <c r="P1381" s="13" t="str">
        <f>_xlfn.XLOOKUP(tblTransactions[[#This Row],[tenant_id]],tblTenants[tenant_id],tblTenants[zone],"NOT FOUND")</f>
        <v>Entertainment</v>
      </c>
      <c r="Q1381" s="13" t="str">
        <f>_xlfn.XLOOKUP(tblTransactions[[#This Row],[tenant_id]],tblTenants[tenant_id],tblTenants[category],"NOT FOUND")</f>
        <v>Arcade</v>
      </c>
    </row>
    <row r="1382" spans="1:17">
      <c r="A1382" t="s">
        <v>1426</v>
      </c>
      <c r="B1382" s="2">
        <v>45702</v>
      </c>
      <c r="C1382">
        <v>16</v>
      </c>
      <c r="D1382" t="s">
        <v>20</v>
      </c>
      <c r="E1382" t="s">
        <v>12</v>
      </c>
      <c r="F1382" s="7">
        <v>703.7</v>
      </c>
      <c r="G1382" s="10">
        <v>0.1</v>
      </c>
      <c r="H1382" s="7">
        <v>633.33000000000004</v>
      </c>
      <c r="I1382">
        <v>1</v>
      </c>
      <c r="J1382" t="s">
        <v>13</v>
      </c>
      <c r="K1382" s="13">
        <f>ROUND(tblTransactions[[#This Row],[gross_sales_inr]]*(1-tblTransactions[[#This Row],[discount_pct]]),2)</f>
        <v>633.33000000000004</v>
      </c>
      <c r="L1382" t="str">
        <f>IF(ABS(tblTransactions[[#This Row],[net_sales_inr]]-tblTransactions[[#This Row],[Recalc_Net_Sales]])&lt;0.02,"OK","CHECK")</f>
        <v>OK</v>
      </c>
      <c r="M1382" s="14">
        <f>DATE(YEAR(tblTransactions[[#This Row],[date]]),MONTH(tblTransactions[[#This Row],[date]]),1)</f>
        <v>45689</v>
      </c>
      <c r="N1382" t="str">
        <f>IF(WEEKDAY(tblTransactions[[#This Row],[date]],2)&gt;5,"Weekend","Weekday")</f>
        <v>Weekday</v>
      </c>
      <c r="O138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82" s="13" t="str">
        <f>_xlfn.XLOOKUP(tblTransactions[[#This Row],[tenant_id]],tblTenants[tenant_id],tblTenants[zone],"NOT FOUND")</f>
        <v>Fashion Avenue</v>
      </c>
      <c r="Q1382" s="13" t="str">
        <f>_xlfn.XLOOKUP(tblTransactions[[#This Row],[tenant_id]],tblTenants[tenant_id],tblTenants[category],"NOT FOUND")</f>
        <v>Accessories</v>
      </c>
    </row>
    <row r="1383" spans="1:17">
      <c r="A1383" t="s">
        <v>1427</v>
      </c>
      <c r="B1383" s="2">
        <v>45724</v>
      </c>
      <c r="C1383">
        <v>21</v>
      </c>
      <c r="D1383" t="s">
        <v>11</v>
      </c>
      <c r="E1383" t="s">
        <v>12</v>
      </c>
      <c r="F1383" s="7">
        <v>932.31</v>
      </c>
      <c r="G1383" s="10">
        <v>0</v>
      </c>
      <c r="H1383" s="7">
        <v>932.31</v>
      </c>
      <c r="I1383">
        <v>4</v>
      </c>
      <c r="J1383" t="s">
        <v>13</v>
      </c>
      <c r="K1383" s="13">
        <f>ROUND(tblTransactions[[#This Row],[gross_sales_inr]]*(1-tblTransactions[[#This Row],[discount_pct]]),2)</f>
        <v>932.31</v>
      </c>
      <c r="L1383" t="str">
        <f>IF(ABS(tblTransactions[[#This Row],[net_sales_inr]]-tblTransactions[[#This Row],[Recalc_Net_Sales]])&lt;0.02,"OK","CHECK")</f>
        <v>OK</v>
      </c>
      <c r="M1383" s="14">
        <f>DATE(YEAR(tblTransactions[[#This Row],[date]]),MONTH(tblTransactions[[#This Row],[date]]),1)</f>
        <v>45717</v>
      </c>
      <c r="N1383" t="str">
        <f>IF(WEEKDAY(tblTransactions[[#This Row],[date]],2)&gt;5,"Weekend","Weekday")</f>
        <v>Weekend</v>
      </c>
      <c r="O1383" s="13" t="str">
        <f>IF(tblTransactions[[#This Row],[discount_pct]]=0,"0%",IF(tblTransactions[[#This Row],[discount_pct]]&lt;=10%,"1–
10%",IF(tblTransactions[[#This Row],[discount_pct]]&lt;=20%,"11–20%","&gt;20%")))</f>
        <v>0%</v>
      </c>
      <c r="P1383" s="13" t="str">
        <f>_xlfn.XLOOKUP(tblTransactions[[#This Row],[tenant_id]],tblTenants[tenant_id],tblTenants[zone],"NOT FOUND")</f>
        <v>Home &amp; Living</v>
      </c>
      <c r="Q1383" s="13" t="str">
        <f>_xlfn.XLOOKUP(tblTransactions[[#This Row],[tenant_id]],tblTenants[tenant_id],tblTenants[category],"NOT FOUND")</f>
        <v>Home Decor</v>
      </c>
    </row>
    <row r="1384" spans="1:17">
      <c r="A1384" t="s">
        <v>1428</v>
      </c>
      <c r="B1384" s="2">
        <v>45676</v>
      </c>
      <c r="C1384">
        <v>22</v>
      </c>
      <c r="D1384" t="s">
        <v>20</v>
      </c>
      <c r="E1384" t="s">
        <v>32</v>
      </c>
      <c r="F1384" s="7">
        <v>860.72</v>
      </c>
      <c r="G1384" s="10">
        <v>0</v>
      </c>
      <c r="H1384" s="7">
        <v>860.72</v>
      </c>
      <c r="I1384">
        <v>2</v>
      </c>
      <c r="J1384" t="s">
        <v>13</v>
      </c>
      <c r="K1384" s="13">
        <f>ROUND(tblTransactions[[#This Row],[gross_sales_inr]]*(1-tblTransactions[[#This Row],[discount_pct]]),2)</f>
        <v>860.72</v>
      </c>
      <c r="L1384" t="str">
        <f>IF(ABS(tblTransactions[[#This Row],[net_sales_inr]]-tblTransactions[[#This Row],[Recalc_Net_Sales]])&lt;0.02,"OK","CHECK")</f>
        <v>OK</v>
      </c>
      <c r="M1384" s="14">
        <f>DATE(YEAR(tblTransactions[[#This Row],[date]]),MONTH(tblTransactions[[#This Row],[date]]),1)</f>
        <v>45658</v>
      </c>
      <c r="N1384" t="str">
        <f>IF(WEEKDAY(tblTransactions[[#This Row],[date]],2)&gt;5,"Weekend","Weekday")</f>
        <v>Weekend</v>
      </c>
      <c r="O1384" s="13" t="str">
        <f>IF(tblTransactions[[#This Row],[discount_pct]]=0,"0%",IF(tblTransactions[[#This Row],[discount_pct]]&lt;=10%,"1–
10%",IF(tblTransactions[[#This Row],[discount_pct]]&lt;=20%,"11–20%","&gt;20%")))</f>
        <v>0%</v>
      </c>
      <c r="P1384" s="13" t="str">
        <f>_xlfn.XLOOKUP(tblTransactions[[#This Row],[tenant_id]],tblTenants[tenant_id],tblTenants[zone],"NOT FOUND")</f>
        <v>Fashion Avenue</v>
      </c>
      <c r="Q1384" s="13" t="str">
        <f>_xlfn.XLOOKUP(tblTransactions[[#This Row],[tenant_id]],tblTenants[tenant_id],tblTenants[category],"NOT FOUND")</f>
        <v>Accessories</v>
      </c>
    </row>
    <row r="1385" spans="1:17">
      <c r="A1385" t="s">
        <v>1429</v>
      </c>
      <c r="B1385" s="2">
        <v>45799</v>
      </c>
      <c r="C1385">
        <v>18</v>
      </c>
      <c r="D1385" t="s">
        <v>204</v>
      </c>
      <c r="E1385" t="s">
        <v>12</v>
      </c>
      <c r="F1385" s="7">
        <v>1477.99</v>
      </c>
      <c r="G1385" s="10">
        <v>0.05</v>
      </c>
      <c r="H1385" s="7">
        <v>1404.09</v>
      </c>
      <c r="I1385">
        <v>5</v>
      </c>
      <c r="J1385" t="s">
        <v>13</v>
      </c>
      <c r="K1385" s="13">
        <f>ROUND(tblTransactions[[#This Row],[gross_sales_inr]]*(1-tblTransactions[[#This Row],[discount_pct]]),2)</f>
        <v>1404.09</v>
      </c>
      <c r="L1385" t="str">
        <f>IF(ABS(tblTransactions[[#This Row],[net_sales_inr]]-tblTransactions[[#This Row],[Recalc_Net_Sales]])&lt;0.02,"OK","CHECK")</f>
        <v>OK</v>
      </c>
      <c r="M1385" s="14">
        <f>DATE(YEAR(tblTransactions[[#This Row],[date]]),MONTH(tblTransactions[[#This Row],[date]]),1)</f>
        <v>45778</v>
      </c>
      <c r="N1385" t="str">
        <f>IF(WEEKDAY(tblTransactions[[#This Row],[date]],2)&gt;5,"Weekend","Weekday")</f>
        <v>Weekday</v>
      </c>
      <c r="O138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85" s="13" t="str">
        <f>_xlfn.XLOOKUP(tblTransactions[[#This Row],[tenant_id]],tblTenants[tenant_id],tblTenants[zone],"NOT FOUND")</f>
        <v>Home &amp; Living</v>
      </c>
      <c r="Q1385" s="13" t="str">
        <f>_xlfn.XLOOKUP(tblTransactions[[#This Row],[tenant_id]],tblTenants[tenant_id],tblTenants[category],"NOT FOUND")</f>
        <v>Home Decor</v>
      </c>
    </row>
    <row r="1386" spans="1:17">
      <c r="A1386" t="s">
        <v>1430</v>
      </c>
      <c r="B1386" s="2">
        <v>45775</v>
      </c>
      <c r="C1386">
        <v>13</v>
      </c>
      <c r="D1386" t="s">
        <v>85</v>
      </c>
      <c r="E1386" t="s">
        <v>12</v>
      </c>
      <c r="F1386" s="7">
        <v>633.96</v>
      </c>
      <c r="G1386" s="10">
        <v>0.05</v>
      </c>
      <c r="H1386" s="7">
        <v>602.26</v>
      </c>
      <c r="I1386">
        <v>5</v>
      </c>
      <c r="J1386" t="s">
        <v>16</v>
      </c>
      <c r="K1386" s="13">
        <f>ROUND(tblTransactions[[#This Row],[gross_sales_inr]]*(1-tblTransactions[[#This Row],[discount_pct]]),2)</f>
        <v>602.26</v>
      </c>
      <c r="L1386" t="str">
        <f>IF(ABS(tblTransactions[[#This Row],[net_sales_inr]]-tblTransactions[[#This Row],[Recalc_Net_Sales]])&lt;0.02,"OK","CHECK")</f>
        <v>OK</v>
      </c>
      <c r="M1386" s="14">
        <f>DATE(YEAR(tblTransactions[[#This Row],[date]]),MONTH(tblTransactions[[#This Row],[date]]),1)</f>
        <v>45748</v>
      </c>
      <c r="N1386" t="str">
        <f>IF(WEEKDAY(tblTransactions[[#This Row],[date]],2)&gt;5,"Weekend","Weekday")</f>
        <v>Weekday</v>
      </c>
      <c r="O138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86" s="13" t="str">
        <f>_xlfn.XLOOKUP(tblTransactions[[#This Row],[tenant_id]],tblTenants[tenant_id],tblTenants[zone],"NOT FOUND")</f>
        <v>Home &amp; Living</v>
      </c>
      <c r="Q1386" s="13" t="str">
        <f>_xlfn.XLOOKUP(tblTransactions[[#This Row],[tenant_id]],tblTenants[tenant_id],tblTenants[category],"NOT FOUND")</f>
        <v>Electronics</v>
      </c>
    </row>
    <row r="1387" spans="1:17">
      <c r="A1387" t="s">
        <v>1431</v>
      </c>
      <c r="B1387" s="2">
        <v>45695</v>
      </c>
      <c r="C1387">
        <v>19</v>
      </c>
      <c r="D1387" t="s">
        <v>20</v>
      </c>
      <c r="E1387" t="s">
        <v>51</v>
      </c>
      <c r="F1387" s="7">
        <v>1537.18</v>
      </c>
      <c r="G1387" s="10">
        <v>0.3</v>
      </c>
      <c r="H1387" s="7">
        <v>1076.03</v>
      </c>
      <c r="I1387">
        <v>2</v>
      </c>
      <c r="J1387" t="s">
        <v>13</v>
      </c>
      <c r="K1387" s="13">
        <f>ROUND(tblTransactions[[#This Row],[gross_sales_inr]]*(1-tblTransactions[[#This Row],[discount_pct]]),2)</f>
        <v>1076.03</v>
      </c>
      <c r="L1387" t="str">
        <f>IF(ABS(tblTransactions[[#This Row],[net_sales_inr]]-tblTransactions[[#This Row],[Recalc_Net_Sales]])&lt;0.02,"OK","CHECK")</f>
        <v>OK</v>
      </c>
      <c r="M1387" s="14">
        <f>DATE(YEAR(tblTransactions[[#This Row],[date]]),MONTH(tblTransactions[[#This Row],[date]]),1)</f>
        <v>45689</v>
      </c>
      <c r="N1387" t="str">
        <f>IF(WEEKDAY(tblTransactions[[#This Row],[date]],2)&gt;5,"Weekend","Weekday")</f>
        <v>Weekday</v>
      </c>
      <c r="O138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387" s="13" t="str">
        <f>_xlfn.XLOOKUP(tblTransactions[[#This Row],[tenant_id]],tblTenants[tenant_id],tblTenants[zone],"NOT FOUND")</f>
        <v>Fashion Avenue</v>
      </c>
      <c r="Q1387" s="13" t="str">
        <f>_xlfn.XLOOKUP(tblTransactions[[#This Row],[tenant_id]],tblTenants[tenant_id],tblTenants[category],"NOT FOUND")</f>
        <v>Accessories</v>
      </c>
    </row>
    <row r="1388" spans="1:17">
      <c r="A1388" t="s">
        <v>1432</v>
      </c>
      <c r="B1388" s="2">
        <v>45723</v>
      </c>
      <c r="C1388">
        <v>21</v>
      </c>
      <c r="D1388" t="s">
        <v>53</v>
      </c>
      <c r="E1388" t="s">
        <v>32</v>
      </c>
      <c r="F1388" s="7">
        <v>1966.65</v>
      </c>
      <c r="G1388" s="10">
        <v>0</v>
      </c>
      <c r="H1388" s="7">
        <v>1966.65</v>
      </c>
      <c r="I1388">
        <v>2</v>
      </c>
      <c r="J1388" t="s">
        <v>16</v>
      </c>
      <c r="K1388" s="13">
        <f>ROUND(tblTransactions[[#This Row],[gross_sales_inr]]*(1-tblTransactions[[#This Row],[discount_pct]]),2)</f>
        <v>1966.65</v>
      </c>
      <c r="L1388" t="str">
        <f>IF(ABS(tblTransactions[[#This Row],[net_sales_inr]]-tblTransactions[[#This Row],[Recalc_Net_Sales]])&lt;0.02,"OK","CHECK")</f>
        <v>OK</v>
      </c>
      <c r="M1388" s="14">
        <f>DATE(YEAR(tblTransactions[[#This Row],[date]]),MONTH(tblTransactions[[#This Row],[date]]),1)</f>
        <v>45717</v>
      </c>
      <c r="N1388" t="str">
        <f>IF(WEEKDAY(tblTransactions[[#This Row],[date]],2)&gt;5,"Weekend","Weekday")</f>
        <v>Weekday</v>
      </c>
      <c r="O1388" s="13" t="str">
        <f>IF(tblTransactions[[#This Row],[discount_pct]]=0,"0%",IF(tblTransactions[[#This Row],[discount_pct]]&lt;=10%,"1–
10%",IF(tblTransactions[[#This Row],[discount_pct]]&lt;=20%,"11–20%","&gt;20%")))</f>
        <v>0%</v>
      </c>
      <c r="P1388" s="13" t="str">
        <f>_xlfn.XLOOKUP(tblTransactions[[#This Row],[tenant_id]],tblTenants[tenant_id],tblTenants[zone],"NOT FOUND")</f>
        <v>Beauty &amp; Wellness</v>
      </c>
      <c r="Q1388" s="13" t="str">
        <f>_xlfn.XLOOKUP(tblTransactions[[#This Row],[tenant_id]],tblTenants[tenant_id],tblTenants[category],"NOT FOUND")</f>
        <v>Beauty</v>
      </c>
    </row>
    <row r="1389" spans="1:17">
      <c r="A1389" t="s">
        <v>1433</v>
      </c>
      <c r="B1389" s="2">
        <v>45831</v>
      </c>
      <c r="C1389">
        <v>16</v>
      </c>
      <c r="D1389" t="s">
        <v>20</v>
      </c>
      <c r="E1389" t="s">
        <v>12</v>
      </c>
      <c r="F1389" s="7">
        <v>671.71</v>
      </c>
      <c r="G1389" s="10">
        <v>0.1</v>
      </c>
      <c r="H1389" s="7">
        <v>604.54</v>
      </c>
      <c r="I1389">
        <v>2</v>
      </c>
      <c r="J1389" t="s">
        <v>13</v>
      </c>
      <c r="K1389" s="13">
        <f>ROUND(tblTransactions[[#This Row],[gross_sales_inr]]*(1-tblTransactions[[#This Row],[discount_pct]]),2)</f>
        <v>604.54</v>
      </c>
      <c r="L1389" t="str">
        <f>IF(ABS(tblTransactions[[#This Row],[net_sales_inr]]-tblTransactions[[#This Row],[Recalc_Net_Sales]])&lt;0.02,"OK","CHECK")</f>
        <v>OK</v>
      </c>
      <c r="M1389" s="14">
        <f>DATE(YEAR(tblTransactions[[#This Row],[date]]),MONTH(tblTransactions[[#This Row],[date]]),1)</f>
        <v>45809</v>
      </c>
      <c r="N1389" t="str">
        <f>IF(WEEKDAY(tblTransactions[[#This Row],[date]],2)&gt;5,"Weekend","Weekday")</f>
        <v>Weekday</v>
      </c>
      <c r="O138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89" s="13" t="str">
        <f>_xlfn.XLOOKUP(tblTransactions[[#This Row],[tenant_id]],tblTenants[tenant_id],tblTenants[zone],"NOT FOUND")</f>
        <v>Fashion Avenue</v>
      </c>
      <c r="Q1389" s="13" t="str">
        <f>_xlfn.XLOOKUP(tblTransactions[[#This Row],[tenant_id]],tblTenants[tenant_id],tblTenants[category],"NOT FOUND")</f>
        <v>Accessories</v>
      </c>
    </row>
    <row r="1390" spans="1:17">
      <c r="A1390" t="s">
        <v>1434</v>
      </c>
      <c r="B1390" s="2">
        <v>45797</v>
      </c>
      <c r="C1390">
        <v>15</v>
      </c>
      <c r="D1390" t="s">
        <v>72</v>
      </c>
      <c r="E1390" t="s">
        <v>12</v>
      </c>
      <c r="F1390" s="7">
        <v>1271.6500000000001</v>
      </c>
      <c r="G1390" s="10">
        <v>0.1</v>
      </c>
      <c r="H1390" s="7">
        <v>1144.49</v>
      </c>
      <c r="I1390">
        <v>1</v>
      </c>
      <c r="J1390" t="s">
        <v>13</v>
      </c>
      <c r="K1390" s="13">
        <f>ROUND(tblTransactions[[#This Row],[gross_sales_inr]]*(1-tblTransactions[[#This Row],[discount_pct]]),2)</f>
        <v>1144.49</v>
      </c>
      <c r="L1390" t="str">
        <f>IF(ABS(tblTransactions[[#This Row],[net_sales_inr]]-tblTransactions[[#This Row],[Recalc_Net_Sales]])&lt;0.02,"OK","CHECK")</f>
        <v>OK</v>
      </c>
      <c r="M1390" s="14">
        <f>DATE(YEAR(tblTransactions[[#This Row],[date]]),MONTH(tblTransactions[[#This Row],[date]]),1)</f>
        <v>45778</v>
      </c>
      <c r="N1390" t="str">
        <f>IF(WEEKDAY(tblTransactions[[#This Row],[date]],2)&gt;5,"Weekend","Weekday")</f>
        <v>Weekday</v>
      </c>
      <c r="O139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90" s="13" t="str">
        <f>_xlfn.XLOOKUP(tblTransactions[[#This Row],[tenant_id]],tblTenants[tenant_id],tblTenants[zone],"NOT FOUND")</f>
        <v>Entertainment</v>
      </c>
      <c r="Q1390" s="13" t="str">
        <f>_xlfn.XLOOKUP(tblTransactions[[#This Row],[tenant_id]],tblTenants[tenant_id],tblTenants[category],"NOT FOUND")</f>
        <v>Arcade</v>
      </c>
    </row>
    <row r="1391" spans="1:17">
      <c r="A1391" t="s">
        <v>1435</v>
      </c>
      <c r="B1391" s="2">
        <v>45708</v>
      </c>
      <c r="C1391">
        <v>17</v>
      </c>
      <c r="D1391" t="s">
        <v>72</v>
      </c>
      <c r="E1391" t="s">
        <v>12</v>
      </c>
      <c r="F1391" s="7">
        <v>557.04</v>
      </c>
      <c r="G1391" s="10">
        <v>0</v>
      </c>
      <c r="H1391" s="7">
        <v>557.04</v>
      </c>
      <c r="I1391">
        <v>1</v>
      </c>
      <c r="J1391" t="s">
        <v>13</v>
      </c>
      <c r="K1391" s="13">
        <f>ROUND(tblTransactions[[#This Row],[gross_sales_inr]]*(1-tblTransactions[[#This Row],[discount_pct]]),2)</f>
        <v>557.04</v>
      </c>
      <c r="L1391" t="str">
        <f>IF(ABS(tblTransactions[[#This Row],[net_sales_inr]]-tblTransactions[[#This Row],[Recalc_Net_Sales]])&lt;0.02,"OK","CHECK")</f>
        <v>OK</v>
      </c>
      <c r="M1391" s="14">
        <f>DATE(YEAR(tblTransactions[[#This Row],[date]]),MONTH(tblTransactions[[#This Row],[date]]),1)</f>
        <v>45689</v>
      </c>
      <c r="N1391" t="str">
        <f>IF(WEEKDAY(tblTransactions[[#This Row],[date]],2)&gt;5,"Weekend","Weekday")</f>
        <v>Weekday</v>
      </c>
      <c r="O1391" s="13" t="str">
        <f>IF(tblTransactions[[#This Row],[discount_pct]]=0,"0%",IF(tblTransactions[[#This Row],[discount_pct]]&lt;=10%,"1–
10%",IF(tblTransactions[[#This Row],[discount_pct]]&lt;=20%,"11–20%","&gt;20%")))</f>
        <v>0%</v>
      </c>
      <c r="P1391" s="13" t="str">
        <f>_xlfn.XLOOKUP(tblTransactions[[#This Row],[tenant_id]],tblTenants[tenant_id],tblTenants[zone],"NOT FOUND")</f>
        <v>Entertainment</v>
      </c>
      <c r="Q1391" s="13" t="str">
        <f>_xlfn.XLOOKUP(tblTransactions[[#This Row],[tenant_id]],tblTenants[tenant_id],tblTenants[category],"NOT FOUND")</f>
        <v>Arcade</v>
      </c>
    </row>
    <row r="1392" spans="1:17">
      <c r="A1392" t="s">
        <v>1436</v>
      </c>
      <c r="B1392" s="2">
        <v>45819</v>
      </c>
      <c r="C1392">
        <v>13</v>
      </c>
      <c r="D1392" t="s">
        <v>43</v>
      </c>
      <c r="E1392" t="s">
        <v>21</v>
      </c>
      <c r="F1392" s="7">
        <v>241.28</v>
      </c>
      <c r="G1392" s="10">
        <v>0.3</v>
      </c>
      <c r="H1392" s="7">
        <v>168.9</v>
      </c>
      <c r="I1392">
        <v>3</v>
      </c>
      <c r="J1392" t="s">
        <v>13</v>
      </c>
      <c r="K1392" s="13">
        <f>ROUND(tblTransactions[[#This Row],[gross_sales_inr]]*(1-tblTransactions[[#This Row],[discount_pct]]),2)</f>
        <v>168.9</v>
      </c>
      <c r="L1392" t="str">
        <f>IF(ABS(tblTransactions[[#This Row],[net_sales_inr]]-tblTransactions[[#This Row],[Recalc_Net_Sales]])&lt;0.02,"OK","CHECK")</f>
        <v>OK</v>
      </c>
      <c r="M1392" s="14">
        <f>DATE(YEAR(tblTransactions[[#This Row],[date]]),MONTH(tblTransactions[[#This Row],[date]]),1)</f>
        <v>45809</v>
      </c>
      <c r="N1392" t="str">
        <f>IF(WEEKDAY(tblTransactions[[#This Row],[date]],2)&gt;5,"Weekend","Weekday")</f>
        <v>Weekday</v>
      </c>
      <c r="O1392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392" s="13" t="str">
        <f>_xlfn.XLOOKUP(tblTransactions[[#This Row],[tenant_id]],tblTenants[tenant_id],tblTenants[zone],"NOT FOUND")</f>
        <v>Food Court</v>
      </c>
      <c r="Q1392" s="13" t="str">
        <f>_xlfn.XLOOKUP(tblTransactions[[#This Row],[tenant_id]],tblTenants[tenant_id],tblTenants[category],"NOT FOUND")</f>
        <v>Casual Dining</v>
      </c>
    </row>
    <row r="1393" spans="1:17">
      <c r="A1393" t="s">
        <v>1437</v>
      </c>
      <c r="B1393" s="2">
        <v>45704</v>
      </c>
      <c r="C1393">
        <v>17</v>
      </c>
      <c r="D1393" t="s">
        <v>29</v>
      </c>
      <c r="E1393" t="s">
        <v>21</v>
      </c>
      <c r="F1393" s="7">
        <v>1208.8599999999999</v>
      </c>
      <c r="G1393" s="10">
        <v>0.15</v>
      </c>
      <c r="H1393" s="7">
        <v>1027.53</v>
      </c>
      <c r="I1393">
        <v>2</v>
      </c>
      <c r="J1393" t="s">
        <v>13</v>
      </c>
      <c r="K1393" s="13">
        <f>ROUND(tblTransactions[[#This Row],[gross_sales_inr]]*(1-tblTransactions[[#This Row],[discount_pct]]),2)</f>
        <v>1027.53</v>
      </c>
      <c r="L1393" t="str">
        <f>IF(ABS(tblTransactions[[#This Row],[net_sales_inr]]-tblTransactions[[#This Row],[Recalc_Net_Sales]])&lt;0.02,"OK","CHECK")</f>
        <v>OK</v>
      </c>
      <c r="M1393" s="14">
        <f>DATE(YEAR(tblTransactions[[#This Row],[date]]),MONTH(tblTransactions[[#This Row],[date]]),1)</f>
        <v>45689</v>
      </c>
      <c r="N1393" t="str">
        <f>IF(WEEKDAY(tblTransactions[[#This Row],[date]],2)&gt;5,"Weekend","Weekday")</f>
        <v>Weekend</v>
      </c>
      <c r="O139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93" s="13" t="str">
        <f>_xlfn.XLOOKUP(tblTransactions[[#This Row],[tenant_id]],tblTenants[tenant_id],tblTenants[zone],"NOT FOUND")</f>
        <v>Entertainment</v>
      </c>
      <c r="Q1393" s="13" t="str">
        <f>_xlfn.XLOOKUP(tblTransactions[[#This Row],[tenant_id]],tblTenants[tenant_id],tblTenants[category],"NOT FOUND")</f>
        <v>Cinema</v>
      </c>
    </row>
    <row r="1394" spans="1:17">
      <c r="A1394" t="s">
        <v>1438</v>
      </c>
      <c r="B1394" s="2">
        <v>45658</v>
      </c>
      <c r="C1394">
        <v>17</v>
      </c>
      <c r="D1394" t="s">
        <v>57</v>
      </c>
      <c r="E1394" t="s">
        <v>21</v>
      </c>
      <c r="F1394" s="7">
        <v>1112.3800000000001</v>
      </c>
      <c r="G1394" s="10">
        <v>0.15</v>
      </c>
      <c r="H1394" s="7">
        <v>945.52</v>
      </c>
      <c r="I1394">
        <v>6</v>
      </c>
      <c r="J1394" t="s">
        <v>13</v>
      </c>
      <c r="K1394" s="13">
        <f>ROUND(tblTransactions[[#This Row],[gross_sales_inr]]*(1-tblTransactions[[#This Row],[discount_pct]]),2)</f>
        <v>945.52</v>
      </c>
      <c r="L1394" t="str">
        <f>IF(ABS(tblTransactions[[#This Row],[net_sales_inr]]-tblTransactions[[#This Row],[Recalc_Net_Sales]])&lt;0.02,"OK","CHECK")</f>
        <v>OK</v>
      </c>
      <c r="M1394" s="14">
        <f>DATE(YEAR(tblTransactions[[#This Row],[date]]),MONTH(tblTransactions[[#This Row],[date]]),1)</f>
        <v>45658</v>
      </c>
      <c r="N1394" t="str">
        <f>IF(WEEKDAY(tblTransactions[[#This Row],[date]],2)&gt;5,"Weekend","Weekday")</f>
        <v>Weekday</v>
      </c>
      <c r="O139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394" s="13" t="str">
        <f>_xlfn.XLOOKUP(tblTransactions[[#This Row],[tenant_id]],tblTenants[tenant_id],tblTenants[zone],"NOT FOUND")</f>
        <v>Food Court</v>
      </c>
      <c r="Q1394" s="13" t="str">
        <f>_xlfn.XLOOKUP(tblTransactions[[#This Row],[tenant_id]],tblTenants[tenant_id],tblTenants[category],"NOT FOUND")</f>
        <v>Casual Dining</v>
      </c>
    </row>
    <row r="1395" spans="1:17">
      <c r="A1395" t="s">
        <v>1439</v>
      </c>
      <c r="B1395" s="2">
        <v>45665</v>
      </c>
      <c r="C1395">
        <v>11</v>
      </c>
      <c r="D1395" t="s">
        <v>59</v>
      </c>
      <c r="E1395" t="s">
        <v>12</v>
      </c>
      <c r="F1395" s="7">
        <v>1439.44</v>
      </c>
      <c r="G1395" s="10">
        <v>0.1</v>
      </c>
      <c r="H1395" s="7">
        <v>1295.5</v>
      </c>
      <c r="I1395">
        <v>4</v>
      </c>
      <c r="J1395" t="s">
        <v>13</v>
      </c>
      <c r="K1395" s="13">
        <f>ROUND(tblTransactions[[#This Row],[gross_sales_inr]]*(1-tblTransactions[[#This Row],[discount_pct]]),2)</f>
        <v>1295.5</v>
      </c>
      <c r="L1395" t="str">
        <f>IF(ABS(tblTransactions[[#This Row],[net_sales_inr]]-tblTransactions[[#This Row],[Recalc_Net_Sales]])&lt;0.02,"OK","CHECK")</f>
        <v>OK</v>
      </c>
      <c r="M1395" s="14">
        <f>DATE(YEAR(tblTransactions[[#This Row],[date]]),MONTH(tblTransactions[[#This Row],[date]]),1)</f>
        <v>45658</v>
      </c>
      <c r="N1395" t="str">
        <f>IF(WEEKDAY(tblTransactions[[#This Row],[date]],2)&gt;5,"Weekend","Weekday")</f>
        <v>Weekday</v>
      </c>
      <c r="O139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95" s="13" t="str">
        <f>_xlfn.XLOOKUP(tblTransactions[[#This Row],[tenant_id]],tblTenants[tenant_id],tblTenants[zone],"NOT FOUND")</f>
        <v>Fashion Avenue</v>
      </c>
      <c r="Q1395" s="13" t="str">
        <f>_xlfn.XLOOKUP(tblTransactions[[#This Row],[tenant_id]],tblTenants[tenant_id],tblTenants[category],"NOT FOUND")</f>
        <v>Footwear</v>
      </c>
    </row>
    <row r="1396" spans="1:17">
      <c r="A1396" t="s">
        <v>1440</v>
      </c>
      <c r="B1396" s="2">
        <v>45761</v>
      </c>
      <c r="C1396">
        <v>19</v>
      </c>
      <c r="D1396" t="s">
        <v>87</v>
      </c>
      <c r="E1396" t="s">
        <v>32</v>
      </c>
      <c r="F1396" s="7">
        <v>647.91999999999996</v>
      </c>
      <c r="G1396" s="10">
        <v>0</v>
      </c>
      <c r="H1396" s="7">
        <v>647.91999999999996</v>
      </c>
      <c r="I1396">
        <v>2</v>
      </c>
      <c r="J1396" t="s">
        <v>13</v>
      </c>
      <c r="K1396" s="13">
        <f>ROUND(tblTransactions[[#This Row],[gross_sales_inr]]*(1-tblTransactions[[#This Row],[discount_pct]]),2)</f>
        <v>647.91999999999996</v>
      </c>
      <c r="L1396" t="str">
        <f>IF(ABS(tblTransactions[[#This Row],[net_sales_inr]]-tblTransactions[[#This Row],[Recalc_Net_Sales]])&lt;0.02,"OK","CHECK")</f>
        <v>OK</v>
      </c>
      <c r="M1396" s="14">
        <f>DATE(YEAR(tblTransactions[[#This Row],[date]]),MONTH(tblTransactions[[#This Row],[date]]),1)</f>
        <v>45748</v>
      </c>
      <c r="N1396" t="str">
        <f>IF(WEEKDAY(tblTransactions[[#This Row],[date]],2)&gt;5,"Weekend","Weekday")</f>
        <v>Weekday</v>
      </c>
      <c r="O1396" s="13" t="str">
        <f>IF(tblTransactions[[#This Row],[discount_pct]]=0,"0%",IF(tblTransactions[[#This Row],[discount_pct]]&lt;=10%,"1–
10%",IF(tblTransactions[[#This Row],[discount_pct]]&lt;=20%,"11–20%","&gt;20%")))</f>
        <v>0%</v>
      </c>
      <c r="P1396" s="13" t="str">
        <f>_xlfn.XLOOKUP(tblTransactions[[#This Row],[tenant_id]],tblTenants[tenant_id],tblTenants[zone],"NOT FOUND")</f>
        <v>Fashion Avenue</v>
      </c>
      <c r="Q1396" s="13" t="str">
        <f>_xlfn.XLOOKUP(tblTransactions[[#This Row],[tenant_id]],tblTenants[tenant_id],tblTenants[category],"NOT FOUND")</f>
        <v>Footwear</v>
      </c>
    </row>
    <row r="1397" spans="1:17">
      <c r="A1397" t="s">
        <v>1441</v>
      </c>
      <c r="B1397" s="2">
        <v>45833</v>
      </c>
      <c r="C1397">
        <v>11</v>
      </c>
      <c r="D1397" t="s">
        <v>43</v>
      </c>
      <c r="E1397" t="s">
        <v>51</v>
      </c>
      <c r="F1397" s="7">
        <v>1193.58</v>
      </c>
      <c r="G1397" s="10">
        <v>0</v>
      </c>
      <c r="H1397" s="7">
        <v>1193.58</v>
      </c>
      <c r="I1397">
        <v>6</v>
      </c>
      <c r="J1397" t="s">
        <v>13</v>
      </c>
      <c r="K1397" s="13">
        <f>ROUND(tblTransactions[[#This Row],[gross_sales_inr]]*(1-tblTransactions[[#This Row],[discount_pct]]),2)</f>
        <v>1193.58</v>
      </c>
      <c r="L1397" t="str">
        <f>IF(ABS(tblTransactions[[#This Row],[net_sales_inr]]-tblTransactions[[#This Row],[Recalc_Net_Sales]])&lt;0.02,"OK","CHECK")</f>
        <v>OK</v>
      </c>
      <c r="M1397" s="14">
        <f>DATE(YEAR(tblTransactions[[#This Row],[date]]),MONTH(tblTransactions[[#This Row],[date]]),1)</f>
        <v>45809</v>
      </c>
      <c r="N1397" t="str">
        <f>IF(WEEKDAY(tblTransactions[[#This Row],[date]],2)&gt;5,"Weekend","Weekday")</f>
        <v>Weekday</v>
      </c>
      <c r="O1397" s="13" t="str">
        <f>IF(tblTransactions[[#This Row],[discount_pct]]=0,"0%",IF(tblTransactions[[#This Row],[discount_pct]]&lt;=10%,"1–
10%",IF(tblTransactions[[#This Row],[discount_pct]]&lt;=20%,"11–20%","&gt;20%")))</f>
        <v>0%</v>
      </c>
      <c r="P1397" s="13" t="str">
        <f>_xlfn.XLOOKUP(tblTransactions[[#This Row],[tenant_id]],tblTenants[tenant_id],tblTenants[zone],"NOT FOUND")</f>
        <v>Food Court</v>
      </c>
      <c r="Q1397" s="13" t="str">
        <f>_xlfn.XLOOKUP(tblTransactions[[#This Row],[tenant_id]],tblTenants[tenant_id],tblTenants[category],"NOT FOUND")</f>
        <v>Casual Dining</v>
      </c>
    </row>
    <row r="1398" spans="1:17">
      <c r="A1398" t="s">
        <v>1442</v>
      </c>
      <c r="B1398" s="2">
        <v>45757</v>
      </c>
      <c r="C1398">
        <v>22</v>
      </c>
      <c r="D1398" t="s">
        <v>31</v>
      </c>
      <c r="E1398" t="s">
        <v>32</v>
      </c>
      <c r="F1398" s="7">
        <v>1457.86</v>
      </c>
      <c r="G1398" s="10">
        <v>0</v>
      </c>
      <c r="H1398" s="7">
        <v>1457.86</v>
      </c>
      <c r="I1398">
        <v>5</v>
      </c>
      <c r="J1398" t="s">
        <v>16</v>
      </c>
      <c r="K1398" s="13">
        <f>ROUND(tblTransactions[[#This Row],[gross_sales_inr]]*(1-tblTransactions[[#This Row],[discount_pct]]),2)</f>
        <v>1457.86</v>
      </c>
      <c r="L1398" t="str">
        <f>IF(ABS(tblTransactions[[#This Row],[net_sales_inr]]-tblTransactions[[#This Row],[Recalc_Net_Sales]])&lt;0.02,"OK","CHECK")</f>
        <v>OK</v>
      </c>
      <c r="M1398" s="14">
        <f>DATE(YEAR(tblTransactions[[#This Row],[date]]),MONTH(tblTransactions[[#This Row],[date]]),1)</f>
        <v>45748</v>
      </c>
      <c r="N1398" t="str">
        <f>IF(WEEKDAY(tblTransactions[[#This Row],[date]],2)&gt;5,"Weekend","Weekday")</f>
        <v>Weekday</v>
      </c>
      <c r="O1398" s="13" t="str">
        <f>IF(tblTransactions[[#This Row],[discount_pct]]=0,"0%",IF(tblTransactions[[#This Row],[discount_pct]]&lt;=10%,"1–
10%",IF(tblTransactions[[#This Row],[discount_pct]]&lt;=20%,"11–20%","&gt;20%")))</f>
        <v>0%</v>
      </c>
      <c r="P1398" s="13" t="str">
        <f>_xlfn.XLOOKUP(tblTransactions[[#This Row],[tenant_id]],tblTenants[tenant_id],tblTenants[zone],"NOT FOUND")</f>
        <v>Entertainment</v>
      </c>
      <c r="Q1398" s="13" t="str">
        <f>_xlfn.XLOOKUP(tblTransactions[[#This Row],[tenant_id]],tblTenants[tenant_id],tblTenants[category],"NOT FOUND")</f>
        <v>Arcade</v>
      </c>
    </row>
    <row r="1399" spans="1:17">
      <c r="A1399" t="s">
        <v>1443</v>
      </c>
      <c r="B1399" s="2">
        <v>45806</v>
      </c>
      <c r="C1399">
        <v>13</v>
      </c>
      <c r="D1399" t="s">
        <v>104</v>
      </c>
      <c r="E1399" t="s">
        <v>21</v>
      </c>
      <c r="F1399" s="7">
        <v>1729.94</v>
      </c>
      <c r="G1399" s="10">
        <v>0.05</v>
      </c>
      <c r="H1399" s="7">
        <v>1643.44</v>
      </c>
      <c r="I1399">
        <v>5</v>
      </c>
      <c r="J1399" t="s">
        <v>13</v>
      </c>
      <c r="K1399" s="13">
        <f>ROUND(tblTransactions[[#This Row],[gross_sales_inr]]*(1-tblTransactions[[#This Row],[discount_pct]]),2)</f>
        <v>1643.44</v>
      </c>
      <c r="L1399" t="str">
        <f>IF(ABS(tblTransactions[[#This Row],[net_sales_inr]]-tblTransactions[[#This Row],[Recalc_Net_Sales]])&lt;0.02,"OK","CHECK")</f>
        <v>OK</v>
      </c>
      <c r="M1399" s="14">
        <f>DATE(YEAR(tblTransactions[[#This Row],[date]]),MONTH(tblTransactions[[#This Row],[date]]),1)</f>
        <v>45778</v>
      </c>
      <c r="N1399" t="str">
        <f>IF(WEEKDAY(tblTransactions[[#This Row],[date]],2)&gt;5,"Weekend","Weekday")</f>
        <v>Weekday</v>
      </c>
      <c r="O139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399" s="13" t="str">
        <f>_xlfn.XLOOKUP(tblTransactions[[#This Row],[tenant_id]],tblTenants[tenant_id],tblTenants[zone],"NOT FOUND")</f>
        <v>Entertainment</v>
      </c>
      <c r="Q1399" s="13" t="str">
        <f>_xlfn.XLOOKUP(tblTransactions[[#This Row],[tenant_id]],tblTenants[tenant_id],tblTenants[category],"NOT FOUND")</f>
        <v>Family Entertainment</v>
      </c>
    </row>
    <row r="1400" spans="1:17">
      <c r="A1400" t="s">
        <v>1444</v>
      </c>
      <c r="B1400" s="2">
        <v>45736</v>
      </c>
      <c r="C1400">
        <v>16</v>
      </c>
      <c r="D1400" t="s">
        <v>34</v>
      </c>
      <c r="E1400" t="s">
        <v>12</v>
      </c>
      <c r="F1400" s="7">
        <v>1306.82</v>
      </c>
      <c r="G1400" s="10">
        <v>0.15</v>
      </c>
      <c r="H1400" s="7">
        <v>1110.8</v>
      </c>
      <c r="I1400">
        <v>3</v>
      </c>
      <c r="J1400" t="s">
        <v>16</v>
      </c>
      <c r="K1400" s="13">
        <f>ROUND(tblTransactions[[#This Row],[gross_sales_inr]]*(1-tblTransactions[[#This Row],[discount_pct]]),2)</f>
        <v>1110.8</v>
      </c>
      <c r="L1400" t="str">
        <f>IF(ABS(tblTransactions[[#This Row],[net_sales_inr]]-tblTransactions[[#This Row],[Recalc_Net_Sales]])&lt;0.02,"OK","CHECK")</f>
        <v>OK</v>
      </c>
      <c r="M1400" s="14">
        <f>DATE(YEAR(tblTransactions[[#This Row],[date]]),MONTH(tblTransactions[[#This Row],[date]]),1)</f>
        <v>45717</v>
      </c>
      <c r="N1400" t="str">
        <f>IF(WEEKDAY(tblTransactions[[#This Row],[date]],2)&gt;5,"Weekend","Weekday")</f>
        <v>Weekday</v>
      </c>
      <c r="O140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00" s="13" t="str">
        <f>_xlfn.XLOOKUP(tblTransactions[[#This Row],[tenant_id]],tblTenants[tenant_id],tblTenants[zone],"NOT FOUND")</f>
        <v>Home &amp; Living</v>
      </c>
      <c r="Q1400" s="13" t="str">
        <f>_xlfn.XLOOKUP(tblTransactions[[#This Row],[tenant_id]],tblTenants[tenant_id],tblTenants[category],"NOT FOUND")</f>
        <v>Electronics</v>
      </c>
    </row>
    <row r="1401" spans="1:17">
      <c r="A1401" t="s">
        <v>1445</v>
      </c>
      <c r="B1401" s="2">
        <v>45831</v>
      </c>
      <c r="C1401">
        <v>17</v>
      </c>
      <c r="D1401" t="s">
        <v>72</v>
      </c>
      <c r="E1401" t="s">
        <v>12</v>
      </c>
      <c r="F1401" s="7">
        <v>762.49</v>
      </c>
      <c r="G1401" s="10">
        <v>0.2</v>
      </c>
      <c r="H1401" s="7">
        <v>609.99</v>
      </c>
      <c r="I1401">
        <v>2</v>
      </c>
      <c r="J1401" t="s">
        <v>16</v>
      </c>
      <c r="K1401" s="13">
        <f>ROUND(tblTransactions[[#This Row],[gross_sales_inr]]*(1-tblTransactions[[#This Row],[discount_pct]]),2)</f>
        <v>609.99</v>
      </c>
      <c r="L1401" t="str">
        <f>IF(ABS(tblTransactions[[#This Row],[net_sales_inr]]-tblTransactions[[#This Row],[Recalc_Net_Sales]])&lt;0.02,"OK","CHECK")</f>
        <v>OK</v>
      </c>
      <c r="M1401" s="14">
        <f>DATE(YEAR(tblTransactions[[#This Row],[date]]),MONTH(tblTransactions[[#This Row],[date]]),1)</f>
        <v>45809</v>
      </c>
      <c r="N1401" t="str">
        <f>IF(WEEKDAY(tblTransactions[[#This Row],[date]],2)&gt;5,"Weekend","Weekday")</f>
        <v>Weekday</v>
      </c>
      <c r="O140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01" s="13" t="str">
        <f>_xlfn.XLOOKUP(tblTransactions[[#This Row],[tenant_id]],tblTenants[tenant_id],tblTenants[zone],"NOT FOUND")</f>
        <v>Entertainment</v>
      </c>
      <c r="Q1401" s="13" t="str">
        <f>_xlfn.XLOOKUP(tblTransactions[[#This Row],[tenant_id]],tblTenants[tenant_id],tblTenants[category],"NOT FOUND")</f>
        <v>Arcade</v>
      </c>
    </row>
    <row r="1402" spans="1:17">
      <c r="A1402" t="s">
        <v>1446</v>
      </c>
      <c r="B1402" s="2">
        <v>45778</v>
      </c>
      <c r="C1402">
        <v>14</v>
      </c>
      <c r="D1402" t="s">
        <v>48</v>
      </c>
      <c r="E1402" t="s">
        <v>12</v>
      </c>
      <c r="F1402" s="7">
        <v>3166.9</v>
      </c>
      <c r="G1402" s="10">
        <v>0.2</v>
      </c>
      <c r="H1402" s="7">
        <v>2533.52</v>
      </c>
      <c r="I1402">
        <v>3</v>
      </c>
      <c r="J1402" t="s">
        <v>16</v>
      </c>
      <c r="K1402" s="13">
        <f>ROUND(tblTransactions[[#This Row],[gross_sales_inr]]*(1-tblTransactions[[#This Row],[discount_pct]]),2)</f>
        <v>2533.52</v>
      </c>
      <c r="L1402" t="str">
        <f>IF(ABS(tblTransactions[[#This Row],[net_sales_inr]]-tblTransactions[[#This Row],[Recalc_Net_Sales]])&lt;0.02,"OK","CHECK")</f>
        <v>OK</v>
      </c>
      <c r="M1402" s="14">
        <f>DATE(YEAR(tblTransactions[[#This Row],[date]]),MONTH(tblTransactions[[#This Row],[date]]),1)</f>
        <v>45778</v>
      </c>
      <c r="N1402" t="str">
        <f>IF(WEEKDAY(tblTransactions[[#This Row],[date]],2)&gt;5,"Weekend","Weekday")</f>
        <v>Weekday</v>
      </c>
      <c r="O140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02" s="13" t="str">
        <f>_xlfn.XLOOKUP(tblTransactions[[#This Row],[tenant_id]],tblTenants[tenant_id],tblTenants[zone],"NOT FOUND")</f>
        <v>Beauty &amp; Wellness</v>
      </c>
      <c r="Q1402" s="13" t="str">
        <f>_xlfn.XLOOKUP(tblTransactions[[#This Row],[tenant_id]],tblTenants[tenant_id],tblTenants[category],"NOT FOUND")</f>
        <v>Wellness</v>
      </c>
    </row>
    <row r="1403" spans="1:17">
      <c r="A1403" t="s">
        <v>1447</v>
      </c>
      <c r="B1403" s="2">
        <v>45733</v>
      </c>
      <c r="C1403">
        <v>13</v>
      </c>
      <c r="D1403" t="s">
        <v>23</v>
      </c>
      <c r="E1403" t="s">
        <v>12</v>
      </c>
      <c r="F1403" s="7">
        <v>657.79</v>
      </c>
      <c r="G1403" s="10">
        <v>0</v>
      </c>
      <c r="H1403" s="7">
        <v>657.79</v>
      </c>
      <c r="I1403">
        <v>2</v>
      </c>
      <c r="J1403" t="s">
        <v>16</v>
      </c>
      <c r="K1403" s="13">
        <f>ROUND(tblTransactions[[#This Row],[gross_sales_inr]]*(1-tblTransactions[[#This Row],[discount_pct]]),2)</f>
        <v>657.79</v>
      </c>
      <c r="L1403" t="str">
        <f>IF(ABS(tblTransactions[[#This Row],[net_sales_inr]]-tblTransactions[[#This Row],[Recalc_Net_Sales]])&lt;0.02,"OK","CHECK")</f>
        <v>OK</v>
      </c>
      <c r="M1403" s="14">
        <f>DATE(YEAR(tblTransactions[[#This Row],[date]]),MONTH(tblTransactions[[#This Row],[date]]),1)</f>
        <v>45717</v>
      </c>
      <c r="N1403" t="str">
        <f>IF(WEEKDAY(tblTransactions[[#This Row],[date]],2)&gt;5,"Weekend","Weekday")</f>
        <v>Weekday</v>
      </c>
      <c r="O1403" s="13" t="str">
        <f>IF(tblTransactions[[#This Row],[discount_pct]]=0,"0%",IF(tblTransactions[[#This Row],[discount_pct]]&lt;=10%,"1–
10%",IF(tblTransactions[[#This Row],[discount_pct]]&lt;=20%,"11–20%","&gt;20%")))</f>
        <v>0%</v>
      </c>
      <c r="P1403" s="13" t="str">
        <f>_xlfn.XLOOKUP(tblTransactions[[#This Row],[tenant_id]],tblTenants[tenant_id],tblTenants[zone],"NOT FOUND")</f>
        <v>Entertainment</v>
      </c>
      <c r="Q1403" s="13" t="str">
        <f>_xlfn.XLOOKUP(tblTransactions[[#This Row],[tenant_id]],tblTenants[tenant_id],tblTenants[category],"NOT FOUND")</f>
        <v>Cinema</v>
      </c>
    </row>
    <row r="1404" spans="1:17">
      <c r="A1404" t="s">
        <v>1448</v>
      </c>
      <c r="B1404" s="2">
        <v>45758</v>
      </c>
      <c r="C1404">
        <v>14</v>
      </c>
      <c r="D1404" t="s">
        <v>36</v>
      </c>
      <c r="E1404" t="s">
        <v>12</v>
      </c>
      <c r="F1404" s="7">
        <v>747.34</v>
      </c>
      <c r="G1404" s="10">
        <v>0</v>
      </c>
      <c r="H1404" s="7">
        <v>747.34</v>
      </c>
      <c r="I1404">
        <v>2</v>
      </c>
      <c r="J1404" t="s">
        <v>13</v>
      </c>
      <c r="K1404" s="13">
        <f>ROUND(tblTransactions[[#This Row],[gross_sales_inr]]*(1-tblTransactions[[#This Row],[discount_pct]]),2)</f>
        <v>747.34</v>
      </c>
      <c r="L1404" t="str">
        <f>IF(ABS(tblTransactions[[#This Row],[net_sales_inr]]-tblTransactions[[#This Row],[Recalc_Net_Sales]])&lt;0.02,"OK","CHECK")</f>
        <v>OK</v>
      </c>
      <c r="M1404" s="14">
        <f>DATE(YEAR(tblTransactions[[#This Row],[date]]),MONTH(tblTransactions[[#This Row],[date]]),1)</f>
        <v>45748</v>
      </c>
      <c r="N1404" t="str">
        <f>IF(WEEKDAY(tblTransactions[[#This Row],[date]],2)&gt;5,"Weekend","Weekday")</f>
        <v>Weekday</v>
      </c>
      <c r="O1404" s="13" t="str">
        <f>IF(tblTransactions[[#This Row],[discount_pct]]=0,"0%",IF(tblTransactions[[#This Row],[discount_pct]]&lt;=10%,"1–
10%",IF(tblTransactions[[#This Row],[discount_pct]]&lt;=20%,"11–20%","&gt;20%")))</f>
        <v>0%</v>
      </c>
      <c r="P1404" s="13" t="str">
        <f>_xlfn.XLOOKUP(tblTransactions[[#This Row],[tenant_id]],tblTenants[tenant_id],tblTenants[zone],"NOT FOUND")</f>
        <v>Home &amp; Living</v>
      </c>
      <c r="Q1404" s="13" t="str">
        <f>_xlfn.XLOOKUP(tblTransactions[[#This Row],[tenant_id]],tblTenants[tenant_id],tblTenants[category],"NOT FOUND")</f>
        <v>Electronics</v>
      </c>
    </row>
    <row r="1405" spans="1:17">
      <c r="A1405" t="s">
        <v>1449</v>
      </c>
      <c r="B1405" s="2">
        <v>45819</v>
      </c>
      <c r="C1405">
        <v>22</v>
      </c>
      <c r="D1405" t="s">
        <v>63</v>
      </c>
      <c r="E1405" t="s">
        <v>12</v>
      </c>
      <c r="F1405" s="7">
        <v>3745.39</v>
      </c>
      <c r="G1405" s="10">
        <v>0.2</v>
      </c>
      <c r="H1405" s="7">
        <v>2996.31</v>
      </c>
      <c r="I1405">
        <v>5</v>
      </c>
      <c r="J1405" t="s">
        <v>16</v>
      </c>
      <c r="K1405" s="13">
        <f>ROUND(tblTransactions[[#This Row],[gross_sales_inr]]*(1-tblTransactions[[#This Row],[discount_pct]]),2)</f>
        <v>2996.31</v>
      </c>
      <c r="L1405" t="str">
        <f>IF(ABS(tblTransactions[[#This Row],[net_sales_inr]]-tblTransactions[[#This Row],[Recalc_Net_Sales]])&lt;0.02,"OK","CHECK")</f>
        <v>OK</v>
      </c>
      <c r="M1405" s="14">
        <f>DATE(YEAR(tblTransactions[[#This Row],[date]]),MONTH(tblTransactions[[#This Row],[date]]),1)</f>
        <v>45809</v>
      </c>
      <c r="N1405" t="str">
        <f>IF(WEEKDAY(tblTransactions[[#This Row],[date]],2)&gt;5,"Weekend","Weekday")</f>
        <v>Weekday</v>
      </c>
      <c r="O140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05" s="13" t="str">
        <f>_xlfn.XLOOKUP(tblTransactions[[#This Row],[tenant_id]],tblTenants[tenant_id],tblTenants[zone],"NOT FOUND")</f>
        <v>Entertainment</v>
      </c>
      <c r="Q1405" s="13" t="str">
        <f>_xlfn.XLOOKUP(tblTransactions[[#This Row],[tenant_id]],tblTenants[tenant_id],tblTenants[category],"NOT FOUND")</f>
        <v>Family Entertainment</v>
      </c>
    </row>
    <row r="1406" spans="1:17">
      <c r="A1406" t="s">
        <v>1450</v>
      </c>
      <c r="B1406" s="2">
        <v>45813</v>
      </c>
      <c r="C1406">
        <v>18</v>
      </c>
      <c r="D1406" t="s">
        <v>23</v>
      </c>
      <c r="E1406" t="s">
        <v>32</v>
      </c>
      <c r="F1406" s="7">
        <v>1103</v>
      </c>
      <c r="G1406" s="10">
        <v>0</v>
      </c>
      <c r="H1406" s="7">
        <v>1103</v>
      </c>
      <c r="I1406">
        <v>3</v>
      </c>
      <c r="J1406" t="s">
        <v>16</v>
      </c>
      <c r="K1406" s="13">
        <f>ROUND(tblTransactions[[#This Row],[gross_sales_inr]]*(1-tblTransactions[[#This Row],[discount_pct]]),2)</f>
        <v>1103</v>
      </c>
      <c r="L1406" t="str">
        <f>IF(ABS(tblTransactions[[#This Row],[net_sales_inr]]-tblTransactions[[#This Row],[Recalc_Net_Sales]])&lt;0.02,"OK","CHECK")</f>
        <v>OK</v>
      </c>
      <c r="M1406" s="14">
        <f>DATE(YEAR(tblTransactions[[#This Row],[date]]),MONTH(tblTransactions[[#This Row],[date]]),1)</f>
        <v>45809</v>
      </c>
      <c r="N1406" t="str">
        <f>IF(WEEKDAY(tblTransactions[[#This Row],[date]],2)&gt;5,"Weekend","Weekday")</f>
        <v>Weekday</v>
      </c>
      <c r="O1406" s="13" t="str">
        <f>IF(tblTransactions[[#This Row],[discount_pct]]=0,"0%",IF(tblTransactions[[#This Row],[discount_pct]]&lt;=10%,"1–
10%",IF(tblTransactions[[#This Row],[discount_pct]]&lt;=20%,"11–20%","&gt;20%")))</f>
        <v>0%</v>
      </c>
      <c r="P1406" s="13" t="str">
        <f>_xlfn.XLOOKUP(tblTransactions[[#This Row],[tenant_id]],tblTenants[tenant_id],tblTenants[zone],"NOT FOUND")</f>
        <v>Entertainment</v>
      </c>
      <c r="Q1406" s="13" t="str">
        <f>_xlfn.XLOOKUP(tblTransactions[[#This Row],[tenant_id]],tblTenants[tenant_id],tblTenants[category],"NOT FOUND")</f>
        <v>Cinema</v>
      </c>
    </row>
    <row r="1407" spans="1:17">
      <c r="A1407" t="s">
        <v>1451</v>
      </c>
      <c r="B1407" s="2">
        <v>45793</v>
      </c>
      <c r="C1407">
        <v>19</v>
      </c>
      <c r="D1407" t="s">
        <v>25</v>
      </c>
      <c r="E1407" t="s">
        <v>32</v>
      </c>
      <c r="F1407" s="7">
        <v>543.32000000000005</v>
      </c>
      <c r="G1407" s="10">
        <v>0.3</v>
      </c>
      <c r="H1407" s="7">
        <v>380.32</v>
      </c>
      <c r="I1407">
        <v>3</v>
      </c>
      <c r="J1407" t="s">
        <v>13</v>
      </c>
      <c r="K1407" s="13">
        <f>ROUND(tblTransactions[[#This Row],[gross_sales_inr]]*(1-tblTransactions[[#This Row],[discount_pct]]),2)</f>
        <v>380.32</v>
      </c>
      <c r="L1407" t="str">
        <f>IF(ABS(tblTransactions[[#This Row],[net_sales_inr]]-tblTransactions[[#This Row],[Recalc_Net_Sales]])&lt;0.02,"OK","CHECK")</f>
        <v>OK</v>
      </c>
      <c r="M1407" s="14">
        <f>DATE(YEAR(tblTransactions[[#This Row],[date]]),MONTH(tblTransactions[[#This Row],[date]]),1)</f>
        <v>45778</v>
      </c>
      <c r="N1407" t="str">
        <f>IF(WEEKDAY(tblTransactions[[#This Row],[date]],2)&gt;5,"Weekend","Weekday")</f>
        <v>Weekday</v>
      </c>
      <c r="O140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407" s="13" t="str">
        <f>_xlfn.XLOOKUP(tblTransactions[[#This Row],[tenant_id]],tblTenants[tenant_id],tblTenants[zone],"NOT FOUND")</f>
        <v>Beauty &amp; Wellness</v>
      </c>
      <c r="Q1407" s="13" t="str">
        <f>_xlfn.XLOOKUP(tblTransactions[[#This Row],[tenant_id]],tblTenants[tenant_id],tblTenants[category],"NOT FOUND")</f>
        <v>Beauty</v>
      </c>
    </row>
    <row r="1408" spans="1:17">
      <c r="A1408" t="s">
        <v>1452</v>
      </c>
      <c r="B1408" s="2">
        <v>45738</v>
      </c>
      <c r="C1408">
        <v>22</v>
      </c>
      <c r="D1408" t="s">
        <v>29</v>
      </c>
      <c r="E1408" t="s">
        <v>12</v>
      </c>
      <c r="F1408" s="7">
        <v>830.98</v>
      </c>
      <c r="G1408" s="10">
        <v>0</v>
      </c>
      <c r="H1408" s="7">
        <v>830.98</v>
      </c>
      <c r="I1408">
        <v>1</v>
      </c>
      <c r="J1408" t="s">
        <v>13</v>
      </c>
      <c r="K1408" s="13">
        <f>ROUND(tblTransactions[[#This Row],[gross_sales_inr]]*(1-tblTransactions[[#This Row],[discount_pct]]),2)</f>
        <v>830.98</v>
      </c>
      <c r="L1408" t="str">
        <f>IF(ABS(tblTransactions[[#This Row],[net_sales_inr]]-tblTransactions[[#This Row],[Recalc_Net_Sales]])&lt;0.02,"OK","CHECK")</f>
        <v>OK</v>
      </c>
      <c r="M1408" s="14">
        <f>DATE(YEAR(tblTransactions[[#This Row],[date]]),MONTH(tblTransactions[[#This Row],[date]]),1)</f>
        <v>45717</v>
      </c>
      <c r="N1408" t="str">
        <f>IF(WEEKDAY(tblTransactions[[#This Row],[date]],2)&gt;5,"Weekend","Weekday")</f>
        <v>Weekend</v>
      </c>
      <c r="O1408" s="13" t="str">
        <f>IF(tblTransactions[[#This Row],[discount_pct]]=0,"0%",IF(tblTransactions[[#This Row],[discount_pct]]&lt;=10%,"1–
10%",IF(tblTransactions[[#This Row],[discount_pct]]&lt;=20%,"11–20%","&gt;20%")))</f>
        <v>0%</v>
      </c>
      <c r="P1408" s="13" t="str">
        <f>_xlfn.XLOOKUP(tblTransactions[[#This Row],[tenant_id]],tblTenants[tenant_id],tblTenants[zone],"NOT FOUND")</f>
        <v>Entertainment</v>
      </c>
      <c r="Q1408" s="13" t="str">
        <f>_xlfn.XLOOKUP(tblTransactions[[#This Row],[tenant_id]],tblTenants[tenant_id],tblTenants[category],"NOT FOUND")</f>
        <v>Cinema</v>
      </c>
    </row>
    <row r="1409" spans="1:17">
      <c r="A1409" t="s">
        <v>1453</v>
      </c>
      <c r="B1409" s="2">
        <v>45780</v>
      </c>
      <c r="C1409">
        <v>10</v>
      </c>
      <c r="D1409" t="s">
        <v>36</v>
      </c>
      <c r="E1409" t="s">
        <v>12</v>
      </c>
      <c r="F1409" s="7">
        <v>692.31</v>
      </c>
      <c r="G1409" s="10">
        <v>0</v>
      </c>
      <c r="H1409" s="7">
        <v>692.31</v>
      </c>
      <c r="I1409">
        <v>4</v>
      </c>
      <c r="J1409" t="s">
        <v>16</v>
      </c>
      <c r="K1409" s="13">
        <f>ROUND(tblTransactions[[#This Row],[gross_sales_inr]]*(1-tblTransactions[[#This Row],[discount_pct]]),2)</f>
        <v>692.31</v>
      </c>
      <c r="L1409" t="str">
        <f>IF(ABS(tblTransactions[[#This Row],[net_sales_inr]]-tblTransactions[[#This Row],[Recalc_Net_Sales]])&lt;0.02,"OK","CHECK")</f>
        <v>OK</v>
      </c>
      <c r="M1409" s="14">
        <f>DATE(YEAR(tblTransactions[[#This Row],[date]]),MONTH(tblTransactions[[#This Row],[date]]),1)</f>
        <v>45778</v>
      </c>
      <c r="N1409" t="str">
        <f>IF(WEEKDAY(tblTransactions[[#This Row],[date]],2)&gt;5,"Weekend","Weekday")</f>
        <v>Weekend</v>
      </c>
      <c r="O1409" s="13" t="str">
        <f>IF(tblTransactions[[#This Row],[discount_pct]]=0,"0%",IF(tblTransactions[[#This Row],[discount_pct]]&lt;=10%,"1–
10%",IF(tblTransactions[[#This Row],[discount_pct]]&lt;=20%,"11–20%","&gt;20%")))</f>
        <v>0%</v>
      </c>
      <c r="P1409" s="13" t="str">
        <f>_xlfn.XLOOKUP(tblTransactions[[#This Row],[tenant_id]],tblTenants[tenant_id],tblTenants[zone],"NOT FOUND")</f>
        <v>Home &amp; Living</v>
      </c>
      <c r="Q1409" s="13" t="str">
        <f>_xlfn.XLOOKUP(tblTransactions[[#This Row],[tenant_id]],tblTenants[tenant_id],tblTenants[category],"NOT FOUND")</f>
        <v>Electronics</v>
      </c>
    </row>
    <row r="1410" spans="1:17">
      <c r="A1410" t="s">
        <v>1454</v>
      </c>
      <c r="B1410" s="2">
        <v>45817</v>
      </c>
      <c r="C1410">
        <v>12</v>
      </c>
      <c r="D1410" t="s">
        <v>15</v>
      </c>
      <c r="E1410" t="s">
        <v>32</v>
      </c>
      <c r="F1410" s="7">
        <v>453.24</v>
      </c>
      <c r="G1410" s="10">
        <v>0.2</v>
      </c>
      <c r="H1410" s="7">
        <v>362.59</v>
      </c>
      <c r="I1410">
        <v>2</v>
      </c>
      <c r="J1410" t="s">
        <v>13</v>
      </c>
      <c r="K1410" s="13">
        <f>ROUND(tblTransactions[[#This Row],[gross_sales_inr]]*(1-tblTransactions[[#This Row],[discount_pct]]),2)</f>
        <v>362.59</v>
      </c>
      <c r="L1410" t="str">
        <f>IF(ABS(tblTransactions[[#This Row],[net_sales_inr]]-tblTransactions[[#This Row],[Recalc_Net_Sales]])&lt;0.02,"OK","CHECK")</f>
        <v>OK</v>
      </c>
      <c r="M1410" s="14">
        <f>DATE(YEAR(tblTransactions[[#This Row],[date]]),MONTH(tblTransactions[[#This Row],[date]]),1)</f>
        <v>45809</v>
      </c>
      <c r="N1410" t="str">
        <f>IF(WEEKDAY(tblTransactions[[#This Row],[date]],2)&gt;5,"Weekend","Weekday")</f>
        <v>Weekday</v>
      </c>
      <c r="O141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10" s="13" t="str">
        <f>_xlfn.XLOOKUP(tblTransactions[[#This Row],[tenant_id]],tblTenants[tenant_id],tblTenants[zone],"NOT FOUND")</f>
        <v>Fashion Avenue</v>
      </c>
      <c r="Q1410" s="13" t="str">
        <f>_xlfn.XLOOKUP(tblTransactions[[#This Row],[tenant_id]],tblTenants[tenant_id],tblTenants[category],"NOT FOUND")</f>
        <v>Accessories</v>
      </c>
    </row>
    <row r="1411" spans="1:17">
      <c r="A1411" t="s">
        <v>1455</v>
      </c>
      <c r="B1411" s="2">
        <v>45689</v>
      </c>
      <c r="C1411">
        <v>14</v>
      </c>
      <c r="D1411" t="s">
        <v>61</v>
      </c>
      <c r="E1411" t="s">
        <v>12</v>
      </c>
      <c r="F1411" s="7">
        <v>1045.22</v>
      </c>
      <c r="G1411" s="10">
        <v>0.05</v>
      </c>
      <c r="H1411" s="7">
        <v>992.96</v>
      </c>
      <c r="I1411">
        <v>2</v>
      </c>
      <c r="J1411" t="s">
        <v>13</v>
      </c>
      <c r="K1411" s="13">
        <f>ROUND(tblTransactions[[#This Row],[gross_sales_inr]]*(1-tblTransactions[[#This Row],[discount_pct]]),2)</f>
        <v>992.96</v>
      </c>
      <c r="L1411" t="str">
        <f>IF(ABS(tblTransactions[[#This Row],[net_sales_inr]]-tblTransactions[[#This Row],[Recalc_Net_Sales]])&lt;0.02,"OK","CHECK")</f>
        <v>OK</v>
      </c>
      <c r="M1411" s="14">
        <f>DATE(YEAR(tblTransactions[[#This Row],[date]]),MONTH(tblTransactions[[#This Row],[date]]),1)</f>
        <v>45689</v>
      </c>
      <c r="N1411" t="str">
        <f>IF(WEEKDAY(tblTransactions[[#This Row],[date]],2)&gt;5,"Weekend","Weekday")</f>
        <v>Weekend</v>
      </c>
      <c r="O141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11" s="13" t="str">
        <f>_xlfn.XLOOKUP(tblTransactions[[#This Row],[tenant_id]],tblTenants[tenant_id],tblTenants[zone],"NOT FOUND")</f>
        <v>Food Court</v>
      </c>
      <c r="Q1411" s="13" t="str">
        <f>_xlfn.XLOOKUP(tblTransactions[[#This Row],[tenant_id]],tblTenants[tenant_id],tblTenants[category],"NOT FOUND")</f>
        <v>Quick Service</v>
      </c>
    </row>
    <row r="1412" spans="1:17">
      <c r="A1412" t="s">
        <v>1456</v>
      </c>
      <c r="B1412" s="2">
        <v>45682</v>
      </c>
      <c r="C1412">
        <v>10</v>
      </c>
      <c r="D1412" t="s">
        <v>122</v>
      </c>
      <c r="E1412" t="s">
        <v>32</v>
      </c>
      <c r="F1412" s="7">
        <v>1285.67</v>
      </c>
      <c r="G1412" s="10">
        <v>0</v>
      </c>
      <c r="H1412" s="7">
        <v>1285.67</v>
      </c>
      <c r="I1412">
        <v>5</v>
      </c>
      <c r="J1412" t="s">
        <v>13</v>
      </c>
      <c r="K1412" s="13">
        <f>ROUND(tblTransactions[[#This Row],[gross_sales_inr]]*(1-tblTransactions[[#This Row],[discount_pct]]),2)</f>
        <v>1285.67</v>
      </c>
      <c r="L1412" t="str">
        <f>IF(ABS(tblTransactions[[#This Row],[net_sales_inr]]-tblTransactions[[#This Row],[Recalc_Net_Sales]])&lt;0.02,"OK","CHECK")</f>
        <v>OK</v>
      </c>
      <c r="M1412" s="14">
        <f>DATE(YEAR(tblTransactions[[#This Row],[date]]),MONTH(tblTransactions[[#This Row],[date]]),1)</f>
        <v>45658</v>
      </c>
      <c r="N1412" t="str">
        <f>IF(WEEKDAY(tblTransactions[[#This Row],[date]],2)&gt;5,"Weekend","Weekday")</f>
        <v>Weekend</v>
      </c>
      <c r="O1412" s="13" t="str">
        <f>IF(tblTransactions[[#This Row],[discount_pct]]=0,"0%",IF(tblTransactions[[#This Row],[discount_pct]]&lt;=10%,"1–
10%",IF(tblTransactions[[#This Row],[discount_pct]]&lt;=20%,"11–20%","&gt;20%")))</f>
        <v>0%</v>
      </c>
      <c r="P1412" s="13" t="str">
        <f>_xlfn.XLOOKUP(tblTransactions[[#This Row],[tenant_id]],tblTenants[tenant_id],tblTenants[zone],"NOT FOUND")</f>
        <v>Beauty &amp; Wellness</v>
      </c>
      <c r="Q1412" s="13" t="str">
        <f>_xlfn.XLOOKUP(tblTransactions[[#This Row],[tenant_id]],tblTenants[tenant_id],tblTenants[category],"NOT FOUND")</f>
        <v>Wellness</v>
      </c>
    </row>
    <row r="1413" spans="1:17">
      <c r="A1413" t="s">
        <v>1457</v>
      </c>
      <c r="B1413" s="2">
        <v>45737</v>
      </c>
      <c r="C1413">
        <v>18</v>
      </c>
      <c r="D1413" t="s">
        <v>27</v>
      </c>
      <c r="E1413" t="s">
        <v>12</v>
      </c>
      <c r="F1413" s="7">
        <v>3578.5</v>
      </c>
      <c r="G1413" s="10">
        <v>0.3</v>
      </c>
      <c r="H1413" s="7">
        <v>2504.9499999999998</v>
      </c>
      <c r="I1413">
        <v>2</v>
      </c>
      <c r="J1413" t="s">
        <v>16</v>
      </c>
      <c r="K1413" s="13">
        <f>ROUND(tblTransactions[[#This Row],[gross_sales_inr]]*(1-tblTransactions[[#This Row],[discount_pct]]),2)</f>
        <v>2504.9499999999998</v>
      </c>
      <c r="L1413" t="str">
        <f>IF(ABS(tblTransactions[[#This Row],[net_sales_inr]]-tblTransactions[[#This Row],[Recalc_Net_Sales]])&lt;0.02,"OK","CHECK")</f>
        <v>OK</v>
      </c>
      <c r="M1413" s="14">
        <f>DATE(YEAR(tblTransactions[[#This Row],[date]]),MONTH(tblTransactions[[#This Row],[date]]),1)</f>
        <v>45717</v>
      </c>
      <c r="N1413" t="str">
        <f>IF(WEEKDAY(tblTransactions[[#This Row],[date]],2)&gt;5,"Weekend","Weekday")</f>
        <v>Weekday</v>
      </c>
      <c r="O1413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413" s="13" t="str">
        <f>_xlfn.XLOOKUP(tblTransactions[[#This Row],[tenant_id]],tblTenants[tenant_id],tblTenants[zone],"NOT FOUND")</f>
        <v>Beauty &amp; Wellness</v>
      </c>
      <c r="Q1413" s="13" t="str">
        <f>_xlfn.XLOOKUP(tblTransactions[[#This Row],[tenant_id]],tblTenants[tenant_id],tblTenants[category],"NOT FOUND")</f>
        <v>Wellness</v>
      </c>
    </row>
    <row r="1414" spans="1:17">
      <c r="A1414" t="s">
        <v>1458</v>
      </c>
      <c r="B1414" s="2">
        <v>45690</v>
      </c>
      <c r="C1414">
        <v>13</v>
      </c>
      <c r="D1414" t="s">
        <v>23</v>
      </c>
      <c r="E1414" t="s">
        <v>12</v>
      </c>
      <c r="F1414" s="7">
        <v>779.59</v>
      </c>
      <c r="G1414" s="10">
        <v>0</v>
      </c>
      <c r="H1414" s="7">
        <v>779.59</v>
      </c>
      <c r="I1414">
        <v>6</v>
      </c>
      <c r="J1414" t="s">
        <v>13</v>
      </c>
      <c r="K1414" s="13">
        <f>ROUND(tblTransactions[[#This Row],[gross_sales_inr]]*(1-tblTransactions[[#This Row],[discount_pct]]),2)</f>
        <v>779.59</v>
      </c>
      <c r="L1414" t="str">
        <f>IF(ABS(tblTransactions[[#This Row],[net_sales_inr]]-tblTransactions[[#This Row],[Recalc_Net_Sales]])&lt;0.02,"OK","CHECK")</f>
        <v>OK</v>
      </c>
      <c r="M1414" s="14">
        <f>DATE(YEAR(tblTransactions[[#This Row],[date]]),MONTH(tblTransactions[[#This Row],[date]]),1)</f>
        <v>45689</v>
      </c>
      <c r="N1414" t="str">
        <f>IF(WEEKDAY(tblTransactions[[#This Row],[date]],2)&gt;5,"Weekend","Weekday")</f>
        <v>Weekend</v>
      </c>
      <c r="O1414" s="13" t="str">
        <f>IF(tblTransactions[[#This Row],[discount_pct]]=0,"0%",IF(tblTransactions[[#This Row],[discount_pct]]&lt;=10%,"1–
10%",IF(tblTransactions[[#This Row],[discount_pct]]&lt;=20%,"11–20%","&gt;20%")))</f>
        <v>0%</v>
      </c>
      <c r="P1414" s="13" t="str">
        <f>_xlfn.XLOOKUP(tblTransactions[[#This Row],[tenant_id]],tblTenants[tenant_id],tblTenants[zone],"NOT FOUND")</f>
        <v>Entertainment</v>
      </c>
      <c r="Q1414" s="13" t="str">
        <f>_xlfn.XLOOKUP(tblTransactions[[#This Row],[tenant_id]],tblTenants[tenant_id],tblTenants[category],"NOT FOUND")</f>
        <v>Cinema</v>
      </c>
    </row>
    <row r="1415" spans="1:17">
      <c r="A1415" t="s">
        <v>1459</v>
      </c>
      <c r="B1415" s="2">
        <v>45708</v>
      </c>
      <c r="C1415">
        <v>22</v>
      </c>
      <c r="D1415" t="s">
        <v>43</v>
      </c>
      <c r="E1415" t="s">
        <v>12</v>
      </c>
      <c r="F1415" s="7">
        <v>2637.75</v>
      </c>
      <c r="G1415" s="10">
        <v>0.2</v>
      </c>
      <c r="H1415" s="7">
        <v>2110.1999999999998</v>
      </c>
      <c r="I1415">
        <v>1</v>
      </c>
      <c r="J1415" t="s">
        <v>16</v>
      </c>
      <c r="K1415" s="13">
        <f>ROUND(tblTransactions[[#This Row],[gross_sales_inr]]*(1-tblTransactions[[#This Row],[discount_pct]]),2)</f>
        <v>2110.1999999999998</v>
      </c>
      <c r="L1415" t="str">
        <f>IF(ABS(tblTransactions[[#This Row],[net_sales_inr]]-tblTransactions[[#This Row],[Recalc_Net_Sales]])&lt;0.02,"OK","CHECK")</f>
        <v>OK</v>
      </c>
      <c r="M1415" s="14">
        <f>DATE(YEAR(tblTransactions[[#This Row],[date]]),MONTH(tblTransactions[[#This Row],[date]]),1)</f>
        <v>45689</v>
      </c>
      <c r="N1415" t="str">
        <f>IF(WEEKDAY(tblTransactions[[#This Row],[date]],2)&gt;5,"Weekend","Weekday")</f>
        <v>Weekday</v>
      </c>
      <c r="O141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15" s="13" t="str">
        <f>_xlfn.XLOOKUP(tblTransactions[[#This Row],[tenant_id]],tblTenants[tenant_id],tblTenants[zone],"NOT FOUND")</f>
        <v>Food Court</v>
      </c>
      <c r="Q1415" s="13" t="str">
        <f>_xlfn.XLOOKUP(tblTransactions[[#This Row],[tenant_id]],tblTenants[tenant_id],tblTenants[category],"NOT FOUND")</f>
        <v>Casual Dining</v>
      </c>
    </row>
    <row r="1416" spans="1:17">
      <c r="A1416" t="s">
        <v>1460</v>
      </c>
      <c r="B1416" s="2">
        <v>45676</v>
      </c>
      <c r="C1416">
        <v>19</v>
      </c>
      <c r="D1416" t="s">
        <v>36</v>
      </c>
      <c r="E1416" t="s">
        <v>32</v>
      </c>
      <c r="F1416" s="7">
        <v>603.74</v>
      </c>
      <c r="G1416" s="10">
        <v>0</v>
      </c>
      <c r="H1416" s="7">
        <v>603.74</v>
      </c>
      <c r="I1416">
        <v>1</v>
      </c>
      <c r="J1416" t="s">
        <v>16</v>
      </c>
      <c r="K1416" s="13">
        <f>ROUND(tblTransactions[[#This Row],[gross_sales_inr]]*(1-tblTransactions[[#This Row],[discount_pct]]),2)</f>
        <v>603.74</v>
      </c>
      <c r="L1416" t="str">
        <f>IF(ABS(tblTransactions[[#This Row],[net_sales_inr]]-tblTransactions[[#This Row],[Recalc_Net_Sales]])&lt;0.02,"OK","CHECK")</f>
        <v>OK</v>
      </c>
      <c r="M1416" s="14">
        <f>DATE(YEAR(tblTransactions[[#This Row],[date]]),MONTH(tblTransactions[[#This Row],[date]]),1)</f>
        <v>45658</v>
      </c>
      <c r="N1416" t="str">
        <f>IF(WEEKDAY(tblTransactions[[#This Row],[date]],2)&gt;5,"Weekend","Weekday")</f>
        <v>Weekend</v>
      </c>
      <c r="O1416" s="13" t="str">
        <f>IF(tblTransactions[[#This Row],[discount_pct]]=0,"0%",IF(tblTransactions[[#This Row],[discount_pct]]&lt;=10%,"1–
10%",IF(tblTransactions[[#This Row],[discount_pct]]&lt;=20%,"11–20%","&gt;20%")))</f>
        <v>0%</v>
      </c>
      <c r="P1416" s="13" t="str">
        <f>_xlfn.XLOOKUP(tblTransactions[[#This Row],[tenant_id]],tblTenants[tenant_id],tblTenants[zone],"NOT FOUND")</f>
        <v>Home &amp; Living</v>
      </c>
      <c r="Q1416" s="13" t="str">
        <f>_xlfn.XLOOKUP(tblTransactions[[#This Row],[tenant_id]],tblTenants[tenant_id],tblTenants[category],"NOT FOUND")</f>
        <v>Electronics</v>
      </c>
    </row>
    <row r="1417" spans="1:17">
      <c r="A1417" t="s">
        <v>1461</v>
      </c>
      <c r="B1417" s="2">
        <v>45683</v>
      </c>
      <c r="C1417">
        <v>11</v>
      </c>
      <c r="D1417" t="s">
        <v>43</v>
      </c>
      <c r="E1417" t="s">
        <v>12</v>
      </c>
      <c r="F1417" s="7">
        <v>855.99</v>
      </c>
      <c r="G1417" s="10">
        <v>0</v>
      </c>
      <c r="H1417" s="7">
        <v>855.99</v>
      </c>
      <c r="I1417">
        <v>1</v>
      </c>
      <c r="J1417" t="s">
        <v>13</v>
      </c>
      <c r="K1417" s="13">
        <f>ROUND(tblTransactions[[#This Row],[gross_sales_inr]]*(1-tblTransactions[[#This Row],[discount_pct]]),2)</f>
        <v>855.99</v>
      </c>
      <c r="L1417" t="str">
        <f>IF(ABS(tblTransactions[[#This Row],[net_sales_inr]]-tblTransactions[[#This Row],[Recalc_Net_Sales]])&lt;0.02,"OK","CHECK")</f>
        <v>OK</v>
      </c>
      <c r="M1417" s="14">
        <f>DATE(YEAR(tblTransactions[[#This Row],[date]]),MONTH(tblTransactions[[#This Row],[date]]),1)</f>
        <v>45658</v>
      </c>
      <c r="N1417" t="str">
        <f>IF(WEEKDAY(tblTransactions[[#This Row],[date]],2)&gt;5,"Weekend","Weekday")</f>
        <v>Weekend</v>
      </c>
      <c r="O1417" s="13" t="str">
        <f>IF(tblTransactions[[#This Row],[discount_pct]]=0,"0%",IF(tblTransactions[[#This Row],[discount_pct]]&lt;=10%,"1–
10%",IF(tblTransactions[[#This Row],[discount_pct]]&lt;=20%,"11–20%","&gt;20%")))</f>
        <v>0%</v>
      </c>
      <c r="P1417" s="13" t="str">
        <f>_xlfn.XLOOKUP(tblTransactions[[#This Row],[tenant_id]],tblTenants[tenant_id],tblTenants[zone],"NOT FOUND")</f>
        <v>Food Court</v>
      </c>
      <c r="Q1417" s="13" t="str">
        <f>_xlfn.XLOOKUP(tblTransactions[[#This Row],[tenant_id]],tblTenants[tenant_id],tblTenants[category],"NOT FOUND")</f>
        <v>Casual Dining</v>
      </c>
    </row>
    <row r="1418" spans="1:17">
      <c r="A1418" t="s">
        <v>1462</v>
      </c>
      <c r="B1418" s="2">
        <v>45805</v>
      </c>
      <c r="C1418">
        <v>12</v>
      </c>
      <c r="D1418" t="s">
        <v>43</v>
      </c>
      <c r="E1418" t="s">
        <v>12</v>
      </c>
      <c r="F1418" s="7">
        <v>639.82000000000005</v>
      </c>
      <c r="G1418" s="10">
        <v>0.2</v>
      </c>
      <c r="H1418" s="7">
        <v>511.86</v>
      </c>
      <c r="I1418">
        <v>1</v>
      </c>
      <c r="J1418" t="s">
        <v>16</v>
      </c>
      <c r="K1418" s="13">
        <f>ROUND(tblTransactions[[#This Row],[gross_sales_inr]]*(1-tblTransactions[[#This Row],[discount_pct]]),2)</f>
        <v>511.86</v>
      </c>
      <c r="L1418" t="str">
        <f>IF(ABS(tblTransactions[[#This Row],[net_sales_inr]]-tblTransactions[[#This Row],[Recalc_Net_Sales]])&lt;0.02,"OK","CHECK")</f>
        <v>OK</v>
      </c>
      <c r="M1418" s="14">
        <f>DATE(YEAR(tblTransactions[[#This Row],[date]]),MONTH(tblTransactions[[#This Row],[date]]),1)</f>
        <v>45778</v>
      </c>
      <c r="N1418" t="str">
        <f>IF(WEEKDAY(tblTransactions[[#This Row],[date]],2)&gt;5,"Weekend","Weekday")</f>
        <v>Weekday</v>
      </c>
      <c r="O141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18" s="13" t="str">
        <f>_xlfn.XLOOKUP(tblTransactions[[#This Row],[tenant_id]],tblTenants[tenant_id],tblTenants[zone],"NOT FOUND")</f>
        <v>Food Court</v>
      </c>
      <c r="Q1418" s="13" t="str">
        <f>_xlfn.XLOOKUP(tblTransactions[[#This Row],[tenant_id]],tblTenants[tenant_id],tblTenants[category],"NOT FOUND")</f>
        <v>Casual Dining</v>
      </c>
    </row>
    <row r="1419" spans="1:17">
      <c r="A1419" t="s">
        <v>1463</v>
      </c>
      <c r="B1419" s="2">
        <v>45815</v>
      </c>
      <c r="C1419">
        <v>19</v>
      </c>
      <c r="D1419" t="s">
        <v>98</v>
      </c>
      <c r="E1419" t="s">
        <v>21</v>
      </c>
      <c r="F1419" s="7">
        <v>1096.7</v>
      </c>
      <c r="G1419" s="10">
        <v>0.2</v>
      </c>
      <c r="H1419" s="7">
        <v>877.36</v>
      </c>
      <c r="I1419">
        <v>2</v>
      </c>
      <c r="J1419" t="s">
        <v>16</v>
      </c>
      <c r="K1419" s="13">
        <f>ROUND(tblTransactions[[#This Row],[gross_sales_inr]]*(1-tblTransactions[[#This Row],[discount_pct]]),2)</f>
        <v>877.36</v>
      </c>
      <c r="L1419" t="str">
        <f>IF(ABS(tblTransactions[[#This Row],[net_sales_inr]]-tblTransactions[[#This Row],[Recalc_Net_Sales]])&lt;0.02,"OK","CHECK")</f>
        <v>OK</v>
      </c>
      <c r="M1419" s="14">
        <f>DATE(YEAR(tblTransactions[[#This Row],[date]]),MONTH(tblTransactions[[#This Row],[date]]),1)</f>
        <v>45809</v>
      </c>
      <c r="N1419" t="str">
        <f>IF(WEEKDAY(tblTransactions[[#This Row],[date]],2)&gt;5,"Weekend","Weekday")</f>
        <v>Weekend</v>
      </c>
      <c r="O141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19" s="13" t="str">
        <f>_xlfn.XLOOKUP(tblTransactions[[#This Row],[tenant_id]],tblTenants[tenant_id],tblTenants[zone],"NOT FOUND")</f>
        <v>Fashion Avenue</v>
      </c>
      <c r="Q1419" s="13" t="str">
        <f>_xlfn.XLOOKUP(tblTransactions[[#This Row],[tenant_id]],tblTenants[tenant_id],tblTenants[category],"NOT FOUND")</f>
        <v>Accessories</v>
      </c>
    </row>
    <row r="1420" spans="1:17">
      <c r="A1420" t="s">
        <v>1464</v>
      </c>
      <c r="B1420" s="2">
        <v>45664</v>
      </c>
      <c r="C1420">
        <v>18</v>
      </c>
      <c r="D1420" t="s">
        <v>70</v>
      </c>
      <c r="E1420" t="s">
        <v>32</v>
      </c>
      <c r="F1420" s="7">
        <v>255.88</v>
      </c>
      <c r="G1420" s="10">
        <v>0.15</v>
      </c>
      <c r="H1420" s="7">
        <v>217.5</v>
      </c>
      <c r="I1420">
        <v>4</v>
      </c>
      <c r="J1420" t="s">
        <v>13</v>
      </c>
      <c r="K1420" s="13">
        <f>ROUND(tblTransactions[[#This Row],[gross_sales_inr]]*(1-tblTransactions[[#This Row],[discount_pct]]),2)</f>
        <v>217.5</v>
      </c>
      <c r="L1420" t="str">
        <f>IF(ABS(tblTransactions[[#This Row],[net_sales_inr]]-tblTransactions[[#This Row],[Recalc_Net_Sales]])&lt;0.02,"OK","CHECK")</f>
        <v>OK</v>
      </c>
      <c r="M1420" s="14">
        <f>DATE(YEAR(tblTransactions[[#This Row],[date]]),MONTH(tblTransactions[[#This Row],[date]]),1)</f>
        <v>45658</v>
      </c>
      <c r="N1420" t="str">
        <f>IF(WEEKDAY(tblTransactions[[#This Row],[date]],2)&gt;5,"Weekend","Weekday")</f>
        <v>Weekday</v>
      </c>
      <c r="O142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20" s="13" t="str">
        <f>_xlfn.XLOOKUP(tblTransactions[[#This Row],[tenant_id]],tblTenants[tenant_id],tblTenants[zone],"NOT FOUND")</f>
        <v>Food Court</v>
      </c>
      <c r="Q1420" s="13" t="str">
        <f>_xlfn.XLOOKUP(tblTransactions[[#This Row],[tenant_id]],tblTenants[tenant_id],tblTenants[category],"NOT FOUND")</f>
        <v>Quick Service</v>
      </c>
    </row>
    <row r="1421" spans="1:17">
      <c r="A1421" t="s">
        <v>1465</v>
      </c>
      <c r="B1421" s="2">
        <v>45670</v>
      </c>
      <c r="C1421">
        <v>17</v>
      </c>
      <c r="D1421" t="s">
        <v>70</v>
      </c>
      <c r="E1421" t="s">
        <v>32</v>
      </c>
      <c r="F1421" s="7">
        <v>869.19</v>
      </c>
      <c r="G1421" s="10">
        <v>0</v>
      </c>
      <c r="H1421" s="7">
        <v>869.19</v>
      </c>
      <c r="I1421">
        <v>5</v>
      </c>
      <c r="J1421" t="s">
        <v>13</v>
      </c>
      <c r="K1421" s="13">
        <f>ROUND(tblTransactions[[#This Row],[gross_sales_inr]]*(1-tblTransactions[[#This Row],[discount_pct]]),2)</f>
        <v>869.19</v>
      </c>
      <c r="L1421" t="str">
        <f>IF(ABS(tblTransactions[[#This Row],[net_sales_inr]]-tblTransactions[[#This Row],[Recalc_Net_Sales]])&lt;0.02,"OK","CHECK")</f>
        <v>OK</v>
      </c>
      <c r="M1421" s="14">
        <f>DATE(YEAR(tblTransactions[[#This Row],[date]]),MONTH(tblTransactions[[#This Row],[date]]),1)</f>
        <v>45658</v>
      </c>
      <c r="N1421" t="str">
        <f>IF(WEEKDAY(tblTransactions[[#This Row],[date]],2)&gt;5,"Weekend","Weekday")</f>
        <v>Weekday</v>
      </c>
      <c r="O1421" s="13" t="str">
        <f>IF(tblTransactions[[#This Row],[discount_pct]]=0,"0%",IF(tblTransactions[[#This Row],[discount_pct]]&lt;=10%,"1–
10%",IF(tblTransactions[[#This Row],[discount_pct]]&lt;=20%,"11–20%","&gt;20%")))</f>
        <v>0%</v>
      </c>
      <c r="P1421" s="13" t="str">
        <f>_xlfn.XLOOKUP(tblTransactions[[#This Row],[tenant_id]],tblTenants[tenant_id],tblTenants[zone],"NOT FOUND")</f>
        <v>Food Court</v>
      </c>
      <c r="Q1421" s="13" t="str">
        <f>_xlfn.XLOOKUP(tblTransactions[[#This Row],[tenant_id]],tblTenants[tenant_id],tblTenants[category],"NOT FOUND")</f>
        <v>Quick Service</v>
      </c>
    </row>
    <row r="1422" spans="1:17">
      <c r="A1422" t="s">
        <v>1466</v>
      </c>
      <c r="B1422" s="2">
        <v>45692</v>
      </c>
      <c r="C1422">
        <v>13</v>
      </c>
      <c r="D1422" t="s">
        <v>43</v>
      </c>
      <c r="E1422" t="s">
        <v>12</v>
      </c>
      <c r="F1422" s="7">
        <v>762.3</v>
      </c>
      <c r="G1422" s="10">
        <v>0.1</v>
      </c>
      <c r="H1422" s="7">
        <v>686.07</v>
      </c>
      <c r="I1422">
        <v>2</v>
      </c>
      <c r="J1422" t="s">
        <v>13</v>
      </c>
      <c r="K1422" s="13">
        <f>ROUND(tblTransactions[[#This Row],[gross_sales_inr]]*(1-tblTransactions[[#This Row],[discount_pct]]),2)</f>
        <v>686.07</v>
      </c>
      <c r="L1422" t="str">
        <f>IF(ABS(tblTransactions[[#This Row],[net_sales_inr]]-tblTransactions[[#This Row],[Recalc_Net_Sales]])&lt;0.02,"OK","CHECK")</f>
        <v>OK</v>
      </c>
      <c r="M1422" s="14">
        <f>DATE(YEAR(tblTransactions[[#This Row],[date]]),MONTH(tblTransactions[[#This Row],[date]]),1)</f>
        <v>45689</v>
      </c>
      <c r="N1422" t="str">
        <f>IF(WEEKDAY(tblTransactions[[#This Row],[date]],2)&gt;5,"Weekend","Weekday")</f>
        <v>Weekday</v>
      </c>
      <c r="O142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22" s="13" t="str">
        <f>_xlfn.XLOOKUP(tblTransactions[[#This Row],[tenant_id]],tblTenants[tenant_id],tblTenants[zone],"NOT FOUND")</f>
        <v>Food Court</v>
      </c>
      <c r="Q1422" s="13" t="str">
        <f>_xlfn.XLOOKUP(tblTransactions[[#This Row],[tenant_id]],tblTenants[tenant_id],tblTenants[category],"NOT FOUND")</f>
        <v>Casual Dining</v>
      </c>
    </row>
    <row r="1423" spans="1:17">
      <c r="A1423" t="s">
        <v>1467</v>
      </c>
      <c r="B1423" s="2">
        <v>45813</v>
      </c>
      <c r="C1423">
        <v>16</v>
      </c>
      <c r="D1423" t="s">
        <v>59</v>
      </c>
      <c r="E1423" t="s">
        <v>12</v>
      </c>
      <c r="F1423" s="7">
        <v>1050.55</v>
      </c>
      <c r="G1423" s="10">
        <v>0</v>
      </c>
      <c r="H1423" s="7">
        <v>1050.55</v>
      </c>
      <c r="I1423">
        <v>3</v>
      </c>
      <c r="J1423" t="s">
        <v>13</v>
      </c>
      <c r="K1423" s="13">
        <f>ROUND(tblTransactions[[#This Row],[gross_sales_inr]]*(1-tblTransactions[[#This Row],[discount_pct]]),2)</f>
        <v>1050.55</v>
      </c>
      <c r="L1423" t="str">
        <f>IF(ABS(tblTransactions[[#This Row],[net_sales_inr]]-tblTransactions[[#This Row],[Recalc_Net_Sales]])&lt;0.02,"OK","CHECK")</f>
        <v>OK</v>
      </c>
      <c r="M1423" s="14">
        <f>DATE(YEAR(tblTransactions[[#This Row],[date]]),MONTH(tblTransactions[[#This Row],[date]]),1)</f>
        <v>45809</v>
      </c>
      <c r="N1423" t="str">
        <f>IF(WEEKDAY(tblTransactions[[#This Row],[date]],2)&gt;5,"Weekend","Weekday")</f>
        <v>Weekday</v>
      </c>
      <c r="O1423" s="13" t="str">
        <f>IF(tblTransactions[[#This Row],[discount_pct]]=0,"0%",IF(tblTransactions[[#This Row],[discount_pct]]&lt;=10%,"1–
10%",IF(tblTransactions[[#This Row],[discount_pct]]&lt;=20%,"11–20%","&gt;20%")))</f>
        <v>0%</v>
      </c>
      <c r="P1423" s="13" t="str">
        <f>_xlfn.XLOOKUP(tblTransactions[[#This Row],[tenant_id]],tblTenants[tenant_id],tblTenants[zone],"NOT FOUND")</f>
        <v>Fashion Avenue</v>
      </c>
      <c r="Q1423" s="13" t="str">
        <f>_xlfn.XLOOKUP(tblTransactions[[#This Row],[tenant_id]],tblTenants[tenant_id],tblTenants[category],"NOT FOUND")</f>
        <v>Footwear</v>
      </c>
    </row>
    <row r="1424" spans="1:17">
      <c r="A1424" t="s">
        <v>1468</v>
      </c>
      <c r="B1424" s="2">
        <v>45712</v>
      </c>
      <c r="C1424">
        <v>13</v>
      </c>
      <c r="D1424" t="s">
        <v>25</v>
      </c>
      <c r="E1424" t="s">
        <v>12</v>
      </c>
      <c r="F1424" s="7">
        <v>303.17</v>
      </c>
      <c r="G1424" s="10">
        <v>0</v>
      </c>
      <c r="H1424" s="7">
        <v>303.17</v>
      </c>
      <c r="I1424">
        <v>1</v>
      </c>
      <c r="J1424" t="s">
        <v>13</v>
      </c>
      <c r="K1424" s="13">
        <f>ROUND(tblTransactions[[#This Row],[gross_sales_inr]]*(1-tblTransactions[[#This Row],[discount_pct]]),2)</f>
        <v>303.17</v>
      </c>
      <c r="L1424" t="str">
        <f>IF(ABS(tblTransactions[[#This Row],[net_sales_inr]]-tblTransactions[[#This Row],[Recalc_Net_Sales]])&lt;0.02,"OK","CHECK")</f>
        <v>OK</v>
      </c>
      <c r="M1424" s="14">
        <f>DATE(YEAR(tblTransactions[[#This Row],[date]]),MONTH(tblTransactions[[#This Row],[date]]),1)</f>
        <v>45689</v>
      </c>
      <c r="N1424" t="str">
        <f>IF(WEEKDAY(tblTransactions[[#This Row],[date]],2)&gt;5,"Weekend","Weekday")</f>
        <v>Weekday</v>
      </c>
      <c r="O1424" s="13" t="str">
        <f>IF(tblTransactions[[#This Row],[discount_pct]]=0,"0%",IF(tblTransactions[[#This Row],[discount_pct]]&lt;=10%,"1–
10%",IF(tblTransactions[[#This Row],[discount_pct]]&lt;=20%,"11–20%","&gt;20%")))</f>
        <v>0%</v>
      </c>
      <c r="P1424" s="13" t="str">
        <f>_xlfn.XLOOKUP(tblTransactions[[#This Row],[tenant_id]],tblTenants[tenant_id],tblTenants[zone],"NOT FOUND")</f>
        <v>Beauty &amp; Wellness</v>
      </c>
      <c r="Q1424" s="13" t="str">
        <f>_xlfn.XLOOKUP(tblTransactions[[#This Row],[tenant_id]],tblTenants[tenant_id],tblTenants[category],"NOT FOUND")</f>
        <v>Beauty</v>
      </c>
    </row>
    <row r="1425" spans="1:17">
      <c r="A1425" t="s">
        <v>1469</v>
      </c>
      <c r="B1425" s="2">
        <v>45689</v>
      </c>
      <c r="C1425">
        <v>11</v>
      </c>
      <c r="D1425" t="s">
        <v>43</v>
      </c>
      <c r="E1425" t="s">
        <v>12</v>
      </c>
      <c r="F1425" s="7">
        <v>942.47</v>
      </c>
      <c r="G1425" s="10">
        <v>0</v>
      </c>
      <c r="H1425" s="7">
        <v>942.47</v>
      </c>
      <c r="I1425">
        <v>1</v>
      </c>
      <c r="J1425" t="s">
        <v>13</v>
      </c>
      <c r="K1425" s="13">
        <f>ROUND(tblTransactions[[#This Row],[gross_sales_inr]]*(1-tblTransactions[[#This Row],[discount_pct]]),2)</f>
        <v>942.47</v>
      </c>
      <c r="L1425" t="str">
        <f>IF(ABS(tblTransactions[[#This Row],[net_sales_inr]]-tblTransactions[[#This Row],[Recalc_Net_Sales]])&lt;0.02,"OK","CHECK")</f>
        <v>OK</v>
      </c>
      <c r="M1425" s="14">
        <f>DATE(YEAR(tblTransactions[[#This Row],[date]]),MONTH(tblTransactions[[#This Row],[date]]),1)</f>
        <v>45689</v>
      </c>
      <c r="N1425" t="str">
        <f>IF(WEEKDAY(tblTransactions[[#This Row],[date]],2)&gt;5,"Weekend","Weekday")</f>
        <v>Weekend</v>
      </c>
      <c r="O1425" s="13" t="str">
        <f>IF(tblTransactions[[#This Row],[discount_pct]]=0,"0%",IF(tblTransactions[[#This Row],[discount_pct]]&lt;=10%,"1–
10%",IF(tblTransactions[[#This Row],[discount_pct]]&lt;=20%,"11–20%","&gt;20%")))</f>
        <v>0%</v>
      </c>
      <c r="P1425" s="13" t="str">
        <f>_xlfn.XLOOKUP(tblTransactions[[#This Row],[tenant_id]],tblTenants[tenant_id],tblTenants[zone],"NOT FOUND")</f>
        <v>Food Court</v>
      </c>
      <c r="Q1425" s="13" t="str">
        <f>_xlfn.XLOOKUP(tblTransactions[[#This Row],[tenant_id]],tblTenants[tenant_id],tblTenants[category],"NOT FOUND")</f>
        <v>Casual Dining</v>
      </c>
    </row>
    <row r="1426" spans="1:17">
      <c r="A1426" t="s">
        <v>1470</v>
      </c>
      <c r="B1426" s="2">
        <v>45834</v>
      </c>
      <c r="C1426">
        <v>13</v>
      </c>
      <c r="D1426" t="s">
        <v>25</v>
      </c>
      <c r="E1426" t="s">
        <v>32</v>
      </c>
      <c r="F1426" s="7">
        <v>267.92</v>
      </c>
      <c r="G1426" s="10">
        <v>0</v>
      </c>
      <c r="H1426" s="7">
        <v>267.92</v>
      </c>
      <c r="I1426">
        <v>1</v>
      </c>
      <c r="J1426" t="s">
        <v>16</v>
      </c>
      <c r="K1426" s="13">
        <f>ROUND(tblTransactions[[#This Row],[gross_sales_inr]]*(1-tblTransactions[[#This Row],[discount_pct]]),2)</f>
        <v>267.92</v>
      </c>
      <c r="L1426" t="str">
        <f>IF(ABS(tblTransactions[[#This Row],[net_sales_inr]]-tblTransactions[[#This Row],[Recalc_Net_Sales]])&lt;0.02,"OK","CHECK")</f>
        <v>OK</v>
      </c>
      <c r="M1426" s="14">
        <f>DATE(YEAR(tblTransactions[[#This Row],[date]]),MONTH(tblTransactions[[#This Row],[date]]),1)</f>
        <v>45809</v>
      </c>
      <c r="N1426" t="str">
        <f>IF(WEEKDAY(tblTransactions[[#This Row],[date]],2)&gt;5,"Weekend","Weekday")</f>
        <v>Weekday</v>
      </c>
      <c r="O1426" s="13" t="str">
        <f>IF(tblTransactions[[#This Row],[discount_pct]]=0,"0%",IF(tblTransactions[[#This Row],[discount_pct]]&lt;=10%,"1–
10%",IF(tblTransactions[[#This Row],[discount_pct]]&lt;=20%,"11–20%","&gt;20%")))</f>
        <v>0%</v>
      </c>
      <c r="P1426" s="13" t="str">
        <f>_xlfn.XLOOKUP(tblTransactions[[#This Row],[tenant_id]],tblTenants[tenant_id],tblTenants[zone],"NOT FOUND")</f>
        <v>Beauty &amp; Wellness</v>
      </c>
      <c r="Q1426" s="13" t="str">
        <f>_xlfn.XLOOKUP(tblTransactions[[#This Row],[tenant_id]],tblTenants[tenant_id],tblTenants[category],"NOT FOUND")</f>
        <v>Beauty</v>
      </c>
    </row>
    <row r="1427" spans="1:17">
      <c r="A1427" t="s">
        <v>1471</v>
      </c>
      <c r="B1427" s="2">
        <v>45768</v>
      </c>
      <c r="C1427">
        <v>12</v>
      </c>
      <c r="D1427" t="s">
        <v>27</v>
      </c>
      <c r="E1427" t="s">
        <v>12</v>
      </c>
      <c r="F1427" s="7">
        <v>2661.98</v>
      </c>
      <c r="G1427" s="10">
        <v>0.2</v>
      </c>
      <c r="H1427" s="7">
        <v>2129.58</v>
      </c>
      <c r="I1427">
        <v>2</v>
      </c>
      <c r="J1427" t="s">
        <v>13</v>
      </c>
      <c r="K1427" s="13">
        <f>ROUND(tblTransactions[[#This Row],[gross_sales_inr]]*(1-tblTransactions[[#This Row],[discount_pct]]),2)</f>
        <v>2129.58</v>
      </c>
      <c r="L1427" t="str">
        <f>IF(ABS(tblTransactions[[#This Row],[net_sales_inr]]-tblTransactions[[#This Row],[Recalc_Net_Sales]])&lt;0.02,"OK","CHECK")</f>
        <v>OK</v>
      </c>
      <c r="M1427" s="14">
        <f>DATE(YEAR(tblTransactions[[#This Row],[date]]),MONTH(tblTransactions[[#This Row],[date]]),1)</f>
        <v>45748</v>
      </c>
      <c r="N1427" t="str">
        <f>IF(WEEKDAY(tblTransactions[[#This Row],[date]],2)&gt;5,"Weekend","Weekday")</f>
        <v>Weekday</v>
      </c>
      <c r="O142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27" s="13" t="str">
        <f>_xlfn.XLOOKUP(tblTransactions[[#This Row],[tenant_id]],tblTenants[tenant_id],tblTenants[zone],"NOT FOUND")</f>
        <v>Beauty &amp; Wellness</v>
      </c>
      <c r="Q1427" s="13" t="str">
        <f>_xlfn.XLOOKUP(tblTransactions[[#This Row],[tenant_id]],tblTenants[tenant_id],tblTenants[category],"NOT FOUND")</f>
        <v>Wellness</v>
      </c>
    </row>
    <row r="1428" spans="1:17">
      <c r="A1428" t="s">
        <v>1472</v>
      </c>
      <c r="B1428" s="2">
        <v>45752</v>
      </c>
      <c r="C1428">
        <v>19</v>
      </c>
      <c r="D1428" t="s">
        <v>55</v>
      </c>
      <c r="E1428" t="s">
        <v>12</v>
      </c>
      <c r="F1428" s="7">
        <v>972.06</v>
      </c>
      <c r="G1428" s="10">
        <v>0</v>
      </c>
      <c r="H1428" s="7">
        <v>972.06</v>
      </c>
      <c r="I1428">
        <v>1</v>
      </c>
      <c r="J1428" t="s">
        <v>16</v>
      </c>
      <c r="K1428" s="13">
        <f>ROUND(tblTransactions[[#This Row],[gross_sales_inr]]*(1-tblTransactions[[#This Row],[discount_pct]]),2)</f>
        <v>972.06</v>
      </c>
      <c r="L1428" t="str">
        <f>IF(ABS(tblTransactions[[#This Row],[net_sales_inr]]-tblTransactions[[#This Row],[Recalc_Net_Sales]])&lt;0.02,"OK","CHECK")</f>
        <v>OK</v>
      </c>
      <c r="M1428" s="14">
        <f>DATE(YEAR(tblTransactions[[#This Row],[date]]),MONTH(tblTransactions[[#This Row],[date]]),1)</f>
        <v>45748</v>
      </c>
      <c r="N1428" t="str">
        <f>IF(WEEKDAY(tblTransactions[[#This Row],[date]],2)&gt;5,"Weekend","Weekday")</f>
        <v>Weekend</v>
      </c>
      <c r="O1428" s="13" t="str">
        <f>IF(tblTransactions[[#This Row],[discount_pct]]=0,"0%",IF(tblTransactions[[#This Row],[discount_pct]]&lt;=10%,"1–
10%",IF(tblTransactions[[#This Row],[discount_pct]]&lt;=20%,"11–20%","&gt;20%")))</f>
        <v>0%</v>
      </c>
      <c r="P1428" s="13" t="str">
        <f>_xlfn.XLOOKUP(tblTransactions[[#This Row],[tenant_id]],tblTenants[tenant_id],tblTenants[zone],"NOT FOUND")</f>
        <v>Food Court</v>
      </c>
      <c r="Q1428" s="13" t="str">
        <f>_xlfn.XLOOKUP(tblTransactions[[#This Row],[tenant_id]],tblTenants[tenant_id],tblTenants[category],"NOT FOUND")</f>
        <v>Quick Service</v>
      </c>
    </row>
    <row r="1429" spans="1:17">
      <c r="A1429" t="s">
        <v>1473</v>
      </c>
      <c r="B1429" s="2">
        <v>45744</v>
      </c>
      <c r="C1429">
        <v>19</v>
      </c>
      <c r="D1429" t="s">
        <v>87</v>
      </c>
      <c r="E1429" t="s">
        <v>12</v>
      </c>
      <c r="F1429" s="7">
        <v>615.58000000000004</v>
      </c>
      <c r="G1429" s="10">
        <v>0.15</v>
      </c>
      <c r="H1429" s="7">
        <v>523.24</v>
      </c>
      <c r="I1429">
        <v>6</v>
      </c>
      <c r="J1429" t="s">
        <v>16</v>
      </c>
      <c r="K1429" s="13">
        <f>ROUND(tblTransactions[[#This Row],[gross_sales_inr]]*(1-tblTransactions[[#This Row],[discount_pct]]),2)</f>
        <v>523.24</v>
      </c>
      <c r="L1429" t="str">
        <f>IF(ABS(tblTransactions[[#This Row],[net_sales_inr]]-tblTransactions[[#This Row],[Recalc_Net_Sales]])&lt;0.02,"OK","CHECK")</f>
        <v>OK</v>
      </c>
      <c r="M1429" s="14">
        <f>DATE(YEAR(tblTransactions[[#This Row],[date]]),MONTH(tblTransactions[[#This Row],[date]]),1)</f>
        <v>45717</v>
      </c>
      <c r="N1429" t="str">
        <f>IF(WEEKDAY(tblTransactions[[#This Row],[date]],2)&gt;5,"Weekend","Weekday")</f>
        <v>Weekday</v>
      </c>
      <c r="O142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29" s="13" t="str">
        <f>_xlfn.XLOOKUP(tblTransactions[[#This Row],[tenant_id]],tblTenants[tenant_id],tblTenants[zone],"NOT FOUND")</f>
        <v>Fashion Avenue</v>
      </c>
      <c r="Q1429" s="13" t="str">
        <f>_xlfn.XLOOKUP(tblTransactions[[#This Row],[tenant_id]],tblTenants[tenant_id],tblTenants[category],"NOT FOUND")</f>
        <v>Footwear</v>
      </c>
    </row>
    <row r="1430" spans="1:17">
      <c r="A1430" t="s">
        <v>1474</v>
      </c>
      <c r="B1430" s="2">
        <v>45833</v>
      </c>
      <c r="C1430">
        <v>21</v>
      </c>
      <c r="D1430" t="s">
        <v>18</v>
      </c>
      <c r="E1430" t="s">
        <v>32</v>
      </c>
      <c r="F1430" s="7">
        <v>2775.23</v>
      </c>
      <c r="G1430" s="10">
        <v>0.1</v>
      </c>
      <c r="H1430" s="7">
        <v>2497.71</v>
      </c>
      <c r="I1430">
        <v>3</v>
      </c>
      <c r="J1430" t="s">
        <v>16</v>
      </c>
      <c r="K1430" s="13">
        <f>ROUND(tblTransactions[[#This Row],[gross_sales_inr]]*(1-tblTransactions[[#This Row],[discount_pct]]),2)</f>
        <v>2497.71</v>
      </c>
      <c r="L1430" t="str">
        <f>IF(ABS(tblTransactions[[#This Row],[net_sales_inr]]-tblTransactions[[#This Row],[Recalc_Net_Sales]])&lt;0.02,"OK","CHECK")</f>
        <v>OK</v>
      </c>
      <c r="M1430" s="14">
        <f>DATE(YEAR(tblTransactions[[#This Row],[date]]),MONTH(tblTransactions[[#This Row],[date]]),1)</f>
        <v>45809</v>
      </c>
      <c r="N1430" t="str">
        <f>IF(WEEKDAY(tblTransactions[[#This Row],[date]],2)&gt;5,"Weekend","Weekday")</f>
        <v>Weekday</v>
      </c>
      <c r="O143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30" s="13" t="str">
        <f>_xlfn.XLOOKUP(tblTransactions[[#This Row],[tenant_id]],tblTenants[tenant_id],tblTenants[zone],"NOT FOUND")</f>
        <v>Beauty &amp; Wellness</v>
      </c>
      <c r="Q1430" s="13" t="str">
        <f>_xlfn.XLOOKUP(tblTransactions[[#This Row],[tenant_id]],tblTenants[tenant_id],tblTenants[category],"NOT FOUND")</f>
        <v>Beauty</v>
      </c>
    </row>
    <row r="1431" spans="1:17">
      <c r="A1431" t="s">
        <v>1475</v>
      </c>
      <c r="B1431" s="2">
        <v>45736</v>
      </c>
      <c r="C1431">
        <v>20</v>
      </c>
      <c r="D1431" t="s">
        <v>204</v>
      </c>
      <c r="E1431" t="s">
        <v>21</v>
      </c>
      <c r="F1431" s="7">
        <v>864.43</v>
      </c>
      <c r="G1431" s="10">
        <v>0.1</v>
      </c>
      <c r="H1431" s="7">
        <v>777.99</v>
      </c>
      <c r="I1431">
        <v>2</v>
      </c>
      <c r="J1431" t="s">
        <v>16</v>
      </c>
      <c r="K1431" s="13">
        <f>ROUND(tblTransactions[[#This Row],[gross_sales_inr]]*(1-tblTransactions[[#This Row],[discount_pct]]),2)</f>
        <v>777.99</v>
      </c>
      <c r="L1431" t="str">
        <f>IF(ABS(tblTransactions[[#This Row],[net_sales_inr]]-tblTransactions[[#This Row],[Recalc_Net_Sales]])&lt;0.02,"OK","CHECK")</f>
        <v>OK</v>
      </c>
      <c r="M1431" s="14">
        <f>DATE(YEAR(tblTransactions[[#This Row],[date]]),MONTH(tblTransactions[[#This Row],[date]]),1)</f>
        <v>45717</v>
      </c>
      <c r="N1431" t="str">
        <f>IF(WEEKDAY(tblTransactions[[#This Row],[date]],2)&gt;5,"Weekend","Weekday")</f>
        <v>Weekday</v>
      </c>
      <c r="O143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31" s="13" t="str">
        <f>_xlfn.XLOOKUP(tblTransactions[[#This Row],[tenant_id]],tblTenants[tenant_id],tblTenants[zone],"NOT FOUND")</f>
        <v>Home &amp; Living</v>
      </c>
      <c r="Q1431" s="13" t="str">
        <f>_xlfn.XLOOKUP(tblTransactions[[#This Row],[tenant_id]],tblTenants[tenant_id],tblTenants[category],"NOT FOUND")</f>
        <v>Home Decor</v>
      </c>
    </row>
    <row r="1432" spans="1:17">
      <c r="A1432" t="s">
        <v>1476</v>
      </c>
      <c r="B1432" s="2">
        <v>45811</v>
      </c>
      <c r="C1432">
        <v>17</v>
      </c>
      <c r="D1432" t="s">
        <v>122</v>
      </c>
      <c r="E1432" t="s">
        <v>32</v>
      </c>
      <c r="F1432" s="7">
        <v>942.26</v>
      </c>
      <c r="G1432" s="10">
        <v>0.05</v>
      </c>
      <c r="H1432" s="7">
        <v>895.15</v>
      </c>
      <c r="I1432">
        <v>1</v>
      </c>
      <c r="J1432" t="s">
        <v>16</v>
      </c>
      <c r="K1432" s="13">
        <f>ROUND(tblTransactions[[#This Row],[gross_sales_inr]]*(1-tblTransactions[[#This Row],[discount_pct]]),2)</f>
        <v>895.15</v>
      </c>
      <c r="L1432" t="str">
        <f>IF(ABS(tblTransactions[[#This Row],[net_sales_inr]]-tblTransactions[[#This Row],[Recalc_Net_Sales]])&lt;0.02,"OK","CHECK")</f>
        <v>OK</v>
      </c>
      <c r="M1432" s="14">
        <f>DATE(YEAR(tblTransactions[[#This Row],[date]]),MONTH(tblTransactions[[#This Row],[date]]),1)</f>
        <v>45809</v>
      </c>
      <c r="N1432" t="str">
        <f>IF(WEEKDAY(tblTransactions[[#This Row],[date]],2)&gt;5,"Weekend","Weekday")</f>
        <v>Weekday</v>
      </c>
      <c r="O143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32" s="13" t="str">
        <f>_xlfn.XLOOKUP(tblTransactions[[#This Row],[tenant_id]],tblTenants[tenant_id],tblTenants[zone],"NOT FOUND")</f>
        <v>Beauty &amp; Wellness</v>
      </c>
      <c r="Q1432" s="13" t="str">
        <f>_xlfn.XLOOKUP(tblTransactions[[#This Row],[tenant_id]],tblTenants[tenant_id],tblTenants[category],"NOT FOUND")</f>
        <v>Wellness</v>
      </c>
    </row>
    <row r="1433" spans="1:17">
      <c r="A1433" t="s">
        <v>1477</v>
      </c>
      <c r="B1433" s="2">
        <v>45741</v>
      </c>
      <c r="C1433">
        <v>16</v>
      </c>
      <c r="D1433" t="s">
        <v>15</v>
      </c>
      <c r="E1433" t="s">
        <v>12</v>
      </c>
      <c r="F1433" s="7">
        <v>1339.92</v>
      </c>
      <c r="G1433" s="10">
        <v>0</v>
      </c>
      <c r="H1433" s="7">
        <v>1339.92</v>
      </c>
      <c r="I1433">
        <v>2</v>
      </c>
      <c r="J1433" t="s">
        <v>16</v>
      </c>
      <c r="K1433" s="13">
        <f>ROUND(tblTransactions[[#This Row],[gross_sales_inr]]*(1-tblTransactions[[#This Row],[discount_pct]]),2)</f>
        <v>1339.92</v>
      </c>
      <c r="L1433" t="str">
        <f>IF(ABS(tblTransactions[[#This Row],[net_sales_inr]]-tblTransactions[[#This Row],[Recalc_Net_Sales]])&lt;0.02,"OK","CHECK")</f>
        <v>OK</v>
      </c>
      <c r="M1433" s="14">
        <f>DATE(YEAR(tblTransactions[[#This Row],[date]]),MONTH(tblTransactions[[#This Row],[date]]),1)</f>
        <v>45717</v>
      </c>
      <c r="N1433" t="str">
        <f>IF(WEEKDAY(tblTransactions[[#This Row],[date]],2)&gt;5,"Weekend","Weekday")</f>
        <v>Weekday</v>
      </c>
      <c r="O1433" s="13" t="str">
        <f>IF(tblTransactions[[#This Row],[discount_pct]]=0,"0%",IF(tblTransactions[[#This Row],[discount_pct]]&lt;=10%,"1–
10%",IF(tblTransactions[[#This Row],[discount_pct]]&lt;=20%,"11–20%","&gt;20%")))</f>
        <v>0%</v>
      </c>
      <c r="P1433" s="13" t="str">
        <f>_xlfn.XLOOKUP(tblTransactions[[#This Row],[tenant_id]],tblTenants[tenant_id],tblTenants[zone],"NOT FOUND")</f>
        <v>Fashion Avenue</v>
      </c>
      <c r="Q1433" s="13" t="str">
        <f>_xlfn.XLOOKUP(tblTransactions[[#This Row],[tenant_id]],tblTenants[tenant_id],tblTenants[category],"NOT FOUND")</f>
        <v>Accessories</v>
      </c>
    </row>
    <row r="1434" spans="1:17">
      <c r="A1434" t="s">
        <v>1478</v>
      </c>
      <c r="B1434" s="2">
        <v>45787</v>
      </c>
      <c r="C1434">
        <v>10</v>
      </c>
      <c r="D1434" t="s">
        <v>57</v>
      </c>
      <c r="E1434" t="s">
        <v>12</v>
      </c>
      <c r="F1434" s="7">
        <v>1158.3499999999999</v>
      </c>
      <c r="G1434" s="10">
        <v>0.05</v>
      </c>
      <c r="H1434" s="7">
        <v>1100.43</v>
      </c>
      <c r="I1434">
        <v>1</v>
      </c>
      <c r="J1434" t="s">
        <v>13</v>
      </c>
      <c r="K1434" s="13">
        <f>ROUND(tblTransactions[[#This Row],[gross_sales_inr]]*(1-tblTransactions[[#This Row],[discount_pct]]),2)</f>
        <v>1100.43</v>
      </c>
      <c r="L1434" t="str">
        <f>IF(ABS(tblTransactions[[#This Row],[net_sales_inr]]-tblTransactions[[#This Row],[Recalc_Net_Sales]])&lt;0.02,"OK","CHECK")</f>
        <v>OK</v>
      </c>
      <c r="M1434" s="14">
        <f>DATE(YEAR(tblTransactions[[#This Row],[date]]),MONTH(tblTransactions[[#This Row],[date]]),1)</f>
        <v>45778</v>
      </c>
      <c r="N1434" t="str">
        <f>IF(WEEKDAY(tblTransactions[[#This Row],[date]],2)&gt;5,"Weekend","Weekday")</f>
        <v>Weekend</v>
      </c>
      <c r="O143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34" s="13" t="str">
        <f>_xlfn.XLOOKUP(tblTransactions[[#This Row],[tenant_id]],tblTenants[tenant_id],tblTenants[zone],"NOT FOUND")</f>
        <v>Food Court</v>
      </c>
      <c r="Q1434" s="13" t="str">
        <f>_xlfn.XLOOKUP(tblTransactions[[#This Row],[tenant_id]],tblTenants[tenant_id],tblTenants[category],"NOT FOUND")</f>
        <v>Casual Dining</v>
      </c>
    </row>
    <row r="1435" spans="1:17">
      <c r="A1435" t="s">
        <v>1479</v>
      </c>
      <c r="B1435" s="2">
        <v>45709</v>
      </c>
      <c r="C1435">
        <v>18</v>
      </c>
      <c r="D1435" t="s">
        <v>25</v>
      </c>
      <c r="E1435" t="s">
        <v>12</v>
      </c>
      <c r="F1435" s="7">
        <v>701.81</v>
      </c>
      <c r="G1435" s="10">
        <v>0</v>
      </c>
      <c r="H1435" s="7">
        <v>701.81</v>
      </c>
      <c r="I1435">
        <v>1</v>
      </c>
      <c r="J1435" t="s">
        <v>13</v>
      </c>
      <c r="K1435" s="13">
        <f>ROUND(tblTransactions[[#This Row],[gross_sales_inr]]*(1-tblTransactions[[#This Row],[discount_pct]]),2)</f>
        <v>701.81</v>
      </c>
      <c r="L1435" t="str">
        <f>IF(ABS(tblTransactions[[#This Row],[net_sales_inr]]-tblTransactions[[#This Row],[Recalc_Net_Sales]])&lt;0.02,"OK","CHECK")</f>
        <v>OK</v>
      </c>
      <c r="M1435" s="14">
        <f>DATE(YEAR(tblTransactions[[#This Row],[date]]),MONTH(tblTransactions[[#This Row],[date]]),1)</f>
        <v>45689</v>
      </c>
      <c r="N1435" t="str">
        <f>IF(WEEKDAY(tblTransactions[[#This Row],[date]],2)&gt;5,"Weekend","Weekday")</f>
        <v>Weekday</v>
      </c>
      <c r="O1435" s="13" t="str">
        <f>IF(tblTransactions[[#This Row],[discount_pct]]=0,"0%",IF(tblTransactions[[#This Row],[discount_pct]]&lt;=10%,"1–
10%",IF(tblTransactions[[#This Row],[discount_pct]]&lt;=20%,"11–20%","&gt;20%")))</f>
        <v>0%</v>
      </c>
      <c r="P1435" s="13" t="str">
        <f>_xlfn.XLOOKUP(tblTransactions[[#This Row],[tenant_id]],tblTenants[tenant_id],tblTenants[zone],"NOT FOUND")</f>
        <v>Beauty &amp; Wellness</v>
      </c>
      <c r="Q1435" s="13" t="str">
        <f>_xlfn.XLOOKUP(tblTransactions[[#This Row],[tenant_id]],tblTenants[tenant_id],tblTenants[category],"NOT FOUND")</f>
        <v>Beauty</v>
      </c>
    </row>
    <row r="1436" spans="1:17">
      <c r="A1436" t="s">
        <v>1480</v>
      </c>
      <c r="B1436" s="2">
        <v>45666</v>
      </c>
      <c r="C1436">
        <v>20</v>
      </c>
      <c r="D1436" t="s">
        <v>43</v>
      </c>
      <c r="E1436" t="s">
        <v>12</v>
      </c>
      <c r="F1436" s="7">
        <v>648.48</v>
      </c>
      <c r="G1436" s="10">
        <v>0</v>
      </c>
      <c r="H1436" s="7">
        <v>648.48</v>
      </c>
      <c r="I1436">
        <v>2</v>
      </c>
      <c r="J1436" t="s">
        <v>16</v>
      </c>
      <c r="K1436" s="13">
        <f>ROUND(tblTransactions[[#This Row],[gross_sales_inr]]*(1-tblTransactions[[#This Row],[discount_pct]]),2)</f>
        <v>648.48</v>
      </c>
      <c r="L1436" t="str">
        <f>IF(ABS(tblTransactions[[#This Row],[net_sales_inr]]-tblTransactions[[#This Row],[Recalc_Net_Sales]])&lt;0.02,"OK","CHECK")</f>
        <v>OK</v>
      </c>
      <c r="M1436" s="14">
        <f>DATE(YEAR(tblTransactions[[#This Row],[date]]),MONTH(tblTransactions[[#This Row],[date]]),1)</f>
        <v>45658</v>
      </c>
      <c r="N1436" t="str">
        <f>IF(WEEKDAY(tblTransactions[[#This Row],[date]],2)&gt;5,"Weekend","Weekday")</f>
        <v>Weekday</v>
      </c>
      <c r="O1436" s="13" t="str">
        <f>IF(tblTransactions[[#This Row],[discount_pct]]=0,"0%",IF(tblTransactions[[#This Row],[discount_pct]]&lt;=10%,"1–
10%",IF(tblTransactions[[#This Row],[discount_pct]]&lt;=20%,"11–20%","&gt;20%")))</f>
        <v>0%</v>
      </c>
      <c r="P1436" s="13" t="str">
        <f>_xlfn.XLOOKUP(tblTransactions[[#This Row],[tenant_id]],tblTenants[tenant_id],tblTenants[zone],"NOT FOUND")</f>
        <v>Food Court</v>
      </c>
      <c r="Q1436" s="13" t="str">
        <f>_xlfn.XLOOKUP(tblTransactions[[#This Row],[tenant_id]],tblTenants[tenant_id],tblTenants[category],"NOT FOUND")</f>
        <v>Casual Dining</v>
      </c>
    </row>
    <row r="1437" spans="1:17">
      <c r="A1437" t="s">
        <v>1481</v>
      </c>
      <c r="B1437" s="2">
        <v>45682</v>
      </c>
      <c r="C1437">
        <v>11</v>
      </c>
      <c r="D1437" t="s">
        <v>63</v>
      </c>
      <c r="E1437" t="s">
        <v>12</v>
      </c>
      <c r="F1437" s="7">
        <v>2261.0500000000002</v>
      </c>
      <c r="G1437" s="10">
        <v>0.05</v>
      </c>
      <c r="H1437" s="7">
        <v>2148</v>
      </c>
      <c r="I1437">
        <v>4</v>
      </c>
      <c r="J1437" t="s">
        <v>16</v>
      </c>
      <c r="K1437" s="13">
        <f>ROUND(tblTransactions[[#This Row],[gross_sales_inr]]*(1-tblTransactions[[#This Row],[discount_pct]]),2)</f>
        <v>2148</v>
      </c>
      <c r="L1437" t="str">
        <f>IF(ABS(tblTransactions[[#This Row],[net_sales_inr]]-tblTransactions[[#This Row],[Recalc_Net_Sales]])&lt;0.02,"OK","CHECK")</f>
        <v>OK</v>
      </c>
      <c r="M1437" s="14">
        <f>DATE(YEAR(tblTransactions[[#This Row],[date]]),MONTH(tblTransactions[[#This Row],[date]]),1)</f>
        <v>45658</v>
      </c>
      <c r="N1437" t="str">
        <f>IF(WEEKDAY(tblTransactions[[#This Row],[date]],2)&gt;5,"Weekend","Weekday")</f>
        <v>Weekend</v>
      </c>
      <c r="O143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37" s="13" t="str">
        <f>_xlfn.XLOOKUP(tblTransactions[[#This Row],[tenant_id]],tblTenants[tenant_id],tblTenants[zone],"NOT FOUND")</f>
        <v>Entertainment</v>
      </c>
      <c r="Q1437" s="13" t="str">
        <f>_xlfn.XLOOKUP(tblTransactions[[#This Row],[tenant_id]],tblTenants[tenant_id],tblTenants[category],"NOT FOUND")</f>
        <v>Family Entertainment</v>
      </c>
    </row>
    <row r="1438" spans="1:17">
      <c r="A1438" t="s">
        <v>1482</v>
      </c>
      <c r="B1438" s="2">
        <v>45721</v>
      </c>
      <c r="C1438">
        <v>11</v>
      </c>
      <c r="D1438" t="s">
        <v>85</v>
      </c>
      <c r="E1438" t="s">
        <v>21</v>
      </c>
      <c r="F1438" s="7">
        <v>2381.4899999999998</v>
      </c>
      <c r="G1438" s="10">
        <v>0</v>
      </c>
      <c r="H1438" s="7">
        <v>2381.4899999999998</v>
      </c>
      <c r="I1438">
        <v>2</v>
      </c>
      <c r="J1438" t="s">
        <v>16</v>
      </c>
      <c r="K1438" s="13">
        <f>ROUND(tblTransactions[[#This Row],[gross_sales_inr]]*(1-tblTransactions[[#This Row],[discount_pct]]),2)</f>
        <v>2381.4899999999998</v>
      </c>
      <c r="L1438" t="str">
        <f>IF(ABS(tblTransactions[[#This Row],[net_sales_inr]]-tblTransactions[[#This Row],[Recalc_Net_Sales]])&lt;0.02,"OK","CHECK")</f>
        <v>OK</v>
      </c>
      <c r="M1438" s="14">
        <f>DATE(YEAR(tblTransactions[[#This Row],[date]]),MONTH(tblTransactions[[#This Row],[date]]),1)</f>
        <v>45717</v>
      </c>
      <c r="N1438" t="str">
        <f>IF(WEEKDAY(tblTransactions[[#This Row],[date]],2)&gt;5,"Weekend","Weekday")</f>
        <v>Weekday</v>
      </c>
      <c r="O1438" s="13" t="str">
        <f>IF(tblTransactions[[#This Row],[discount_pct]]=0,"0%",IF(tblTransactions[[#This Row],[discount_pct]]&lt;=10%,"1–
10%",IF(tblTransactions[[#This Row],[discount_pct]]&lt;=20%,"11–20%","&gt;20%")))</f>
        <v>0%</v>
      </c>
      <c r="P1438" s="13" t="str">
        <f>_xlfn.XLOOKUP(tblTransactions[[#This Row],[tenant_id]],tblTenants[tenant_id],tblTenants[zone],"NOT FOUND")</f>
        <v>Home &amp; Living</v>
      </c>
      <c r="Q1438" s="13" t="str">
        <f>_xlfn.XLOOKUP(tblTransactions[[#This Row],[tenant_id]],tblTenants[tenant_id],tblTenants[category],"NOT FOUND")</f>
        <v>Electronics</v>
      </c>
    </row>
    <row r="1439" spans="1:17">
      <c r="A1439" t="s">
        <v>1483</v>
      </c>
      <c r="B1439" s="2">
        <v>45699</v>
      </c>
      <c r="C1439">
        <v>17</v>
      </c>
      <c r="D1439" t="s">
        <v>25</v>
      </c>
      <c r="E1439" t="s">
        <v>32</v>
      </c>
      <c r="F1439" s="7">
        <v>5165.16</v>
      </c>
      <c r="G1439" s="10">
        <v>0.2</v>
      </c>
      <c r="H1439" s="7">
        <v>4132.13</v>
      </c>
      <c r="I1439">
        <v>4</v>
      </c>
      <c r="J1439" t="s">
        <v>13</v>
      </c>
      <c r="K1439" s="13">
        <f>ROUND(tblTransactions[[#This Row],[gross_sales_inr]]*(1-tblTransactions[[#This Row],[discount_pct]]),2)</f>
        <v>4132.13</v>
      </c>
      <c r="L1439" t="str">
        <f>IF(ABS(tblTransactions[[#This Row],[net_sales_inr]]-tblTransactions[[#This Row],[Recalc_Net_Sales]])&lt;0.02,"OK","CHECK")</f>
        <v>OK</v>
      </c>
      <c r="M1439" s="14">
        <f>DATE(YEAR(tblTransactions[[#This Row],[date]]),MONTH(tblTransactions[[#This Row],[date]]),1)</f>
        <v>45689</v>
      </c>
      <c r="N1439" t="str">
        <f>IF(WEEKDAY(tblTransactions[[#This Row],[date]],2)&gt;5,"Weekend","Weekday")</f>
        <v>Weekday</v>
      </c>
      <c r="O143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39" s="13" t="str">
        <f>_xlfn.XLOOKUP(tblTransactions[[#This Row],[tenant_id]],tblTenants[tenant_id],tblTenants[zone],"NOT FOUND")</f>
        <v>Beauty &amp; Wellness</v>
      </c>
      <c r="Q1439" s="13" t="str">
        <f>_xlfn.XLOOKUP(tblTransactions[[#This Row],[tenant_id]],tblTenants[tenant_id],tblTenants[category],"NOT FOUND")</f>
        <v>Beauty</v>
      </c>
    </row>
    <row r="1440" spans="1:17">
      <c r="A1440" t="s">
        <v>1484</v>
      </c>
      <c r="B1440" s="2">
        <v>45710</v>
      </c>
      <c r="C1440">
        <v>17</v>
      </c>
      <c r="D1440" t="s">
        <v>25</v>
      </c>
      <c r="E1440" t="s">
        <v>21</v>
      </c>
      <c r="F1440" s="7">
        <v>1098.3900000000001</v>
      </c>
      <c r="G1440" s="10">
        <v>0.3</v>
      </c>
      <c r="H1440" s="7">
        <v>768.87</v>
      </c>
      <c r="I1440">
        <v>4</v>
      </c>
      <c r="J1440" t="s">
        <v>13</v>
      </c>
      <c r="K1440" s="13">
        <f>ROUND(tblTransactions[[#This Row],[gross_sales_inr]]*(1-tblTransactions[[#This Row],[discount_pct]]),2)</f>
        <v>768.87</v>
      </c>
      <c r="L1440" t="str">
        <f>IF(ABS(tblTransactions[[#This Row],[net_sales_inr]]-tblTransactions[[#This Row],[Recalc_Net_Sales]])&lt;0.02,"OK","CHECK")</f>
        <v>OK</v>
      </c>
      <c r="M1440" s="14">
        <f>DATE(YEAR(tblTransactions[[#This Row],[date]]),MONTH(tblTransactions[[#This Row],[date]]),1)</f>
        <v>45689</v>
      </c>
      <c r="N1440" t="str">
        <f>IF(WEEKDAY(tblTransactions[[#This Row],[date]],2)&gt;5,"Weekend","Weekday")</f>
        <v>Weekend</v>
      </c>
      <c r="O144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440" s="13" t="str">
        <f>_xlfn.XLOOKUP(tblTransactions[[#This Row],[tenant_id]],tblTenants[tenant_id],tblTenants[zone],"NOT FOUND")</f>
        <v>Beauty &amp; Wellness</v>
      </c>
      <c r="Q1440" s="13" t="str">
        <f>_xlfn.XLOOKUP(tblTransactions[[#This Row],[tenant_id]],tblTenants[tenant_id],tblTenants[category],"NOT FOUND")</f>
        <v>Beauty</v>
      </c>
    </row>
    <row r="1441" spans="1:17">
      <c r="A1441" t="s">
        <v>1485</v>
      </c>
      <c r="B1441" s="2">
        <v>45830</v>
      </c>
      <c r="C1441">
        <v>13</v>
      </c>
      <c r="D1441" t="s">
        <v>122</v>
      </c>
      <c r="E1441" t="s">
        <v>12</v>
      </c>
      <c r="F1441" s="7">
        <v>1093.4000000000001</v>
      </c>
      <c r="G1441" s="10">
        <v>0</v>
      </c>
      <c r="H1441" s="7">
        <v>1093.4000000000001</v>
      </c>
      <c r="I1441">
        <v>2</v>
      </c>
      <c r="J1441" t="s">
        <v>13</v>
      </c>
      <c r="K1441" s="13">
        <f>ROUND(tblTransactions[[#This Row],[gross_sales_inr]]*(1-tblTransactions[[#This Row],[discount_pct]]),2)</f>
        <v>1093.4000000000001</v>
      </c>
      <c r="L1441" t="str">
        <f>IF(ABS(tblTransactions[[#This Row],[net_sales_inr]]-tblTransactions[[#This Row],[Recalc_Net_Sales]])&lt;0.02,"OK","CHECK")</f>
        <v>OK</v>
      </c>
      <c r="M1441" s="14">
        <f>DATE(YEAR(tblTransactions[[#This Row],[date]]),MONTH(tblTransactions[[#This Row],[date]]),1)</f>
        <v>45809</v>
      </c>
      <c r="N1441" t="str">
        <f>IF(WEEKDAY(tblTransactions[[#This Row],[date]],2)&gt;5,"Weekend","Weekday")</f>
        <v>Weekend</v>
      </c>
      <c r="O1441" s="13" t="str">
        <f>IF(tblTransactions[[#This Row],[discount_pct]]=0,"0%",IF(tblTransactions[[#This Row],[discount_pct]]&lt;=10%,"1–
10%",IF(tblTransactions[[#This Row],[discount_pct]]&lt;=20%,"11–20%","&gt;20%")))</f>
        <v>0%</v>
      </c>
      <c r="P1441" s="13" t="str">
        <f>_xlfn.XLOOKUP(tblTransactions[[#This Row],[tenant_id]],tblTenants[tenant_id],tblTenants[zone],"NOT FOUND")</f>
        <v>Beauty &amp; Wellness</v>
      </c>
      <c r="Q1441" s="13" t="str">
        <f>_xlfn.XLOOKUP(tblTransactions[[#This Row],[tenant_id]],tblTenants[tenant_id],tblTenants[category],"NOT FOUND")</f>
        <v>Wellness</v>
      </c>
    </row>
    <row r="1442" spans="1:17">
      <c r="A1442" t="s">
        <v>1486</v>
      </c>
      <c r="B1442" s="2">
        <v>45829</v>
      </c>
      <c r="C1442">
        <v>22</v>
      </c>
      <c r="D1442" t="s">
        <v>57</v>
      </c>
      <c r="E1442" t="s">
        <v>12</v>
      </c>
      <c r="F1442" s="7">
        <v>1221.5999999999999</v>
      </c>
      <c r="G1442" s="10">
        <v>0</v>
      </c>
      <c r="H1442" s="7">
        <v>1221.5999999999999</v>
      </c>
      <c r="I1442">
        <v>1</v>
      </c>
      <c r="J1442" t="s">
        <v>13</v>
      </c>
      <c r="K1442" s="13">
        <f>ROUND(tblTransactions[[#This Row],[gross_sales_inr]]*(1-tblTransactions[[#This Row],[discount_pct]]),2)</f>
        <v>1221.5999999999999</v>
      </c>
      <c r="L1442" t="str">
        <f>IF(ABS(tblTransactions[[#This Row],[net_sales_inr]]-tblTransactions[[#This Row],[Recalc_Net_Sales]])&lt;0.02,"OK","CHECK")</f>
        <v>OK</v>
      </c>
      <c r="M1442" s="14">
        <f>DATE(YEAR(tblTransactions[[#This Row],[date]]),MONTH(tblTransactions[[#This Row],[date]]),1)</f>
        <v>45809</v>
      </c>
      <c r="N1442" t="str">
        <f>IF(WEEKDAY(tblTransactions[[#This Row],[date]],2)&gt;5,"Weekend","Weekday")</f>
        <v>Weekend</v>
      </c>
      <c r="O1442" s="13" t="str">
        <f>IF(tblTransactions[[#This Row],[discount_pct]]=0,"0%",IF(tblTransactions[[#This Row],[discount_pct]]&lt;=10%,"1–
10%",IF(tblTransactions[[#This Row],[discount_pct]]&lt;=20%,"11–20%","&gt;20%")))</f>
        <v>0%</v>
      </c>
      <c r="P1442" s="13" t="str">
        <f>_xlfn.XLOOKUP(tblTransactions[[#This Row],[tenant_id]],tblTenants[tenant_id],tblTenants[zone],"NOT FOUND")</f>
        <v>Food Court</v>
      </c>
      <c r="Q1442" s="13" t="str">
        <f>_xlfn.XLOOKUP(tblTransactions[[#This Row],[tenant_id]],tblTenants[tenant_id],tblTenants[category],"NOT FOUND")</f>
        <v>Casual Dining</v>
      </c>
    </row>
    <row r="1443" spans="1:17">
      <c r="A1443" t="s">
        <v>1487</v>
      </c>
      <c r="B1443" s="2">
        <v>45698</v>
      </c>
      <c r="C1443">
        <v>13</v>
      </c>
      <c r="D1443" t="s">
        <v>18</v>
      </c>
      <c r="E1443" t="s">
        <v>32</v>
      </c>
      <c r="F1443" s="7">
        <v>1248.1600000000001</v>
      </c>
      <c r="G1443" s="10">
        <v>0</v>
      </c>
      <c r="H1443" s="7">
        <v>1248.1600000000001</v>
      </c>
      <c r="I1443">
        <v>4</v>
      </c>
      <c r="J1443" t="s">
        <v>16</v>
      </c>
      <c r="K1443" s="13">
        <f>ROUND(tblTransactions[[#This Row],[gross_sales_inr]]*(1-tblTransactions[[#This Row],[discount_pct]]),2)</f>
        <v>1248.1600000000001</v>
      </c>
      <c r="L1443" t="str">
        <f>IF(ABS(tblTransactions[[#This Row],[net_sales_inr]]-tblTransactions[[#This Row],[Recalc_Net_Sales]])&lt;0.02,"OK","CHECK")</f>
        <v>OK</v>
      </c>
      <c r="M1443" s="14">
        <f>DATE(YEAR(tblTransactions[[#This Row],[date]]),MONTH(tblTransactions[[#This Row],[date]]),1)</f>
        <v>45689</v>
      </c>
      <c r="N1443" t="str">
        <f>IF(WEEKDAY(tblTransactions[[#This Row],[date]],2)&gt;5,"Weekend","Weekday")</f>
        <v>Weekday</v>
      </c>
      <c r="O1443" s="13" t="str">
        <f>IF(tblTransactions[[#This Row],[discount_pct]]=0,"0%",IF(tblTransactions[[#This Row],[discount_pct]]&lt;=10%,"1–
10%",IF(tblTransactions[[#This Row],[discount_pct]]&lt;=20%,"11–20%","&gt;20%")))</f>
        <v>0%</v>
      </c>
      <c r="P1443" s="13" t="str">
        <f>_xlfn.XLOOKUP(tblTransactions[[#This Row],[tenant_id]],tblTenants[tenant_id],tblTenants[zone],"NOT FOUND")</f>
        <v>Beauty &amp; Wellness</v>
      </c>
      <c r="Q1443" s="13" t="str">
        <f>_xlfn.XLOOKUP(tblTransactions[[#This Row],[tenant_id]],tblTenants[tenant_id],tblTenants[category],"NOT FOUND")</f>
        <v>Beauty</v>
      </c>
    </row>
    <row r="1444" spans="1:17">
      <c r="A1444" t="s">
        <v>1488</v>
      </c>
      <c r="B1444" s="2">
        <v>45691</v>
      </c>
      <c r="C1444">
        <v>15</v>
      </c>
      <c r="D1444" t="s">
        <v>59</v>
      </c>
      <c r="E1444" t="s">
        <v>51</v>
      </c>
      <c r="F1444" s="7">
        <v>1230.3599999999999</v>
      </c>
      <c r="G1444" s="10">
        <v>0</v>
      </c>
      <c r="H1444" s="7">
        <v>1230.3599999999999</v>
      </c>
      <c r="I1444">
        <v>3</v>
      </c>
      <c r="J1444" t="s">
        <v>13</v>
      </c>
      <c r="K1444" s="13">
        <f>ROUND(tblTransactions[[#This Row],[gross_sales_inr]]*(1-tblTransactions[[#This Row],[discount_pct]]),2)</f>
        <v>1230.3599999999999</v>
      </c>
      <c r="L1444" t="str">
        <f>IF(ABS(tblTransactions[[#This Row],[net_sales_inr]]-tblTransactions[[#This Row],[Recalc_Net_Sales]])&lt;0.02,"OK","CHECK")</f>
        <v>OK</v>
      </c>
      <c r="M1444" s="14">
        <f>DATE(YEAR(tblTransactions[[#This Row],[date]]),MONTH(tblTransactions[[#This Row],[date]]),1)</f>
        <v>45689</v>
      </c>
      <c r="N1444" t="str">
        <f>IF(WEEKDAY(tblTransactions[[#This Row],[date]],2)&gt;5,"Weekend","Weekday")</f>
        <v>Weekday</v>
      </c>
      <c r="O1444" s="13" t="str">
        <f>IF(tblTransactions[[#This Row],[discount_pct]]=0,"0%",IF(tblTransactions[[#This Row],[discount_pct]]&lt;=10%,"1–
10%",IF(tblTransactions[[#This Row],[discount_pct]]&lt;=20%,"11–20%","&gt;20%")))</f>
        <v>0%</v>
      </c>
      <c r="P1444" s="13" t="str">
        <f>_xlfn.XLOOKUP(tblTransactions[[#This Row],[tenant_id]],tblTenants[tenant_id],tblTenants[zone],"NOT FOUND")</f>
        <v>Fashion Avenue</v>
      </c>
      <c r="Q1444" s="13" t="str">
        <f>_xlfn.XLOOKUP(tblTransactions[[#This Row],[tenant_id]],tblTenants[tenant_id],tblTenants[category],"NOT FOUND")</f>
        <v>Footwear</v>
      </c>
    </row>
    <row r="1445" spans="1:17">
      <c r="A1445" t="s">
        <v>1489</v>
      </c>
      <c r="B1445" s="2">
        <v>45807</v>
      </c>
      <c r="C1445">
        <v>15</v>
      </c>
      <c r="D1445" t="s">
        <v>25</v>
      </c>
      <c r="E1445" t="s">
        <v>12</v>
      </c>
      <c r="F1445" s="7">
        <v>771.23</v>
      </c>
      <c r="G1445" s="10">
        <v>0</v>
      </c>
      <c r="H1445" s="7">
        <v>771.23</v>
      </c>
      <c r="I1445">
        <v>1</v>
      </c>
      <c r="J1445" t="s">
        <v>13</v>
      </c>
      <c r="K1445" s="13">
        <f>ROUND(tblTransactions[[#This Row],[gross_sales_inr]]*(1-tblTransactions[[#This Row],[discount_pct]]),2)</f>
        <v>771.23</v>
      </c>
      <c r="L1445" t="str">
        <f>IF(ABS(tblTransactions[[#This Row],[net_sales_inr]]-tblTransactions[[#This Row],[Recalc_Net_Sales]])&lt;0.02,"OK","CHECK")</f>
        <v>OK</v>
      </c>
      <c r="M1445" s="14">
        <f>DATE(YEAR(tblTransactions[[#This Row],[date]]),MONTH(tblTransactions[[#This Row],[date]]),1)</f>
        <v>45778</v>
      </c>
      <c r="N1445" t="str">
        <f>IF(WEEKDAY(tblTransactions[[#This Row],[date]],2)&gt;5,"Weekend","Weekday")</f>
        <v>Weekday</v>
      </c>
      <c r="O1445" s="13" t="str">
        <f>IF(tblTransactions[[#This Row],[discount_pct]]=0,"0%",IF(tblTransactions[[#This Row],[discount_pct]]&lt;=10%,"1–
10%",IF(tblTransactions[[#This Row],[discount_pct]]&lt;=20%,"11–20%","&gt;20%")))</f>
        <v>0%</v>
      </c>
      <c r="P1445" s="13" t="str">
        <f>_xlfn.XLOOKUP(tblTransactions[[#This Row],[tenant_id]],tblTenants[tenant_id],tblTenants[zone],"NOT FOUND")</f>
        <v>Beauty &amp; Wellness</v>
      </c>
      <c r="Q1445" s="13" t="str">
        <f>_xlfn.XLOOKUP(tblTransactions[[#This Row],[tenant_id]],tblTenants[tenant_id],tblTenants[category],"NOT FOUND")</f>
        <v>Beauty</v>
      </c>
    </row>
    <row r="1446" spans="1:17">
      <c r="A1446" t="s">
        <v>1490</v>
      </c>
      <c r="B1446" s="2">
        <v>45750</v>
      </c>
      <c r="C1446">
        <v>13</v>
      </c>
      <c r="D1446" t="s">
        <v>20</v>
      </c>
      <c r="E1446" t="s">
        <v>12</v>
      </c>
      <c r="F1446" s="7">
        <v>1179.9100000000001</v>
      </c>
      <c r="G1446" s="10">
        <v>0.1</v>
      </c>
      <c r="H1446" s="7">
        <v>1061.92</v>
      </c>
      <c r="I1446">
        <v>1</v>
      </c>
      <c r="J1446" t="s">
        <v>13</v>
      </c>
      <c r="K1446" s="13">
        <f>ROUND(tblTransactions[[#This Row],[gross_sales_inr]]*(1-tblTransactions[[#This Row],[discount_pct]]),2)</f>
        <v>1061.92</v>
      </c>
      <c r="L1446" t="str">
        <f>IF(ABS(tblTransactions[[#This Row],[net_sales_inr]]-tblTransactions[[#This Row],[Recalc_Net_Sales]])&lt;0.02,"OK","CHECK")</f>
        <v>OK</v>
      </c>
      <c r="M1446" s="14">
        <f>DATE(YEAR(tblTransactions[[#This Row],[date]]),MONTH(tblTransactions[[#This Row],[date]]),1)</f>
        <v>45748</v>
      </c>
      <c r="N1446" t="str">
        <f>IF(WEEKDAY(tblTransactions[[#This Row],[date]],2)&gt;5,"Weekend","Weekday")</f>
        <v>Weekday</v>
      </c>
      <c r="O144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46" s="13" t="str">
        <f>_xlfn.XLOOKUP(tblTransactions[[#This Row],[tenant_id]],tblTenants[tenant_id],tblTenants[zone],"NOT FOUND")</f>
        <v>Fashion Avenue</v>
      </c>
      <c r="Q1446" s="13" t="str">
        <f>_xlfn.XLOOKUP(tblTransactions[[#This Row],[tenant_id]],tblTenants[tenant_id],tblTenants[category],"NOT FOUND")</f>
        <v>Accessories</v>
      </c>
    </row>
    <row r="1447" spans="1:17">
      <c r="A1447" t="s">
        <v>1491</v>
      </c>
      <c r="B1447" s="2">
        <v>45690</v>
      </c>
      <c r="C1447">
        <v>16</v>
      </c>
      <c r="D1447" t="s">
        <v>18</v>
      </c>
      <c r="E1447" t="s">
        <v>12</v>
      </c>
      <c r="F1447" s="7">
        <v>2780.95</v>
      </c>
      <c r="G1447" s="10">
        <v>0</v>
      </c>
      <c r="H1447" s="7">
        <v>2780.95</v>
      </c>
      <c r="I1447">
        <v>6</v>
      </c>
      <c r="J1447" t="s">
        <v>16</v>
      </c>
      <c r="K1447" s="13">
        <f>ROUND(tblTransactions[[#This Row],[gross_sales_inr]]*(1-tblTransactions[[#This Row],[discount_pct]]),2)</f>
        <v>2780.95</v>
      </c>
      <c r="L1447" t="str">
        <f>IF(ABS(tblTransactions[[#This Row],[net_sales_inr]]-tblTransactions[[#This Row],[Recalc_Net_Sales]])&lt;0.02,"OK","CHECK")</f>
        <v>OK</v>
      </c>
      <c r="M1447" s="14">
        <f>DATE(YEAR(tblTransactions[[#This Row],[date]]),MONTH(tblTransactions[[#This Row],[date]]),1)</f>
        <v>45689</v>
      </c>
      <c r="N1447" t="str">
        <f>IF(WEEKDAY(tblTransactions[[#This Row],[date]],2)&gt;5,"Weekend","Weekday")</f>
        <v>Weekend</v>
      </c>
      <c r="O1447" s="13" t="str">
        <f>IF(tblTransactions[[#This Row],[discount_pct]]=0,"0%",IF(tblTransactions[[#This Row],[discount_pct]]&lt;=10%,"1–
10%",IF(tblTransactions[[#This Row],[discount_pct]]&lt;=20%,"11–20%","&gt;20%")))</f>
        <v>0%</v>
      </c>
      <c r="P1447" s="13" t="str">
        <f>_xlfn.XLOOKUP(tblTransactions[[#This Row],[tenant_id]],tblTenants[tenant_id],tblTenants[zone],"NOT FOUND")</f>
        <v>Beauty &amp; Wellness</v>
      </c>
      <c r="Q1447" s="13" t="str">
        <f>_xlfn.XLOOKUP(tblTransactions[[#This Row],[tenant_id]],tblTenants[tenant_id],tblTenants[category],"NOT FOUND")</f>
        <v>Beauty</v>
      </c>
    </row>
    <row r="1448" spans="1:17">
      <c r="A1448" t="s">
        <v>1492</v>
      </c>
      <c r="B1448" s="2">
        <v>45763</v>
      </c>
      <c r="C1448">
        <v>10</v>
      </c>
      <c r="D1448" t="s">
        <v>104</v>
      </c>
      <c r="E1448" t="s">
        <v>12</v>
      </c>
      <c r="F1448" s="7">
        <v>740.6</v>
      </c>
      <c r="G1448" s="10">
        <v>0</v>
      </c>
      <c r="H1448" s="7">
        <v>740.6</v>
      </c>
      <c r="I1448">
        <v>2</v>
      </c>
      <c r="J1448" t="s">
        <v>13</v>
      </c>
      <c r="K1448" s="13">
        <f>ROUND(tblTransactions[[#This Row],[gross_sales_inr]]*(1-tblTransactions[[#This Row],[discount_pct]]),2)</f>
        <v>740.6</v>
      </c>
      <c r="L1448" t="str">
        <f>IF(ABS(tblTransactions[[#This Row],[net_sales_inr]]-tblTransactions[[#This Row],[Recalc_Net_Sales]])&lt;0.02,"OK","CHECK")</f>
        <v>OK</v>
      </c>
      <c r="M1448" s="14">
        <f>DATE(YEAR(tblTransactions[[#This Row],[date]]),MONTH(tblTransactions[[#This Row],[date]]),1)</f>
        <v>45748</v>
      </c>
      <c r="N1448" t="str">
        <f>IF(WEEKDAY(tblTransactions[[#This Row],[date]],2)&gt;5,"Weekend","Weekday")</f>
        <v>Weekday</v>
      </c>
      <c r="O1448" s="13" t="str">
        <f>IF(tblTransactions[[#This Row],[discount_pct]]=0,"0%",IF(tblTransactions[[#This Row],[discount_pct]]&lt;=10%,"1–
10%",IF(tblTransactions[[#This Row],[discount_pct]]&lt;=20%,"11–20%","&gt;20%")))</f>
        <v>0%</v>
      </c>
      <c r="P1448" s="13" t="str">
        <f>_xlfn.XLOOKUP(tblTransactions[[#This Row],[tenant_id]],tblTenants[tenant_id],tblTenants[zone],"NOT FOUND")</f>
        <v>Entertainment</v>
      </c>
      <c r="Q1448" s="13" t="str">
        <f>_xlfn.XLOOKUP(tblTransactions[[#This Row],[tenant_id]],tblTenants[tenant_id],tblTenants[category],"NOT FOUND")</f>
        <v>Family Entertainment</v>
      </c>
    </row>
    <row r="1449" spans="1:17">
      <c r="A1449" t="s">
        <v>1493</v>
      </c>
      <c r="B1449" s="2">
        <v>45741</v>
      </c>
      <c r="C1449">
        <v>12</v>
      </c>
      <c r="D1449" t="s">
        <v>27</v>
      </c>
      <c r="E1449" t="s">
        <v>12</v>
      </c>
      <c r="F1449" s="7">
        <v>3120.05</v>
      </c>
      <c r="G1449" s="10">
        <v>0.15</v>
      </c>
      <c r="H1449" s="7">
        <v>2652.04</v>
      </c>
      <c r="I1449">
        <v>4</v>
      </c>
      <c r="J1449" t="s">
        <v>16</v>
      </c>
      <c r="K1449" s="13">
        <f>ROUND(tblTransactions[[#This Row],[gross_sales_inr]]*(1-tblTransactions[[#This Row],[discount_pct]]),2)</f>
        <v>2652.04</v>
      </c>
      <c r="L1449" t="str">
        <f>IF(ABS(tblTransactions[[#This Row],[net_sales_inr]]-tblTransactions[[#This Row],[Recalc_Net_Sales]])&lt;0.02,"OK","CHECK")</f>
        <v>OK</v>
      </c>
      <c r="M1449" s="14">
        <f>DATE(YEAR(tblTransactions[[#This Row],[date]]),MONTH(tblTransactions[[#This Row],[date]]),1)</f>
        <v>45717</v>
      </c>
      <c r="N1449" t="str">
        <f>IF(WEEKDAY(tblTransactions[[#This Row],[date]],2)&gt;5,"Weekend","Weekday")</f>
        <v>Weekday</v>
      </c>
      <c r="O144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49" s="13" t="str">
        <f>_xlfn.XLOOKUP(tblTransactions[[#This Row],[tenant_id]],tblTenants[tenant_id],tblTenants[zone],"NOT FOUND")</f>
        <v>Beauty &amp; Wellness</v>
      </c>
      <c r="Q1449" s="13" t="str">
        <f>_xlfn.XLOOKUP(tblTransactions[[#This Row],[tenant_id]],tblTenants[tenant_id],tblTenants[category],"NOT FOUND")</f>
        <v>Wellness</v>
      </c>
    </row>
    <row r="1450" spans="1:17">
      <c r="A1450" t="s">
        <v>1494</v>
      </c>
      <c r="B1450" s="2">
        <v>45742</v>
      </c>
      <c r="C1450">
        <v>12</v>
      </c>
      <c r="D1450" t="s">
        <v>11</v>
      </c>
      <c r="E1450" t="s">
        <v>32</v>
      </c>
      <c r="F1450" s="7">
        <v>1381.09</v>
      </c>
      <c r="G1450" s="10">
        <v>0</v>
      </c>
      <c r="H1450" s="7">
        <v>1381.09</v>
      </c>
      <c r="I1450">
        <v>4</v>
      </c>
      <c r="J1450" t="s">
        <v>16</v>
      </c>
      <c r="K1450" s="13">
        <f>ROUND(tblTransactions[[#This Row],[gross_sales_inr]]*(1-tblTransactions[[#This Row],[discount_pct]]),2)</f>
        <v>1381.09</v>
      </c>
      <c r="L1450" t="str">
        <f>IF(ABS(tblTransactions[[#This Row],[net_sales_inr]]-tblTransactions[[#This Row],[Recalc_Net_Sales]])&lt;0.02,"OK","CHECK")</f>
        <v>OK</v>
      </c>
      <c r="M1450" s="14">
        <f>DATE(YEAR(tblTransactions[[#This Row],[date]]),MONTH(tblTransactions[[#This Row],[date]]),1)</f>
        <v>45717</v>
      </c>
      <c r="N1450" t="str">
        <f>IF(WEEKDAY(tblTransactions[[#This Row],[date]],2)&gt;5,"Weekend","Weekday")</f>
        <v>Weekday</v>
      </c>
      <c r="O1450" s="13" t="str">
        <f>IF(tblTransactions[[#This Row],[discount_pct]]=0,"0%",IF(tblTransactions[[#This Row],[discount_pct]]&lt;=10%,"1–
10%",IF(tblTransactions[[#This Row],[discount_pct]]&lt;=20%,"11–20%","&gt;20%")))</f>
        <v>0%</v>
      </c>
      <c r="P1450" s="13" t="str">
        <f>_xlfn.XLOOKUP(tblTransactions[[#This Row],[tenant_id]],tblTenants[tenant_id],tblTenants[zone],"NOT FOUND")</f>
        <v>Home &amp; Living</v>
      </c>
      <c r="Q1450" s="13" t="str">
        <f>_xlfn.XLOOKUP(tblTransactions[[#This Row],[tenant_id]],tblTenants[tenant_id],tblTenants[category],"NOT FOUND")</f>
        <v>Home Decor</v>
      </c>
    </row>
    <row r="1451" spans="1:17">
      <c r="A1451" t="s">
        <v>1495</v>
      </c>
      <c r="B1451" s="2">
        <v>45802</v>
      </c>
      <c r="C1451">
        <v>15</v>
      </c>
      <c r="D1451" t="s">
        <v>63</v>
      </c>
      <c r="E1451" t="s">
        <v>12</v>
      </c>
      <c r="F1451" s="7">
        <v>1074.05</v>
      </c>
      <c r="G1451" s="10">
        <v>0.3</v>
      </c>
      <c r="H1451" s="7">
        <v>751.83</v>
      </c>
      <c r="I1451">
        <v>1</v>
      </c>
      <c r="J1451" t="s">
        <v>13</v>
      </c>
      <c r="K1451" s="13">
        <f>ROUND(tblTransactions[[#This Row],[gross_sales_inr]]*(1-tblTransactions[[#This Row],[discount_pct]]),2)</f>
        <v>751.84</v>
      </c>
      <c r="L1451" t="str">
        <f>IF(ABS(tblTransactions[[#This Row],[net_sales_inr]]-tblTransactions[[#This Row],[Recalc_Net_Sales]])&lt;0.02,"OK","CHECK")</f>
        <v>OK</v>
      </c>
      <c r="M1451" s="14">
        <f>DATE(YEAR(tblTransactions[[#This Row],[date]]),MONTH(tblTransactions[[#This Row],[date]]),1)</f>
        <v>45778</v>
      </c>
      <c r="N1451" t="str">
        <f>IF(WEEKDAY(tblTransactions[[#This Row],[date]],2)&gt;5,"Weekend","Weekday")</f>
        <v>Weekend</v>
      </c>
      <c r="O1451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451" s="13" t="str">
        <f>_xlfn.XLOOKUP(tblTransactions[[#This Row],[tenant_id]],tblTenants[tenant_id],tblTenants[zone],"NOT FOUND")</f>
        <v>Entertainment</v>
      </c>
      <c r="Q1451" s="13" t="str">
        <f>_xlfn.XLOOKUP(tblTransactions[[#This Row],[tenant_id]],tblTenants[tenant_id],tblTenants[category],"NOT FOUND")</f>
        <v>Family Entertainment</v>
      </c>
    </row>
    <row r="1452" spans="1:17">
      <c r="A1452" t="s">
        <v>1496</v>
      </c>
      <c r="B1452" s="2">
        <v>45680</v>
      </c>
      <c r="C1452">
        <v>14</v>
      </c>
      <c r="D1452" t="s">
        <v>27</v>
      </c>
      <c r="E1452" t="s">
        <v>12</v>
      </c>
      <c r="F1452" s="7">
        <v>376.36</v>
      </c>
      <c r="G1452" s="10">
        <v>0</v>
      </c>
      <c r="H1452" s="7">
        <v>376.36</v>
      </c>
      <c r="I1452">
        <v>2</v>
      </c>
      <c r="J1452" t="s">
        <v>13</v>
      </c>
      <c r="K1452" s="13">
        <f>ROUND(tblTransactions[[#This Row],[gross_sales_inr]]*(1-tblTransactions[[#This Row],[discount_pct]]),2)</f>
        <v>376.36</v>
      </c>
      <c r="L1452" t="str">
        <f>IF(ABS(tblTransactions[[#This Row],[net_sales_inr]]-tblTransactions[[#This Row],[Recalc_Net_Sales]])&lt;0.02,"OK","CHECK")</f>
        <v>OK</v>
      </c>
      <c r="M1452" s="14">
        <f>DATE(YEAR(tblTransactions[[#This Row],[date]]),MONTH(tblTransactions[[#This Row],[date]]),1)</f>
        <v>45658</v>
      </c>
      <c r="N1452" t="str">
        <f>IF(WEEKDAY(tblTransactions[[#This Row],[date]],2)&gt;5,"Weekend","Weekday")</f>
        <v>Weekday</v>
      </c>
      <c r="O1452" s="13" t="str">
        <f>IF(tblTransactions[[#This Row],[discount_pct]]=0,"0%",IF(tblTransactions[[#This Row],[discount_pct]]&lt;=10%,"1–
10%",IF(tblTransactions[[#This Row],[discount_pct]]&lt;=20%,"11–20%","&gt;20%")))</f>
        <v>0%</v>
      </c>
      <c r="P1452" s="13" t="str">
        <f>_xlfn.XLOOKUP(tblTransactions[[#This Row],[tenant_id]],tblTenants[tenant_id],tblTenants[zone],"NOT FOUND")</f>
        <v>Beauty &amp; Wellness</v>
      </c>
      <c r="Q1452" s="13" t="str">
        <f>_xlfn.XLOOKUP(tblTransactions[[#This Row],[tenant_id]],tblTenants[tenant_id],tblTenants[category],"NOT FOUND")</f>
        <v>Wellness</v>
      </c>
    </row>
    <row r="1453" spans="1:17">
      <c r="A1453" t="s">
        <v>1497</v>
      </c>
      <c r="B1453" s="2">
        <v>45774</v>
      </c>
      <c r="C1453">
        <v>14</v>
      </c>
      <c r="D1453" t="s">
        <v>27</v>
      </c>
      <c r="E1453" t="s">
        <v>32</v>
      </c>
      <c r="F1453" s="7">
        <v>1135.22</v>
      </c>
      <c r="G1453" s="10">
        <v>0</v>
      </c>
      <c r="H1453" s="7">
        <v>1135.22</v>
      </c>
      <c r="I1453">
        <v>1</v>
      </c>
      <c r="J1453" t="s">
        <v>16</v>
      </c>
      <c r="K1453" s="13">
        <f>ROUND(tblTransactions[[#This Row],[gross_sales_inr]]*(1-tblTransactions[[#This Row],[discount_pct]]),2)</f>
        <v>1135.22</v>
      </c>
      <c r="L1453" t="str">
        <f>IF(ABS(tblTransactions[[#This Row],[net_sales_inr]]-tblTransactions[[#This Row],[Recalc_Net_Sales]])&lt;0.02,"OK","CHECK")</f>
        <v>OK</v>
      </c>
      <c r="M1453" s="14">
        <f>DATE(YEAR(tblTransactions[[#This Row],[date]]),MONTH(tblTransactions[[#This Row],[date]]),1)</f>
        <v>45748</v>
      </c>
      <c r="N1453" t="str">
        <f>IF(WEEKDAY(tblTransactions[[#This Row],[date]],2)&gt;5,"Weekend","Weekday")</f>
        <v>Weekend</v>
      </c>
      <c r="O1453" s="13" t="str">
        <f>IF(tblTransactions[[#This Row],[discount_pct]]=0,"0%",IF(tblTransactions[[#This Row],[discount_pct]]&lt;=10%,"1–
10%",IF(tblTransactions[[#This Row],[discount_pct]]&lt;=20%,"11–20%","&gt;20%")))</f>
        <v>0%</v>
      </c>
      <c r="P1453" s="13" t="str">
        <f>_xlfn.XLOOKUP(tblTransactions[[#This Row],[tenant_id]],tblTenants[tenant_id],tblTenants[zone],"NOT FOUND")</f>
        <v>Beauty &amp; Wellness</v>
      </c>
      <c r="Q1453" s="13" t="str">
        <f>_xlfn.XLOOKUP(tblTransactions[[#This Row],[tenant_id]],tblTenants[tenant_id],tblTenants[category],"NOT FOUND")</f>
        <v>Wellness</v>
      </c>
    </row>
    <row r="1454" spans="1:17">
      <c r="A1454" t="s">
        <v>1498</v>
      </c>
      <c r="B1454" s="2">
        <v>45795</v>
      </c>
      <c r="C1454">
        <v>20</v>
      </c>
      <c r="D1454" t="s">
        <v>59</v>
      </c>
      <c r="E1454" t="s">
        <v>21</v>
      </c>
      <c r="F1454" s="7">
        <v>373.33</v>
      </c>
      <c r="G1454" s="10">
        <v>0.1</v>
      </c>
      <c r="H1454" s="7">
        <v>336</v>
      </c>
      <c r="I1454">
        <v>3</v>
      </c>
      <c r="J1454" t="s">
        <v>13</v>
      </c>
      <c r="K1454" s="13">
        <f>ROUND(tblTransactions[[#This Row],[gross_sales_inr]]*(1-tblTransactions[[#This Row],[discount_pct]]),2)</f>
        <v>336</v>
      </c>
      <c r="L1454" t="str">
        <f>IF(ABS(tblTransactions[[#This Row],[net_sales_inr]]-tblTransactions[[#This Row],[Recalc_Net_Sales]])&lt;0.02,"OK","CHECK")</f>
        <v>OK</v>
      </c>
      <c r="M1454" s="14">
        <f>DATE(YEAR(tblTransactions[[#This Row],[date]]),MONTH(tblTransactions[[#This Row],[date]]),1)</f>
        <v>45778</v>
      </c>
      <c r="N1454" t="str">
        <f>IF(WEEKDAY(tblTransactions[[#This Row],[date]],2)&gt;5,"Weekend","Weekday")</f>
        <v>Weekend</v>
      </c>
      <c r="O145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54" s="13" t="str">
        <f>_xlfn.XLOOKUP(tblTransactions[[#This Row],[tenant_id]],tblTenants[tenant_id],tblTenants[zone],"NOT FOUND")</f>
        <v>Fashion Avenue</v>
      </c>
      <c r="Q1454" s="13" t="str">
        <f>_xlfn.XLOOKUP(tblTransactions[[#This Row],[tenant_id]],tblTenants[tenant_id],tblTenants[category],"NOT FOUND")</f>
        <v>Footwear</v>
      </c>
    </row>
    <row r="1455" spans="1:17">
      <c r="A1455" t="s">
        <v>1499</v>
      </c>
      <c r="B1455" s="2">
        <v>45735</v>
      </c>
      <c r="C1455">
        <v>19</v>
      </c>
      <c r="D1455" t="s">
        <v>36</v>
      </c>
      <c r="E1455" t="s">
        <v>32</v>
      </c>
      <c r="F1455" s="7">
        <v>785.49</v>
      </c>
      <c r="G1455" s="10">
        <v>0.3</v>
      </c>
      <c r="H1455" s="7">
        <v>549.84</v>
      </c>
      <c r="I1455">
        <v>2</v>
      </c>
      <c r="J1455" t="s">
        <v>16</v>
      </c>
      <c r="K1455" s="13">
        <f>ROUND(tblTransactions[[#This Row],[gross_sales_inr]]*(1-tblTransactions[[#This Row],[discount_pct]]),2)</f>
        <v>549.84</v>
      </c>
      <c r="L1455" t="str">
        <f>IF(ABS(tblTransactions[[#This Row],[net_sales_inr]]-tblTransactions[[#This Row],[Recalc_Net_Sales]])&lt;0.02,"OK","CHECK")</f>
        <v>OK</v>
      </c>
      <c r="M1455" s="14">
        <f>DATE(YEAR(tblTransactions[[#This Row],[date]]),MONTH(tblTransactions[[#This Row],[date]]),1)</f>
        <v>45717</v>
      </c>
      <c r="N1455" t="str">
        <f>IF(WEEKDAY(tblTransactions[[#This Row],[date]],2)&gt;5,"Weekend","Weekday")</f>
        <v>Weekday</v>
      </c>
      <c r="O1455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455" s="13" t="str">
        <f>_xlfn.XLOOKUP(tblTransactions[[#This Row],[tenant_id]],tblTenants[tenant_id],tblTenants[zone],"NOT FOUND")</f>
        <v>Home &amp; Living</v>
      </c>
      <c r="Q1455" s="13" t="str">
        <f>_xlfn.XLOOKUP(tblTransactions[[#This Row],[tenant_id]],tblTenants[tenant_id],tblTenants[category],"NOT FOUND")</f>
        <v>Electronics</v>
      </c>
    </row>
    <row r="1456" spans="1:17">
      <c r="A1456" t="s">
        <v>1500</v>
      </c>
      <c r="B1456" s="2">
        <v>45711</v>
      </c>
      <c r="C1456">
        <v>15</v>
      </c>
      <c r="D1456" t="s">
        <v>98</v>
      </c>
      <c r="E1456" t="s">
        <v>12</v>
      </c>
      <c r="F1456" s="7">
        <v>3301.89</v>
      </c>
      <c r="G1456" s="10">
        <v>0</v>
      </c>
      <c r="H1456" s="7">
        <v>3301.89</v>
      </c>
      <c r="I1456">
        <v>2</v>
      </c>
      <c r="J1456" t="s">
        <v>16</v>
      </c>
      <c r="K1456" s="13">
        <f>ROUND(tblTransactions[[#This Row],[gross_sales_inr]]*(1-tblTransactions[[#This Row],[discount_pct]]),2)</f>
        <v>3301.89</v>
      </c>
      <c r="L1456" t="str">
        <f>IF(ABS(tblTransactions[[#This Row],[net_sales_inr]]-tblTransactions[[#This Row],[Recalc_Net_Sales]])&lt;0.02,"OK","CHECK")</f>
        <v>OK</v>
      </c>
      <c r="M1456" s="14">
        <f>DATE(YEAR(tblTransactions[[#This Row],[date]]),MONTH(tblTransactions[[#This Row],[date]]),1)</f>
        <v>45689</v>
      </c>
      <c r="N1456" t="str">
        <f>IF(WEEKDAY(tblTransactions[[#This Row],[date]],2)&gt;5,"Weekend","Weekday")</f>
        <v>Weekend</v>
      </c>
      <c r="O1456" s="13" t="str">
        <f>IF(tblTransactions[[#This Row],[discount_pct]]=0,"0%",IF(tblTransactions[[#This Row],[discount_pct]]&lt;=10%,"1–
10%",IF(tblTransactions[[#This Row],[discount_pct]]&lt;=20%,"11–20%","&gt;20%")))</f>
        <v>0%</v>
      </c>
      <c r="P1456" s="13" t="str">
        <f>_xlfn.XLOOKUP(tblTransactions[[#This Row],[tenant_id]],tblTenants[tenant_id],tblTenants[zone],"NOT FOUND")</f>
        <v>Fashion Avenue</v>
      </c>
      <c r="Q1456" s="13" t="str">
        <f>_xlfn.XLOOKUP(tblTransactions[[#This Row],[tenant_id]],tblTenants[tenant_id],tblTenants[category],"NOT FOUND")</f>
        <v>Accessories</v>
      </c>
    </row>
    <row r="1457" spans="1:17">
      <c r="A1457" t="s">
        <v>1501</v>
      </c>
      <c r="B1457" s="2">
        <v>45779</v>
      </c>
      <c r="C1457">
        <v>12</v>
      </c>
      <c r="D1457" t="s">
        <v>61</v>
      </c>
      <c r="E1457" t="s">
        <v>32</v>
      </c>
      <c r="F1457" s="7">
        <v>522.88</v>
      </c>
      <c r="G1457" s="10">
        <v>0.15</v>
      </c>
      <c r="H1457" s="7">
        <v>444.45</v>
      </c>
      <c r="I1457">
        <v>5</v>
      </c>
      <c r="J1457" t="s">
        <v>13</v>
      </c>
      <c r="K1457" s="13">
        <f>ROUND(tblTransactions[[#This Row],[gross_sales_inr]]*(1-tblTransactions[[#This Row],[discount_pct]]),2)</f>
        <v>444.45</v>
      </c>
      <c r="L1457" t="str">
        <f>IF(ABS(tblTransactions[[#This Row],[net_sales_inr]]-tblTransactions[[#This Row],[Recalc_Net_Sales]])&lt;0.02,"OK","CHECK")</f>
        <v>OK</v>
      </c>
      <c r="M1457" s="14">
        <f>DATE(YEAR(tblTransactions[[#This Row],[date]]),MONTH(tblTransactions[[#This Row],[date]]),1)</f>
        <v>45778</v>
      </c>
      <c r="N1457" t="str">
        <f>IF(WEEKDAY(tblTransactions[[#This Row],[date]],2)&gt;5,"Weekend","Weekday")</f>
        <v>Weekday</v>
      </c>
      <c r="O145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57" s="13" t="str">
        <f>_xlfn.XLOOKUP(tblTransactions[[#This Row],[tenant_id]],tblTenants[tenant_id],tblTenants[zone],"NOT FOUND")</f>
        <v>Food Court</v>
      </c>
      <c r="Q1457" s="13" t="str">
        <f>_xlfn.XLOOKUP(tblTransactions[[#This Row],[tenant_id]],tblTenants[tenant_id],tblTenants[category],"NOT FOUND")</f>
        <v>Quick Service</v>
      </c>
    </row>
    <row r="1458" spans="1:17">
      <c r="A1458" t="s">
        <v>1502</v>
      </c>
      <c r="B1458" s="2">
        <v>45773</v>
      </c>
      <c r="C1458">
        <v>14</v>
      </c>
      <c r="D1458" t="s">
        <v>45</v>
      </c>
      <c r="E1458" t="s">
        <v>32</v>
      </c>
      <c r="F1458" s="7">
        <v>1194.5</v>
      </c>
      <c r="G1458" s="10">
        <v>0.15</v>
      </c>
      <c r="H1458" s="7">
        <v>1015.32</v>
      </c>
      <c r="I1458">
        <v>1</v>
      </c>
      <c r="J1458" t="s">
        <v>13</v>
      </c>
      <c r="K1458" s="13">
        <f>ROUND(tblTransactions[[#This Row],[gross_sales_inr]]*(1-tblTransactions[[#This Row],[discount_pct]]),2)</f>
        <v>1015.33</v>
      </c>
      <c r="L1458" t="str">
        <f>IF(ABS(tblTransactions[[#This Row],[net_sales_inr]]-tblTransactions[[#This Row],[Recalc_Net_Sales]])&lt;0.02,"OK","CHECK")</f>
        <v>OK</v>
      </c>
      <c r="M1458" s="14">
        <f>DATE(YEAR(tblTransactions[[#This Row],[date]]),MONTH(tblTransactions[[#This Row],[date]]),1)</f>
        <v>45748</v>
      </c>
      <c r="N1458" t="str">
        <f>IF(WEEKDAY(tblTransactions[[#This Row],[date]],2)&gt;5,"Weekend","Weekday")</f>
        <v>Weekend</v>
      </c>
      <c r="O145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58" s="13" t="str">
        <f>_xlfn.XLOOKUP(tblTransactions[[#This Row],[tenant_id]],tblTenants[tenant_id],tblTenants[zone],"NOT FOUND")</f>
        <v>Home &amp; Living</v>
      </c>
      <c r="Q1458" s="13" t="str">
        <f>_xlfn.XLOOKUP(tblTransactions[[#This Row],[tenant_id]],tblTenants[tenant_id],tblTenants[category],"NOT FOUND")</f>
        <v>Home Decor</v>
      </c>
    </row>
    <row r="1459" spans="1:17">
      <c r="A1459" t="s">
        <v>1503</v>
      </c>
      <c r="B1459" s="2">
        <v>45827</v>
      </c>
      <c r="C1459">
        <v>11</v>
      </c>
      <c r="D1459" t="s">
        <v>72</v>
      </c>
      <c r="E1459" t="s">
        <v>21</v>
      </c>
      <c r="F1459" s="7">
        <v>520.67999999999995</v>
      </c>
      <c r="G1459" s="10">
        <v>0.1</v>
      </c>
      <c r="H1459" s="7">
        <v>468.61</v>
      </c>
      <c r="I1459">
        <v>1</v>
      </c>
      <c r="J1459" t="s">
        <v>16</v>
      </c>
      <c r="K1459" s="13">
        <f>ROUND(tblTransactions[[#This Row],[gross_sales_inr]]*(1-tblTransactions[[#This Row],[discount_pct]]),2)</f>
        <v>468.61</v>
      </c>
      <c r="L1459" t="str">
        <f>IF(ABS(tblTransactions[[#This Row],[net_sales_inr]]-tblTransactions[[#This Row],[Recalc_Net_Sales]])&lt;0.02,"OK","CHECK")</f>
        <v>OK</v>
      </c>
      <c r="M1459" s="14">
        <f>DATE(YEAR(tblTransactions[[#This Row],[date]]),MONTH(tblTransactions[[#This Row],[date]]),1)</f>
        <v>45809</v>
      </c>
      <c r="N1459" t="str">
        <f>IF(WEEKDAY(tblTransactions[[#This Row],[date]],2)&gt;5,"Weekend","Weekday")</f>
        <v>Weekday</v>
      </c>
      <c r="O145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59" s="13" t="str">
        <f>_xlfn.XLOOKUP(tblTransactions[[#This Row],[tenant_id]],tblTenants[tenant_id],tblTenants[zone],"NOT FOUND")</f>
        <v>Entertainment</v>
      </c>
      <c r="Q1459" s="13" t="str">
        <f>_xlfn.XLOOKUP(tblTransactions[[#This Row],[tenant_id]],tblTenants[tenant_id],tblTenants[category],"NOT FOUND")</f>
        <v>Arcade</v>
      </c>
    </row>
    <row r="1460" spans="1:17">
      <c r="A1460" t="s">
        <v>1504</v>
      </c>
      <c r="B1460" s="2">
        <v>45785</v>
      </c>
      <c r="C1460">
        <v>16</v>
      </c>
      <c r="D1460" t="s">
        <v>70</v>
      </c>
      <c r="E1460" t="s">
        <v>21</v>
      </c>
      <c r="F1460" s="7">
        <v>978.85</v>
      </c>
      <c r="G1460" s="10">
        <v>0</v>
      </c>
      <c r="H1460" s="7">
        <v>978.85</v>
      </c>
      <c r="I1460">
        <v>2</v>
      </c>
      <c r="J1460" t="s">
        <v>13</v>
      </c>
      <c r="K1460" s="13">
        <f>ROUND(tblTransactions[[#This Row],[gross_sales_inr]]*(1-tblTransactions[[#This Row],[discount_pct]]),2)</f>
        <v>978.85</v>
      </c>
      <c r="L1460" t="str">
        <f>IF(ABS(tblTransactions[[#This Row],[net_sales_inr]]-tblTransactions[[#This Row],[Recalc_Net_Sales]])&lt;0.02,"OK","CHECK")</f>
        <v>OK</v>
      </c>
      <c r="M1460" s="14">
        <f>DATE(YEAR(tblTransactions[[#This Row],[date]]),MONTH(tblTransactions[[#This Row],[date]]),1)</f>
        <v>45778</v>
      </c>
      <c r="N1460" t="str">
        <f>IF(WEEKDAY(tblTransactions[[#This Row],[date]],2)&gt;5,"Weekend","Weekday")</f>
        <v>Weekday</v>
      </c>
      <c r="O1460" s="13" t="str">
        <f>IF(tblTransactions[[#This Row],[discount_pct]]=0,"0%",IF(tblTransactions[[#This Row],[discount_pct]]&lt;=10%,"1–
10%",IF(tblTransactions[[#This Row],[discount_pct]]&lt;=20%,"11–20%","&gt;20%")))</f>
        <v>0%</v>
      </c>
      <c r="P1460" s="13" t="str">
        <f>_xlfn.XLOOKUP(tblTransactions[[#This Row],[tenant_id]],tblTenants[tenant_id],tblTenants[zone],"NOT FOUND")</f>
        <v>Food Court</v>
      </c>
      <c r="Q1460" s="13" t="str">
        <f>_xlfn.XLOOKUP(tblTransactions[[#This Row],[tenant_id]],tblTenants[tenant_id],tblTenants[category],"NOT FOUND")</f>
        <v>Quick Service</v>
      </c>
    </row>
    <row r="1461" spans="1:17">
      <c r="A1461" t="s">
        <v>1505</v>
      </c>
      <c r="B1461" s="2">
        <v>45787</v>
      </c>
      <c r="C1461">
        <v>14</v>
      </c>
      <c r="D1461" t="s">
        <v>122</v>
      </c>
      <c r="E1461" t="s">
        <v>21</v>
      </c>
      <c r="F1461" s="7">
        <v>674.2</v>
      </c>
      <c r="G1461" s="10">
        <v>0.15</v>
      </c>
      <c r="H1461" s="7">
        <v>573.07000000000005</v>
      </c>
      <c r="I1461">
        <v>2</v>
      </c>
      <c r="J1461" t="s">
        <v>16</v>
      </c>
      <c r="K1461" s="13">
        <f>ROUND(tblTransactions[[#This Row],[gross_sales_inr]]*(1-tblTransactions[[#This Row],[discount_pct]]),2)</f>
        <v>573.07000000000005</v>
      </c>
      <c r="L1461" t="str">
        <f>IF(ABS(tblTransactions[[#This Row],[net_sales_inr]]-tblTransactions[[#This Row],[Recalc_Net_Sales]])&lt;0.02,"OK","CHECK")</f>
        <v>OK</v>
      </c>
      <c r="M1461" s="14">
        <f>DATE(YEAR(tblTransactions[[#This Row],[date]]),MONTH(tblTransactions[[#This Row],[date]]),1)</f>
        <v>45778</v>
      </c>
      <c r="N1461" t="str">
        <f>IF(WEEKDAY(tblTransactions[[#This Row],[date]],2)&gt;5,"Weekend","Weekday")</f>
        <v>Weekend</v>
      </c>
      <c r="O146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61" s="13" t="str">
        <f>_xlfn.XLOOKUP(tblTransactions[[#This Row],[tenant_id]],tblTenants[tenant_id],tblTenants[zone],"NOT FOUND")</f>
        <v>Beauty &amp; Wellness</v>
      </c>
      <c r="Q1461" s="13" t="str">
        <f>_xlfn.XLOOKUP(tblTransactions[[#This Row],[tenant_id]],tblTenants[tenant_id],tblTenants[category],"NOT FOUND")</f>
        <v>Wellness</v>
      </c>
    </row>
    <row r="1462" spans="1:17">
      <c r="A1462" t="s">
        <v>1506</v>
      </c>
      <c r="B1462" s="2">
        <v>45763</v>
      </c>
      <c r="C1462">
        <v>16</v>
      </c>
      <c r="D1462" t="s">
        <v>36</v>
      </c>
      <c r="E1462" t="s">
        <v>32</v>
      </c>
      <c r="F1462" s="7">
        <v>535.29</v>
      </c>
      <c r="G1462" s="10">
        <v>0</v>
      </c>
      <c r="H1462" s="7">
        <v>535.29</v>
      </c>
      <c r="I1462">
        <v>1</v>
      </c>
      <c r="J1462" t="s">
        <v>13</v>
      </c>
      <c r="K1462" s="13">
        <f>ROUND(tblTransactions[[#This Row],[gross_sales_inr]]*(1-tblTransactions[[#This Row],[discount_pct]]),2)</f>
        <v>535.29</v>
      </c>
      <c r="L1462" t="str">
        <f>IF(ABS(tblTransactions[[#This Row],[net_sales_inr]]-tblTransactions[[#This Row],[Recalc_Net_Sales]])&lt;0.02,"OK","CHECK")</f>
        <v>OK</v>
      </c>
      <c r="M1462" s="14">
        <f>DATE(YEAR(tblTransactions[[#This Row],[date]]),MONTH(tblTransactions[[#This Row],[date]]),1)</f>
        <v>45748</v>
      </c>
      <c r="N1462" t="str">
        <f>IF(WEEKDAY(tblTransactions[[#This Row],[date]],2)&gt;5,"Weekend","Weekday")</f>
        <v>Weekday</v>
      </c>
      <c r="O1462" s="13" t="str">
        <f>IF(tblTransactions[[#This Row],[discount_pct]]=0,"0%",IF(tblTransactions[[#This Row],[discount_pct]]&lt;=10%,"1–
10%",IF(tblTransactions[[#This Row],[discount_pct]]&lt;=20%,"11–20%","&gt;20%")))</f>
        <v>0%</v>
      </c>
      <c r="P1462" s="13" t="str">
        <f>_xlfn.XLOOKUP(tblTransactions[[#This Row],[tenant_id]],tblTenants[tenant_id],tblTenants[zone],"NOT FOUND")</f>
        <v>Home &amp; Living</v>
      </c>
      <c r="Q1462" s="13" t="str">
        <f>_xlfn.XLOOKUP(tblTransactions[[#This Row],[tenant_id]],tblTenants[tenant_id],tblTenants[category],"NOT FOUND")</f>
        <v>Electronics</v>
      </c>
    </row>
    <row r="1463" spans="1:17">
      <c r="A1463" t="s">
        <v>1507</v>
      </c>
      <c r="B1463" s="2">
        <v>45662</v>
      </c>
      <c r="C1463">
        <v>17</v>
      </c>
      <c r="D1463" t="s">
        <v>34</v>
      </c>
      <c r="E1463" t="s">
        <v>12</v>
      </c>
      <c r="F1463" s="7">
        <v>663.88</v>
      </c>
      <c r="G1463" s="10">
        <v>0.3</v>
      </c>
      <c r="H1463" s="7">
        <v>464.72</v>
      </c>
      <c r="I1463">
        <v>1</v>
      </c>
      <c r="J1463" t="s">
        <v>13</v>
      </c>
      <c r="K1463" s="13">
        <f>ROUND(tblTransactions[[#This Row],[gross_sales_inr]]*(1-tblTransactions[[#This Row],[discount_pct]]),2)</f>
        <v>464.72</v>
      </c>
      <c r="L1463" t="str">
        <f>IF(ABS(tblTransactions[[#This Row],[net_sales_inr]]-tblTransactions[[#This Row],[Recalc_Net_Sales]])&lt;0.02,"OK","CHECK")</f>
        <v>OK</v>
      </c>
      <c r="M1463" s="14">
        <f>DATE(YEAR(tblTransactions[[#This Row],[date]]),MONTH(tblTransactions[[#This Row],[date]]),1)</f>
        <v>45658</v>
      </c>
      <c r="N1463" t="str">
        <f>IF(WEEKDAY(tblTransactions[[#This Row],[date]],2)&gt;5,"Weekend","Weekday")</f>
        <v>Weekend</v>
      </c>
      <c r="O1463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463" s="13" t="str">
        <f>_xlfn.XLOOKUP(tblTransactions[[#This Row],[tenant_id]],tblTenants[tenant_id],tblTenants[zone],"NOT FOUND")</f>
        <v>Home &amp; Living</v>
      </c>
      <c r="Q1463" s="13" t="str">
        <f>_xlfn.XLOOKUP(tblTransactions[[#This Row],[tenant_id]],tblTenants[tenant_id],tblTenants[category],"NOT FOUND")</f>
        <v>Electronics</v>
      </c>
    </row>
    <row r="1464" spans="1:17">
      <c r="A1464" t="s">
        <v>1508</v>
      </c>
      <c r="B1464" s="2">
        <v>45721</v>
      </c>
      <c r="C1464">
        <v>10</v>
      </c>
      <c r="D1464" t="s">
        <v>41</v>
      </c>
      <c r="E1464" t="s">
        <v>12</v>
      </c>
      <c r="F1464" s="7">
        <v>2063.42</v>
      </c>
      <c r="G1464" s="10">
        <v>0</v>
      </c>
      <c r="H1464" s="7">
        <v>2063.42</v>
      </c>
      <c r="I1464">
        <v>2</v>
      </c>
      <c r="J1464" t="s">
        <v>13</v>
      </c>
      <c r="K1464" s="13">
        <f>ROUND(tblTransactions[[#This Row],[gross_sales_inr]]*(1-tblTransactions[[#This Row],[discount_pct]]),2)</f>
        <v>2063.42</v>
      </c>
      <c r="L1464" t="str">
        <f>IF(ABS(tblTransactions[[#This Row],[net_sales_inr]]-tblTransactions[[#This Row],[Recalc_Net_Sales]])&lt;0.02,"OK","CHECK")</f>
        <v>OK</v>
      </c>
      <c r="M1464" s="14">
        <f>DATE(YEAR(tblTransactions[[#This Row],[date]]),MONTH(tblTransactions[[#This Row],[date]]),1)</f>
        <v>45717</v>
      </c>
      <c r="N1464" t="str">
        <f>IF(WEEKDAY(tblTransactions[[#This Row],[date]],2)&gt;5,"Weekend","Weekday")</f>
        <v>Weekday</v>
      </c>
      <c r="O1464" s="13" t="str">
        <f>IF(tblTransactions[[#This Row],[discount_pct]]=0,"0%",IF(tblTransactions[[#This Row],[discount_pct]]&lt;=10%,"1–
10%",IF(tblTransactions[[#This Row],[discount_pct]]&lt;=20%,"11–20%","&gt;20%")))</f>
        <v>0%</v>
      </c>
      <c r="P1464" s="13" t="str">
        <f>_xlfn.XLOOKUP(tblTransactions[[#This Row],[tenant_id]],tblTenants[tenant_id],tblTenants[zone],"NOT FOUND")</f>
        <v>Fashion Avenue</v>
      </c>
      <c r="Q1464" s="13" t="str">
        <f>_xlfn.XLOOKUP(tblTransactions[[#This Row],[tenant_id]],tblTenants[tenant_id],tblTenants[category],"NOT FOUND")</f>
        <v>Clothing</v>
      </c>
    </row>
    <row r="1465" spans="1:17">
      <c r="A1465" t="s">
        <v>1509</v>
      </c>
      <c r="B1465" s="2">
        <v>45819</v>
      </c>
      <c r="C1465">
        <v>18</v>
      </c>
      <c r="D1465" t="s">
        <v>70</v>
      </c>
      <c r="E1465" t="s">
        <v>32</v>
      </c>
      <c r="F1465" s="7">
        <v>717.43</v>
      </c>
      <c r="G1465" s="10">
        <v>0.2</v>
      </c>
      <c r="H1465" s="7">
        <v>573.94000000000005</v>
      </c>
      <c r="I1465">
        <v>2</v>
      </c>
      <c r="J1465" t="s">
        <v>16</v>
      </c>
      <c r="K1465" s="13">
        <f>ROUND(tblTransactions[[#This Row],[gross_sales_inr]]*(1-tblTransactions[[#This Row],[discount_pct]]),2)</f>
        <v>573.94000000000005</v>
      </c>
      <c r="L1465" t="str">
        <f>IF(ABS(tblTransactions[[#This Row],[net_sales_inr]]-tblTransactions[[#This Row],[Recalc_Net_Sales]])&lt;0.02,"OK","CHECK")</f>
        <v>OK</v>
      </c>
      <c r="M1465" s="14">
        <f>DATE(YEAR(tblTransactions[[#This Row],[date]]),MONTH(tblTransactions[[#This Row],[date]]),1)</f>
        <v>45809</v>
      </c>
      <c r="N1465" t="str">
        <f>IF(WEEKDAY(tblTransactions[[#This Row],[date]],2)&gt;5,"Weekend","Weekday")</f>
        <v>Weekday</v>
      </c>
      <c r="O146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65" s="13" t="str">
        <f>_xlfn.XLOOKUP(tblTransactions[[#This Row],[tenant_id]],tblTenants[tenant_id],tblTenants[zone],"NOT FOUND")</f>
        <v>Food Court</v>
      </c>
      <c r="Q1465" s="13" t="str">
        <f>_xlfn.XLOOKUP(tblTransactions[[#This Row],[tenant_id]],tblTenants[tenant_id],tblTenants[category],"NOT FOUND")</f>
        <v>Quick Service</v>
      </c>
    </row>
    <row r="1466" spans="1:17">
      <c r="A1466" t="s">
        <v>1510</v>
      </c>
      <c r="B1466" s="2">
        <v>45692</v>
      </c>
      <c r="C1466">
        <v>18</v>
      </c>
      <c r="D1466" t="s">
        <v>18</v>
      </c>
      <c r="E1466" t="s">
        <v>12</v>
      </c>
      <c r="F1466" s="7">
        <v>981.83</v>
      </c>
      <c r="G1466" s="10">
        <v>0</v>
      </c>
      <c r="H1466" s="7">
        <v>981.83</v>
      </c>
      <c r="I1466">
        <v>1</v>
      </c>
      <c r="J1466" t="s">
        <v>16</v>
      </c>
      <c r="K1466" s="13">
        <f>ROUND(tblTransactions[[#This Row],[gross_sales_inr]]*(1-tblTransactions[[#This Row],[discount_pct]]),2)</f>
        <v>981.83</v>
      </c>
      <c r="L1466" t="str">
        <f>IF(ABS(tblTransactions[[#This Row],[net_sales_inr]]-tblTransactions[[#This Row],[Recalc_Net_Sales]])&lt;0.02,"OK","CHECK")</f>
        <v>OK</v>
      </c>
      <c r="M1466" s="14">
        <f>DATE(YEAR(tblTransactions[[#This Row],[date]]),MONTH(tblTransactions[[#This Row],[date]]),1)</f>
        <v>45689</v>
      </c>
      <c r="N1466" t="str">
        <f>IF(WEEKDAY(tblTransactions[[#This Row],[date]],2)&gt;5,"Weekend","Weekday")</f>
        <v>Weekday</v>
      </c>
      <c r="O1466" s="13" t="str">
        <f>IF(tblTransactions[[#This Row],[discount_pct]]=0,"0%",IF(tblTransactions[[#This Row],[discount_pct]]&lt;=10%,"1–
10%",IF(tblTransactions[[#This Row],[discount_pct]]&lt;=20%,"11–20%","&gt;20%")))</f>
        <v>0%</v>
      </c>
      <c r="P1466" s="13" t="str">
        <f>_xlfn.XLOOKUP(tblTransactions[[#This Row],[tenant_id]],tblTenants[tenant_id],tblTenants[zone],"NOT FOUND")</f>
        <v>Beauty &amp; Wellness</v>
      </c>
      <c r="Q1466" s="13" t="str">
        <f>_xlfn.XLOOKUP(tblTransactions[[#This Row],[tenant_id]],tblTenants[tenant_id],tblTenants[category],"NOT FOUND")</f>
        <v>Beauty</v>
      </c>
    </row>
    <row r="1467" spans="1:17">
      <c r="A1467" t="s">
        <v>1511</v>
      </c>
      <c r="B1467" s="2">
        <v>45719</v>
      </c>
      <c r="C1467">
        <v>10</v>
      </c>
      <c r="D1467" t="s">
        <v>55</v>
      </c>
      <c r="E1467" t="s">
        <v>32</v>
      </c>
      <c r="F1467" s="7">
        <v>1428.1</v>
      </c>
      <c r="G1467" s="10">
        <v>0.2</v>
      </c>
      <c r="H1467" s="7">
        <v>1142.48</v>
      </c>
      <c r="I1467">
        <v>4</v>
      </c>
      <c r="J1467" t="s">
        <v>13</v>
      </c>
      <c r="K1467" s="13">
        <f>ROUND(tblTransactions[[#This Row],[gross_sales_inr]]*(1-tblTransactions[[#This Row],[discount_pct]]),2)</f>
        <v>1142.48</v>
      </c>
      <c r="L1467" t="str">
        <f>IF(ABS(tblTransactions[[#This Row],[net_sales_inr]]-tblTransactions[[#This Row],[Recalc_Net_Sales]])&lt;0.02,"OK","CHECK")</f>
        <v>OK</v>
      </c>
      <c r="M1467" s="14">
        <f>DATE(YEAR(tblTransactions[[#This Row],[date]]),MONTH(tblTransactions[[#This Row],[date]]),1)</f>
        <v>45717</v>
      </c>
      <c r="N1467" t="str">
        <f>IF(WEEKDAY(tblTransactions[[#This Row],[date]],2)&gt;5,"Weekend","Weekday")</f>
        <v>Weekday</v>
      </c>
      <c r="O146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67" s="13" t="str">
        <f>_xlfn.XLOOKUP(tblTransactions[[#This Row],[tenant_id]],tblTenants[tenant_id],tblTenants[zone],"NOT FOUND")</f>
        <v>Food Court</v>
      </c>
      <c r="Q1467" s="13" t="str">
        <f>_xlfn.XLOOKUP(tblTransactions[[#This Row],[tenant_id]],tblTenants[tenant_id],tblTenants[category],"NOT FOUND")</f>
        <v>Quick Service</v>
      </c>
    </row>
    <row r="1468" spans="1:17">
      <c r="A1468" t="s">
        <v>1512</v>
      </c>
      <c r="B1468" s="2">
        <v>45742</v>
      </c>
      <c r="C1468">
        <v>19</v>
      </c>
      <c r="D1468" t="s">
        <v>11</v>
      </c>
      <c r="E1468" t="s">
        <v>32</v>
      </c>
      <c r="F1468" s="7">
        <v>2980.1</v>
      </c>
      <c r="G1468" s="10">
        <v>0.1</v>
      </c>
      <c r="H1468" s="7">
        <v>2682.09</v>
      </c>
      <c r="I1468">
        <v>5</v>
      </c>
      <c r="J1468" t="s">
        <v>13</v>
      </c>
      <c r="K1468" s="13">
        <f>ROUND(tblTransactions[[#This Row],[gross_sales_inr]]*(1-tblTransactions[[#This Row],[discount_pct]]),2)</f>
        <v>2682.09</v>
      </c>
      <c r="L1468" t="str">
        <f>IF(ABS(tblTransactions[[#This Row],[net_sales_inr]]-tblTransactions[[#This Row],[Recalc_Net_Sales]])&lt;0.02,"OK","CHECK")</f>
        <v>OK</v>
      </c>
      <c r="M1468" s="14">
        <f>DATE(YEAR(tblTransactions[[#This Row],[date]]),MONTH(tblTransactions[[#This Row],[date]]),1)</f>
        <v>45717</v>
      </c>
      <c r="N1468" t="str">
        <f>IF(WEEKDAY(tblTransactions[[#This Row],[date]],2)&gt;5,"Weekend","Weekday")</f>
        <v>Weekday</v>
      </c>
      <c r="O146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68" s="13" t="str">
        <f>_xlfn.XLOOKUP(tblTransactions[[#This Row],[tenant_id]],tblTenants[tenant_id],tblTenants[zone],"NOT FOUND")</f>
        <v>Home &amp; Living</v>
      </c>
      <c r="Q1468" s="13" t="str">
        <f>_xlfn.XLOOKUP(tblTransactions[[#This Row],[tenant_id]],tblTenants[tenant_id],tblTenants[category],"NOT FOUND")</f>
        <v>Home Decor</v>
      </c>
    </row>
    <row r="1469" spans="1:17">
      <c r="A1469" t="s">
        <v>1513</v>
      </c>
      <c r="B1469" s="2">
        <v>45708</v>
      </c>
      <c r="C1469">
        <v>13</v>
      </c>
      <c r="D1469" t="s">
        <v>122</v>
      </c>
      <c r="E1469" t="s">
        <v>12</v>
      </c>
      <c r="F1469" s="7">
        <v>3861.78</v>
      </c>
      <c r="G1469" s="10">
        <v>0</v>
      </c>
      <c r="H1469" s="7">
        <v>3861.78</v>
      </c>
      <c r="I1469">
        <v>1</v>
      </c>
      <c r="J1469" t="s">
        <v>16</v>
      </c>
      <c r="K1469" s="13">
        <f>ROUND(tblTransactions[[#This Row],[gross_sales_inr]]*(1-tblTransactions[[#This Row],[discount_pct]]),2)</f>
        <v>3861.78</v>
      </c>
      <c r="L1469" t="str">
        <f>IF(ABS(tblTransactions[[#This Row],[net_sales_inr]]-tblTransactions[[#This Row],[Recalc_Net_Sales]])&lt;0.02,"OK","CHECK")</f>
        <v>OK</v>
      </c>
      <c r="M1469" s="14">
        <f>DATE(YEAR(tblTransactions[[#This Row],[date]]),MONTH(tblTransactions[[#This Row],[date]]),1)</f>
        <v>45689</v>
      </c>
      <c r="N1469" t="str">
        <f>IF(WEEKDAY(tblTransactions[[#This Row],[date]],2)&gt;5,"Weekend","Weekday")</f>
        <v>Weekday</v>
      </c>
      <c r="O1469" s="13" t="str">
        <f>IF(tblTransactions[[#This Row],[discount_pct]]=0,"0%",IF(tblTransactions[[#This Row],[discount_pct]]&lt;=10%,"1–
10%",IF(tblTransactions[[#This Row],[discount_pct]]&lt;=20%,"11–20%","&gt;20%")))</f>
        <v>0%</v>
      </c>
      <c r="P1469" s="13" t="str">
        <f>_xlfn.XLOOKUP(tblTransactions[[#This Row],[tenant_id]],tblTenants[tenant_id],tblTenants[zone],"NOT FOUND")</f>
        <v>Beauty &amp; Wellness</v>
      </c>
      <c r="Q1469" s="13" t="str">
        <f>_xlfn.XLOOKUP(tblTransactions[[#This Row],[tenant_id]],tblTenants[tenant_id],tblTenants[category],"NOT FOUND")</f>
        <v>Wellness</v>
      </c>
    </row>
    <row r="1470" spans="1:17">
      <c r="A1470" t="s">
        <v>1514</v>
      </c>
      <c r="B1470" s="2">
        <v>45730</v>
      </c>
      <c r="C1470">
        <v>16</v>
      </c>
      <c r="D1470" t="s">
        <v>15</v>
      </c>
      <c r="E1470" t="s">
        <v>32</v>
      </c>
      <c r="F1470" s="7">
        <v>546.42999999999995</v>
      </c>
      <c r="G1470" s="10">
        <v>0</v>
      </c>
      <c r="H1470" s="7">
        <v>546.42999999999995</v>
      </c>
      <c r="I1470">
        <v>2</v>
      </c>
      <c r="J1470" t="s">
        <v>13</v>
      </c>
      <c r="K1470" s="13">
        <f>ROUND(tblTransactions[[#This Row],[gross_sales_inr]]*(1-tblTransactions[[#This Row],[discount_pct]]),2)</f>
        <v>546.42999999999995</v>
      </c>
      <c r="L1470" t="str">
        <f>IF(ABS(tblTransactions[[#This Row],[net_sales_inr]]-tblTransactions[[#This Row],[Recalc_Net_Sales]])&lt;0.02,"OK","CHECK")</f>
        <v>OK</v>
      </c>
      <c r="M1470" s="14">
        <f>DATE(YEAR(tblTransactions[[#This Row],[date]]),MONTH(tblTransactions[[#This Row],[date]]),1)</f>
        <v>45717</v>
      </c>
      <c r="N1470" t="str">
        <f>IF(WEEKDAY(tblTransactions[[#This Row],[date]],2)&gt;5,"Weekend","Weekday")</f>
        <v>Weekday</v>
      </c>
      <c r="O1470" s="13" t="str">
        <f>IF(tblTransactions[[#This Row],[discount_pct]]=0,"0%",IF(tblTransactions[[#This Row],[discount_pct]]&lt;=10%,"1–
10%",IF(tblTransactions[[#This Row],[discount_pct]]&lt;=20%,"11–20%","&gt;20%")))</f>
        <v>0%</v>
      </c>
      <c r="P1470" s="13" t="str">
        <f>_xlfn.XLOOKUP(tblTransactions[[#This Row],[tenant_id]],tblTenants[tenant_id],tblTenants[zone],"NOT FOUND")</f>
        <v>Fashion Avenue</v>
      </c>
      <c r="Q1470" s="13" t="str">
        <f>_xlfn.XLOOKUP(tblTransactions[[#This Row],[tenant_id]],tblTenants[tenant_id],tblTenants[category],"NOT FOUND")</f>
        <v>Accessories</v>
      </c>
    </row>
    <row r="1471" spans="1:17">
      <c r="A1471" t="s">
        <v>1515</v>
      </c>
      <c r="B1471" s="2">
        <v>45835</v>
      </c>
      <c r="C1471">
        <v>16</v>
      </c>
      <c r="D1471" t="s">
        <v>80</v>
      </c>
      <c r="E1471" t="s">
        <v>21</v>
      </c>
      <c r="F1471" s="7">
        <v>494.07</v>
      </c>
      <c r="G1471" s="10">
        <v>0.1</v>
      </c>
      <c r="H1471" s="7">
        <v>444.66</v>
      </c>
      <c r="I1471">
        <v>1</v>
      </c>
      <c r="J1471" t="s">
        <v>13</v>
      </c>
      <c r="K1471" s="13">
        <f>ROUND(tblTransactions[[#This Row],[gross_sales_inr]]*(1-tblTransactions[[#This Row],[discount_pct]]),2)</f>
        <v>444.66</v>
      </c>
      <c r="L1471" t="str">
        <f>IF(ABS(tblTransactions[[#This Row],[net_sales_inr]]-tblTransactions[[#This Row],[Recalc_Net_Sales]])&lt;0.02,"OK","CHECK")</f>
        <v>OK</v>
      </c>
      <c r="M1471" s="14">
        <f>DATE(YEAR(tblTransactions[[#This Row],[date]]),MONTH(tblTransactions[[#This Row],[date]]),1)</f>
        <v>45809</v>
      </c>
      <c r="N1471" t="str">
        <f>IF(WEEKDAY(tblTransactions[[#This Row],[date]],2)&gt;5,"Weekend","Weekday")</f>
        <v>Weekday</v>
      </c>
      <c r="O147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71" s="13" t="str">
        <f>_xlfn.XLOOKUP(tblTransactions[[#This Row],[tenant_id]],tblTenants[tenant_id],tblTenants[zone],"NOT FOUND")</f>
        <v>Food Court</v>
      </c>
      <c r="Q1471" s="13" t="str">
        <f>_xlfn.XLOOKUP(tblTransactions[[#This Row],[tenant_id]],tblTenants[tenant_id],tblTenants[category],"NOT FOUND")</f>
        <v>Casual Dining</v>
      </c>
    </row>
    <row r="1472" spans="1:17">
      <c r="A1472" t="s">
        <v>1516</v>
      </c>
      <c r="B1472" s="2">
        <v>45746</v>
      </c>
      <c r="C1472">
        <v>13</v>
      </c>
      <c r="D1472" t="s">
        <v>41</v>
      </c>
      <c r="E1472" t="s">
        <v>32</v>
      </c>
      <c r="F1472" s="7">
        <v>905.31</v>
      </c>
      <c r="G1472" s="10">
        <v>0</v>
      </c>
      <c r="H1472" s="7">
        <v>905.31</v>
      </c>
      <c r="I1472">
        <v>1</v>
      </c>
      <c r="J1472" t="s">
        <v>16</v>
      </c>
      <c r="K1472" s="13">
        <f>ROUND(tblTransactions[[#This Row],[gross_sales_inr]]*(1-tblTransactions[[#This Row],[discount_pct]]),2)</f>
        <v>905.31</v>
      </c>
      <c r="L1472" t="str">
        <f>IF(ABS(tblTransactions[[#This Row],[net_sales_inr]]-tblTransactions[[#This Row],[Recalc_Net_Sales]])&lt;0.02,"OK","CHECK")</f>
        <v>OK</v>
      </c>
      <c r="M1472" s="14">
        <f>DATE(YEAR(tblTransactions[[#This Row],[date]]),MONTH(tblTransactions[[#This Row],[date]]),1)</f>
        <v>45717</v>
      </c>
      <c r="N1472" t="str">
        <f>IF(WEEKDAY(tblTransactions[[#This Row],[date]],2)&gt;5,"Weekend","Weekday")</f>
        <v>Weekend</v>
      </c>
      <c r="O1472" s="13" t="str">
        <f>IF(tblTransactions[[#This Row],[discount_pct]]=0,"0%",IF(tblTransactions[[#This Row],[discount_pct]]&lt;=10%,"1–
10%",IF(tblTransactions[[#This Row],[discount_pct]]&lt;=20%,"11–20%","&gt;20%")))</f>
        <v>0%</v>
      </c>
      <c r="P1472" s="13" t="str">
        <f>_xlfn.XLOOKUP(tblTransactions[[#This Row],[tenant_id]],tblTenants[tenant_id],tblTenants[zone],"NOT FOUND")</f>
        <v>Fashion Avenue</v>
      </c>
      <c r="Q1472" s="13" t="str">
        <f>_xlfn.XLOOKUP(tblTransactions[[#This Row],[tenant_id]],tblTenants[tenant_id],tblTenants[category],"NOT FOUND")</f>
        <v>Clothing</v>
      </c>
    </row>
    <row r="1473" spans="1:17">
      <c r="A1473" t="s">
        <v>1517</v>
      </c>
      <c r="B1473" s="2">
        <v>45837</v>
      </c>
      <c r="C1473">
        <v>14</v>
      </c>
      <c r="D1473" t="s">
        <v>15</v>
      </c>
      <c r="E1473" t="s">
        <v>12</v>
      </c>
      <c r="F1473" s="7">
        <v>851.78</v>
      </c>
      <c r="G1473" s="10">
        <v>0</v>
      </c>
      <c r="H1473" s="7">
        <v>851.78</v>
      </c>
      <c r="I1473">
        <v>2</v>
      </c>
      <c r="J1473" t="s">
        <v>13</v>
      </c>
      <c r="K1473" s="13">
        <f>ROUND(tblTransactions[[#This Row],[gross_sales_inr]]*(1-tblTransactions[[#This Row],[discount_pct]]),2)</f>
        <v>851.78</v>
      </c>
      <c r="L1473" t="str">
        <f>IF(ABS(tblTransactions[[#This Row],[net_sales_inr]]-tblTransactions[[#This Row],[Recalc_Net_Sales]])&lt;0.02,"OK","CHECK")</f>
        <v>OK</v>
      </c>
      <c r="M1473" s="14">
        <f>DATE(YEAR(tblTransactions[[#This Row],[date]]),MONTH(tblTransactions[[#This Row],[date]]),1)</f>
        <v>45809</v>
      </c>
      <c r="N1473" t="str">
        <f>IF(WEEKDAY(tblTransactions[[#This Row],[date]],2)&gt;5,"Weekend","Weekday")</f>
        <v>Weekend</v>
      </c>
      <c r="O1473" s="13" t="str">
        <f>IF(tblTransactions[[#This Row],[discount_pct]]=0,"0%",IF(tblTransactions[[#This Row],[discount_pct]]&lt;=10%,"1–
10%",IF(tblTransactions[[#This Row],[discount_pct]]&lt;=20%,"11–20%","&gt;20%")))</f>
        <v>0%</v>
      </c>
      <c r="P1473" s="13" t="str">
        <f>_xlfn.XLOOKUP(tblTransactions[[#This Row],[tenant_id]],tblTenants[tenant_id],tblTenants[zone],"NOT FOUND")</f>
        <v>Fashion Avenue</v>
      </c>
      <c r="Q1473" s="13" t="str">
        <f>_xlfn.XLOOKUP(tblTransactions[[#This Row],[tenant_id]],tblTenants[tenant_id],tblTenants[category],"NOT FOUND")</f>
        <v>Accessories</v>
      </c>
    </row>
    <row r="1474" spans="1:17">
      <c r="A1474" t="s">
        <v>1518</v>
      </c>
      <c r="B1474" s="2">
        <v>45774</v>
      </c>
      <c r="C1474">
        <v>16</v>
      </c>
      <c r="D1474" t="s">
        <v>61</v>
      </c>
      <c r="E1474" t="s">
        <v>32</v>
      </c>
      <c r="F1474" s="7">
        <v>344.56</v>
      </c>
      <c r="G1474" s="10">
        <v>0</v>
      </c>
      <c r="H1474" s="7">
        <v>344.56</v>
      </c>
      <c r="I1474">
        <v>1</v>
      </c>
      <c r="J1474" t="s">
        <v>13</v>
      </c>
      <c r="K1474" s="13">
        <f>ROUND(tblTransactions[[#This Row],[gross_sales_inr]]*(1-tblTransactions[[#This Row],[discount_pct]]),2)</f>
        <v>344.56</v>
      </c>
      <c r="L1474" t="str">
        <f>IF(ABS(tblTransactions[[#This Row],[net_sales_inr]]-tblTransactions[[#This Row],[Recalc_Net_Sales]])&lt;0.02,"OK","CHECK")</f>
        <v>OK</v>
      </c>
      <c r="M1474" s="14">
        <f>DATE(YEAR(tblTransactions[[#This Row],[date]]),MONTH(tblTransactions[[#This Row],[date]]),1)</f>
        <v>45748</v>
      </c>
      <c r="N1474" t="str">
        <f>IF(WEEKDAY(tblTransactions[[#This Row],[date]],2)&gt;5,"Weekend","Weekday")</f>
        <v>Weekend</v>
      </c>
      <c r="O1474" s="13" t="str">
        <f>IF(tblTransactions[[#This Row],[discount_pct]]=0,"0%",IF(tblTransactions[[#This Row],[discount_pct]]&lt;=10%,"1–
10%",IF(tblTransactions[[#This Row],[discount_pct]]&lt;=20%,"11–20%","&gt;20%")))</f>
        <v>0%</v>
      </c>
      <c r="P1474" s="13" t="str">
        <f>_xlfn.XLOOKUP(tblTransactions[[#This Row],[tenant_id]],tblTenants[tenant_id],tblTenants[zone],"NOT FOUND")</f>
        <v>Food Court</v>
      </c>
      <c r="Q1474" s="13" t="str">
        <f>_xlfn.XLOOKUP(tblTransactions[[#This Row],[tenant_id]],tblTenants[tenant_id],tblTenants[category],"NOT FOUND")</f>
        <v>Quick Service</v>
      </c>
    </row>
    <row r="1475" spans="1:17">
      <c r="A1475" t="s">
        <v>1519</v>
      </c>
      <c r="B1475" s="2">
        <v>45819</v>
      </c>
      <c r="C1475">
        <v>20</v>
      </c>
      <c r="D1475" t="s">
        <v>72</v>
      </c>
      <c r="E1475" t="s">
        <v>12</v>
      </c>
      <c r="F1475" s="7">
        <v>2003.18</v>
      </c>
      <c r="G1475" s="10">
        <v>0.1</v>
      </c>
      <c r="H1475" s="7">
        <v>1802.86</v>
      </c>
      <c r="I1475">
        <v>1</v>
      </c>
      <c r="J1475" t="s">
        <v>13</v>
      </c>
      <c r="K1475" s="13">
        <f>ROUND(tblTransactions[[#This Row],[gross_sales_inr]]*(1-tblTransactions[[#This Row],[discount_pct]]),2)</f>
        <v>1802.86</v>
      </c>
      <c r="L1475" t="str">
        <f>IF(ABS(tblTransactions[[#This Row],[net_sales_inr]]-tblTransactions[[#This Row],[Recalc_Net_Sales]])&lt;0.02,"OK","CHECK")</f>
        <v>OK</v>
      </c>
      <c r="M1475" s="14">
        <f>DATE(YEAR(tblTransactions[[#This Row],[date]]),MONTH(tblTransactions[[#This Row],[date]]),1)</f>
        <v>45809</v>
      </c>
      <c r="N1475" t="str">
        <f>IF(WEEKDAY(tblTransactions[[#This Row],[date]],2)&gt;5,"Weekend","Weekday")</f>
        <v>Weekday</v>
      </c>
      <c r="O147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75" s="13" t="str">
        <f>_xlfn.XLOOKUP(tblTransactions[[#This Row],[tenant_id]],tblTenants[tenant_id],tblTenants[zone],"NOT FOUND")</f>
        <v>Entertainment</v>
      </c>
      <c r="Q1475" s="13" t="str">
        <f>_xlfn.XLOOKUP(tblTransactions[[#This Row],[tenant_id]],tblTenants[tenant_id],tblTenants[category],"NOT FOUND")</f>
        <v>Arcade</v>
      </c>
    </row>
    <row r="1476" spans="1:17">
      <c r="A1476" t="s">
        <v>1520</v>
      </c>
      <c r="B1476" s="2">
        <v>45667</v>
      </c>
      <c r="C1476">
        <v>14</v>
      </c>
      <c r="D1476" t="s">
        <v>204</v>
      </c>
      <c r="E1476" t="s">
        <v>32</v>
      </c>
      <c r="F1476" s="7">
        <v>213.97</v>
      </c>
      <c r="G1476" s="10">
        <v>0.05</v>
      </c>
      <c r="H1476" s="7">
        <v>203.27</v>
      </c>
      <c r="I1476">
        <v>4</v>
      </c>
      <c r="J1476" t="s">
        <v>13</v>
      </c>
      <c r="K1476" s="13">
        <f>ROUND(tblTransactions[[#This Row],[gross_sales_inr]]*(1-tblTransactions[[#This Row],[discount_pct]]),2)</f>
        <v>203.27</v>
      </c>
      <c r="L1476" t="str">
        <f>IF(ABS(tblTransactions[[#This Row],[net_sales_inr]]-tblTransactions[[#This Row],[Recalc_Net_Sales]])&lt;0.02,"OK","CHECK")</f>
        <v>OK</v>
      </c>
      <c r="M1476" s="14">
        <f>DATE(YEAR(tblTransactions[[#This Row],[date]]),MONTH(tblTransactions[[#This Row],[date]]),1)</f>
        <v>45658</v>
      </c>
      <c r="N1476" t="str">
        <f>IF(WEEKDAY(tblTransactions[[#This Row],[date]],2)&gt;5,"Weekend","Weekday")</f>
        <v>Weekday</v>
      </c>
      <c r="O147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76" s="13" t="str">
        <f>_xlfn.XLOOKUP(tblTransactions[[#This Row],[tenant_id]],tblTenants[tenant_id],tblTenants[zone],"NOT FOUND")</f>
        <v>Home &amp; Living</v>
      </c>
      <c r="Q1476" s="13" t="str">
        <f>_xlfn.XLOOKUP(tblTransactions[[#This Row],[tenant_id]],tblTenants[tenant_id],tblTenants[category],"NOT FOUND")</f>
        <v>Home Decor</v>
      </c>
    </row>
    <row r="1477" spans="1:17">
      <c r="A1477" t="s">
        <v>1521</v>
      </c>
      <c r="B1477" s="2">
        <v>45687</v>
      </c>
      <c r="C1477">
        <v>10</v>
      </c>
      <c r="D1477" t="s">
        <v>25</v>
      </c>
      <c r="E1477" t="s">
        <v>12</v>
      </c>
      <c r="F1477" s="7">
        <v>872.46</v>
      </c>
      <c r="G1477" s="10">
        <v>0.15</v>
      </c>
      <c r="H1477" s="7">
        <v>741.59</v>
      </c>
      <c r="I1477">
        <v>3</v>
      </c>
      <c r="J1477" t="s">
        <v>13</v>
      </c>
      <c r="K1477" s="13">
        <f>ROUND(tblTransactions[[#This Row],[gross_sales_inr]]*(1-tblTransactions[[#This Row],[discount_pct]]),2)</f>
        <v>741.59</v>
      </c>
      <c r="L1477" t="str">
        <f>IF(ABS(tblTransactions[[#This Row],[net_sales_inr]]-tblTransactions[[#This Row],[Recalc_Net_Sales]])&lt;0.02,"OK","CHECK")</f>
        <v>OK</v>
      </c>
      <c r="M1477" s="14">
        <f>DATE(YEAR(tblTransactions[[#This Row],[date]]),MONTH(tblTransactions[[#This Row],[date]]),1)</f>
        <v>45658</v>
      </c>
      <c r="N1477" t="str">
        <f>IF(WEEKDAY(tblTransactions[[#This Row],[date]],2)&gt;5,"Weekend","Weekday")</f>
        <v>Weekday</v>
      </c>
      <c r="O147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77" s="13" t="str">
        <f>_xlfn.XLOOKUP(tblTransactions[[#This Row],[tenant_id]],tblTenants[tenant_id],tblTenants[zone],"NOT FOUND")</f>
        <v>Beauty &amp; Wellness</v>
      </c>
      <c r="Q1477" s="13" t="str">
        <f>_xlfn.XLOOKUP(tblTransactions[[#This Row],[tenant_id]],tblTenants[tenant_id],tblTenants[category],"NOT FOUND")</f>
        <v>Beauty</v>
      </c>
    </row>
    <row r="1478" spans="1:17">
      <c r="A1478" t="s">
        <v>1522</v>
      </c>
      <c r="B1478" s="2">
        <v>45774</v>
      </c>
      <c r="C1478">
        <v>14</v>
      </c>
      <c r="D1478" t="s">
        <v>59</v>
      </c>
      <c r="E1478" t="s">
        <v>21</v>
      </c>
      <c r="F1478" s="7">
        <v>928.62</v>
      </c>
      <c r="G1478" s="10">
        <v>0.1</v>
      </c>
      <c r="H1478" s="7">
        <v>835.76</v>
      </c>
      <c r="I1478">
        <v>2</v>
      </c>
      <c r="J1478" t="s">
        <v>16</v>
      </c>
      <c r="K1478" s="13">
        <f>ROUND(tblTransactions[[#This Row],[gross_sales_inr]]*(1-tblTransactions[[#This Row],[discount_pct]]),2)</f>
        <v>835.76</v>
      </c>
      <c r="L1478" t="str">
        <f>IF(ABS(tblTransactions[[#This Row],[net_sales_inr]]-tblTransactions[[#This Row],[Recalc_Net_Sales]])&lt;0.02,"OK","CHECK")</f>
        <v>OK</v>
      </c>
      <c r="M1478" s="14">
        <f>DATE(YEAR(tblTransactions[[#This Row],[date]]),MONTH(tblTransactions[[#This Row],[date]]),1)</f>
        <v>45748</v>
      </c>
      <c r="N1478" t="str">
        <f>IF(WEEKDAY(tblTransactions[[#This Row],[date]],2)&gt;5,"Weekend","Weekday")</f>
        <v>Weekend</v>
      </c>
      <c r="O147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78" s="13" t="str">
        <f>_xlfn.XLOOKUP(tblTransactions[[#This Row],[tenant_id]],tblTenants[tenant_id],tblTenants[zone],"NOT FOUND")</f>
        <v>Fashion Avenue</v>
      </c>
      <c r="Q1478" s="13" t="str">
        <f>_xlfn.XLOOKUP(tblTransactions[[#This Row],[tenant_id]],tblTenants[tenant_id],tblTenants[category],"NOT FOUND")</f>
        <v>Footwear</v>
      </c>
    </row>
    <row r="1479" spans="1:17">
      <c r="A1479" t="s">
        <v>1523</v>
      </c>
      <c r="B1479" s="2">
        <v>45682</v>
      </c>
      <c r="C1479">
        <v>19</v>
      </c>
      <c r="D1479" t="s">
        <v>85</v>
      </c>
      <c r="E1479" t="s">
        <v>51</v>
      </c>
      <c r="F1479" s="7">
        <v>1561.49</v>
      </c>
      <c r="G1479" s="10">
        <v>0</v>
      </c>
      <c r="H1479" s="7">
        <v>1561.49</v>
      </c>
      <c r="I1479">
        <v>3</v>
      </c>
      <c r="J1479" t="s">
        <v>13</v>
      </c>
      <c r="K1479" s="13">
        <f>ROUND(tblTransactions[[#This Row],[gross_sales_inr]]*(1-tblTransactions[[#This Row],[discount_pct]]),2)</f>
        <v>1561.49</v>
      </c>
      <c r="L1479" t="str">
        <f>IF(ABS(tblTransactions[[#This Row],[net_sales_inr]]-tblTransactions[[#This Row],[Recalc_Net_Sales]])&lt;0.02,"OK","CHECK")</f>
        <v>OK</v>
      </c>
      <c r="M1479" s="14">
        <f>DATE(YEAR(tblTransactions[[#This Row],[date]]),MONTH(tblTransactions[[#This Row],[date]]),1)</f>
        <v>45658</v>
      </c>
      <c r="N1479" t="str">
        <f>IF(WEEKDAY(tblTransactions[[#This Row],[date]],2)&gt;5,"Weekend","Weekday")</f>
        <v>Weekend</v>
      </c>
      <c r="O1479" s="13" t="str">
        <f>IF(tblTransactions[[#This Row],[discount_pct]]=0,"0%",IF(tblTransactions[[#This Row],[discount_pct]]&lt;=10%,"1–
10%",IF(tblTransactions[[#This Row],[discount_pct]]&lt;=20%,"11–20%","&gt;20%")))</f>
        <v>0%</v>
      </c>
      <c r="P1479" s="13" t="str">
        <f>_xlfn.XLOOKUP(tblTransactions[[#This Row],[tenant_id]],tblTenants[tenant_id],tblTenants[zone],"NOT FOUND")</f>
        <v>Home &amp; Living</v>
      </c>
      <c r="Q1479" s="13" t="str">
        <f>_xlfn.XLOOKUP(tblTransactions[[#This Row],[tenant_id]],tblTenants[tenant_id],tblTenants[category],"NOT FOUND")</f>
        <v>Electronics</v>
      </c>
    </row>
    <row r="1480" spans="1:17">
      <c r="A1480" t="s">
        <v>1524</v>
      </c>
      <c r="B1480" s="2">
        <v>45711</v>
      </c>
      <c r="C1480">
        <v>15</v>
      </c>
      <c r="D1480" t="s">
        <v>87</v>
      </c>
      <c r="E1480" t="s">
        <v>12</v>
      </c>
      <c r="F1480" s="7">
        <v>732.5</v>
      </c>
      <c r="G1480" s="10">
        <v>0</v>
      </c>
      <c r="H1480" s="7">
        <v>732.5</v>
      </c>
      <c r="I1480">
        <v>2</v>
      </c>
      <c r="J1480" t="s">
        <v>13</v>
      </c>
      <c r="K1480" s="13">
        <f>ROUND(tblTransactions[[#This Row],[gross_sales_inr]]*(1-tblTransactions[[#This Row],[discount_pct]]),2)</f>
        <v>732.5</v>
      </c>
      <c r="L1480" t="str">
        <f>IF(ABS(tblTransactions[[#This Row],[net_sales_inr]]-tblTransactions[[#This Row],[Recalc_Net_Sales]])&lt;0.02,"OK","CHECK")</f>
        <v>OK</v>
      </c>
      <c r="M1480" s="14">
        <f>DATE(YEAR(tblTransactions[[#This Row],[date]]),MONTH(tblTransactions[[#This Row],[date]]),1)</f>
        <v>45689</v>
      </c>
      <c r="N1480" t="str">
        <f>IF(WEEKDAY(tblTransactions[[#This Row],[date]],2)&gt;5,"Weekend","Weekday")</f>
        <v>Weekend</v>
      </c>
      <c r="O1480" s="13" t="str">
        <f>IF(tblTransactions[[#This Row],[discount_pct]]=0,"0%",IF(tblTransactions[[#This Row],[discount_pct]]&lt;=10%,"1–
10%",IF(tblTransactions[[#This Row],[discount_pct]]&lt;=20%,"11–20%","&gt;20%")))</f>
        <v>0%</v>
      </c>
      <c r="P1480" s="13" t="str">
        <f>_xlfn.XLOOKUP(tblTransactions[[#This Row],[tenant_id]],tblTenants[tenant_id],tblTenants[zone],"NOT FOUND")</f>
        <v>Fashion Avenue</v>
      </c>
      <c r="Q1480" s="13" t="str">
        <f>_xlfn.XLOOKUP(tblTransactions[[#This Row],[tenant_id]],tblTenants[tenant_id],tblTenants[category],"NOT FOUND")</f>
        <v>Footwear</v>
      </c>
    </row>
    <row r="1481" spans="1:17">
      <c r="A1481" t="s">
        <v>1525</v>
      </c>
      <c r="B1481" s="2">
        <v>45692</v>
      </c>
      <c r="C1481">
        <v>19</v>
      </c>
      <c r="D1481" t="s">
        <v>80</v>
      </c>
      <c r="E1481" t="s">
        <v>21</v>
      </c>
      <c r="F1481" s="7">
        <v>1586.23</v>
      </c>
      <c r="G1481" s="10">
        <v>0.1</v>
      </c>
      <c r="H1481" s="7">
        <v>1427.61</v>
      </c>
      <c r="I1481">
        <v>6</v>
      </c>
      <c r="J1481" t="s">
        <v>16</v>
      </c>
      <c r="K1481" s="13">
        <f>ROUND(tblTransactions[[#This Row],[gross_sales_inr]]*(1-tblTransactions[[#This Row],[discount_pct]]),2)</f>
        <v>1427.61</v>
      </c>
      <c r="L1481" t="str">
        <f>IF(ABS(tblTransactions[[#This Row],[net_sales_inr]]-tblTransactions[[#This Row],[Recalc_Net_Sales]])&lt;0.02,"OK","CHECK")</f>
        <v>OK</v>
      </c>
      <c r="M1481" s="14">
        <f>DATE(YEAR(tblTransactions[[#This Row],[date]]),MONTH(tblTransactions[[#This Row],[date]]),1)</f>
        <v>45689</v>
      </c>
      <c r="N1481" t="str">
        <f>IF(WEEKDAY(tblTransactions[[#This Row],[date]],2)&gt;5,"Weekend","Weekday")</f>
        <v>Weekday</v>
      </c>
      <c r="O148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81" s="13" t="str">
        <f>_xlfn.XLOOKUP(tblTransactions[[#This Row],[tenant_id]],tblTenants[tenant_id],tblTenants[zone],"NOT FOUND")</f>
        <v>Food Court</v>
      </c>
      <c r="Q1481" s="13" t="str">
        <f>_xlfn.XLOOKUP(tblTransactions[[#This Row],[tenant_id]],tblTenants[tenant_id],tblTenants[category],"NOT FOUND")</f>
        <v>Casual Dining</v>
      </c>
    </row>
    <row r="1482" spans="1:17">
      <c r="A1482" t="s">
        <v>1526</v>
      </c>
      <c r="B1482" s="2">
        <v>45693</v>
      </c>
      <c r="C1482">
        <v>18</v>
      </c>
      <c r="D1482" t="s">
        <v>72</v>
      </c>
      <c r="E1482" t="s">
        <v>12</v>
      </c>
      <c r="F1482" s="7">
        <v>742.25</v>
      </c>
      <c r="G1482" s="10">
        <v>0</v>
      </c>
      <c r="H1482" s="7">
        <v>742.25</v>
      </c>
      <c r="I1482">
        <v>3</v>
      </c>
      <c r="J1482" t="s">
        <v>13</v>
      </c>
      <c r="K1482" s="13">
        <f>ROUND(tblTransactions[[#This Row],[gross_sales_inr]]*(1-tblTransactions[[#This Row],[discount_pct]]),2)</f>
        <v>742.25</v>
      </c>
      <c r="L1482" t="str">
        <f>IF(ABS(tblTransactions[[#This Row],[net_sales_inr]]-tblTransactions[[#This Row],[Recalc_Net_Sales]])&lt;0.02,"OK","CHECK")</f>
        <v>OK</v>
      </c>
      <c r="M1482" s="14">
        <f>DATE(YEAR(tblTransactions[[#This Row],[date]]),MONTH(tblTransactions[[#This Row],[date]]),1)</f>
        <v>45689</v>
      </c>
      <c r="N1482" t="str">
        <f>IF(WEEKDAY(tblTransactions[[#This Row],[date]],2)&gt;5,"Weekend","Weekday")</f>
        <v>Weekday</v>
      </c>
      <c r="O1482" s="13" t="str">
        <f>IF(tblTransactions[[#This Row],[discount_pct]]=0,"0%",IF(tblTransactions[[#This Row],[discount_pct]]&lt;=10%,"1–
10%",IF(tblTransactions[[#This Row],[discount_pct]]&lt;=20%,"11–20%","&gt;20%")))</f>
        <v>0%</v>
      </c>
      <c r="P1482" s="13" t="str">
        <f>_xlfn.XLOOKUP(tblTransactions[[#This Row],[tenant_id]],tblTenants[tenant_id],tblTenants[zone],"NOT FOUND")</f>
        <v>Entertainment</v>
      </c>
      <c r="Q1482" s="13" t="str">
        <f>_xlfn.XLOOKUP(tblTransactions[[#This Row],[tenant_id]],tblTenants[tenant_id],tblTenants[category],"NOT FOUND")</f>
        <v>Arcade</v>
      </c>
    </row>
    <row r="1483" spans="1:17">
      <c r="A1483" t="s">
        <v>1527</v>
      </c>
      <c r="B1483" s="2">
        <v>45718</v>
      </c>
      <c r="C1483">
        <v>16</v>
      </c>
      <c r="D1483" t="s">
        <v>31</v>
      </c>
      <c r="E1483" t="s">
        <v>12</v>
      </c>
      <c r="F1483" s="7">
        <v>1229.78</v>
      </c>
      <c r="G1483" s="10">
        <v>0</v>
      </c>
      <c r="H1483" s="7">
        <v>1229.78</v>
      </c>
      <c r="I1483">
        <v>4</v>
      </c>
      <c r="J1483" t="s">
        <v>13</v>
      </c>
      <c r="K1483" s="13">
        <f>ROUND(tblTransactions[[#This Row],[gross_sales_inr]]*(1-tblTransactions[[#This Row],[discount_pct]]),2)</f>
        <v>1229.78</v>
      </c>
      <c r="L1483" t="str">
        <f>IF(ABS(tblTransactions[[#This Row],[net_sales_inr]]-tblTransactions[[#This Row],[Recalc_Net_Sales]])&lt;0.02,"OK","CHECK")</f>
        <v>OK</v>
      </c>
      <c r="M1483" s="14">
        <f>DATE(YEAR(tblTransactions[[#This Row],[date]]),MONTH(tblTransactions[[#This Row],[date]]),1)</f>
        <v>45717</v>
      </c>
      <c r="N1483" t="str">
        <f>IF(WEEKDAY(tblTransactions[[#This Row],[date]],2)&gt;5,"Weekend","Weekday")</f>
        <v>Weekend</v>
      </c>
      <c r="O1483" s="13" t="str">
        <f>IF(tblTransactions[[#This Row],[discount_pct]]=0,"0%",IF(tblTransactions[[#This Row],[discount_pct]]&lt;=10%,"1–
10%",IF(tblTransactions[[#This Row],[discount_pct]]&lt;=20%,"11–20%","&gt;20%")))</f>
        <v>0%</v>
      </c>
      <c r="P1483" s="13" t="str">
        <f>_xlfn.XLOOKUP(tblTransactions[[#This Row],[tenant_id]],tblTenants[tenant_id],tblTenants[zone],"NOT FOUND")</f>
        <v>Entertainment</v>
      </c>
      <c r="Q1483" s="13" t="str">
        <f>_xlfn.XLOOKUP(tblTransactions[[#This Row],[tenant_id]],tblTenants[tenant_id],tblTenants[category],"NOT FOUND")</f>
        <v>Arcade</v>
      </c>
    </row>
    <row r="1484" spans="1:17">
      <c r="A1484" t="s">
        <v>1528</v>
      </c>
      <c r="B1484" s="2">
        <v>45767</v>
      </c>
      <c r="C1484">
        <v>20</v>
      </c>
      <c r="D1484" t="s">
        <v>45</v>
      </c>
      <c r="E1484" t="s">
        <v>12</v>
      </c>
      <c r="F1484" s="7">
        <v>5134.96</v>
      </c>
      <c r="G1484" s="10">
        <v>0</v>
      </c>
      <c r="H1484" s="7">
        <v>5134.96</v>
      </c>
      <c r="I1484">
        <v>1</v>
      </c>
      <c r="J1484" t="s">
        <v>13</v>
      </c>
      <c r="K1484" s="13">
        <f>ROUND(tblTransactions[[#This Row],[gross_sales_inr]]*(1-tblTransactions[[#This Row],[discount_pct]]),2)</f>
        <v>5134.96</v>
      </c>
      <c r="L1484" t="str">
        <f>IF(ABS(tblTransactions[[#This Row],[net_sales_inr]]-tblTransactions[[#This Row],[Recalc_Net_Sales]])&lt;0.02,"OK","CHECK")</f>
        <v>OK</v>
      </c>
      <c r="M1484" s="14">
        <f>DATE(YEAR(tblTransactions[[#This Row],[date]]),MONTH(tblTransactions[[#This Row],[date]]),1)</f>
        <v>45748</v>
      </c>
      <c r="N1484" t="str">
        <f>IF(WEEKDAY(tblTransactions[[#This Row],[date]],2)&gt;5,"Weekend","Weekday")</f>
        <v>Weekend</v>
      </c>
      <c r="O1484" s="13" t="str">
        <f>IF(tblTransactions[[#This Row],[discount_pct]]=0,"0%",IF(tblTransactions[[#This Row],[discount_pct]]&lt;=10%,"1–
10%",IF(tblTransactions[[#This Row],[discount_pct]]&lt;=20%,"11–20%","&gt;20%")))</f>
        <v>0%</v>
      </c>
      <c r="P1484" s="13" t="str">
        <f>_xlfn.XLOOKUP(tblTransactions[[#This Row],[tenant_id]],tblTenants[tenant_id],tblTenants[zone],"NOT FOUND")</f>
        <v>Home &amp; Living</v>
      </c>
      <c r="Q1484" s="13" t="str">
        <f>_xlfn.XLOOKUP(tblTransactions[[#This Row],[tenant_id]],tblTenants[tenant_id],tblTenants[category],"NOT FOUND")</f>
        <v>Home Decor</v>
      </c>
    </row>
    <row r="1485" spans="1:17">
      <c r="A1485" t="s">
        <v>1529</v>
      </c>
      <c r="B1485" s="2">
        <v>45695</v>
      </c>
      <c r="C1485">
        <v>18</v>
      </c>
      <c r="D1485" t="s">
        <v>45</v>
      </c>
      <c r="E1485" t="s">
        <v>12</v>
      </c>
      <c r="F1485" s="7">
        <v>757.9</v>
      </c>
      <c r="G1485" s="10">
        <v>0</v>
      </c>
      <c r="H1485" s="7">
        <v>757.9</v>
      </c>
      <c r="I1485">
        <v>2</v>
      </c>
      <c r="J1485" t="s">
        <v>13</v>
      </c>
      <c r="K1485" s="13">
        <f>ROUND(tblTransactions[[#This Row],[gross_sales_inr]]*(1-tblTransactions[[#This Row],[discount_pct]]),2)</f>
        <v>757.9</v>
      </c>
      <c r="L1485" t="str">
        <f>IF(ABS(tblTransactions[[#This Row],[net_sales_inr]]-tblTransactions[[#This Row],[Recalc_Net_Sales]])&lt;0.02,"OK","CHECK")</f>
        <v>OK</v>
      </c>
      <c r="M1485" s="14">
        <f>DATE(YEAR(tblTransactions[[#This Row],[date]]),MONTH(tblTransactions[[#This Row],[date]]),1)</f>
        <v>45689</v>
      </c>
      <c r="N1485" t="str">
        <f>IF(WEEKDAY(tblTransactions[[#This Row],[date]],2)&gt;5,"Weekend","Weekday")</f>
        <v>Weekday</v>
      </c>
      <c r="O1485" s="13" t="str">
        <f>IF(tblTransactions[[#This Row],[discount_pct]]=0,"0%",IF(tblTransactions[[#This Row],[discount_pct]]&lt;=10%,"1–
10%",IF(tblTransactions[[#This Row],[discount_pct]]&lt;=20%,"11–20%","&gt;20%")))</f>
        <v>0%</v>
      </c>
      <c r="P1485" s="13" t="str">
        <f>_xlfn.XLOOKUP(tblTransactions[[#This Row],[tenant_id]],tblTenants[tenant_id],tblTenants[zone],"NOT FOUND")</f>
        <v>Home &amp; Living</v>
      </c>
      <c r="Q1485" s="13" t="str">
        <f>_xlfn.XLOOKUP(tblTransactions[[#This Row],[tenant_id]],tblTenants[tenant_id],tblTenants[category],"NOT FOUND")</f>
        <v>Home Decor</v>
      </c>
    </row>
    <row r="1486" spans="1:17">
      <c r="A1486" t="s">
        <v>1530</v>
      </c>
      <c r="B1486" s="2">
        <v>45796</v>
      </c>
      <c r="C1486">
        <v>21</v>
      </c>
      <c r="D1486" t="s">
        <v>23</v>
      </c>
      <c r="E1486" t="s">
        <v>51</v>
      </c>
      <c r="F1486" s="7">
        <v>1683.27</v>
      </c>
      <c r="G1486" s="10">
        <v>0</v>
      </c>
      <c r="H1486" s="7">
        <v>1683.27</v>
      </c>
      <c r="I1486">
        <v>1</v>
      </c>
      <c r="J1486" t="s">
        <v>16</v>
      </c>
      <c r="K1486" s="13">
        <f>ROUND(tblTransactions[[#This Row],[gross_sales_inr]]*(1-tblTransactions[[#This Row],[discount_pct]]),2)</f>
        <v>1683.27</v>
      </c>
      <c r="L1486" t="str">
        <f>IF(ABS(tblTransactions[[#This Row],[net_sales_inr]]-tblTransactions[[#This Row],[Recalc_Net_Sales]])&lt;0.02,"OK","CHECK")</f>
        <v>OK</v>
      </c>
      <c r="M1486" s="14">
        <f>DATE(YEAR(tblTransactions[[#This Row],[date]]),MONTH(tblTransactions[[#This Row],[date]]),1)</f>
        <v>45778</v>
      </c>
      <c r="N1486" t="str">
        <f>IF(WEEKDAY(tblTransactions[[#This Row],[date]],2)&gt;5,"Weekend","Weekday")</f>
        <v>Weekday</v>
      </c>
      <c r="O1486" s="13" t="str">
        <f>IF(tblTransactions[[#This Row],[discount_pct]]=0,"0%",IF(tblTransactions[[#This Row],[discount_pct]]&lt;=10%,"1–
10%",IF(tblTransactions[[#This Row],[discount_pct]]&lt;=20%,"11–20%","&gt;20%")))</f>
        <v>0%</v>
      </c>
      <c r="P1486" s="13" t="str">
        <f>_xlfn.XLOOKUP(tblTransactions[[#This Row],[tenant_id]],tblTenants[tenant_id],tblTenants[zone],"NOT FOUND")</f>
        <v>Entertainment</v>
      </c>
      <c r="Q1486" s="13" t="str">
        <f>_xlfn.XLOOKUP(tblTransactions[[#This Row],[tenant_id]],tblTenants[tenant_id],tblTenants[category],"NOT FOUND")</f>
        <v>Cinema</v>
      </c>
    </row>
    <row r="1487" spans="1:17">
      <c r="A1487" t="s">
        <v>1531</v>
      </c>
      <c r="B1487" s="2">
        <v>45705</v>
      </c>
      <c r="C1487">
        <v>18</v>
      </c>
      <c r="D1487" t="s">
        <v>59</v>
      </c>
      <c r="E1487" t="s">
        <v>12</v>
      </c>
      <c r="F1487" s="7">
        <v>1131.1099999999999</v>
      </c>
      <c r="G1487" s="10">
        <v>0</v>
      </c>
      <c r="H1487" s="7">
        <v>1131.1099999999999</v>
      </c>
      <c r="I1487">
        <v>1</v>
      </c>
      <c r="J1487" t="s">
        <v>13</v>
      </c>
      <c r="K1487" s="13">
        <f>ROUND(tblTransactions[[#This Row],[gross_sales_inr]]*(1-tblTransactions[[#This Row],[discount_pct]]),2)</f>
        <v>1131.1099999999999</v>
      </c>
      <c r="L1487" t="str">
        <f>IF(ABS(tblTransactions[[#This Row],[net_sales_inr]]-tblTransactions[[#This Row],[Recalc_Net_Sales]])&lt;0.02,"OK","CHECK")</f>
        <v>OK</v>
      </c>
      <c r="M1487" s="14">
        <f>DATE(YEAR(tblTransactions[[#This Row],[date]]),MONTH(tblTransactions[[#This Row],[date]]),1)</f>
        <v>45689</v>
      </c>
      <c r="N1487" t="str">
        <f>IF(WEEKDAY(tblTransactions[[#This Row],[date]],2)&gt;5,"Weekend","Weekday")</f>
        <v>Weekday</v>
      </c>
      <c r="O1487" s="13" t="str">
        <f>IF(tblTransactions[[#This Row],[discount_pct]]=0,"0%",IF(tblTransactions[[#This Row],[discount_pct]]&lt;=10%,"1–
10%",IF(tblTransactions[[#This Row],[discount_pct]]&lt;=20%,"11–20%","&gt;20%")))</f>
        <v>0%</v>
      </c>
      <c r="P1487" s="13" t="str">
        <f>_xlfn.XLOOKUP(tblTransactions[[#This Row],[tenant_id]],tblTenants[tenant_id],tblTenants[zone],"NOT FOUND")</f>
        <v>Fashion Avenue</v>
      </c>
      <c r="Q1487" s="13" t="str">
        <f>_xlfn.XLOOKUP(tblTransactions[[#This Row],[tenant_id]],tblTenants[tenant_id],tblTenants[category],"NOT FOUND")</f>
        <v>Footwear</v>
      </c>
    </row>
    <row r="1488" spans="1:17">
      <c r="A1488" t="s">
        <v>1532</v>
      </c>
      <c r="B1488" s="2">
        <v>45696</v>
      </c>
      <c r="C1488">
        <v>16</v>
      </c>
      <c r="D1488" t="s">
        <v>43</v>
      </c>
      <c r="E1488" t="s">
        <v>12</v>
      </c>
      <c r="F1488" s="7">
        <v>1350.73</v>
      </c>
      <c r="G1488" s="10">
        <v>0.2</v>
      </c>
      <c r="H1488" s="7">
        <v>1080.58</v>
      </c>
      <c r="I1488">
        <v>1</v>
      </c>
      <c r="J1488" t="s">
        <v>16</v>
      </c>
      <c r="K1488" s="13">
        <f>ROUND(tblTransactions[[#This Row],[gross_sales_inr]]*(1-tblTransactions[[#This Row],[discount_pct]]),2)</f>
        <v>1080.58</v>
      </c>
      <c r="L1488" t="str">
        <f>IF(ABS(tblTransactions[[#This Row],[net_sales_inr]]-tblTransactions[[#This Row],[Recalc_Net_Sales]])&lt;0.02,"OK","CHECK")</f>
        <v>OK</v>
      </c>
      <c r="M1488" s="14">
        <f>DATE(YEAR(tblTransactions[[#This Row],[date]]),MONTH(tblTransactions[[#This Row],[date]]),1)</f>
        <v>45689</v>
      </c>
      <c r="N1488" t="str">
        <f>IF(WEEKDAY(tblTransactions[[#This Row],[date]],2)&gt;5,"Weekend","Weekday")</f>
        <v>Weekend</v>
      </c>
      <c r="O148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88" s="13" t="str">
        <f>_xlfn.XLOOKUP(tblTransactions[[#This Row],[tenant_id]],tblTenants[tenant_id],tblTenants[zone],"NOT FOUND")</f>
        <v>Food Court</v>
      </c>
      <c r="Q1488" s="13" t="str">
        <f>_xlfn.XLOOKUP(tblTransactions[[#This Row],[tenant_id]],tblTenants[tenant_id],tblTenants[category],"NOT FOUND")</f>
        <v>Casual Dining</v>
      </c>
    </row>
    <row r="1489" spans="1:17">
      <c r="A1489" t="s">
        <v>1533</v>
      </c>
      <c r="B1489" s="2">
        <v>45684</v>
      </c>
      <c r="C1489">
        <v>13</v>
      </c>
      <c r="D1489" t="s">
        <v>29</v>
      </c>
      <c r="E1489" t="s">
        <v>32</v>
      </c>
      <c r="F1489" s="7">
        <v>508.7</v>
      </c>
      <c r="G1489" s="10">
        <v>0</v>
      </c>
      <c r="H1489" s="7">
        <v>508.7</v>
      </c>
      <c r="I1489">
        <v>3</v>
      </c>
      <c r="J1489" t="s">
        <v>13</v>
      </c>
      <c r="K1489" s="13">
        <f>ROUND(tblTransactions[[#This Row],[gross_sales_inr]]*(1-tblTransactions[[#This Row],[discount_pct]]),2)</f>
        <v>508.7</v>
      </c>
      <c r="L1489" t="str">
        <f>IF(ABS(tblTransactions[[#This Row],[net_sales_inr]]-tblTransactions[[#This Row],[Recalc_Net_Sales]])&lt;0.02,"OK","CHECK")</f>
        <v>OK</v>
      </c>
      <c r="M1489" s="14">
        <f>DATE(YEAR(tblTransactions[[#This Row],[date]]),MONTH(tblTransactions[[#This Row],[date]]),1)</f>
        <v>45658</v>
      </c>
      <c r="N1489" t="str">
        <f>IF(WEEKDAY(tblTransactions[[#This Row],[date]],2)&gt;5,"Weekend","Weekday")</f>
        <v>Weekday</v>
      </c>
      <c r="O1489" s="13" t="str">
        <f>IF(tblTransactions[[#This Row],[discount_pct]]=0,"0%",IF(tblTransactions[[#This Row],[discount_pct]]&lt;=10%,"1–
10%",IF(tblTransactions[[#This Row],[discount_pct]]&lt;=20%,"11–20%","&gt;20%")))</f>
        <v>0%</v>
      </c>
      <c r="P1489" s="13" t="str">
        <f>_xlfn.XLOOKUP(tblTransactions[[#This Row],[tenant_id]],tblTenants[tenant_id],tblTenants[zone],"NOT FOUND")</f>
        <v>Entertainment</v>
      </c>
      <c r="Q1489" s="13" t="str">
        <f>_xlfn.XLOOKUP(tblTransactions[[#This Row],[tenant_id]],tblTenants[tenant_id],tblTenants[category],"NOT FOUND")</f>
        <v>Cinema</v>
      </c>
    </row>
    <row r="1490" spans="1:17">
      <c r="A1490" t="s">
        <v>1534</v>
      </c>
      <c r="B1490" s="2">
        <v>45692</v>
      </c>
      <c r="C1490">
        <v>12</v>
      </c>
      <c r="D1490" t="s">
        <v>27</v>
      </c>
      <c r="E1490" t="s">
        <v>32</v>
      </c>
      <c r="F1490" s="7">
        <v>427.79</v>
      </c>
      <c r="G1490" s="10">
        <v>0.3</v>
      </c>
      <c r="H1490" s="7">
        <v>299.45</v>
      </c>
      <c r="I1490">
        <v>3</v>
      </c>
      <c r="J1490" t="s">
        <v>13</v>
      </c>
      <c r="K1490" s="13">
        <f>ROUND(tblTransactions[[#This Row],[gross_sales_inr]]*(1-tblTransactions[[#This Row],[discount_pct]]),2)</f>
        <v>299.45</v>
      </c>
      <c r="L1490" t="str">
        <f>IF(ABS(tblTransactions[[#This Row],[net_sales_inr]]-tblTransactions[[#This Row],[Recalc_Net_Sales]])&lt;0.02,"OK","CHECK")</f>
        <v>OK</v>
      </c>
      <c r="M1490" s="14">
        <f>DATE(YEAR(tblTransactions[[#This Row],[date]]),MONTH(tblTransactions[[#This Row],[date]]),1)</f>
        <v>45689</v>
      </c>
      <c r="N1490" t="str">
        <f>IF(WEEKDAY(tblTransactions[[#This Row],[date]],2)&gt;5,"Weekend","Weekday")</f>
        <v>Weekday</v>
      </c>
      <c r="O149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490" s="13" t="str">
        <f>_xlfn.XLOOKUP(tblTransactions[[#This Row],[tenant_id]],tblTenants[tenant_id],tblTenants[zone],"NOT FOUND")</f>
        <v>Beauty &amp; Wellness</v>
      </c>
      <c r="Q1490" s="13" t="str">
        <f>_xlfn.XLOOKUP(tblTransactions[[#This Row],[tenant_id]],tblTenants[tenant_id],tblTenants[category],"NOT FOUND")</f>
        <v>Wellness</v>
      </c>
    </row>
    <row r="1491" spans="1:17">
      <c r="A1491" t="s">
        <v>1535</v>
      </c>
      <c r="B1491" s="2">
        <v>45715</v>
      </c>
      <c r="C1491">
        <v>12</v>
      </c>
      <c r="D1491" t="s">
        <v>43</v>
      </c>
      <c r="E1491" t="s">
        <v>32</v>
      </c>
      <c r="F1491" s="7">
        <v>810.76</v>
      </c>
      <c r="G1491" s="10">
        <v>0.05</v>
      </c>
      <c r="H1491" s="7">
        <v>770.22</v>
      </c>
      <c r="I1491">
        <v>4</v>
      </c>
      <c r="J1491" t="s">
        <v>13</v>
      </c>
      <c r="K1491" s="13">
        <f>ROUND(tblTransactions[[#This Row],[gross_sales_inr]]*(1-tblTransactions[[#This Row],[discount_pct]]),2)</f>
        <v>770.22</v>
      </c>
      <c r="L1491" t="str">
        <f>IF(ABS(tblTransactions[[#This Row],[net_sales_inr]]-tblTransactions[[#This Row],[Recalc_Net_Sales]])&lt;0.02,"OK","CHECK")</f>
        <v>OK</v>
      </c>
      <c r="M1491" s="14">
        <f>DATE(YEAR(tblTransactions[[#This Row],[date]]),MONTH(tblTransactions[[#This Row],[date]]),1)</f>
        <v>45689</v>
      </c>
      <c r="N1491" t="str">
        <f>IF(WEEKDAY(tblTransactions[[#This Row],[date]],2)&gt;5,"Weekend","Weekday")</f>
        <v>Weekday</v>
      </c>
      <c r="O149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91" s="13" t="str">
        <f>_xlfn.XLOOKUP(tblTransactions[[#This Row],[tenant_id]],tblTenants[tenant_id],tblTenants[zone],"NOT FOUND")</f>
        <v>Food Court</v>
      </c>
      <c r="Q1491" s="13" t="str">
        <f>_xlfn.XLOOKUP(tblTransactions[[#This Row],[tenant_id]],tblTenants[tenant_id],tblTenants[category],"NOT FOUND")</f>
        <v>Casual Dining</v>
      </c>
    </row>
    <row r="1492" spans="1:17">
      <c r="A1492" t="s">
        <v>1536</v>
      </c>
      <c r="B1492" s="2">
        <v>45694</v>
      </c>
      <c r="C1492">
        <v>16</v>
      </c>
      <c r="D1492" t="s">
        <v>72</v>
      </c>
      <c r="E1492" t="s">
        <v>12</v>
      </c>
      <c r="F1492" s="7">
        <v>514.29999999999995</v>
      </c>
      <c r="G1492" s="10">
        <v>0.1</v>
      </c>
      <c r="H1492" s="7">
        <v>462.87</v>
      </c>
      <c r="I1492">
        <v>3</v>
      </c>
      <c r="J1492" t="s">
        <v>13</v>
      </c>
      <c r="K1492" s="13">
        <f>ROUND(tblTransactions[[#This Row],[gross_sales_inr]]*(1-tblTransactions[[#This Row],[discount_pct]]),2)</f>
        <v>462.87</v>
      </c>
      <c r="L1492" t="str">
        <f>IF(ABS(tblTransactions[[#This Row],[net_sales_inr]]-tblTransactions[[#This Row],[Recalc_Net_Sales]])&lt;0.02,"OK","CHECK")</f>
        <v>OK</v>
      </c>
      <c r="M1492" s="14">
        <f>DATE(YEAR(tblTransactions[[#This Row],[date]]),MONTH(tblTransactions[[#This Row],[date]]),1)</f>
        <v>45689</v>
      </c>
      <c r="N1492" t="str">
        <f>IF(WEEKDAY(tblTransactions[[#This Row],[date]],2)&gt;5,"Weekend","Weekday")</f>
        <v>Weekday</v>
      </c>
      <c r="O149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92" s="13" t="str">
        <f>_xlfn.XLOOKUP(tblTransactions[[#This Row],[tenant_id]],tblTenants[tenant_id],tblTenants[zone],"NOT FOUND")</f>
        <v>Entertainment</v>
      </c>
      <c r="Q1492" s="13" t="str">
        <f>_xlfn.XLOOKUP(tblTransactions[[#This Row],[tenant_id]],tblTenants[tenant_id],tblTenants[category],"NOT FOUND")</f>
        <v>Arcade</v>
      </c>
    </row>
    <row r="1493" spans="1:17">
      <c r="A1493" t="s">
        <v>1537</v>
      </c>
      <c r="B1493" s="2">
        <v>45671</v>
      </c>
      <c r="C1493">
        <v>12</v>
      </c>
      <c r="D1493" t="s">
        <v>43</v>
      </c>
      <c r="E1493" t="s">
        <v>12</v>
      </c>
      <c r="F1493" s="7">
        <v>575.42999999999995</v>
      </c>
      <c r="G1493" s="10">
        <v>0</v>
      </c>
      <c r="H1493" s="7">
        <v>575.42999999999995</v>
      </c>
      <c r="I1493">
        <v>4</v>
      </c>
      <c r="J1493" t="s">
        <v>13</v>
      </c>
      <c r="K1493" s="13">
        <f>ROUND(tblTransactions[[#This Row],[gross_sales_inr]]*(1-tblTransactions[[#This Row],[discount_pct]]),2)</f>
        <v>575.42999999999995</v>
      </c>
      <c r="L1493" t="str">
        <f>IF(ABS(tblTransactions[[#This Row],[net_sales_inr]]-tblTransactions[[#This Row],[Recalc_Net_Sales]])&lt;0.02,"OK","CHECK")</f>
        <v>OK</v>
      </c>
      <c r="M1493" s="14">
        <f>DATE(YEAR(tblTransactions[[#This Row],[date]]),MONTH(tblTransactions[[#This Row],[date]]),1)</f>
        <v>45658</v>
      </c>
      <c r="N1493" t="str">
        <f>IF(WEEKDAY(tblTransactions[[#This Row],[date]],2)&gt;5,"Weekend","Weekday")</f>
        <v>Weekday</v>
      </c>
      <c r="O1493" s="13" t="str">
        <f>IF(tblTransactions[[#This Row],[discount_pct]]=0,"0%",IF(tblTransactions[[#This Row],[discount_pct]]&lt;=10%,"1–
10%",IF(tblTransactions[[#This Row],[discount_pct]]&lt;=20%,"11–20%","&gt;20%")))</f>
        <v>0%</v>
      </c>
      <c r="P1493" s="13" t="str">
        <f>_xlfn.XLOOKUP(tblTransactions[[#This Row],[tenant_id]],tblTenants[tenant_id],tblTenants[zone],"NOT FOUND")</f>
        <v>Food Court</v>
      </c>
      <c r="Q1493" s="13" t="str">
        <f>_xlfn.XLOOKUP(tblTransactions[[#This Row],[tenant_id]],tblTenants[tenant_id],tblTenants[category],"NOT FOUND")</f>
        <v>Casual Dining</v>
      </c>
    </row>
    <row r="1494" spans="1:17">
      <c r="A1494" t="s">
        <v>1538</v>
      </c>
      <c r="B1494" s="2">
        <v>45792</v>
      </c>
      <c r="C1494">
        <v>20</v>
      </c>
      <c r="D1494" t="s">
        <v>20</v>
      </c>
      <c r="E1494" t="s">
        <v>32</v>
      </c>
      <c r="F1494" s="7">
        <v>386.29</v>
      </c>
      <c r="G1494" s="10">
        <v>0.1</v>
      </c>
      <c r="H1494" s="7">
        <v>347.66</v>
      </c>
      <c r="I1494">
        <v>2</v>
      </c>
      <c r="J1494" t="s">
        <v>13</v>
      </c>
      <c r="K1494" s="13">
        <f>ROUND(tblTransactions[[#This Row],[gross_sales_inr]]*(1-tblTransactions[[#This Row],[discount_pct]]),2)</f>
        <v>347.66</v>
      </c>
      <c r="L1494" t="str">
        <f>IF(ABS(tblTransactions[[#This Row],[net_sales_inr]]-tblTransactions[[#This Row],[Recalc_Net_Sales]])&lt;0.02,"OK","CHECK")</f>
        <v>OK</v>
      </c>
      <c r="M1494" s="14">
        <f>DATE(YEAR(tblTransactions[[#This Row],[date]]),MONTH(tblTransactions[[#This Row],[date]]),1)</f>
        <v>45778</v>
      </c>
      <c r="N1494" t="str">
        <f>IF(WEEKDAY(tblTransactions[[#This Row],[date]],2)&gt;5,"Weekend","Weekday")</f>
        <v>Weekday</v>
      </c>
      <c r="O149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94" s="13" t="str">
        <f>_xlfn.XLOOKUP(tblTransactions[[#This Row],[tenant_id]],tblTenants[tenant_id],tblTenants[zone],"NOT FOUND")</f>
        <v>Fashion Avenue</v>
      </c>
      <c r="Q1494" s="13" t="str">
        <f>_xlfn.XLOOKUP(tblTransactions[[#This Row],[tenant_id]],tblTenants[tenant_id],tblTenants[category],"NOT FOUND")</f>
        <v>Accessories</v>
      </c>
    </row>
    <row r="1495" spans="1:17">
      <c r="A1495" t="s">
        <v>1539</v>
      </c>
      <c r="B1495" s="2">
        <v>45696</v>
      </c>
      <c r="C1495">
        <v>11</v>
      </c>
      <c r="D1495" t="s">
        <v>25</v>
      </c>
      <c r="E1495" t="s">
        <v>12</v>
      </c>
      <c r="F1495" s="7">
        <v>445.43</v>
      </c>
      <c r="G1495" s="10">
        <v>0.15</v>
      </c>
      <c r="H1495" s="7">
        <v>378.62</v>
      </c>
      <c r="I1495">
        <v>1</v>
      </c>
      <c r="J1495" t="s">
        <v>13</v>
      </c>
      <c r="K1495" s="13">
        <f>ROUND(tblTransactions[[#This Row],[gross_sales_inr]]*(1-tblTransactions[[#This Row],[discount_pct]]),2)</f>
        <v>378.62</v>
      </c>
      <c r="L1495" t="str">
        <f>IF(ABS(tblTransactions[[#This Row],[net_sales_inr]]-tblTransactions[[#This Row],[Recalc_Net_Sales]])&lt;0.02,"OK","CHECK")</f>
        <v>OK</v>
      </c>
      <c r="M1495" s="14">
        <f>DATE(YEAR(tblTransactions[[#This Row],[date]]),MONTH(tblTransactions[[#This Row],[date]]),1)</f>
        <v>45689</v>
      </c>
      <c r="N1495" t="str">
        <f>IF(WEEKDAY(tblTransactions[[#This Row],[date]],2)&gt;5,"Weekend","Weekday")</f>
        <v>Weekend</v>
      </c>
      <c r="O149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95" s="13" t="str">
        <f>_xlfn.XLOOKUP(tblTransactions[[#This Row],[tenant_id]],tblTenants[tenant_id],tblTenants[zone],"NOT FOUND")</f>
        <v>Beauty &amp; Wellness</v>
      </c>
      <c r="Q1495" s="13" t="str">
        <f>_xlfn.XLOOKUP(tblTransactions[[#This Row],[tenant_id]],tblTenants[tenant_id],tblTenants[category],"NOT FOUND")</f>
        <v>Beauty</v>
      </c>
    </row>
    <row r="1496" spans="1:17">
      <c r="A1496" t="s">
        <v>1540</v>
      </c>
      <c r="B1496" s="2">
        <v>45688</v>
      </c>
      <c r="C1496">
        <v>18</v>
      </c>
      <c r="D1496" t="s">
        <v>80</v>
      </c>
      <c r="E1496" t="s">
        <v>12</v>
      </c>
      <c r="F1496" s="7">
        <v>686.19</v>
      </c>
      <c r="G1496" s="10">
        <v>0.1</v>
      </c>
      <c r="H1496" s="7">
        <v>617.57000000000005</v>
      </c>
      <c r="I1496">
        <v>3</v>
      </c>
      <c r="J1496" t="s">
        <v>13</v>
      </c>
      <c r="K1496" s="13">
        <f>ROUND(tblTransactions[[#This Row],[gross_sales_inr]]*(1-tblTransactions[[#This Row],[discount_pct]]),2)</f>
        <v>617.57000000000005</v>
      </c>
      <c r="L1496" t="str">
        <f>IF(ABS(tblTransactions[[#This Row],[net_sales_inr]]-tblTransactions[[#This Row],[Recalc_Net_Sales]])&lt;0.02,"OK","CHECK")</f>
        <v>OK</v>
      </c>
      <c r="M1496" s="14">
        <f>DATE(YEAR(tblTransactions[[#This Row],[date]]),MONTH(tblTransactions[[#This Row],[date]]),1)</f>
        <v>45658</v>
      </c>
      <c r="N1496" t="str">
        <f>IF(WEEKDAY(tblTransactions[[#This Row],[date]],2)&gt;5,"Weekend","Weekday")</f>
        <v>Weekday</v>
      </c>
      <c r="O149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496" s="13" t="str">
        <f>_xlfn.XLOOKUP(tblTransactions[[#This Row],[tenant_id]],tblTenants[tenant_id],tblTenants[zone],"NOT FOUND")</f>
        <v>Food Court</v>
      </c>
      <c r="Q1496" s="13" t="str">
        <f>_xlfn.XLOOKUP(tblTransactions[[#This Row],[tenant_id]],tblTenants[tenant_id],tblTenants[category],"NOT FOUND")</f>
        <v>Casual Dining</v>
      </c>
    </row>
    <row r="1497" spans="1:17">
      <c r="A1497" t="s">
        <v>1541</v>
      </c>
      <c r="B1497" s="2">
        <v>45818</v>
      </c>
      <c r="C1497">
        <v>18</v>
      </c>
      <c r="D1497" t="s">
        <v>48</v>
      </c>
      <c r="E1497" t="s">
        <v>12</v>
      </c>
      <c r="F1497" s="7">
        <v>763.58</v>
      </c>
      <c r="G1497" s="10">
        <v>0.15</v>
      </c>
      <c r="H1497" s="7">
        <v>649.04</v>
      </c>
      <c r="I1497">
        <v>1</v>
      </c>
      <c r="J1497" t="s">
        <v>16</v>
      </c>
      <c r="K1497" s="13">
        <f>ROUND(tblTransactions[[#This Row],[gross_sales_inr]]*(1-tblTransactions[[#This Row],[discount_pct]]),2)</f>
        <v>649.04</v>
      </c>
      <c r="L1497" t="str">
        <f>IF(ABS(tblTransactions[[#This Row],[net_sales_inr]]-tblTransactions[[#This Row],[Recalc_Net_Sales]])&lt;0.02,"OK","CHECK")</f>
        <v>OK</v>
      </c>
      <c r="M1497" s="14">
        <f>DATE(YEAR(tblTransactions[[#This Row],[date]]),MONTH(tblTransactions[[#This Row],[date]]),1)</f>
        <v>45809</v>
      </c>
      <c r="N1497" t="str">
        <f>IF(WEEKDAY(tblTransactions[[#This Row],[date]],2)&gt;5,"Weekend","Weekday")</f>
        <v>Weekday</v>
      </c>
      <c r="O149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497" s="13" t="str">
        <f>_xlfn.XLOOKUP(tblTransactions[[#This Row],[tenant_id]],tblTenants[tenant_id],tblTenants[zone],"NOT FOUND")</f>
        <v>Beauty &amp; Wellness</v>
      </c>
      <c r="Q1497" s="13" t="str">
        <f>_xlfn.XLOOKUP(tblTransactions[[#This Row],[tenant_id]],tblTenants[tenant_id],tblTenants[category],"NOT FOUND")</f>
        <v>Wellness</v>
      </c>
    </row>
    <row r="1498" spans="1:17">
      <c r="A1498" t="s">
        <v>1542</v>
      </c>
      <c r="B1498" s="2">
        <v>45687</v>
      </c>
      <c r="C1498">
        <v>22</v>
      </c>
      <c r="D1498" t="s">
        <v>85</v>
      </c>
      <c r="E1498" t="s">
        <v>12</v>
      </c>
      <c r="F1498" s="7">
        <v>996.77</v>
      </c>
      <c r="G1498" s="10">
        <v>0</v>
      </c>
      <c r="H1498" s="7">
        <v>996.77</v>
      </c>
      <c r="I1498">
        <v>4</v>
      </c>
      <c r="J1498" t="s">
        <v>13</v>
      </c>
      <c r="K1498" s="13">
        <f>ROUND(tblTransactions[[#This Row],[gross_sales_inr]]*(1-tblTransactions[[#This Row],[discount_pct]]),2)</f>
        <v>996.77</v>
      </c>
      <c r="L1498" t="str">
        <f>IF(ABS(tblTransactions[[#This Row],[net_sales_inr]]-tblTransactions[[#This Row],[Recalc_Net_Sales]])&lt;0.02,"OK","CHECK")</f>
        <v>OK</v>
      </c>
      <c r="M1498" s="14">
        <f>DATE(YEAR(tblTransactions[[#This Row],[date]]),MONTH(tblTransactions[[#This Row],[date]]),1)</f>
        <v>45658</v>
      </c>
      <c r="N1498" t="str">
        <f>IF(WEEKDAY(tblTransactions[[#This Row],[date]],2)&gt;5,"Weekend","Weekday")</f>
        <v>Weekday</v>
      </c>
      <c r="O1498" s="13" t="str">
        <f>IF(tblTransactions[[#This Row],[discount_pct]]=0,"0%",IF(tblTransactions[[#This Row],[discount_pct]]&lt;=10%,"1–
10%",IF(tblTransactions[[#This Row],[discount_pct]]&lt;=20%,"11–20%","&gt;20%")))</f>
        <v>0%</v>
      </c>
      <c r="P1498" s="13" t="str">
        <f>_xlfn.XLOOKUP(tblTransactions[[#This Row],[tenant_id]],tblTenants[tenant_id],tblTenants[zone],"NOT FOUND")</f>
        <v>Home &amp; Living</v>
      </c>
      <c r="Q1498" s="13" t="str">
        <f>_xlfn.XLOOKUP(tblTransactions[[#This Row],[tenant_id]],tblTenants[tenant_id],tblTenants[category],"NOT FOUND")</f>
        <v>Electronics</v>
      </c>
    </row>
    <row r="1499" spans="1:17">
      <c r="A1499" t="s">
        <v>1543</v>
      </c>
      <c r="B1499" s="2">
        <v>45730</v>
      </c>
      <c r="C1499">
        <v>20</v>
      </c>
      <c r="D1499" t="s">
        <v>204</v>
      </c>
      <c r="E1499" t="s">
        <v>12</v>
      </c>
      <c r="F1499" s="7">
        <v>263.07</v>
      </c>
      <c r="G1499" s="10">
        <v>0</v>
      </c>
      <c r="H1499" s="7">
        <v>263.07</v>
      </c>
      <c r="I1499">
        <v>3</v>
      </c>
      <c r="J1499" t="s">
        <v>13</v>
      </c>
      <c r="K1499" s="13">
        <f>ROUND(tblTransactions[[#This Row],[gross_sales_inr]]*(1-tblTransactions[[#This Row],[discount_pct]]),2)</f>
        <v>263.07</v>
      </c>
      <c r="L1499" t="str">
        <f>IF(ABS(tblTransactions[[#This Row],[net_sales_inr]]-tblTransactions[[#This Row],[Recalc_Net_Sales]])&lt;0.02,"OK","CHECK")</f>
        <v>OK</v>
      </c>
      <c r="M1499" s="14">
        <f>DATE(YEAR(tblTransactions[[#This Row],[date]]),MONTH(tblTransactions[[#This Row],[date]]),1)</f>
        <v>45717</v>
      </c>
      <c r="N1499" t="str">
        <f>IF(WEEKDAY(tblTransactions[[#This Row],[date]],2)&gt;5,"Weekend","Weekday")</f>
        <v>Weekday</v>
      </c>
      <c r="O1499" s="13" t="str">
        <f>IF(tblTransactions[[#This Row],[discount_pct]]=0,"0%",IF(tblTransactions[[#This Row],[discount_pct]]&lt;=10%,"1–
10%",IF(tblTransactions[[#This Row],[discount_pct]]&lt;=20%,"11–20%","&gt;20%")))</f>
        <v>0%</v>
      </c>
      <c r="P1499" s="13" t="str">
        <f>_xlfn.XLOOKUP(tblTransactions[[#This Row],[tenant_id]],tblTenants[tenant_id],tblTenants[zone],"NOT FOUND")</f>
        <v>Home &amp; Living</v>
      </c>
      <c r="Q1499" s="13" t="str">
        <f>_xlfn.XLOOKUP(tblTransactions[[#This Row],[tenant_id]],tblTenants[tenant_id],tblTenants[category],"NOT FOUND")</f>
        <v>Home Decor</v>
      </c>
    </row>
    <row r="1500" spans="1:17">
      <c r="A1500" t="s">
        <v>1544</v>
      </c>
      <c r="B1500" s="2">
        <v>45779</v>
      </c>
      <c r="C1500">
        <v>17</v>
      </c>
      <c r="D1500" t="s">
        <v>43</v>
      </c>
      <c r="E1500" t="s">
        <v>12</v>
      </c>
      <c r="F1500" s="7">
        <v>2550.59</v>
      </c>
      <c r="G1500" s="10">
        <v>0</v>
      </c>
      <c r="H1500" s="7">
        <v>2550.59</v>
      </c>
      <c r="I1500">
        <v>4</v>
      </c>
      <c r="J1500" t="s">
        <v>13</v>
      </c>
      <c r="K1500" s="13">
        <f>ROUND(tblTransactions[[#This Row],[gross_sales_inr]]*(1-tblTransactions[[#This Row],[discount_pct]]),2)</f>
        <v>2550.59</v>
      </c>
      <c r="L1500" t="str">
        <f>IF(ABS(tblTransactions[[#This Row],[net_sales_inr]]-tblTransactions[[#This Row],[Recalc_Net_Sales]])&lt;0.02,"OK","CHECK")</f>
        <v>OK</v>
      </c>
      <c r="M1500" s="14">
        <f>DATE(YEAR(tblTransactions[[#This Row],[date]]),MONTH(tblTransactions[[#This Row],[date]]),1)</f>
        <v>45778</v>
      </c>
      <c r="N1500" t="str">
        <f>IF(WEEKDAY(tblTransactions[[#This Row],[date]],2)&gt;5,"Weekend","Weekday")</f>
        <v>Weekday</v>
      </c>
      <c r="O1500" s="13" t="str">
        <f>IF(tblTransactions[[#This Row],[discount_pct]]=0,"0%",IF(tblTransactions[[#This Row],[discount_pct]]&lt;=10%,"1–
10%",IF(tblTransactions[[#This Row],[discount_pct]]&lt;=20%,"11–20%","&gt;20%")))</f>
        <v>0%</v>
      </c>
      <c r="P1500" s="13" t="str">
        <f>_xlfn.XLOOKUP(tblTransactions[[#This Row],[tenant_id]],tblTenants[tenant_id],tblTenants[zone],"NOT FOUND")</f>
        <v>Food Court</v>
      </c>
      <c r="Q1500" s="13" t="str">
        <f>_xlfn.XLOOKUP(tblTransactions[[#This Row],[tenant_id]],tblTenants[tenant_id],tblTenants[category],"NOT FOUND")</f>
        <v>Casual Dining</v>
      </c>
    </row>
    <row r="1501" spans="1:17">
      <c r="A1501" t="s">
        <v>1545</v>
      </c>
      <c r="B1501" s="2">
        <v>45705</v>
      </c>
      <c r="C1501">
        <v>16</v>
      </c>
      <c r="D1501" t="s">
        <v>70</v>
      </c>
      <c r="E1501" t="s">
        <v>12</v>
      </c>
      <c r="F1501" s="7">
        <v>1483.03</v>
      </c>
      <c r="G1501" s="10">
        <v>0.15</v>
      </c>
      <c r="H1501" s="7">
        <v>1260.58</v>
      </c>
      <c r="I1501">
        <v>4</v>
      </c>
      <c r="J1501" t="s">
        <v>16</v>
      </c>
      <c r="K1501" s="13">
        <f>ROUND(tblTransactions[[#This Row],[gross_sales_inr]]*(1-tblTransactions[[#This Row],[discount_pct]]),2)</f>
        <v>1260.58</v>
      </c>
      <c r="L1501" t="str">
        <f>IF(ABS(tblTransactions[[#This Row],[net_sales_inr]]-tblTransactions[[#This Row],[Recalc_Net_Sales]])&lt;0.02,"OK","CHECK")</f>
        <v>OK</v>
      </c>
      <c r="M1501" s="14">
        <f>DATE(YEAR(tblTransactions[[#This Row],[date]]),MONTH(tblTransactions[[#This Row],[date]]),1)</f>
        <v>45689</v>
      </c>
      <c r="N1501" t="str">
        <f>IF(WEEKDAY(tblTransactions[[#This Row],[date]],2)&gt;5,"Weekend","Weekday")</f>
        <v>Weekday</v>
      </c>
      <c r="O150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01" s="13" t="str">
        <f>_xlfn.XLOOKUP(tblTransactions[[#This Row],[tenant_id]],tblTenants[tenant_id],tblTenants[zone],"NOT FOUND")</f>
        <v>Food Court</v>
      </c>
      <c r="Q1501" s="13" t="str">
        <f>_xlfn.XLOOKUP(tblTransactions[[#This Row],[tenant_id]],tblTenants[tenant_id],tblTenants[category],"NOT FOUND")</f>
        <v>Quick Service</v>
      </c>
    </row>
    <row r="1502" spans="1:17">
      <c r="A1502" t="s">
        <v>1546</v>
      </c>
      <c r="B1502" s="2">
        <v>45831</v>
      </c>
      <c r="C1502">
        <v>11</v>
      </c>
      <c r="D1502" t="s">
        <v>20</v>
      </c>
      <c r="E1502" t="s">
        <v>12</v>
      </c>
      <c r="F1502" s="7">
        <v>2126</v>
      </c>
      <c r="G1502" s="10">
        <v>0</v>
      </c>
      <c r="H1502" s="7">
        <v>2126</v>
      </c>
      <c r="I1502">
        <v>2</v>
      </c>
      <c r="J1502" t="s">
        <v>13</v>
      </c>
      <c r="K1502" s="13">
        <f>ROUND(tblTransactions[[#This Row],[gross_sales_inr]]*(1-tblTransactions[[#This Row],[discount_pct]]),2)</f>
        <v>2126</v>
      </c>
      <c r="L1502" t="str">
        <f>IF(ABS(tblTransactions[[#This Row],[net_sales_inr]]-tblTransactions[[#This Row],[Recalc_Net_Sales]])&lt;0.02,"OK","CHECK")</f>
        <v>OK</v>
      </c>
      <c r="M1502" s="14">
        <f>DATE(YEAR(tblTransactions[[#This Row],[date]]),MONTH(tblTransactions[[#This Row],[date]]),1)</f>
        <v>45809</v>
      </c>
      <c r="N1502" t="str">
        <f>IF(WEEKDAY(tblTransactions[[#This Row],[date]],2)&gt;5,"Weekend","Weekday")</f>
        <v>Weekday</v>
      </c>
      <c r="O1502" s="13" t="str">
        <f>IF(tblTransactions[[#This Row],[discount_pct]]=0,"0%",IF(tblTransactions[[#This Row],[discount_pct]]&lt;=10%,"1–
10%",IF(tblTransactions[[#This Row],[discount_pct]]&lt;=20%,"11–20%","&gt;20%")))</f>
        <v>0%</v>
      </c>
      <c r="P1502" s="13" t="str">
        <f>_xlfn.XLOOKUP(tblTransactions[[#This Row],[tenant_id]],tblTenants[tenant_id],tblTenants[zone],"NOT FOUND")</f>
        <v>Fashion Avenue</v>
      </c>
      <c r="Q1502" s="13" t="str">
        <f>_xlfn.XLOOKUP(tblTransactions[[#This Row],[tenant_id]],tblTenants[tenant_id],tblTenants[category],"NOT FOUND")</f>
        <v>Accessories</v>
      </c>
    </row>
    <row r="1503" spans="1:17">
      <c r="A1503" t="s">
        <v>1547</v>
      </c>
      <c r="B1503" s="2">
        <v>45751</v>
      </c>
      <c r="C1503">
        <v>17</v>
      </c>
      <c r="D1503" t="s">
        <v>23</v>
      </c>
      <c r="E1503" t="s">
        <v>12</v>
      </c>
      <c r="F1503" s="7">
        <v>498.37</v>
      </c>
      <c r="G1503" s="10">
        <v>0</v>
      </c>
      <c r="H1503" s="7">
        <v>498.37</v>
      </c>
      <c r="I1503">
        <v>4</v>
      </c>
      <c r="J1503" t="s">
        <v>13</v>
      </c>
      <c r="K1503" s="13">
        <f>ROUND(tblTransactions[[#This Row],[gross_sales_inr]]*(1-tblTransactions[[#This Row],[discount_pct]]),2)</f>
        <v>498.37</v>
      </c>
      <c r="L1503" t="str">
        <f>IF(ABS(tblTransactions[[#This Row],[net_sales_inr]]-tblTransactions[[#This Row],[Recalc_Net_Sales]])&lt;0.02,"OK","CHECK")</f>
        <v>OK</v>
      </c>
      <c r="M1503" s="14">
        <f>DATE(YEAR(tblTransactions[[#This Row],[date]]),MONTH(tblTransactions[[#This Row],[date]]),1)</f>
        <v>45748</v>
      </c>
      <c r="N1503" t="str">
        <f>IF(WEEKDAY(tblTransactions[[#This Row],[date]],2)&gt;5,"Weekend","Weekday")</f>
        <v>Weekday</v>
      </c>
      <c r="O1503" s="13" t="str">
        <f>IF(tblTransactions[[#This Row],[discount_pct]]=0,"0%",IF(tblTransactions[[#This Row],[discount_pct]]&lt;=10%,"1–
10%",IF(tblTransactions[[#This Row],[discount_pct]]&lt;=20%,"11–20%","&gt;20%")))</f>
        <v>0%</v>
      </c>
      <c r="P1503" s="13" t="str">
        <f>_xlfn.XLOOKUP(tblTransactions[[#This Row],[tenant_id]],tblTenants[tenant_id],tblTenants[zone],"NOT FOUND")</f>
        <v>Entertainment</v>
      </c>
      <c r="Q1503" s="13" t="str">
        <f>_xlfn.XLOOKUP(tblTransactions[[#This Row],[tenant_id]],tblTenants[tenant_id],tblTenants[category],"NOT FOUND")</f>
        <v>Cinema</v>
      </c>
    </row>
    <row r="1504" spans="1:17">
      <c r="A1504" t="s">
        <v>1548</v>
      </c>
      <c r="B1504" s="2">
        <v>45804</v>
      </c>
      <c r="C1504">
        <v>16</v>
      </c>
      <c r="D1504" t="s">
        <v>27</v>
      </c>
      <c r="E1504" t="s">
        <v>12</v>
      </c>
      <c r="F1504" s="7">
        <v>258.04000000000002</v>
      </c>
      <c r="G1504" s="10">
        <v>0.1</v>
      </c>
      <c r="H1504" s="7">
        <v>232.24</v>
      </c>
      <c r="I1504">
        <v>2</v>
      </c>
      <c r="J1504" t="s">
        <v>13</v>
      </c>
      <c r="K1504" s="13">
        <f>ROUND(tblTransactions[[#This Row],[gross_sales_inr]]*(1-tblTransactions[[#This Row],[discount_pct]]),2)</f>
        <v>232.24</v>
      </c>
      <c r="L1504" t="str">
        <f>IF(ABS(tblTransactions[[#This Row],[net_sales_inr]]-tblTransactions[[#This Row],[Recalc_Net_Sales]])&lt;0.02,"OK","CHECK")</f>
        <v>OK</v>
      </c>
      <c r="M1504" s="14">
        <f>DATE(YEAR(tblTransactions[[#This Row],[date]]),MONTH(tblTransactions[[#This Row],[date]]),1)</f>
        <v>45778</v>
      </c>
      <c r="N1504" t="str">
        <f>IF(WEEKDAY(tblTransactions[[#This Row],[date]],2)&gt;5,"Weekend","Weekday")</f>
        <v>Weekday</v>
      </c>
      <c r="O150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04" s="13" t="str">
        <f>_xlfn.XLOOKUP(tblTransactions[[#This Row],[tenant_id]],tblTenants[tenant_id],tblTenants[zone],"NOT FOUND")</f>
        <v>Beauty &amp; Wellness</v>
      </c>
      <c r="Q1504" s="13" t="str">
        <f>_xlfn.XLOOKUP(tblTransactions[[#This Row],[tenant_id]],tblTenants[tenant_id],tblTenants[category],"NOT FOUND")</f>
        <v>Wellness</v>
      </c>
    </row>
    <row r="1505" spans="1:17">
      <c r="A1505" t="s">
        <v>1549</v>
      </c>
      <c r="B1505" s="2">
        <v>45835</v>
      </c>
      <c r="C1505">
        <v>13</v>
      </c>
      <c r="D1505" t="s">
        <v>31</v>
      </c>
      <c r="E1505" t="s">
        <v>12</v>
      </c>
      <c r="F1505" s="7">
        <v>806.02</v>
      </c>
      <c r="G1505" s="10">
        <v>0</v>
      </c>
      <c r="H1505" s="7">
        <v>806.02</v>
      </c>
      <c r="I1505">
        <v>3</v>
      </c>
      <c r="J1505" t="s">
        <v>13</v>
      </c>
      <c r="K1505" s="13">
        <f>ROUND(tblTransactions[[#This Row],[gross_sales_inr]]*(1-tblTransactions[[#This Row],[discount_pct]]),2)</f>
        <v>806.02</v>
      </c>
      <c r="L1505" t="str">
        <f>IF(ABS(tblTransactions[[#This Row],[net_sales_inr]]-tblTransactions[[#This Row],[Recalc_Net_Sales]])&lt;0.02,"OK","CHECK")</f>
        <v>OK</v>
      </c>
      <c r="M1505" s="14">
        <f>DATE(YEAR(tblTransactions[[#This Row],[date]]),MONTH(tblTransactions[[#This Row],[date]]),1)</f>
        <v>45809</v>
      </c>
      <c r="N1505" t="str">
        <f>IF(WEEKDAY(tblTransactions[[#This Row],[date]],2)&gt;5,"Weekend","Weekday")</f>
        <v>Weekday</v>
      </c>
      <c r="O1505" s="13" t="str">
        <f>IF(tblTransactions[[#This Row],[discount_pct]]=0,"0%",IF(tblTransactions[[#This Row],[discount_pct]]&lt;=10%,"1–
10%",IF(tblTransactions[[#This Row],[discount_pct]]&lt;=20%,"11–20%","&gt;20%")))</f>
        <v>0%</v>
      </c>
      <c r="P1505" s="13" t="str">
        <f>_xlfn.XLOOKUP(tblTransactions[[#This Row],[tenant_id]],tblTenants[tenant_id],tblTenants[zone],"NOT FOUND")</f>
        <v>Entertainment</v>
      </c>
      <c r="Q1505" s="13" t="str">
        <f>_xlfn.XLOOKUP(tblTransactions[[#This Row],[tenant_id]],tblTenants[tenant_id],tblTenants[category],"NOT FOUND")</f>
        <v>Arcade</v>
      </c>
    </row>
    <row r="1506" spans="1:17">
      <c r="A1506" t="s">
        <v>1550</v>
      </c>
      <c r="B1506" s="2">
        <v>45679</v>
      </c>
      <c r="C1506">
        <v>13</v>
      </c>
      <c r="D1506" t="s">
        <v>98</v>
      </c>
      <c r="E1506" t="s">
        <v>12</v>
      </c>
      <c r="F1506" s="7">
        <v>2003.82</v>
      </c>
      <c r="G1506" s="10">
        <v>0</v>
      </c>
      <c r="H1506" s="7">
        <v>2003.82</v>
      </c>
      <c r="I1506">
        <v>4</v>
      </c>
      <c r="J1506" t="s">
        <v>13</v>
      </c>
      <c r="K1506" s="13">
        <f>ROUND(tblTransactions[[#This Row],[gross_sales_inr]]*(1-tblTransactions[[#This Row],[discount_pct]]),2)</f>
        <v>2003.82</v>
      </c>
      <c r="L1506" t="str">
        <f>IF(ABS(tblTransactions[[#This Row],[net_sales_inr]]-tblTransactions[[#This Row],[Recalc_Net_Sales]])&lt;0.02,"OK","CHECK")</f>
        <v>OK</v>
      </c>
      <c r="M1506" s="14">
        <f>DATE(YEAR(tblTransactions[[#This Row],[date]]),MONTH(tblTransactions[[#This Row],[date]]),1)</f>
        <v>45658</v>
      </c>
      <c r="N1506" t="str">
        <f>IF(WEEKDAY(tblTransactions[[#This Row],[date]],2)&gt;5,"Weekend","Weekday")</f>
        <v>Weekday</v>
      </c>
      <c r="O1506" s="13" t="str">
        <f>IF(tblTransactions[[#This Row],[discount_pct]]=0,"0%",IF(tblTransactions[[#This Row],[discount_pct]]&lt;=10%,"1–
10%",IF(tblTransactions[[#This Row],[discount_pct]]&lt;=20%,"11–20%","&gt;20%")))</f>
        <v>0%</v>
      </c>
      <c r="P1506" s="13" t="str">
        <f>_xlfn.XLOOKUP(tblTransactions[[#This Row],[tenant_id]],tblTenants[tenant_id],tblTenants[zone],"NOT FOUND")</f>
        <v>Fashion Avenue</v>
      </c>
      <c r="Q1506" s="13" t="str">
        <f>_xlfn.XLOOKUP(tblTransactions[[#This Row],[tenant_id]],tblTenants[tenant_id],tblTenants[category],"NOT FOUND")</f>
        <v>Accessories</v>
      </c>
    </row>
    <row r="1507" spans="1:17">
      <c r="A1507" t="s">
        <v>1551</v>
      </c>
      <c r="B1507" s="2">
        <v>45831</v>
      </c>
      <c r="C1507">
        <v>20</v>
      </c>
      <c r="D1507" t="s">
        <v>41</v>
      </c>
      <c r="E1507" t="s">
        <v>32</v>
      </c>
      <c r="F1507" s="7">
        <v>421.72</v>
      </c>
      <c r="G1507" s="10">
        <v>0</v>
      </c>
      <c r="H1507" s="7">
        <v>421.72</v>
      </c>
      <c r="I1507">
        <v>2</v>
      </c>
      <c r="J1507" t="s">
        <v>13</v>
      </c>
      <c r="K1507" s="13">
        <f>ROUND(tblTransactions[[#This Row],[gross_sales_inr]]*(1-tblTransactions[[#This Row],[discount_pct]]),2)</f>
        <v>421.72</v>
      </c>
      <c r="L1507" t="str">
        <f>IF(ABS(tblTransactions[[#This Row],[net_sales_inr]]-tblTransactions[[#This Row],[Recalc_Net_Sales]])&lt;0.02,"OK","CHECK")</f>
        <v>OK</v>
      </c>
      <c r="M1507" s="14">
        <f>DATE(YEAR(tblTransactions[[#This Row],[date]]),MONTH(tblTransactions[[#This Row],[date]]),1)</f>
        <v>45809</v>
      </c>
      <c r="N1507" t="str">
        <f>IF(WEEKDAY(tblTransactions[[#This Row],[date]],2)&gt;5,"Weekend","Weekday")</f>
        <v>Weekday</v>
      </c>
      <c r="O1507" s="13" t="str">
        <f>IF(tblTransactions[[#This Row],[discount_pct]]=0,"0%",IF(tblTransactions[[#This Row],[discount_pct]]&lt;=10%,"1–
10%",IF(tblTransactions[[#This Row],[discount_pct]]&lt;=20%,"11–20%","&gt;20%")))</f>
        <v>0%</v>
      </c>
      <c r="P1507" s="13" t="str">
        <f>_xlfn.XLOOKUP(tblTransactions[[#This Row],[tenant_id]],tblTenants[tenant_id],tblTenants[zone],"NOT FOUND")</f>
        <v>Fashion Avenue</v>
      </c>
      <c r="Q1507" s="13" t="str">
        <f>_xlfn.XLOOKUP(tblTransactions[[#This Row],[tenant_id]],tblTenants[tenant_id],tblTenants[category],"NOT FOUND")</f>
        <v>Clothing</v>
      </c>
    </row>
    <row r="1508" spans="1:17">
      <c r="A1508" t="s">
        <v>1552</v>
      </c>
      <c r="B1508" s="2">
        <v>45806</v>
      </c>
      <c r="C1508">
        <v>12</v>
      </c>
      <c r="D1508" t="s">
        <v>53</v>
      </c>
      <c r="E1508" t="s">
        <v>12</v>
      </c>
      <c r="F1508" s="7">
        <v>793.58</v>
      </c>
      <c r="G1508" s="10">
        <v>0</v>
      </c>
      <c r="H1508" s="7">
        <v>793.58</v>
      </c>
      <c r="I1508">
        <v>1</v>
      </c>
      <c r="J1508" t="s">
        <v>16</v>
      </c>
      <c r="K1508" s="13">
        <f>ROUND(tblTransactions[[#This Row],[gross_sales_inr]]*(1-tblTransactions[[#This Row],[discount_pct]]),2)</f>
        <v>793.58</v>
      </c>
      <c r="L1508" t="str">
        <f>IF(ABS(tblTransactions[[#This Row],[net_sales_inr]]-tblTransactions[[#This Row],[Recalc_Net_Sales]])&lt;0.02,"OK","CHECK")</f>
        <v>OK</v>
      </c>
      <c r="M1508" s="14">
        <f>DATE(YEAR(tblTransactions[[#This Row],[date]]),MONTH(tblTransactions[[#This Row],[date]]),1)</f>
        <v>45778</v>
      </c>
      <c r="N1508" t="str">
        <f>IF(WEEKDAY(tblTransactions[[#This Row],[date]],2)&gt;5,"Weekend","Weekday")</f>
        <v>Weekday</v>
      </c>
      <c r="O1508" s="13" t="str">
        <f>IF(tblTransactions[[#This Row],[discount_pct]]=0,"0%",IF(tblTransactions[[#This Row],[discount_pct]]&lt;=10%,"1–
10%",IF(tblTransactions[[#This Row],[discount_pct]]&lt;=20%,"11–20%","&gt;20%")))</f>
        <v>0%</v>
      </c>
      <c r="P1508" s="13" t="str">
        <f>_xlfn.XLOOKUP(tblTransactions[[#This Row],[tenant_id]],tblTenants[tenant_id],tblTenants[zone],"NOT FOUND")</f>
        <v>Beauty &amp; Wellness</v>
      </c>
      <c r="Q1508" s="13" t="str">
        <f>_xlfn.XLOOKUP(tblTransactions[[#This Row],[tenant_id]],tblTenants[tenant_id],tblTenants[category],"NOT FOUND")</f>
        <v>Beauty</v>
      </c>
    </row>
    <row r="1509" spans="1:17">
      <c r="A1509" t="s">
        <v>1553</v>
      </c>
      <c r="B1509" s="2">
        <v>45820</v>
      </c>
      <c r="C1509">
        <v>19</v>
      </c>
      <c r="D1509" t="s">
        <v>11</v>
      </c>
      <c r="E1509" t="s">
        <v>32</v>
      </c>
      <c r="F1509" s="7">
        <v>5699.89</v>
      </c>
      <c r="G1509" s="10">
        <v>0</v>
      </c>
      <c r="H1509" s="7">
        <v>5699.89</v>
      </c>
      <c r="I1509">
        <v>2</v>
      </c>
      <c r="J1509" t="s">
        <v>13</v>
      </c>
      <c r="K1509" s="13">
        <f>ROUND(tblTransactions[[#This Row],[gross_sales_inr]]*(1-tblTransactions[[#This Row],[discount_pct]]),2)</f>
        <v>5699.89</v>
      </c>
      <c r="L1509" t="str">
        <f>IF(ABS(tblTransactions[[#This Row],[net_sales_inr]]-tblTransactions[[#This Row],[Recalc_Net_Sales]])&lt;0.02,"OK","CHECK")</f>
        <v>OK</v>
      </c>
      <c r="M1509" s="14">
        <f>DATE(YEAR(tblTransactions[[#This Row],[date]]),MONTH(tblTransactions[[#This Row],[date]]),1)</f>
        <v>45809</v>
      </c>
      <c r="N1509" t="str">
        <f>IF(WEEKDAY(tblTransactions[[#This Row],[date]],2)&gt;5,"Weekend","Weekday")</f>
        <v>Weekday</v>
      </c>
      <c r="O1509" s="13" t="str">
        <f>IF(tblTransactions[[#This Row],[discount_pct]]=0,"0%",IF(tblTransactions[[#This Row],[discount_pct]]&lt;=10%,"1–
10%",IF(tblTransactions[[#This Row],[discount_pct]]&lt;=20%,"11–20%","&gt;20%")))</f>
        <v>0%</v>
      </c>
      <c r="P1509" s="13" t="str">
        <f>_xlfn.XLOOKUP(tblTransactions[[#This Row],[tenant_id]],tblTenants[tenant_id],tblTenants[zone],"NOT FOUND")</f>
        <v>Home &amp; Living</v>
      </c>
      <c r="Q1509" s="13" t="str">
        <f>_xlfn.XLOOKUP(tblTransactions[[#This Row],[tenant_id]],tblTenants[tenant_id],tblTenants[category],"NOT FOUND")</f>
        <v>Home Decor</v>
      </c>
    </row>
    <row r="1510" spans="1:17">
      <c r="A1510" t="s">
        <v>1554</v>
      </c>
      <c r="B1510" s="2">
        <v>45795</v>
      </c>
      <c r="C1510">
        <v>13</v>
      </c>
      <c r="D1510" t="s">
        <v>15</v>
      </c>
      <c r="E1510" t="s">
        <v>32</v>
      </c>
      <c r="F1510" s="7">
        <v>448.6</v>
      </c>
      <c r="G1510" s="10">
        <v>0</v>
      </c>
      <c r="H1510" s="7">
        <v>448.6</v>
      </c>
      <c r="I1510">
        <v>2</v>
      </c>
      <c r="J1510" t="s">
        <v>13</v>
      </c>
      <c r="K1510" s="13">
        <f>ROUND(tblTransactions[[#This Row],[gross_sales_inr]]*(1-tblTransactions[[#This Row],[discount_pct]]),2)</f>
        <v>448.6</v>
      </c>
      <c r="L1510" t="str">
        <f>IF(ABS(tblTransactions[[#This Row],[net_sales_inr]]-tblTransactions[[#This Row],[Recalc_Net_Sales]])&lt;0.02,"OK","CHECK")</f>
        <v>OK</v>
      </c>
      <c r="M1510" s="14">
        <f>DATE(YEAR(tblTransactions[[#This Row],[date]]),MONTH(tblTransactions[[#This Row],[date]]),1)</f>
        <v>45778</v>
      </c>
      <c r="N1510" t="str">
        <f>IF(WEEKDAY(tblTransactions[[#This Row],[date]],2)&gt;5,"Weekend","Weekday")</f>
        <v>Weekend</v>
      </c>
      <c r="O1510" s="13" t="str">
        <f>IF(tblTransactions[[#This Row],[discount_pct]]=0,"0%",IF(tblTransactions[[#This Row],[discount_pct]]&lt;=10%,"1–
10%",IF(tblTransactions[[#This Row],[discount_pct]]&lt;=20%,"11–20%","&gt;20%")))</f>
        <v>0%</v>
      </c>
      <c r="P1510" s="13" t="str">
        <f>_xlfn.XLOOKUP(tblTransactions[[#This Row],[tenant_id]],tblTenants[tenant_id],tblTenants[zone],"NOT FOUND")</f>
        <v>Fashion Avenue</v>
      </c>
      <c r="Q1510" s="13" t="str">
        <f>_xlfn.XLOOKUP(tblTransactions[[#This Row],[tenant_id]],tblTenants[tenant_id],tblTenants[category],"NOT FOUND")</f>
        <v>Accessories</v>
      </c>
    </row>
    <row r="1511" spans="1:17">
      <c r="A1511" t="s">
        <v>1555</v>
      </c>
      <c r="B1511" s="2">
        <v>45711</v>
      </c>
      <c r="C1511">
        <v>10</v>
      </c>
      <c r="D1511" t="s">
        <v>122</v>
      </c>
      <c r="E1511" t="s">
        <v>12</v>
      </c>
      <c r="F1511" s="7">
        <v>1226.75</v>
      </c>
      <c r="G1511" s="10">
        <v>0.2</v>
      </c>
      <c r="H1511" s="7">
        <v>981.4</v>
      </c>
      <c r="I1511">
        <v>3</v>
      </c>
      <c r="J1511" t="s">
        <v>13</v>
      </c>
      <c r="K1511" s="13">
        <f>ROUND(tblTransactions[[#This Row],[gross_sales_inr]]*(1-tblTransactions[[#This Row],[discount_pct]]),2)</f>
        <v>981.4</v>
      </c>
      <c r="L1511" t="str">
        <f>IF(ABS(tblTransactions[[#This Row],[net_sales_inr]]-tblTransactions[[#This Row],[Recalc_Net_Sales]])&lt;0.02,"OK","CHECK")</f>
        <v>OK</v>
      </c>
      <c r="M1511" s="14">
        <f>DATE(YEAR(tblTransactions[[#This Row],[date]]),MONTH(tblTransactions[[#This Row],[date]]),1)</f>
        <v>45689</v>
      </c>
      <c r="N1511" t="str">
        <f>IF(WEEKDAY(tblTransactions[[#This Row],[date]],2)&gt;5,"Weekend","Weekday")</f>
        <v>Weekend</v>
      </c>
      <c r="O151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11" s="13" t="str">
        <f>_xlfn.XLOOKUP(tblTransactions[[#This Row],[tenant_id]],tblTenants[tenant_id],tblTenants[zone],"NOT FOUND")</f>
        <v>Beauty &amp; Wellness</v>
      </c>
      <c r="Q1511" s="13" t="str">
        <f>_xlfn.XLOOKUP(tblTransactions[[#This Row],[tenant_id]],tblTenants[tenant_id],tblTenants[category],"NOT FOUND")</f>
        <v>Wellness</v>
      </c>
    </row>
    <row r="1512" spans="1:17">
      <c r="A1512" t="s">
        <v>1556</v>
      </c>
      <c r="B1512" s="2">
        <v>45778</v>
      </c>
      <c r="C1512">
        <v>12</v>
      </c>
      <c r="D1512" t="s">
        <v>41</v>
      </c>
      <c r="E1512" t="s">
        <v>12</v>
      </c>
      <c r="F1512" s="7">
        <v>2655.57</v>
      </c>
      <c r="G1512" s="10">
        <v>0</v>
      </c>
      <c r="H1512" s="7">
        <v>2655.57</v>
      </c>
      <c r="I1512">
        <v>3</v>
      </c>
      <c r="J1512" t="s">
        <v>16</v>
      </c>
      <c r="K1512" s="13">
        <f>ROUND(tblTransactions[[#This Row],[gross_sales_inr]]*(1-tblTransactions[[#This Row],[discount_pct]]),2)</f>
        <v>2655.57</v>
      </c>
      <c r="L1512" t="str">
        <f>IF(ABS(tblTransactions[[#This Row],[net_sales_inr]]-tblTransactions[[#This Row],[Recalc_Net_Sales]])&lt;0.02,"OK","CHECK")</f>
        <v>OK</v>
      </c>
      <c r="M1512" s="14">
        <f>DATE(YEAR(tblTransactions[[#This Row],[date]]),MONTH(tblTransactions[[#This Row],[date]]),1)</f>
        <v>45778</v>
      </c>
      <c r="N1512" t="str">
        <f>IF(WEEKDAY(tblTransactions[[#This Row],[date]],2)&gt;5,"Weekend","Weekday")</f>
        <v>Weekday</v>
      </c>
      <c r="O1512" s="13" t="str">
        <f>IF(tblTransactions[[#This Row],[discount_pct]]=0,"0%",IF(tblTransactions[[#This Row],[discount_pct]]&lt;=10%,"1–
10%",IF(tblTransactions[[#This Row],[discount_pct]]&lt;=20%,"11–20%","&gt;20%")))</f>
        <v>0%</v>
      </c>
      <c r="P1512" s="13" t="str">
        <f>_xlfn.XLOOKUP(tblTransactions[[#This Row],[tenant_id]],tblTenants[tenant_id],tblTenants[zone],"NOT FOUND")</f>
        <v>Fashion Avenue</v>
      </c>
      <c r="Q1512" s="13" t="str">
        <f>_xlfn.XLOOKUP(tblTransactions[[#This Row],[tenant_id]],tblTenants[tenant_id],tblTenants[category],"NOT FOUND")</f>
        <v>Clothing</v>
      </c>
    </row>
    <row r="1513" spans="1:17">
      <c r="A1513" t="s">
        <v>1557</v>
      </c>
      <c r="B1513" s="2">
        <v>45749</v>
      </c>
      <c r="C1513">
        <v>10</v>
      </c>
      <c r="D1513" t="s">
        <v>29</v>
      </c>
      <c r="E1513" t="s">
        <v>12</v>
      </c>
      <c r="F1513" s="7">
        <v>920.4</v>
      </c>
      <c r="G1513" s="10">
        <v>0</v>
      </c>
      <c r="H1513" s="7">
        <v>920.4</v>
      </c>
      <c r="I1513">
        <v>5</v>
      </c>
      <c r="J1513" t="s">
        <v>16</v>
      </c>
      <c r="K1513" s="13">
        <f>ROUND(tblTransactions[[#This Row],[gross_sales_inr]]*(1-tblTransactions[[#This Row],[discount_pct]]),2)</f>
        <v>920.4</v>
      </c>
      <c r="L1513" t="str">
        <f>IF(ABS(tblTransactions[[#This Row],[net_sales_inr]]-tblTransactions[[#This Row],[Recalc_Net_Sales]])&lt;0.02,"OK","CHECK")</f>
        <v>OK</v>
      </c>
      <c r="M1513" s="14">
        <f>DATE(YEAR(tblTransactions[[#This Row],[date]]),MONTH(tblTransactions[[#This Row],[date]]),1)</f>
        <v>45748</v>
      </c>
      <c r="N1513" t="str">
        <f>IF(WEEKDAY(tblTransactions[[#This Row],[date]],2)&gt;5,"Weekend","Weekday")</f>
        <v>Weekday</v>
      </c>
      <c r="O1513" s="13" t="str">
        <f>IF(tblTransactions[[#This Row],[discount_pct]]=0,"0%",IF(tblTransactions[[#This Row],[discount_pct]]&lt;=10%,"1–
10%",IF(tblTransactions[[#This Row],[discount_pct]]&lt;=20%,"11–20%","&gt;20%")))</f>
        <v>0%</v>
      </c>
      <c r="P1513" s="13" t="str">
        <f>_xlfn.XLOOKUP(tblTransactions[[#This Row],[tenant_id]],tblTenants[tenant_id],tblTenants[zone],"NOT FOUND")</f>
        <v>Entertainment</v>
      </c>
      <c r="Q1513" s="13" t="str">
        <f>_xlfn.XLOOKUP(tblTransactions[[#This Row],[tenant_id]],tblTenants[tenant_id],tblTenants[category],"NOT FOUND")</f>
        <v>Cinema</v>
      </c>
    </row>
    <row r="1514" spans="1:17">
      <c r="A1514" t="s">
        <v>1558</v>
      </c>
      <c r="B1514" s="2">
        <v>45663</v>
      </c>
      <c r="C1514">
        <v>15</v>
      </c>
      <c r="D1514" t="s">
        <v>20</v>
      </c>
      <c r="E1514" t="s">
        <v>12</v>
      </c>
      <c r="F1514" s="7">
        <v>2210.84</v>
      </c>
      <c r="G1514" s="10">
        <v>0.1</v>
      </c>
      <c r="H1514" s="7">
        <v>1989.76</v>
      </c>
      <c r="I1514">
        <v>3</v>
      </c>
      <c r="J1514" t="s">
        <v>16</v>
      </c>
      <c r="K1514" s="13">
        <f>ROUND(tblTransactions[[#This Row],[gross_sales_inr]]*(1-tblTransactions[[#This Row],[discount_pct]]),2)</f>
        <v>1989.76</v>
      </c>
      <c r="L1514" t="str">
        <f>IF(ABS(tblTransactions[[#This Row],[net_sales_inr]]-tblTransactions[[#This Row],[Recalc_Net_Sales]])&lt;0.02,"OK","CHECK")</f>
        <v>OK</v>
      </c>
      <c r="M1514" s="14">
        <f>DATE(YEAR(tblTransactions[[#This Row],[date]]),MONTH(tblTransactions[[#This Row],[date]]),1)</f>
        <v>45658</v>
      </c>
      <c r="N1514" t="str">
        <f>IF(WEEKDAY(tblTransactions[[#This Row],[date]],2)&gt;5,"Weekend","Weekday")</f>
        <v>Weekday</v>
      </c>
      <c r="O151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14" s="13" t="str">
        <f>_xlfn.XLOOKUP(tblTransactions[[#This Row],[tenant_id]],tblTenants[tenant_id],tblTenants[zone],"NOT FOUND")</f>
        <v>Fashion Avenue</v>
      </c>
      <c r="Q1514" s="13" t="str">
        <f>_xlfn.XLOOKUP(tblTransactions[[#This Row],[tenant_id]],tblTenants[tenant_id],tblTenants[category],"NOT FOUND")</f>
        <v>Accessories</v>
      </c>
    </row>
    <row r="1515" spans="1:17">
      <c r="A1515" t="s">
        <v>1559</v>
      </c>
      <c r="B1515" s="2">
        <v>45772</v>
      </c>
      <c r="C1515">
        <v>20</v>
      </c>
      <c r="D1515" t="s">
        <v>23</v>
      </c>
      <c r="E1515" t="s">
        <v>32</v>
      </c>
      <c r="F1515" s="7">
        <v>1238.53</v>
      </c>
      <c r="G1515" s="10">
        <v>0.1</v>
      </c>
      <c r="H1515" s="7">
        <v>1114.68</v>
      </c>
      <c r="I1515">
        <v>3</v>
      </c>
      <c r="J1515" t="s">
        <v>16</v>
      </c>
      <c r="K1515" s="13">
        <f>ROUND(tblTransactions[[#This Row],[gross_sales_inr]]*(1-tblTransactions[[#This Row],[discount_pct]]),2)</f>
        <v>1114.68</v>
      </c>
      <c r="L1515" t="str">
        <f>IF(ABS(tblTransactions[[#This Row],[net_sales_inr]]-tblTransactions[[#This Row],[Recalc_Net_Sales]])&lt;0.02,"OK","CHECK")</f>
        <v>OK</v>
      </c>
      <c r="M1515" s="14">
        <f>DATE(YEAR(tblTransactions[[#This Row],[date]]),MONTH(tblTransactions[[#This Row],[date]]),1)</f>
        <v>45748</v>
      </c>
      <c r="N1515" t="str">
        <f>IF(WEEKDAY(tblTransactions[[#This Row],[date]],2)&gt;5,"Weekend","Weekday")</f>
        <v>Weekday</v>
      </c>
      <c r="O151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15" s="13" t="str">
        <f>_xlfn.XLOOKUP(tblTransactions[[#This Row],[tenant_id]],tblTenants[tenant_id],tblTenants[zone],"NOT FOUND")</f>
        <v>Entertainment</v>
      </c>
      <c r="Q1515" s="13" t="str">
        <f>_xlfn.XLOOKUP(tblTransactions[[#This Row],[tenant_id]],tblTenants[tenant_id],tblTenants[category],"NOT FOUND")</f>
        <v>Cinema</v>
      </c>
    </row>
    <row r="1516" spans="1:17">
      <c r="A1516" t="s">
        <v>1560</v>
      </c>
      <c r="B1516" s="2">
        <v>45668</v>
      </c>
      <c r="C1516">
        <v>11</v>
      </c>
      <c r="D1516" t="s">
        <v>15</v>
      </c>
      <c r="E1516" t="s">
        <v>12</v>
      </c>
      <c r="F1516" s="7">
        <v>2219.9499999999998</v>
      </c>
      <c r="G1516" s="10">
        <v>0.05</v>
      </c>
      <c r="H1516" s="7">
        <v>2108.9499999999998</v>
      </c>
      <c r="I1516">
        <v>1</v>
      </c>
      <c r="J1516" t="s">
        <v>13</v>
      </c>
      <c r="K1516" s="13">
        <f>ROUND(tblTransactions[[#This Row],[gross_sales_inr]]*(1-tblTransactions[[#This Row],[discount_pct]]),2)</f>
        <v>2108.9499999999998</v>
      </c>
      <c r="L1516" t="str">
        <f>IF(ABS(tblTransactions[[#This Row],[net_sales_inr]]-tblTransactions[[#This Row],[Recalc_Net_Sales]])&lt;0.02,"OK","CHECK")</f>
        <v>OK</v>
      </c>
      <c r="M1516" s="14">
        <f>DATE(YEAR(tblTransactions[[#This Row],[date]]),MONTH(tblTransactions[[#This Row],[date]]),1)</f>
        <v>45658</v>
      </c>
      <c r="N1516" t="str">
        <f>IF(WEEKDAY(tblTransactions[[#This Row],[date]],2)&gt;5,"Weekend","Weekday")</f>
        <v>Weekend</v>
      </c>
      <c r="O151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16" s="13" t="str">
        <f>_xlfn.XLOOKUP(tblTransactions[[#This Row],[tenant_id]],tblTenants[tenant_id],tblTenants[zone],"NOT FOUND")</f>
        <v>Fashion Avenue</v>
      </c>
      <c r="Q1516" s="13" t="str">
        <f>_xlfn.XLOOKUP(tblTransactions[[#This Row],[tenant_id]],tblTenants[tenant_id],tblTenants[category],"NOT FOUND")</f>
        <v>Accessories</v>
      </c>
    </row>
    <row r="1517" spans="1:17">
      <c r="A1517" t="s">
        <v>1561</v>
      </c>
      <c r="B1517" s="2">
        <v>45719</v>
      </c>
      <c r="C1517">
        <v>15</v>
      </c>
      <c r="D1517" t="s">
        <v>70</v>
      </c>
      <c r="E1517" t="s">
        <v>32</v>
      </c>
      <c r="F1517" s="7">
        <v>655.83</v>
      </c>
      <c r="G1517" s="10">
        <v>0.15</v>
      </c>
      <c r="H1517" s="7">
        <v>557.46</v>
      </c>
      <c r="I1517">
        <v>3</v>
      </c>
      <c r="J1517" t="s">
        <v>13</v>
      </c>
      <c r="K1517" s="13">
        <f>ROUND(tblTransactions[[#This Row],[gross_sales_inr]]*(1-tblTransactions[[#This Row],[discount_pct]]),2)</f>
        <v>557.46</v>
      </c>
      <c r="L1517" t="str">
        <f>IF(ABS(tblTransactions[[#This Row],[net_sales_inr]]-tblTransactions[[#This Row],[Recalc_Net_Sales]])&lt;0.02,"OK","CHECK")</f>
        <v>OK</v>
      </c>
      <c r="M1517" s="14">
        <f>DATE(YEAR(tblTransactions[[#This Row],[date]]),MONTH(tblTransactions[[#This Row],[date]]),1)</f>
        <v>45717</v>
      </c>
      <c r="N1517" t="str">
        <f>IF(WEEKDAY(tblTransactions[[#This Row],[date]],2)&gt;5,"Weekend","Weekday")</f>
        <v>Weekday</v>
      </c>
      <c r="O151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17" s="13" t="str">
        <f>_xlfn.XLOOKUP(tblTransactions[[#This Row],[tenant_id]],tblTenants[tenant_id],tblTenants[zone],"NOT FOUND")</f>
        <v>Food Court</v>
      </c>
      <c r="Q1517" s="13" t="str">
        <f>_xlfn.XLOOKUP(tblTransactions[[#This Row],[tenant_id]],tblTenants[tenant_id],tblTenants[category],"NOT FOUND")</f>
        <v>Quick Service</v>
      </c>
    </row>
    <row r="1518" spans="1:17">
      <c r="A1518" t="s">
        <v>1562</v>
      </c>
      <c r="B1518" s="2">
        <v>45676</v>
      </c>
      <c r="C1518">
        <v>17</v>
      </c>
      <c r="D1518" t="s">
        <v>20</v>
      </c>
      <c r="E1518" t="s">
        <v>12</v>
      </c>
      <c r="F1518" s="7">
        <v>538.52</v>
      </c>
      <c r="G1518" s="10">
        <v>0.15</v>
      </c>
      <c r="H1518" s="7">
        <v>457.74</v>
      </c>
      <c r="I1518">
        <v>5</v>
      </c>
      <c r="J1518" t="s">
        <v>13</v>
      </c>
      <c r="K1518" s="13">
        <f>ROUND(tblTransactions[[#This Row],[gross_sales_inr]]*(1-tblTransactions[[#This Row],[discount_pct]]),2)</f>
        <v>457.74</v>
      </c>
      <c r="L1518" t="str">
        <f>IF(ABS(tblTransactions[[#This Row],[net_sales_inr]]-tblTransactions[[#This Row],[Recalc_Net_Sales]])&lt;0.02,"OK","CHECK")</f>
        <v>OK</v>
      </c>
      <c r="M1518" s="14">
        <f>DATE(YEAR(tblTransactions[[#This Row],[date]]),MONTH(tblTransactions[[#This Row],[date]]),1)</f>
        <v>45658</v>
      </c>
      <c r="N1518" t="str">
        <f>IF(WEEKDAY(tblTransactions[[#This Row],[date]],2)&gt;5,"Weekend","Weekday")</f>
        <v>Weekend</v>
      </c>
      <c r="O151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18" s="13" t="str">
        <f>_xlfn.XLOOKUP(tblTransactions[[#This Row],[tenant_id]],tblTenants[tenant_id],tblTenants[zone],"NOT FOUND")</f>
        <v>Fashion Avenue</v>
      </c>
      <c r="Q1518" s="13" t="str">
        <f>_xlfn.XLOOKUP(tblTransactions[[#This Row],[tenant_id]],tblTenants[tenant_id],tblTenants[category],"NOT FOUND")</f>
        <v>Accessories</v>
      </c>
    </row>
    <row r="1519" spans="1:17">
      <c r="A1519" t="s">
        <v>1563</v>
      </c>
      <c r="B1519" s="2">
        <v>45831</v>
      </c>
      <c r="C1519">
        <v>16</v>
      </c>
      <c r="D1519" t="s">
        <v>41</v>
      </c>
      <c r="E1519" t="s">
        <v>12</v>
      </c>
      <c r="F1519" s="7">
        <v>1355.59</v>
      </c>
      <c r="G1519" s="10">
        <v>0.1</v>
      </c>
      <c r="H1519" s="7">
        <v>1220.03</v>
      </c>
      <c r="I1519">
        <v>1</v>
      </c>
      <c r="J1519" t="s">
        <v>13</v>
      </c>
      <c r="K1519" s="13">
        <f>ROUND(tblTransactions[[#This Row],[gross_sales_inr]]*(1-tblTransactions[[#This Row],[discount_pct]]),2)</f>
        <v>1220.03</v>
      </c>
      <c r="L1519" t="str">
        <f>IF(ABS(tblTransactions[[#This Row],[net_sales_inr]]-tblTransactions[[#This Row],[Recalc_Net_Sales]])&lt;0.02,"OK","CHECK")</f>
        <v>OK</v>
      </c>
      <c r="M1519" s="14">
        <f>DATE(YEAR(tblTransactions[[#This Row],[date]]),MONTH(tblTransactions[[#This Row],[date]]),1)</f>
        <v>45809</v>
      </c>
      <c r="N1519" t="str">
        <f>IF(WEEKDAY(tblTransactions[[#This Row],[date]],2)&gt;5,"Weekend","Weekday")</f>
        <v>Weekday</v>
      </c>
      <c r="O151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19" s="13" t="str">
        <f>_xlfn.XLOOKUP(tblTransactions[[#This Row],[tenant_id]],tblTenants[tenant_id],tblTenants[zone],"NOT FOUND")</f>
        <v>Fashion Avenue</v>
      </c>
      <c r="Q1519" s="13" t="str">
        <f>_xlfn.XLOOKUP(tblTransactions[[#This Row],[tenant_id]],tblTenants[tenant_id],tblTenants[category],"NOT FOUND")</f>
        <v>Clothing</v>
      </c>
    </row>
    <row r="1520" spans="1:17">
      <c r="A1520" t="s">
        <v>1564</v>
      </c>
      <c r="B1520" s="2">
        <v>45669</v>
      </c>
      <c r="C1520">
        <v>15</v>
      </c>
      <c r="D1520" t="s">
        <v>45</v>
      </c>
      <c r="E1520" t="s">
        <v>32</v>
      </c>
      <c r="F1520" s="7">
        <v>2830.2</v>
      </c>
      <c r="G1520" s="10">
        <v>0.15</v>
      </c>
      <c r="H1520" s="7">
        <v>2405.67</v>
      </c>
      <c r="I1520">
        <v>1</v>
      </c>
      <c r="J1520" t="s">
        <v>13</v>
      </c>
      <c r="K1520" s="13">
        <f>ROUND(tblTransactions[[#This Row],[gross_sales_inr]]*(1-tblTransactions[[#This Row],[discount_pct]]),2)</f>
        <v>2405.67</v>
      </c>
      <c r="L1520" t="str">
        <f>IF(ABS(tblTransactions[[#This Row],[net_sales_inr]]-tblTransactions[[#This Row],[Recalc_Net_Sales]])&lt;0.02,"OK","CHECK")</f>
        <v>OK</v>
      </c>
      <c r="M1520" s="14">
        <f>DATE(YEAR(tblTransactions[[#This Row],[date]]),MONTH(tblTransactions[[#This Row],[date]]),1)</f>
        <v>45658</v>
      </c>
      <c r="N1520" t="str">
        <f>IF(WEEKDAY(tblTransactions[[#This Row],[date]],2)&gt;5,"Weekend","Weekday")</f>
        <v>Weekend</v>
      </c>
      <c r="O152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20" s="13" t="str">
        <f>_xlfn.XLOOKUP(tblTransactions[[#This Row],[tenant_id]],tblTenants[tenant_id],tblTenants[zone],"NOT FOUND")</f>
        <v>Home &amp; Living</v>
      </c>
      <c r="Q1520" s="13" t="str">
        <f>_xlfn.XLOOKUP(tblTransactions[[#This Row],[tenant_id]],tblTenants[tenant_id],tblTenants[category],"NOT FOUND")</f>
        <v>Home Decor</v>
      </c>
    </row>
    <row r="1521" spans="1:17">
      <c r="A1521" t="s">
        <v>1565</v>
      </c>
      <c r="B1521" s="2">
        <v>45775</v>
      </c>
      <c r="C1521">
        <v>12</v>
      </c>
      <c r="D1521" t="s">
        <v>15</v>
      </c>
      <c r="E1521" t="s">
        <v>12</v>
      </c>
      <c r="F1521" s="7">
        <v>704.07</v>
      </c>
      <c r="G1521" s="10">
        <v>0</v>
      </c>
      <c r="H1521" s="7">
        <v>704.07</v>
      </c>
      <c r="I1521">
        <v>2</v>
      </c>
      <c r="J1521" t="s">
        <v>13</v>
      </c>
      <c r="K1521" s="13">
        <f>ROUND(tblTransactions[[#This Row],[gross_sales_inr]]*(1-tblTransactions[[#This Row],[discount_pct]]),2)</f>
        <v>704.07</v>
      </c>
      <c r="L1521" t="str">
        <f>IF(ABS(tblTransactions[[#This Row],[net_sales_inr]]-tblTransactions[[#This Row],[Recalc_Net_Sales]])&lt;0.02,"OK","CHECK")</f>
        <v>OK</v>
      </c>
      <c r="M1521" s="14">
        <f>DATE(YEAR(tblTransactions[[#This Row],[date]]),MONTH(tblTransactions[[#This Row],[date]]),1)</f>
        <v>45748</v>
      </c>
      <c r="N1521" t="str">
        <f>IF(WEEKDAY(tblTransactions[[#This Row],[date]],2)&gt;5,"Weekend","Weekday")</f>
        <v>Weekday</v>
      </c>
      <c r="O1521" s="13" t="str">
        <f>IF(tblTransactions[[#This Row],[discount_pct]]=0,"0%",IF(tblTransactions[[#This Row],[discount_pct]]&lt;=10%,"1–
10%",IF(tblTransactions[[#This Row],[discount_pct]]&lt;=20%,"11–20%","&gt;20%")))</f>
        <v>0%</v>
      </c>
      <c r="P1521" s="13" t="str">
        <f>_xlfn.XLOOKUP(tblTransactions[[#This Row],[tenant_id]],tblTenants[tenant_id],tblTenants[zone],"NOT FOUND")</f>
        <v>Fashion Avenue</v>
      </c>
      <c r="Q1521" s="13" t="str">
        <f>_xlfn.XLOOKUP(tblTransactions[[#This Row],[tenant_id]],tblTenants[tenant_id],tblTenants[category],"NOT FOUND")</f>
        <v>Accessories</v>
      </c>
    </row>
    <row r="1522" spans="1:17">
      <c r="A1522" t="s">
        <v>1566</v>
      </c>
      <c r="B1522" s="2">
        <v>45744</v>
      </c>
      <c r="C1522">
        <v>21</v>
      </c>
      <c r="D1522" t="s">
        <v>36</v>
      </c>
      <c r="E1522" t="s">
        <v>32</v>
      </c>
      <c r="F1522" s="7">
        <v>438.37</v>
      </c>
      <c r="G1522" s="10">
        <v>0.05</v>
      </c>
      <c r="H1522" s="7">
        <v>416.45</v>
      </c>
      <c r="I1522">
        <v>1</v>
      </c>
      <c r="J1522" t="s">
        <v>13</v>
      </c>
      <c r="K1522" s="13">
        <f>ROUND(tblTransactions[[#This Row],[gross_sales_inr]]*(1-tblTransactions[[#This Row],[discount_pct]]),2)</f>
        <v>416.45</v>
      </c>
      <c r="L1522" t="str">
        <f>IF(ABS(tblTransactions[[#This Row],[net_sales_inr]]-tblTransactions[[#This Row],[Recalc_Net_Sales]])&lt;0.02,"OK","CHECK")</f>
        <v>OK</v>
      </c>
      <c r="M1522" s="14">
        <f>DATE(YEAR(tblTransactions[[#This Row],[date]]),MONTH(tblTransactions[[#This Row],[date]]),1)</f>
        <v>45717</v>
      </c>
      <c r="N1522" t="str">
        <f>IF(WEEKDAY(tblTransactions[[#This Row],[date]],2)&gt;5,"Weekend","Weekday")</f>
        <v>Weekday</v>
      </c>
      <c r="O152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22" s="13" t="str">
        <f>_xlfn.XLOOKUP(tblTransactions[[#This Row],[tenant_id]],tblTenants[tenant_id],tblTenants[zone],"NOT FOUND")</f>
        <v>Home &amp; Living</v>
      </c>
      <c r="Q1522" s="13" t="str">
        <f>_xlfn.XLOOKUP(tblTransactions[[#This Row],[tenant_id]],tblTenants[tenant_id],tblTenants[category],"NOT FOUND")</f>
        <v>Electronics</v>
      </c>
    </row>
    <row r="1523" spans="1:17">
      <c r="A1523" t="s">
        <v>1567</v>
      </c>
      <c r="B1523" s="2">
        <v>45824</v>
      </c>
      <c r="C1523">
        <v>21</v>
      </c>
      <c r="D1523" t="s">
        <v>36</v>
      </c>
      <c r="E1523" t="s">
        <v>12</v>
      </c>
      <c r="F1523" s="7">
        <v>918.55</v>
      </c>
      <c r="G1523" s="10">
        <v>0.05</v>
      </c>
      <c r="H1523" s="7">
        <v>872.62</v>
      </c>
      <c r="I1523">
        <v>2</v>
      </c>
      <c r="J1523" t="s">
        <v>13</v>
      </c>
      <c r="K1523" s="13">
        <f>ROUND(tblTransactions[[#This Row],[gross_sales_inr]]*(1-tblTransactions[[#This Row],[discount_pct]]),2)</f>
        <v>872.62</v>
      </c>
      <c r="L1523" t="str">
        <f>IF(ABS(tblTransactions[[#This Row],[net_sales_inr]]-tblTransactions[[#This Row],[Recalc_Net_Sales]])&lt;0.02,"OK","CHECK")</f>
        <v>OK</v>
      </c>
      <c r="M1523" s="14">
        <f>DATE(YEAR(tblTransactions[[#This Row],[date]]),MONTH(tblTransactions[[#This Row],[date]]),1)</f>
        <v>45809</v>
      </c>
      <c r="N1523" t="str">
        <f>IF(WEEKDAY(tblTransactions[[#This Row],[date]],2)&gt;5,"Weekend","Weekday")</f>
        <v>Weekday</v>
      </c>
      <c r="O152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23" s="13" t="str">
        <f>_xlfn.XLOOKUP(tblTransactions[[#This Row],[tenant_id]],tblTenants[tenant_id],tblTenants[zone],"NOT FOUND")</f>
        <v>Home &amp; Living</v>
      </c>
      <c r="Q1523" s="13" t="str">
        <f>_xlfn.XLOOKUP(tblTransactions[[#This Row],[tenant_id]],tblTenants[tenant_id],tblTenants[category],"NOT FOUND")</f>
        <v>Electronics</v>
      </c>
    </row>
    <row r="1524" spans="1:17">
      <c r="A1524" t="s">
        <v>1568</v>
      </c>
      <c r="B1524" s="2">
        <v>45720</v>
      </c>
      <c r="C1524">
        <v>21</v>
      </c>
      <c r="D1524" t="s">
        <v>20</v>
      </c>
      <c r="E1524" t="s">
        <v>12</v>
      </c>
      <c r="F1524" s="7">
        <v>1364.04</v>
      </c>
      <c r="G1524" s="10">
        <v>0</v>
      </c>
      <c r="H1524" s="7">
        <v>1364.04</v>
      </c>
      <c r="I1524">
        <v>2</v>
      </c>
      <c r="J1524" t="s">
        <v>13</v>
      </c>
      <c r="K1524" s="13">
        <f>ROUND(tblTransactions[[#This Row],[gross_sales_inr]]*(1-tblTransactions[[#This Row],[discount_pct]]),2)</f>
        <v>1364.04</v>
      </c>
      <c r="L1524" t="str">
        <f>IF(ABS(tblTransactions[[#This Row],[net_sales_inr]]-tblTransactions[[#This Row],[Recalc_Net_Sales]])&lt;0.02,"OK","CHECK")</f>
        <v>OK</v>
      </c>
      <c r="M1524" s="14">
        <f>DATE(YEAR(tblTransactions[[#This Row],[date]]),MONTH(tblTransactions[[#This Row],[date]]),1)</f>
        <v>45717</v>
      </c>
      <c r="N1524" t="str">
        <f>IF(WEEKDAY(tblTransactions[[#This Row],[date]],2)&gt;5,"Weekend","Weekday")</f>
        <v>Weekday</v>
      </c>
      <c r="O1524" s="13" t="str">
        <f>IF(tblTransactions[[#This Row],[discount_pct]]=0,"0%",IF(tblTransactions[[#This Row],[discount_pct]]&lt;=10%,"1–
10%",IF(tblTransactions[[#This Row],[discount_pct]]&lt;=20%,"11–20%","&gt;20%")))</f>
        <v>0%</v>
      </c>
      <c r="P1524" s="13" t="str">
        <f>_xlfn.XLOOKUP(tblTransactions[[#This Row],[tenant_id]],tblTenants[tenant_id],tblTenants[zone],"NOT FOUND")</f>
        <v>Fashion Avenue</v>
      </c>
      <c r="Q1524" s="13" t="str">
        <f>_xlfn.XLOOKUP(tblTransactions[[#This Row],[tenant_id]],tblTenants[tenant_id],tblTenants[category],"NOT FOUND")</f>
        <v>Accessories</v>
      </c>
    </row>
    <row r="1525" spans="1:17">
      <c r="A1525" t="s">
        <v>1569</v>
      </c>
      <c r="B1525" s="2">
        <v>45680</v>
      </c>
      <c r="C1525">
        <v>13</v>
      </c>
      <c r="D1525" t="s">
        <v>98</v>
      </c>
      <c r="E1525" t="s">
        <v>32</v>
      </c>
      <c r="F1525" s="7">
        <v>2949.12</v>
      </c>
      <c r="G1525" s="10">
        <v>0</v>
      </c>
      <c r="H1525" s="7">
        <v>2949.12</v>
      </c>
      <c r="I1525">
        <v>3</v>
      </c>
      <c r="J1525" t="s">
        <v>13</v>
      </c>
      <c r="K1525" s="13">
        <f>ROUND(tblTransactions[[#This Row],[gross_sales_inr]]*(1-tblTransactions[[#This Row],[discount_pct]]),2)</f>
        <v>2949.12</v>
      </c>
      <c r="L1525" t="str">
        <f>IF(ABS(tblTransactions[[#This Row],[net_sales_inr]]-tblTransactions[[#This Row],[Recalc_Net_Sales]])&lt;0.02,"OK","CHECK")</f>
        <v>OK</v>
      </c>
      <c r="M1525" s="14">
        <f>DATE(YEAR(tblTransactions[[#This Row],[date]]),MONTH(tblTransactions[[#This Row],[date]]),1)</f>
        <v>45658</v>
      </c>
      <c r="N1525" t="str">
        <f>IF(WEEKDAY(tblTransactions[[#This Row],[date]],2)&gt;5,"Weekend","Weekday")</f>
        <v>Weekday</v>
      </c>
      <c r="O1525" s="13" t="str">
        <f>IF(tblTransactions[[#This Row],[discount_pct]]=0,"0%",IF(tblTransactions[[#This Row],[discount_pct]]&lt;=10%,"1–
10%",IF(tblTransactions[[#This Row],[discount_pct]]&lt;=20%,"11–20%","&gt;20%")))</f>
        <v>0%</v>
      </c>
      <c r="P1525" s="13" t="str">
        <f>_xlfn.XLOOKUP(tblTransactions[[#This Row],[tenant_id]],tblTenants[tenant_id],tblTenants[zone],"NOT FOUND")</f>
        <v>Fashion Avenue</v>
      </c>
      <c r="Q1525" s="13" t="str">
        <f>_xlfn.XLOOKUP(tblTransactions[[#This Row],[tenant_id]],tblTenants[tenant_id],tblTenants[category],"NOT FOUND")</f>
        <v>Accessories</v>
      </c>
    </row>
    <row r="1526" spans="1:17">
      <c r="A1526" t="s">
        <v>1570</v>
      </c>
      <c r="B1526" s="2">
        <v>45740</v>
      </c>
      <c r="C1526">
        <v>19</v>
      </c>
      <c r="D1526" t="s">
        <v>85</v>
      </c>
      <c r="E1526" t="s">
        <v>12</v>
      </c>
      <c r="F1526" s="7">
        <v>14020.94</v>
      </c>
      <c r="G1526" s="10">
        <v>0</v>
      </c>
      <c r="H1526" s="7">
        <v>14020.94</v>
      </c>
      <c r="I1526">
        <v>4</v>
      </c>
      <c r="J1526" t="s">
        <v>16</v>
      </c>
      <c r="K1526" s="13">
        <f>ROUND(tblTransactions[[#This Row],[gross_sales_inr]]*(1-tblTransactions[[#This Row],[discount_pct]]),2)</f>
        <v>14020.94</v>
      </c>
      <c r="L1526" t="str">
        <f>IF(ABS(tblTransactions[[#This Row],[net_sales_inr]]-tblTransactions[[#This Row],[Recalc_Net_Sales]])&lt;0.02,"OK","CHECK")</f>
        <v>OK</v>
      </c>
      <c r="M1526" s="14">
        <f>DATE(YEAR(tblTransactions[[#This Row],[date]]),MONTH(tblTransactions[[#This Row],[date]]),1)</f>
        <v>45717</v>
      </c>
      <c r="N1526" t="str">
        <f>IF(WEEKDAY(tblTransactions[[#This Row],[date]],2)&gt;5,"Weekend","Weekday")</f>
        <v>Weekday</v>
      </c>
      <c r="O1526" s="13" t="str">
        <f>IF(tblTransactions[[#This Row],[discount_pct]]=0,"0%",IF(tblTransactions[[#This Row],[discount_pct]]&lt;=10%,"1–
10%",IF(tblTransactions[[#This Row],[discount_pct]]&lt;=20%,"11–20%","&gt;20%")))</f>
        <v>0%</v>
      </c>
      <c r="P1526" s="13" t="str">
        <f>_xlfn.XLOOKUP(tblTransactions[[#This Row],[tenant_id]],tblTenants[tenant_id],tblTenants[zone],"NOT FOUND")</f>
        <v>Home &amp; Living</v>
      </c>
      <c r="Q1526" s="13" t="str">
        <f>_xlfn.XLOOKUP(tblTransactions[[#This Row],[tenant_id]],tblTenants[tenant_id],tblTenants[category],"NOT FOUND")</f>
        <v>Electronics</v>
      </c>
    </row>
    <row r="1527" spans="1:17">
      <c r="A1527" t="s">
        <v>1571</v>
      </c>
      <c r="B1527" s="2">
        <v>45762</v>
      </c>
      <c r="C1527">
        <v>12</v>
      </c>
      <c r="D1527" t="s">
        <v>87</v>
      </c>
      <c r="E1527" t="s">
        <v>32</v>
      </c>
      <c r="F1527" s="7">
        <v>429.71</v>
      </c>
      <c r="G1527" s="10">
        <v>0.1</v>
      </c>
      <c r="H1527" s="7">
        <v>386.74</v>
      </c>
      <c r="I1527">
        <v>1</v>
      </c>
      <c r="J1527" t="s">
        <v>13</v>
      </c>
      <c r="K1527" s="13">
        <f>ROUND(tblTransactions[[#This Row],[gross_sales_inr]]*(1-tblTransactions[[#This Row],[discount_pct]]),2)</f>
        <v>386.74</v>
      </c>
      <c r="L1527" t="str">
        <f>IF(ABS(tblTransactions[[#This Row],[net_sales_inr]]-tblTransactions[[#This Row],[Recalc_Net_Sales]])&lt;0.02,"OK","CHECK")</f>
        <v>OK</v>
      </c>
      <c r="M1527" s="14">
        <f>DATE(YEAR(tblTransactions[[#This Row],[date]]),MONTH(tblTransactions[[#This Row],[date]]),1)</f>
        <v>45748</v>
      </c>
      <c r="N1527" t="str">
        <f>IF(WEEKDAY(tblTransactions[[#This Row],[date]],2)&gt;5,"Weekend","Weekday")</f>
        <v>Weekday</v>
      </c>
      <c r="O152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27" s="13" t="str">
        <f>_xlfn.XLOOKUP(tblTransactions[[#This Row],[tenant_id]],tblTenants[tenant_id],tblTenants[zone],"NOT FOUND")</f>
        <v>Fashion Avenue</v>
      </c>
      <c r="Q1527" s="13" t="str">
        <f>_xlfn.XLOOKUP(tblTransactions[[#This Row],[tenant_id]],tblTenants[tenant_id],tblTenants[category],"NOT FOUND")</f>
        <v>Footwear</v>
      </c>
    </row>
    <row r="1528" spans="1:17">
      <c r="A1528" t="s">
        <v>1572</v>
      </c>
      <c r="B1528" s="2">
        <v>45749</v>
      </c>
      <c r="C1528">
        <v>12</v>
      </c>
      <c r="D1528" t="s">
        <v>55</v>
      </c>
      <c r="E1528" t="s">
        <v>32</v>
      </c>
      <c r="F1528" s="7">
        <v>454.08</v>
      </c>
      <c r="G1528" s="10">
        <v>0</v>
      </c>
      <c r="H1528" s="7">
        <v>454.08</v>
      </c>
      <c r="I1528">
        <v>3</v>
      </c>
      <c r="J1528" t="s">
        <v>13</v>
      </c>
      <c r="K1528" s="13">
        <f>ROUND(tblTransactions[[#This Row],[gross_sales_inr]]*(1-tblTransactions[[#This Row],[discount_pct]]),2)</f>
        <v>454.08</v>
      </c>
      <c r="L1528" t="str">
        <f>IF(ABS(tblTransactions[[#This Row],[net_sales_inr]]-tblTransactions[[#This Row],[Recalc_Net_Sales]])&lt;0.02,"OK","CHECK")</f>
        <v>OK</v>
      </c>
      <c r="M1528" s="14">
        <f>DATE(YEAR(tblTransactions[[#This Row],[date]]),MONTH(tblTransactions[[#This Row],[date]]),1)</f>
        <v>45748</v>
      </c>
      <c r="N1528" t="str">
        <f>IF(WEEKDAY(tblTransactions[[#This Row],[date]],2)&gt;5,"Weekend","Weekday")</f>
        <v>Weekday</v>
      </c>
      <c r="O1528" s="13" t="str">
        <f>IF(tblTransactions[[#This Row],[discount_pct]]=0,"0%",IF(tblTransactions[[#This Row],[discount_pct]]&lt;=10%,"1–
10%",IF(tblTransactions[[#This Row],[discount_pct]]&lt;=20%,"11–20%","&gt;20%")))</f>
        <v>0%</v>
      </c>
      <c r="P1528" s="13" t="str">
        <f>_xlfn.XLOOKUP(tblTransactions[[#This Row],[tenant_id]],tblTenants[tenant_id],tblTenants[zone],"NOT FOUND")</f>
        <v>Food Court</v>
      </c>
      <c r="Q1528" s="13" t="str">
        <f>_xlfn.XLOOKUP(tblTransactions[[#This Row],[tenant_id]],tblTenants[tenant_id],tblTenants[category],"NOT FOUND")</f>
        <v>Quick Service</v>
      </c>
    </row>
    <row r="1529" spans="1:17">
      <c r="A1529" t="s">
        <v>1573</v>
      </c>
      <c r="B1529" s="2">
        <v>45666</v>
      </c>
      <c r="C1529">
        <v>17</v>
      </c>
      <c r="D1529" t="s">
        <v>34</v>
      </c>
      <c r="E1529" t="s">
        <v>12</v>
      </c>
      <c r="F1529" s="7">
        <v>1450.45</v>
      </c>
      <c r="G1529" s="10">
        <v>0</v>
      </c>
      <c r="H1529" s="7">
        <v>1450.45</v>
      </c>
      <c r="I1529">
        <v>6</v>
      </c>
      <c r="J1529" t="s">
        <v>16</v>
      </c>
      <c r="K1529" s="13">
        <f>ROUND(tblTransactions[[#This Row],[gross_sales_inr]]*(1-tblTransactions[[#This Row],[discount_pct]]),2)</f>
        <v>1450.45</v>
      </c>
      <c r="L1529" t="str">
        <f>IF(ABS(tblTransactions[[#This Row],[net_sales_inr]]-tblTransactions[[#This Row],[Recalc_Net_Sales]])&lt;0.02,"OK","CHECK")</f>
        <v>OK</v>
      </c>
      <c r="M1529" s="14">
        <f>DATE(YEAR(tblTransactions[[#This Row],[date]]),MONTH(tblTransactions[[#This Row],[date]]),1)</f>
        <v>45658</v>
      </c>
      <c r="N1529" t="str">
        <f>IF(WEEKDAY(tblTransactions[[#This Row],[date]],2)&gt;5,"Weekend","Weekday")</f>
        <v>Weekday</v>
      </c>
      <c r="O1529" s="13" t="str">
        <f>IF(tblTransactions[[#This Row],[discount_pct]]=0,"0%",IF(tblTransactions[[#This Row],[discount_pct]]&lt;=10%,"1–
10%",IF(tblTransactions[[#This Row],[discount_pct]]&lt;=20%,"11–20%","&gt;20%")))</f>
        <v>0%</v>
      </c>
      <c r="P1529" s="13" t="str">
        <f>_xlfn.XLOOKUP(tblTransactions[[#This Row],[tenant_id]],tblTenants[tenant_id],tblTenants[zone],"NOT FOUND")</f>
        <v>Home &amp; Living</v>
      </c>
      <c r="Q1529" s="13" t="str">
        <f>_xlfn.XLOOKUP(tblTransactions[[#This Row],[tenant_id]],tblTenants[tenant_id],tblTenants[category],"NOT FOUND")</f>
        <v>Electronics</v>
      </c>
    </row>
    <row r="1530" spans="1:17">
      <c r="A1530" t="s">
        <v>1574</v>
      </c>
      <c r="B1530" s="2">
        <v>45695</v>
      </c>
      <c r="C1530">
        <v>11</v>
      </c>
      <c r="D1530" t="s">
        <v>45</v>
      </c>
      <c r="E1530" t="s">
        <v>32</v>
      </c>
      <c r="F1530" s="7">
        <v>1010.89</v>
      </c>
      <c r="G1530" s="10">
        <v>0.05</v>
      </c>
      <c r="H1530" s="7">
        <v>960.35</v>
      </c>
      <c r="I1530">
        <v>4</v>
      </c>
      <c r="J1530" t="s">
        <v>16</v>
      </c>
      <c r="K1530" s="13">
        <f>ROUND(tblTransactions[[#This Row],[gross_sales_inr]]*(1-tblTransactions[[#This Row],[discount_pct]]),2)</f>
        <v>960.35</v>
      </c>
      <c r="L1530" t="str">
        <f>IF(ABS(tblTransactions[[#This Row],[net_sales_inr]]-tblTransactions[[#This Row],[Recalc_Net_Sales]])&lt;0.02,"OK","CHECK")</f>
        <v>OK</v>
      </c>
      <c r="M1530" s="14">
        <f>DATE(YEAR(tblTransactions[[#This Row],[date]]),MONTH(tblTransactions[[#This Row],[date]]),1)</f>
        <v>45689</v>
      </c>
      <c r="N1530" t="str">
        <f>IF(WEEKDAY(tblTransactions[[#This Row],[date]],2)&gt;5,"Weekend","Weekday")</f>
        <v>Weekday</v>
      </c>
      <c r="O153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30" s="13" t="str">
        <f>_xlfn.XLOOKUP(tblTransactions[[#This Row],[tenant_id]],tblTenants[tenant_id],tblTenants[zone],"NOT FOUND")</f>
        <v>Home &amp; Living</v>
      </c>
      <c r="Q1530" s="13" t="str">
        <f>_xlfn.XLOOKUP(tblTransactions[[#This Row],[tenant_id]],tblTenants[tenant_id],tblTenants[category],"NOT FOUND")</f>
        <v>Home Decor</v>
      </c>
    </row>
    <row r="1531" spans="1:17">
      <c r="A1531" t="s">
        <v>1575</v>
      </c>
      <c r="B1531" s="2">
        <v>45685</v>
      </c>
      <c r="C1531">
        <v>12</v>
      </c>
      <c r="D1531" t="s">
        <v>15</v>
      </c>
      <c r="E1531" t="s">
        <v>12</v>
      </c>
      <c r="F1531" s="7">
        <v>342.76</v>
      </c>
      <c r="G1531" s="10">
        <v>0</v>
      </c>
      <c r="H1531" s="7">
        <v>342.76</v>
      </c>
      <c r="I1531">
        <v>5</v>
      </c>
      <c r="J1531" t="s">
        <v>16</v>
      </c>
      <c r="K1531" s="13">
        <f>ROUND(tblTransactions[[#This Row],[gross_sales_inr]]*(1-tblTransactions[[#This Row],[discount_pct]]),2)</f>
        <v>342.76</v>
      </c>
      <c r="L1531" t="str">
        <f>IF(ABS(tblTransactions[[#This Row],[net_sales_inr]]-tblTransactions[[#This Row],[Recalc_Net_Sales]])&lt;0.02,"OK","CHECK")</f>
        <v>OK</v>
      </c>
      <c r="M1531" s="14">
        <f>DATE(YEAR(tblTransactions[[#This Row],[date]]),MONTH(tblTransactions[[#This Row],[date]]),1)</f>
        <v>45658</v>
      </c>
      <c r="N1531" t="str">
        <f>IF(WEEKDAY(tblTransactions[[#This Row],[date]],2)&gt;5,"Weekend","Weekday")</f>
        <v>Weekday</v>
      </c>
      <c r="O1531" s="13" t="str">
        <f>IF(tblTransactions[[#This Row],[discount_pct]]=0,"0%",IF(tblTransactions[[#This Row],[discount_pct]]&lt;=10%,"1–
10%",IF(tblTransactions[[#This Row],[discount_pct]]&lt;=20%,"11–20%","&gt;20%")))</f>
        <v>0%</v>
      </c>
      <c r="P1531" s="13" t="str">
        <f>_xlfn.XLOOKUP(tblTransactions[[#This Row],[tenant_id]],tblTenants[tenant_id],tblTenants[zone],"NOT FOUND")</f>
        <v>Fashion Avenue</v>
      </c>
      <c r="Q1531" s="13" t="str">
        <f>_xlfn.XLOOKUP(tblTransactions[[#This Row],[tenant_id]],tblTenants[tenant_id],tblTenants[category],"NOT FOUND")</f>
        <v>Accessories</v>
      </c>
    </row>
    <row r="1532" spans="1:17">
      <c r="A1532" t="s">
        <v>1576</v>
      </c>
      <c r="B1532" s="2">
        <v>45784</v>
      </c>
      <c r="C1532">
        <v>22</v>
      </c>
      <c r="D1532" t="s">
        <v>104</v>
      </c>
      <c r="E1532" t="s">
        <v>32</v>
      </c>
      <c r="F1532" s="7">
        <v>478.8</v>
      </c>
      <c r="G1532" s="10">
        <v>0</v>
      </c>
      <c r="H1532" s="7">
        <v>478.8</v>
      </c>
      <c r="I1532">
        <v>3</v>
      </c>
      <c r="J1532" t="s">
        <v>13</v>
      </c>
      <c r="K1532" s="13">
        <f>ROUND(tblTransactions[[#This Row],[gross_sales_inr]]*(1-tblTransactions[[#This Row],[discount_pct]]),2)</f>
        <v>478.8</v>
      </c>
      <c r="L1532" t="str">
        <f>IF(ABS(tblTransactions[[#This Row],[net_sales_inr]]-tblTransactions[[#This Row],[Recalc_Net_Sales]])&lt;0.02,"OK","CHECK")</f>
        <v>OK</v>
      </c>
      <c r="M1532" s="14">
        <f>DATE(YEAR(tblTransactions[[#This Row],[date]]),MONTH(tblTransactions[[#This Row],[date]]),1)</f>
        <v>45778</v>
      </c>
      <c r="N1532" t="str">
        <f>IF(WEEKDAY(tblTransactions[[#This Row],[date]],2)&gt;5,"Weekend","Weekday")</f>
        <v>Weekday</v>
      </c>
      <c r="O1532" s="13" t="str">
        <f>IF(tblTransactions[[#This Row],[discount_pct]]=0,"0%",IF(tblTransactions[[#This Row],[discount_pct]]&lt;=10%,"1–
10%",IF(tblTransactions[[#This Row],[discount_pct]]&lt;=20%,"11–20%","&gt;20%")))</f>
        <v>0%</v>
      </c>
      <c r="P1532" s="13" t="str">
        <f>_xlfn.XLOOKUP(tblTransactions[[#This Row],[tenant_id]],tblTenants[tenant_id],tblTenants[zone],"NOT FOUND")</f>
        <v>Entertainment</v>
      </c>
      <c r="Q1532" s="13" t="str">
        <f>_xlfn.XLOOKUP(tblTransactions[[#This Row],[tenant_id]],tblTenants[tenant_id],tblTenants[category],"NOT FOUND")</f>
        <v>Family Entertainment</v>
      </c>
    </row>
    <row r="1533" spans="1:17">
      <c r="A1533" t="s">
        <v>1577</v>
      </c>
      <c r="B1533" s="2">
        <v>45708</v>
      </c>
      <c r="C1533">
        <v>15</v>
      </c>
      <c r="D1533" t="s">
        <v>41</v>
      </c>
      <c r="E1533" t="s">
        <v>21</v>
      </c>
      <c r="F1533" s="7">
        <v>369.89</v>
      </c>
      <c r="G1533" s="10">
        <v>0.2</v>
      </c>
      <c r="H1533" s="7">
        <v>295.91000000000003</v>
      </c>
      <c r="I1533">
        <v>5</v>
      </c>
      <c r="J1533" t="s">
        <v>16</v>
      </c>
      <c r="K1533" s="13">
        <f>ROUND(tblTransactions[[#This Row],[gross_sales_inr]]*(1-tblTransactions[[#This Row],[discount_pct]]),2)</f>
        <v>295.91000000000003</v>
      </c>
      <c r="L1533" t="str">
        <f>IF(ABS(tblTransactions[[#This Row],[net_sales_inr]]-tblTransactions[[#This Row],[Recalc_Net_Sales]])&lt;0.02,"OK","CHECK")</f>
        <v>OK</v>
      </c>
      <c r="M1533" s="14">
        <f>DATE(YEAR(tblTransactions[[#This Row],[date]]),MONTH(tblTransactions[[#This Row],[date]]),1)</f>
        <v>45689</v>
      </c>
      <c r="N1533" t="str">
        <f>IF(WEEKDAY(tblTransactions[[#This Row],[date]],2)&gt;5,"Weekend","Weekday")</f>
        <v>Weekday</v>
      </c>
      <c r="O153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33" s="13" t="str">
        <f>_xlfn.XLOOKUP(tblTransactions[[#This Row],[tenant_id]],tblTenants[tenant_id],tblTenants[zone],"NOT FOUND")</f>
        <v>Fashion Avenue</v>
      </c>
      <c r="Q1533" s="13" t="str">
        <f>_xlfn.XLOOKUP(tblTransactions[[#This Row],[tenant_id]],tblTenants[tenant_id],tblTenants[category],"NOT FOUND")</f>
        <v>Clothing</v>
      </c>
    </row>
    <row r="1534" spans="1:17">
      <c r="A1534" t="s">
        <v>1578</v>
      </c>
      <c r="B1534" s="2">
        <v>45721</v>
      </c>
      <c r="C1534">
        <v>18</v>
      </c>
      <c r="D1534" t="s">
        <v>53</v>
      </c>
      <c r="E1534" t="s">
        <v>51</v>
      </c>
      <c r="F1534" s="7">
        <v>1502.98</v>
      </c>
      <c r="G1534" s="10">
        <v>0.15</v>
      </c>
      <c r="H1534" s="7">
        <v>1277.53</v>
      </c>
      <c r="I1534">
        <v>2</v>
      </c>
      <c r="J1534" t="s">
        <v>13</v>
      </c>
      <c r="K1534" s="13">
        <f>ROUND(tblTransactions[[#This Row],[gross_sales_inr]]*(1-tblTransactions[[#This Row],[discount_pct]]),2)</f>
        <v>1277.53</v>
      </c>
      <c r="L1534" t="str">
        <f>IF(ABS(tblTransactions[[#This Row],[net_sales_inr]]-tblTransactions[[#This Row],[Recalc_Net_Sales]])&lt;0.02,"OK","CHECK")</f>
        <v>OK</v>
      </c>
      <c r="M1534" s="14">
        <f>DATE(YEAR(tblTransactions[[#This Row],[date]]),MONTH(tblTransactions[[#This Row],[date]]),1)</f>
        <v>45717</v>
      </c>
      <c r="N1534" t="str">
        <f>IF(WEEKDAY(tblTransactions[[#This Row],[date]],2)&gt;5,"Weekend","Weekday")</f>
        <v>Weekday</v>
      </c>
      <c r="O153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34" s="13" t="str">
        <f>_xlfn.XLOOKUP(tblTransactions[[#This Row],[tenant_id]],tblTenants[tenant_id],tblTenants[zone],"NOT FOUND")</f>
        <v>Beauty &amp; Wellness</v>
      </c>
      <c r="Q1534" s="13" t="str">
        <f>_xlfn.XLOOKUP(tblTransactions[[#This Row],[tenant_id]],tblTenants[tenant_id],tblTenants[category],"NOT FOUND")</f>
        <v>Beauty</v>
      </c>
    </row>
    <row r="1535" spans="1:17">
      <c r="A1535" t="s">
        <v>1579</v>
      </c>
      <c r="B1535" s="2">
        <v>45778</v>
      </c>
      <c r="C1535">
        <v>19</v>
      </c>
      <c r="D1535" t="s">
        <v>53</v>
      </c>
      <c r="E1535" t="s">
        <v>12</v>
      </c>
      <c r="F1535" s="7">
        <v>1294.56</v>
      </c>
      <c r="G1535" s="10">
        <v>0.15</v>
      </c>
      <c r="H1535" s="7">
        <v>1100.3800000000001</v>
      </c>
      <c r="I1535">
        <v>2</v>
      </c>
      <c r="J1535" t="s">
        <v>13</v>
      </c>
      <c r="K1535" s="13">
        <f>ROUND(tblTransactions[[#This Row],[gross_sales_inr]]*(1-tblTransactions[[#This Row],[discount_pct]]),2)</f>
        <v>1100.3800000000001</v>
      </c>
      <c r="L1535" t="str">
        <f>IF(ABS(tblTransactions[[#This Row],[net_sales_inr]]-tblTransactions[[#This Row],[Recalc_Net_Sales]])&lt;0.02,"OK","CHECK")</f>
        <v>OK</v>
      </c>
      <c r="M1535" s="14">
        <f>DATE(YEAR(tblTransactions[[#This Row],[date]]),MONTH(tblTransactions[[#This Row],[date]]),1)</f>
        <v>45778</v>
      </c>
      <c r="N1535" t="str">
        <f>IF(WEEKDAY(tblTransactions[[#This Row],[date]],2)&gt;5,"Weekend","Weekday")</f>
        <v>Weekday</v>
      </c>
      <c r="O153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35" s="13" t="str">
        <f>_xlfn.XLOOKUP(tblTransactions[[#This Row],[tenant_id]],tblTenants[tenant_id],tblTenants[zone],"NOT FOUND")</f>
        <v>Beauty &amp; Wellness</v>
      </c>
      <c r="Q1535" s="13" t="str">
        <f>_xlfn.XLOOKUP(tblTransactions[[#This Row],[tenant_id]],tblTenants[tenant_id],tblTenants[category],"NOT FOUND")</f>
        <v>Beauty</v>
      </c>
    </row>
    <row r="1536" spans="1:17">
      <c r="A1536" t="s">
        <v>1580</v>
      </c>
      <c r="B1536" s="2">
        <v>45740</v>
      </c>
      <c r="C1536">
        <v>15</v>
      </c>
      <c r="D1536" t="s">
        <v>63</v>
      </c>
      <c r="E1536" t="s">
        <v>32</v>
      </c>
      <c r="F1536" s="7">
        <v>1324</v>
      </c>
      <c r="G1536" s="10">
        <v>0.15</v>
      </c>
      <c r="H1536" s="7">
        <v>1125.4000000000001</v>
      </c>
      <c r="I1536">
        <v>1</v>
      </c>
      <c r="J1536" t="s">
        <v>13</v>
      </c>
      <c r="K1536" s="13">
        <f>ROUND(tblTransactions[[#This Row],[gross_sales_inr]]*(1-tblTransactions[[#This Row],[discount_pct]]),2)</f>
        <v>1125.4000000000001</v>
      </c>
      <c r="L1536" t="str">
        <f>IF(ABS(tblTransactions[[#This Row],[net_sales_inr]]-tblTransactions[[#This Row],[Recalc_Net_Sales]])&lt;0.02,"OK","CHECK")</f>
        <v>OK</v>
      </c>
      <c r="M1536" s="14">
        <f>DATE(YEAR(tblTransactions[[#This Row],[date]]),MONTH(tblTransactions[[#This Row],[date]]),1)</f>
        <v>45717</v>
      </c>
      <c r="N1536" t="str">
        <f>IF(WEEKDAY(tblTransactions[[#This Row],[date]],2)&gt;5,"Weekend","Weekday")</f>
        <v>Weekday</v>
      </c>
      <c r="O153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36" s="13" t="str">
        <f>_xlfn.XLOOKUP(tblTransactions[[#This Row],[tenant_id]],tblTenants[tenant_id],tblTenants[zone],"NOT FOUND")</f>
        <v>Entertainment</v>
      </c>
      <c r="Q1536" s="13" t="str">
        <f>_xlfn.XLOOKUP(tblTransactions[[#This Row],[tenant_id]],tblTenants[tenant_id],tblTenants[category],"NOT FOUND")</f>
        <v>Family Entertainment</v>
      </c>
    </row>
    <row r="1537" spans="1:17">
      <c r="A1537" t="s">
        <v>1581</v>
      </c>
      <c r="B1537" s="2">
        <v>45799</v>
      </c>
      <c r="C1537">
        <v>21</v>
      </c>
      <c r="D1537" t="s">
        <v>87</v>
      </c>
      <c r="E1537" t="s">
        <v>51</v>
      </c>
      <c r="F1537" s="7">
        <v>1061.1199999999999</v>
      </c>
      <c r="G1537" s="10">
        <v>0.2</v>
      </c>
      <c r="H1537" s="7">
        <v>848.9</v>
      </c>
      <c r="I1537">
        <v>2</v>
      </c>
      <c r="J1537" t="s">
        <v>13</v>
      </c>
      <c r="K1537" s="13">
        <f>ROUND(tblTransactions[[#This Row],[gross_sales_inr]]*(1-tblTransactions[[#This Row],[discount_pct]]),2)</f>
        <v>848.9</v>
      </c>
      <c r="L1537" t="str">
        <f>IF(ABS(tblTransactions[[#This Row],[net_sales_inr]]-tblTransactions[[#This Row],[Recalc_Net_Sales]])&lt;0.02,"OK","CHECK")</f>
        <v>OK</v>
      </c>
      <c r="M1537" s="14">
        <f>DATE(YEAR(tblTransactions[[#This Row],[date]]),MONTH(tblTransactions[[#This Row],[date]]),1)</f>
        <v>45778</v>
      </c>
      <c r="N1537" t="str">
        <f>IF(WEEKDAY(tblTransactions[[#This Row],[date]],2)&gt;5,"Weekend","Weekday")</f>
        <v>Weekday</v>
      </c>
      <c r="O153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37" s="13" t="str">
        <f>_xlfn.XLOOKUP(tblTransactions[[#This Row],[tenant_id]],tblTenants[tenant_id],tblTenants[zone],"NOT FOUND")</f>
        <v>Fashion Avenue</v>
      </c>
      <c r="Q1537" s="13" t="str">
        <f>_xlfn.XLOOKUP(tblTransactions[[#This Row],[tenant_id]],tblTenants[tenant_id],tblTenants[category],"NOT FOUND")</f>
        <v>Footwear</v>
      </c>
    </row>
    <row r="1538" spans="1:17">
      <c r="A1538" t="s">
        <v>1582</v>
      </c>
      <c r="B1538" s="2">
        <v>45696</v>
      </c>
      <c r="C1538">
        <v>15</v>
      </c>
      <c r="D1538" t="s">
        <v>57</v>
      </c>
      <c r="E1538" t="s">
        <v>12</v>
      </c>
      <c r="F1538" s="7">
        <v>848.49</v>
      </c>
      <c r="G1538" s="10">
        <v>0</v>
      </c>
      <c r="H1538" s="7">
        <v>848.49</v>
      </c>
      <c r="I1538">
        <v>3</v>
      </c>
      <c r="J1538" t="s">
        <v>16</v>
      </c>
      <c r="K1538" s="13">
        <f>ROUND(tblTransactions[[#This Row],[gross_sales_inr]]*(1-tblTransactions[[#This Row],[discount_pct]]),2)</f>
        <v>848.49</v>
      </c>
      <c r="L1538" t="str">
        <f>IF(ABS(tblTransactions[[#This Row],[net_sales_inr]]-tblTransactions[[#This Row],[Recalc_Net_Sales]])&lt;0.02,"OK","CHECK")</f>
        <v>OK</v>
      </c>
      <c r="M1538" s="14">
        <f>DATE(YEAR(tblTransactions[[#This Row],[date]]),MONTH(tblTransactions[[#This Row],[date]]),1)</f>
        <v>45689</v>
      </c>
      <c r="N1538" t="str">
        <f>IF(WEEKDAY(tblTransactions[[#This Row],[date]],2)&gt;5,"Weekend","Weekday")</f>
        <v>Weekend</v>
      </c>
      <c r="O1538" s="13" t="str">
        <f>IF(tblTransactions[[#This Row],[discount_pct]]=0,"0%",IF(tblTransactions[[#This Row],[discount_pct]]&lt;=10%,"1–
10%",IF(tblTransactions[[#This Row],[discount_pct]]&lt;=20%,"11–20%","&gt;20%")))</f>
        <v>0%</v>
      </c>
      <c r="P1538" s="13" t="str">
        <f>_xlfn.XLOOKUP(tblTransactions[[#This Row],[tenant_id]],tblTenants[tenant_id],tblTenants[zone],"NOT FOUND")</f>
        <v>Food Court</v>
      </c>
      <c r="Q1538" s="13" t="str">
        <f>_xlfn.XLOOKUP(tblTransactions[[#This Row],[tenant_id]],tblTenants[tenant_id],tblTenants[category],"NOT FOUND")</f>
        <v>Casual Dining</v>
      </c>
    </row>
    <row r="1539" spans="1:17">
      <c r="A1539" t="s">
        <v>1583</v>
      </c>
      <c r="B1539" s="2">
        <v>45702</v>
      </c>
      <c r="C1539">
        <v>15</v>
      </c>
      <c r="D1539" t="s">
        <v>18</v>
      </c>
      <c r="E1539" t="s">
        <v>21</v>
      </c>
      <c r="F1539" s="7">
        <v>772.38</v>
      </c>
      <c r="G1539" s="10">
        <v>0</v>
      </c>
      <c r="H1539" s="7">
        <v>772.38</v>
      </c>
      <c r="I1539">
        <v>2</v>
      </c>
      <c r="J1539" t="s">
        <v>16</v>
      </c>
      <c r="K1539" s="13">
        <f>ROUND(tblTransactions[[#This Row],[gross_sales_inr]]*(1-tblTransactions[[#This Row],[discount_pct]]),2)</f>
        <v>772.38</v>
      </c>
      <c r="L1539" t="str">
        <f>IF(ABS(tblTransactions[[#This Row],[net_sales_inr]]-tblTransactions[[#This Row],[Recalc_Net_Sales]])&lt;0.02,"OK","CHECK")</f>
        <v>OK</v>
      </c>
      <c r="M1539" s="14">
        <f>DATE(YEAR(tblTransactions[[#This Row],[date]]),MONTH(tblTransactions[[#This Row],[date]]),1)</f>
        <v>45689</v>
      </c>
      <c r="N1539" t="str">
        <f>IF(WEEKDAY(tblTransactions[[#This Row],[date]],2)&gt;5,"Weekend","Weekday")</f>
        <v>Weekday</v>
      </c>
      <c r="O1539" s="13" t="str">
        <f>IF(tblTransactions[[#This Row],[discount_pct]]=0,"0%",IF(tblTransactions[[#This Row],[discount_pct]]&lt;=10%,"1–
10%",IF(tblTransactions[[#This Row],[discount_pct]]&lt;=20%,"11–20%","&gt;20%")))</f>
        <v>0%</v>
      </c>
      <c r="P1539" s="13" t="str">
        <f>_xlfn.XLOOKUP(tblTransactions[[#This Row],[tenant_id]],tblTenants[tenant_id],tblTenants[zone],"NOT FOUND")</f>
        <v>Beauty &amp; Wellness</v>
      </c>
      <c r="Q1539" s="13" t="str">
        <f>_xlfn.XLOOKUP(tblTransactions[[#This Row],[tenant_id]],tblTenants[tenant_id],tblTenants[category],"NOT FOUND")</f>
        <v>Beauty</v>
      </c>
    </row>
    <row r="1540" spans="1:17">
      <c r="A1540" t="s">
        <v>1584</v>
      </c>
      <c r="B1540" s="2">
        <v>45737</v>
      </c>
      <c r="C1540">
        <v>17</v>
      </c>
      <c r="D1540" t="s">
        <v>53</v>
      </c>
      <c r="E1540" t="s">
        <v>12</v>
      </c>
      <c r="F1540" s="7">
        <v>799.65</v>
      </c>
      <c r="G1540" s="10">
        <v>0.1</v>
      </c>
      <c r="H1540" s="7">
        <v>719.68</v>
      </c>
      <c r="I1540">
        <v>3</v>
      </c>
      <c r="J1540" t="s">
        <v>16</v>
      </c>
      <c r="K1540" s="13">
        <f>ROUND(tblTransactions[[#This Row],[gross_sales_inr]]*(1-tblTransactions[[#This Row],[discount_pct]]),2)</f>
        <v>719.69</v>
      </c>
      <c r="L1540" t="str">
        <f>IF(ABS(tblTransactions[[#This Row],[net_sales_inr]]-tblTransactions[[#This Row],[Recalc_Net_Sales]])&lt;0.02,"OK","CHECK")</f>
        <v>OK</v>
      </c>
      <c r="M1540" s="14">
        <f>DATE(YEAR(tblTransactions[[#This Row],[date]]),MONTH(tblTransactions[[#This Row],[date]]),1)</f>
        <v>45717</v>
      </c>
      <c r="N1540" t="str">
        <f>IF(WEEKDAY(tblTransactions[[#This Row],[date]],2)&gt;5,"Weekend","Weekday")</f>
        <v>Weekday</v>
      </c>
      <c r="O154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40" s="13" t="str">
        <f>_xlfn.XLOOKUP(tblTransactions[[#This Row],[tenant_id]],tblTenants[tenant_id],tblTenants[zone],"NOT FOUND")</f>
        <v>Beauty &amp; Wellness</v>
      </c>
      <c r="Q1540" s="13" t="str">
        <f>_xlfn.XLOOKUP(tblTransactions[[#This Row],[tenant_id]],tblTenants[tenant_id],tblTenants[category],"NOT FOUND")</f>
        <v>Beauty</v>
      </c>
    </row>
    <row r="1541" spans="1:17">
      <c r="A1541" t="s">
        <v>1585</v>
      </c>
      <c r="B1541" s="2">
        <v>45794</v>
      </c>
      <c r="C1541">
        <v>16</v>
      </c>
      <c r="D1541" t="s">
        <v>61</v>
      </c>
      <c r="E1541" t="s">
        <v>12</v>
      </c>
      <c r="F1541" s="7">
        <v>1254.25</v>
      </c>
      <c r="G1541" s="10">
        <v>0.15</v>
      </c>
      <c r="H1541" s="7">
        <v>1066.1099999999999</v>
      </c>
      <c r="I1541">
        <v>1</v>
      </c>
      <c r="J1541" t="s">
        <v>16</v>
      </c>
      <c r="K1541" s="13">
        <f>ROUND(tblTransactions[[#This Row],[gross_sales_inr]]*(1-tblTransactions[[#This Row],[discount_pct]]),2)</f>
        <v>1066.1099999999999</v>
      </c>
      <c r="L1541" t="str">
        <f>IF(ABS(tblTransactions[[#This Row],[net_sales_inr]]-tblTransactions[[#This Row],[Recalc_Net_Sales]])&lt;0.02,"OK","CHECK")</f>
        <v>OK</v>
      </c>
      <c r="M1541" s="14">
        <f>DATE(YEAR(tblTransactions[[#This Row],[date]]),MONTH(tblTransactions[[#This Row],[date]]),1)</f>
        <v>45778</v>
      </c>
      <c r="N1541" t="str">
        <f>IF(WEEKDAY(tblTransactions[[#This Row],[date]],2)&gt;5,"Weekend","Weekday")</f>
        <v>Weekend</v>
      </c>
      <c r="O154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41" s="13" t="str">
        <f>_xlfn.XLOOKUP(tblTransactions[[#This Row],[tenant_id]],tblTenants[tenant_id],tblTenants[zone],"NOT FOUND")</f>
        <v>Food Court</v>
      </c>
      <c r="Q1541" s="13" t="str">
        <f>_xlfn.XLOOKUP(tblTransactions[[#This Row],[tenant_id]],tblTenants[tenant_id],tblTenants[category],"NOT FOUND")</f>
        <v>Quick Service</v>
      </c>
    </row>
    <row r="1542" spans="1:17">
      <c r="A1542" t="s">
        <v>1586</v>
      </c>
      <c r="B1542" s="2">
        <v>45828</v>
      </c>
      <c r="C1542">
        <v>12</v>
      </c>
      <c r="D1542" t="s">
        <v>80</v>
      </c>
      <c r="E1542" t="s">
        <v>32</v>
      </c>
      <c r="F1542" s="7">
        <v>654.58000000000004</v>
      </c>
      <c r="G1542" s="10">
        <v>0.05</v>
      </c>
      <c r="H1542" s="7">
        <v>621.85</v>
      </c>
      <c r="I1542">
        <v>1</v>
      </c>
      <c r="J1542" t="s">
        <v>13</v>
      </c>
      <c r="K1542" s="13">
        <f>ROUND(tblTransactions[[#This Row],[gross_sales_inr]]*(1-tblTransactions[[#This Row],[discount_pct]]),2)</f>
        <v>621.85</v>
      </c>
      <c r="L1542" t="str">
        <f>IF(ABS(tblTransactions[[#This Row],[net_sales_inr]]-tblTransactions[[#This Row],[Recalc_Net_Sales]])&lt;0.02,"OK","CHECK")</f>
        <v>OK</v>
      </c>
      <c r="M1542" s="14">
        <f>DATE(YEAR(tblTransactions[[#This Row],[date]]),MONTH(tblTransactions[[#This Row],[date]]),1)</f>
        <v>45809</v>
      </c>
      <c r="N1542" t="str">
        <f>IF(WEEKDAY(tblTransactions[[#This Row],[date]],2)&gt;5,"Weekend","Weekday")</f>
        <v>Weekday</v>
      </c>
      <c r="O154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42" s="13" t="str">
        <f>_xlfn.XLOOKUP(tblTransactions[[#This Row],[tenant_id]],tblTenants[tenant_id],tblTenants[zone],"NOT FOUND")</f>
        <v>Food Court</v>
      </c>
      <c r="Q1542" s="13" t="str">
        <f>_xlfn.XLOOKUP(tblTransactions[[#This Row],[tenant_id]],tblTenants[tenant_id],tblTenants[category],"NOT FOUND")</f>
        <v>Casual Dining</v>
      </c>
    </row>
    <row r="1543" spans="1:17">
      <c r="A1543" t="s">
        <v>1587</v>
      </c>
      <c r="B1543" s="2">
        <v>45717</v>
      </c>
      <c r="C1543">
        <v>14</v>
      </c>
      <c r="D1543" t="s">
        <v>61</v>
      </c>
      <c r="E1543" t="s">
        <v>12</v>
      </c>
      <c r="F1543" s="7">
        <v>3667.01</v>
      </c>
      <c r="G1543" s="10">
        <v>0</v>
      </c>
      <c r="H1543" s="7">
        <v>3667.01</v>
      </c>
      <c r="I1543">
        <v>2</v>
      </c>
      <c r="J1543" t="s">
        <v>16</v>
      </c>
      <c r="K1543" s="13">
        <f>ROUND(tblTransactions[[#This Row],[gross_sales_inr]]*(1-tblTransactions[[#This Row],[discount_pct]]),2)</f>
        <v>3667.01</v>
      </c>
      <c r="L1543" t="str">
        <f>IF(ABS(tblTransactions[[#This Row],[net_sales_inr]]-tblTransactions[[#This Row],[Recalc_Net_Sales]])&lt;0.02,"OK","CHECK")</f>
        <v>OK</v>
      </c>
      <c r="M1543" s="14">
        <f>DATE(YEAR(tblTransactions[[#This Row],[date]]),MONTH(tblTransactions[[#This Row],[date]]),1)</f>
        <v>45717</v>
      </c>
      <c r="N1543" t="str">
        <f>IF(WEEKDAY(tblTransactions[[#This Row],[date]],2)&gt;5,"Weekend","Weekday")</f>
        <v>Weekend</v>
      </c>
      <c r="O1543" s="13" t="str">
        <f>IF(tblTransactions[[#This Row],[discount_pct]]=0,"0%",IF(tblTransactions[[#This Row],[discount_pct]]&lt;=10%,"1–
10%",IF(tblTransactions[[#This Row],[discount_pct]]&lt;=20%,"11–20%","&gt;20%")))</f>
        <v>0%</v>
      </c>
      <c r="P1543" s="13" t="str">
        <f>_xlfn.XLOOKUP(tblTransactions[[#This Row],[tenant_id]],tblTenants[tenant_id],tblTenants[zone],"NOT FOUND")</f>
        <v>Food Court</v>
      </c>
      <c r="Q1543" s="13" t="str">
        <f>_xlfn.XLOOKUP(tblTransactions[[#This Row],[tenant_id]],tblTenants[tenant_id],tblTenants[category],"NOT FOUND")</f>
        <v>Quick Service</v>
      </c>
    </row>
    <row r="1544" spans="1:17">
      <c r="A1544" t="s">
        <v>1588</v>
      </c>
      <c r="B1544" s="2">
        <v>45773</v>
      </c>
      <c r="C1544">
        <v>17</v>
      </c>
      <c r="D1544" t="s">
        <v>70</v>
      </c>
      <c r="E1544" t="s">
        <v>12</v>
      </c>
      <c r="F1544" s="7">
        <v>932.96</v>
      </c>
      <c r="G1544" s="10">
        <v>0</v>
      </c>
      <c r="H1544" s="7">
        <v>932.96</v>
      </c>
      <c r="I1544">
        <v>1</v>
      </c>
      <c r="J1544" t="s">
        <v>16</v>
      </c>
      <c r="K1544" s="13">
        <f>ROUND(tblTransactions[[#This Row],[gross_sales_inr]]*(1-tblTransactions[[#This Row],[discount_pct]]),2)</f>
        <v>932.96</v>
      </c>
      <c r="L1544" t="str">
        <f>IF(ABS(tblTransactions[[#This Row],[net_sales_inr]]-tblTransactions[[#This Row],[Recalc_Net_Sales]])&lt;0.02,"OK","CHECK")</f>
        <v>OK</v>
      </c>
      <c r="M1544" s="14">
        <f>DATE(YEAR(tblTransactions[[#This Row],[date]]),MONTH(tblTransactions[[#This Row],[date]]),1)</f>
        <v>45748</v>
      </c>
      <c r="N1544" t="str">
        <f>IF(WEEKDAY(tblTransactions[[#This Row],[date]],2)&gt;5,"Weekend","Weekday")</f>
        <v>Weekend</v>
      </c>
      <c r="O1544" s="13" t="str">
        <f>IF(tblTransactions[[#This Row],[discount_pct]]=0,"0%",IF(tblTransactions[[#This Row],[discount_pct]]&lt;=10%,"1–
10%",IF(tblTransactions[[#This Row],[discount_pct]]&lt;=20%,"11–20%","&gt;20%")))</f>
        <v>0%</v>
      </c>
      <c r="P1544" s="13" t="str">
        <f>_xlfn.XLOOKUP(tblTransactions[[#This Row],[tenant_id]],tblTenants[tenant_id],tblTenants[zone],"NOT FOUND")</f>
        <v>Food Court</v>
      </c>
      <c r="Q1544" s="13" t="str">
        <f>_xlfn.XLOOKUP(tblTransactions[[#This Row],[tenant_id]],tblTenants[tenant_id],tblTenants[category],"NOT FOUND")</f>
        <v>Quick Service</v>
      </c>
    </row>
    <row r="1545" spans="1:17">
      <c r="A1545" t="s">
        <v>1589</v>
      </c>
      <c r="B1545" s="2">
        <v>45739</v>
      </c>
      <c r="C1545">
        <v>11</v>
      </c>
      <c r="D1545" t="s">
        <v>36</v>
      </c>
      <c r="E1545" t="s">
        <v>32</v>
      </c>
      <c r="F1545" s="7">
        <v>639.05999999999995</v>
      </c>
      <c r="G1545" s="10">
        <v>0.2</v>
      </c>
      <c r="H1545" s="7">
        <v>511.25</v>
      </c>
      <c r="I1545">
        <v>5</v>
      </c>
      <c r="J1545" t="s">
        <v>16</v>
      </c>
      <c r="K1545" s="13">
        <f>ROUND(tblTransactions[[#This Row],[gross_sales_inr]]*(1-tblTransactions[[#This Row],[discount_pct]]),2)</f>
        <v>511.25</v>
      </c>
      <c r="L1545" t="str">
        <f>IF(ABS(tblTransactions[[#This Row],[net_sales_inr]]-tblTransactions[[#This Row],[Recalc_Net_Sales]])&lt;0.02,"OK","CHECK")</f>
        <v>OK</v>
      </c>
      <c r="M1545" s="14">
        <f>DATE(YEAR(tblTransactions[[#This Row],[date]]),MONTH(tblTransactions[[#This Row],[date]]),1)</f>
        <v>45717</v>
      </c>
      <c r="N1545" t="str">
        <f>IF(WEEKDAY(tblTransactions[[#This Row],[date]],2)&gt;5,"Weekend","Weekday")</f>
        <v>Weekend</v>
      </c>
      <c r="O154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45" s="13" t="str">
        <f>_xlfn.XLOOKUP(tblTransactions[[#This Row],[tenant_id]],tblTenants[tenant_id],tblTenants[zone],"NOT FOUND")</f>
        <v>Home &amp; Living</v>
      </c>
      <c r="Q1545" s="13" t="str">
        <f>_xlfn.XLOOKUP(tblTransactions[[#This Row],[tenant_id]],tblTenants[tenant_id],tblTenants[category],"NOT FOUND")</f>
        <v>Electronics</v>
      </c>
    </row>
    <row r="1546" spans="1:17">
      <c r="A1546" t="s">
        <v>1590</v>
      </c>
      <c r="B1546" s="2">
        <v>45748</v>
      </c>
      <c r="C1546">
        <v>14</v>
      </c>
      <c r="D1546" t="s">
        <v>87</v>
      </c>
      <c r="E1546" t="s">
        <v>12</v>
      </c>
      <c r="F1546" s="7">
        <v>4280.57</v>
      </c>
      <c r="G1546" s="10">
        <v>0</v>
      </c>
      <c r="H1546" s="7">
        <v>4280.57</v>
      </c>
      <c r="I1546">
        <v>2</v>
      </c>
      <c r="J1546" t="s">
        <v>13</v>
      </c>
      <c r="K1546" s="13">
        <f>ROUND(tblTransactions[[#This Row],[gross_sales_inr]]*(1-tblTransactions[[#This Row],[discount_pct]]),2)</f>
        <v>4280.57</v>
      </c>
      <c r="L1546" t="str">
        <f>IF(ABS(tblTransactions[[#This Row],[net_sales_inr]]-tblTransactions[[#This Row],[Recalc_Net_Sales]])&lt;0.02,"OK","CHECK")</f>
        <v>OK</v>
      </c>
      <c r="M1546" s="14">
        <f>DATE(YEAR(tblTransactions[[#This Row],[date]]),MONTH(tblTransactions[[#This Row],[date]]),1)</f>
        <v>45748</v>
      </c>
      <c r="N1546" t="str">
        <f>IF(WEEKDAY(tblTransactions[[#This Row],[date]],2)&gt;5,"Weekend","Weekday")</f>
        <v>Weekday</v>
      </c>
      <c r="O1546" s="13" t="str">
        <f>IF(tblTransactions[[#This Row],[discount_pct]]=0,"0%",IF(tblTransactions[[#This Row],[discount_pct]]&lt;=10%,"1–
10%",IF(tblTransactions[[#This Row],[discount_pct]]&lt;=20%,"11–20%","&gt;20%")))</f>
        <v>0%</v>
      </c>
      <c r="P1546" s="13" t="str">
        <f>_xlfn.XLOOKUP(tblTransactions[[#This Row],[tenant_id]],tblTenants[tenant_id],tblTenants[zone],"NOT FOUND")</f>
        <v>Fashion Avenue</v>
      </c>
      <c r="Q1546" s="13" t="str">
        <f>_xlfn.XLOOKUP(tblTransactions[[#This Row],[tenant_id]],tblTenants[tenant_id],tblTenants[category],"NOT FOUND")</f>
        <v>Footwear</v>
      </c>
    </row>
    <row r="1547" spans="1:17">
      <c r="A1547" t="s">
        <v>1591</v>
      </c>
      <c r="B1547" s="2">
        <v>45802</v>
      </c>
      <c r="C1547">
        <v>18</v>
      </c>
      <c r="D1547" t="s">
        <v>55</v>
      </c>
      <c r="E1547" t="s">
        <v>12</v>
      </c>
      <c r="F1547" s="7">
        <v>1314.38</v>
      </c>
      <c r="G1547" s="10">
        <v>0</v>
      </c>
      <c r="H1547" s="7">
        <v>1314.38</v>
      </c>
      <c r="I1547">
        <v>6</v>
      </c>
      <c r="J1547" t="s">
        <v>16</v>
      </c>
      <c r="K1547" s="13">
        <f>ROUND(tblTransactions[[#This Row],[gross_sales_inr]]*(1-tblTransactions[[#This Row],[discount_pct]]),2)</f>
        <v>1314.38</v>
      </c>
      <c r="L1547" t="str">
        <f>IF(ABS(tblTransactions[[#This Row],[net_sales_inr]]-tblTransactions[[#This Row],[Recalc_Net_Sales]])&lt;0.02,"OK","CHECK")</f>
        <v>OK</v>
      </c>
      <c r="M1547" s="14">
        <f>DATE(YEAR(tblTransactions[[#This Row],[date]]),MONTH(tblTransactions[[#This Row],[date]]),1)</f>
        <v>45778</v>
      </c>
      <c r="N1547" t="str">
        <f>IF(WEEKDAY(tblTransactions[[#This Row],[date]],2)&gt;5,"Weekend","Weekday")</f>
        <v>Weekend</v>
      </c>
      <c r="O1547" s="13" t="str">
        <f>IF(tblTransactions[[#This Row],[discount_pct]]=0,"0%",IF(tblTransactions[[#This Row],[discount_pct]]&lt;=10%,"1–
10%",IF(tblTransactions[[#This Row],[discount_pct]]&lt;=20%,"11–20%","&gt;20%")))</f>
        <v>0%</v>
      </c>
      <c r="P1547" s="13" t="str">
        <f>_xlfn.XLOOKUP(tblTransactions[[#This Row],[tenant_id]],tblTenants[tenant_id],tblTenants[zone],"NOT FOUND")</f>
        <v>Food Court</v>
      </c>
      <c r="Q1547" s="13" t="str">
        <f>_xlfn.XLOOKUP(tblTransactions[[#This Row],[tenant_id]],tblTenants[tenant_id],tblTenants[category],"NOT FOUND")</f>
        <v>Quick Service</v>
      </c>
    </row>
    <row r="1548" spans="1:17">
      <c r="A1548" t="s">
        <v>1592</v>
      </c>
      <c r="B1548" s="2">
        <v>45732</v>
      </c>
      <c r="C1548">
        <v>11</v>
      </c>
      <c r="D1548" t="s">
        <v>31</v>
      </c>
      <c r="E1548" t="s">
        <v>12</v>
      </c>
      <c r="F1548" s="7">
        <v>206.6</v>
      </c>
      <c r="G1548" s="10">
        <v>0.2</v>
      </c>
      <c r="H1548" s="7">
        <v>165.28</v>
      </c>
      <c r="I1548">
        <v>5</v>
      </c>
      <c r="J1548" t="s">
        <v>16</v>
      </c>
      <c r="K1548" s="13">
        <f>ROUND(tblTransactions[[#This Row],[gross_sales_inr]]*(1-tblTransactions[[#This Row],[discount_pct]]),2)</f>
        <v>165.28</v>
      </c>
      <c r="L1548" t="str">
        <f>IF(ABS(tblTransactions[[#This Row],[net_sales_inr]]-tblTransactions[[#This Row],[Recalc_Net_Sales]])&lt;0.02,"OK","CHECK")</f>
        <v>OK</v>
      </c>
      <c r="M1548" s="14">
        <f>DATE(YEAR(tblTransactions[[#This Row],[date]]),MONTH(tblTransactions[[#This Row],[date]]),1)</f>
        <v>45717</v>
      </c>
      <c r="N1548" t="str">
        <f>IF(WEEKDAY(tblTransactions[[#This Row],[date]],2)&gt;5,"Weekend","Weekday")</f>
        <v>Weekend</v>
      </c>
      <c r="O154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48" s="13" t="str">
        <f>_xlfn.XLOOKUP(tblTransactions[[#This Row],[tenant_id]],tblTenants[tenant_id],tblTenants[zone],"NOT FOUND")</f>
        <v>Entertainment</v>
      </c>
      <c r="Q1548" s="13" t="str">
        <f>_xlfn.XLOOKUP(tblTransactions[[#This Row],[tenant_id]],tblTenants[tenant_id],tblTenants[category],"NOT FOUND")</f>
        <v>Arcade</v>
      </c>
    </row>
    <row r="1549" spans="1:17">
      <c r="A1549" t="s">
        <v>1593</v>
      </c>
      <c r="B1549" s="2">
        <v>45795</v>
      </c>
      <c r="C1549">
        <v>21</v>
      </c>
      <c r="D1549" t="s">
        <v>63</v>
      </c>
      <c r="E1549" t="s">
        <v>12</v>
      </c>
      <c r="F1549" s="7">
        <v>746.25</v>
      </c>
      <c r="G1549" s="10">
        <v>0</v>
      </c>
      <c r="H1549" s="7">
        <v>746.25</v>
      </c>
      <c r="I1549">
        <v>6</v>
      </c>
      <c r="J1549" t="s">
        <v>13</v>
      </c>
      <c r="K1549" s="13">
        <f>ROUND(tblTransactions[[#This Row],[gross_sales_inr]]*(1-tblTransactions[[#This Row],[discount_pct]]),2)</f>
        <v>746.25</v>
      </c>
      <c r="L1549" t="str">
        <f>IF(ABS(tblTransactions[[#This Row],[net_sales_inr]]-tblTransactions[[#This Row],[Recalc_Net_Sales]])&lt;0.02,"OK","CHECK")</f>
        <v>OK</v>
      </c>
      <c r="M1549" s="14">
        <f>DATE(YEAR(tblTransactions[[#This Row],[date]]),MONTH(tblTransactions[[#This Row],[date]]),1)</f>
        <v>45778</v>
      </c>
      <c r="N1549" t="str">
        <f>IF(WEEKDAY(tblTransactions[[#This Row],[date]],2)&gt;5,"Weekend","Weekday")</f>
        <v>Weekend</v>
      </c>
      <c r="O1549" s="13" t="str">
        <f>IF(tblTransactions[[#This Row],[discount_pct]]=0,"0%",IF(tblTransactions[[#This Row],[discount_pct]]&lt;=10%,"1–
10%",IF(tblTransactions[[#This Row],[discount_pct]]&lt;=20%,"11–20%","&gt;20%")))</f>
        <v>0%</v>
      </c>
      <c r="P1549" s="13" t="str">
        <f>_xlfn.XLOOKUP(tblTransactions[[#This Row],[tenant_id]],tblTenants[tenant_id],tblTenants[zone],"NOT FOUND")</f>
        <v>Entertainment</v>
      </c>
      <c r="Q1549" s="13" t="str">
        <f>_xlfn.XLOOKUP(tblTransactions[[#This Row],[tenant_id]],tblTenants[tenant_id],tblTenants[category],"NOT FOUND")</f>
        <v>Family Entertainment</v>
      </c>
    </row>
    <row r="1550" spans="1:17">
      <c r="A1550" t="s">
        <v>1594</v>
      </c>
      <c r="B1550" s="2">
        <v>45751</v>
      </c>
      <c r="C1550">
        <v>14</v>
      </c>
      <c r="D1550" t="s">
        <v>29</v>
      </c>
      <c r="E1550" t="s">
        <v>12</v>
      </c>
      <c r="F1550" s="7">
        <v>2880.38</v>
      </c>
      <c r="G1550" s="10">
        <v>0</v>
      </c>
      <c r="H1550" s="7">
        <v>2880.38</v>
      </c>
      <c r="I1550">
        <v>1</v>
      </c>
      <c r="J1550" t="s">
        <v>13</v>
      </c>
      <c r="K1550" s="13">
        <f>ROUND(tblTransactions[[#This Row],[gross_sales_inr]]*(1-tblTransactions[[#This Row],[discount_pct]]),2)</f>
        <v>2880.38</v>
      </c>
      <c r="L1550" t="str">
        <f>IF(ABS(tblTransactions[[#This Row],[net_sales_inr]]-tblTransactions[[#This Row],[Recalc_Net_Sales]])&lt;0.02,"OK","CHECK")</f>
        <v>OK</v>
      </c>
      <c r="M1550" s="14">
        <f>DATE(YEAR(tblTransactions[[#This Row],[date]]),MONTH(tblTransactions[[#This Row],[date]]),1)</f>
        <v>45748</v>
      </c>
      <c r="N1550" t="str">
        <f>IF(WEEKDAY(tblTransactions[[#This Row],[date]],2)&gt;5,"Weekend","Weekday")</f>
        <v>Weekday</v>
      </c>
      <c r="O1550" s="13" t="str">
        <f>IF(tblTransactions[[#This Row],[discount_pct]]=0,"0%",IF(tblTransactions[[#This Row],[discount_pct]]&lt;=10%,"1–
10%",IF(tblTransactions[[#This Row],[discount_pct]]&lt;=20%,"11–20%","&gt;20%")))</f>
        <v>0%</v>
      </c>
      <c r="P1550" s="13" t="str">
        <f>_xlfn.XLOOKUP(tblTransactions[[#This Row],[tenant_id]],tblTenants[tenant_id],tblTenants[zone],"NOT FOUND")</f>
        <v>Entertainment</v>
      </c>
      <c r="Q1550" s="13" t="str">
        <f>_xlfn.XLOOKUP(tblTransactions[[#This Row],[tenant_id]],tblTenants[tenant_id],tblTenants[category],"NOT FOUND")</f>
        <v>Cinema</v>
      </c>
    </row>
    <row r="1551" spans="1:17">
      <c r="A1551" t="s">
        <v>1595</v>
      </c>
      <c r="B1551" s="2">
        <v>45738</v>
      </c>
      <c r="C1551">
        <v>17</v>
      </c>
      <c r="D1551" t="s">
        <v>57</v>
      </c>
      <c r="E1551" t="s">
        <v>12</v>
      </c>
      <c r="F1551" s="7">
        <v>1325.94</v>
      </c>
      <c r="G1551" s="10">
        <v>0.05</v>
      </c>
      <c r="H1551" s="7">
        <v>1259.6400000000001</v>
      </c>
      <c r="I1551">
        <v>2</v>
      </c>
      <c r="J1551" t="s">
        <v>16</v>
      </c>
      <c r="K1551" s="13">
        <f>ROUND(tblTransactions[[#This Row],[gross_sales_inr]]*(1-tblTransactions[[#This Row],[discount_pct]]),2)</f>
        <v>1259.6400000000001</v>
      </c>
      <c r="L1551" t="str">
        <f>IF(ABS(tblTransactions[[#This Row],[net_sales_inr]]-tblTransactions[[#This Row],[Recalc_Net_Sales]])&lt;0.02,"OK","CHECK")</f>
        <v>OK</v>
      </c>
      <c r="M1551" s="14">
        <f>DATE(YEAR(tblTransactions[[#This Row],[date]]),MONTH(tblTransactions[[#This Row],[date]]),1)</f>
        <v>45717</v>
      </c>
      <c r="N1551" t="str">
        <f>IF(WEEKDAY(tblTransactions[[#This Row],[date]],2)&gt;5,"Weekend","Weekday")</f>
        <v>Weekend</v>
      </c>
      <c r="O155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51" s="13" t="str">
        <f>_xlfn.XLOOKUP(tblTransactions[[#This Row],[tenant_id]],tblTenants[tenant_id],tblTenants[zone],"NOT FOUND")</f>
        <v>Food Court</v>
      </c>
      <c r="Q1551" s="13" t="str">
        <f>_xlfn.XLOOKUP(tblTransactions[[#This Row],[tenant_id]],tblTenants[tenant_id],tblTenants[category],"NOT FOUND")</f>
        <v>Casual Dining</v>
      </c>
    </row>
    <row r="1552" spans="1:17">
      <c r="A1552" t="s">
        <v>1596</v>
      </c>
      <c r="B1552" s="2">
        <v>45732</v>
      </c>
      <c r="C1552">
        <v>14</v>
      </c>
      <c r="D1552" t="s">
        <v>11</v>
      </c>
      <c r="E1552" t="s">
        <v>21</v>
      </c>
      <c r="F1552" s="7">
        <v>1199.8900000000001</v>
      </c>
      <c r="G1552" s="10">
        <v>0</v>
      </c>
      <c r="H1552" s="7">
        <v>1199.8900000000001</v>
      </c>
      <c r="I1552">
        <v>2</v>
      </c>
      <c r="J1552" t="s">
        <v>13</v>
      </c>
      <c r="K1552" s="13">
        <f>ROUND(tblTransactions[[#This Row],[gross_sales_inr]]*(1-tblTransactions[[#This Row],[discount_pct]]),2)</f>
        <v>1199.8900000000001</v>
      </c>
      <c r="L1552" t="str">
        <f>IF(ABS(tblTransactions[[#This Row],[net_sales_inr]]-tblTransactions[[#This Row],[Recalc_Net_Sales]])&lt;0.02,"OK","CHECK")</f>
        <v>OK</v>
      </c>
      <c r="M1552" s="14">
        <f>DATE(YEAR(tblTransactions[[#This Row],[date]]),MONTH(tblTransactions[[#This Row],[date]]),1)</f>
        <v>45717</v>
      </c>
      <c r="N1552" t="str">
        <f>IF(WEEKDAY(tblTransactions[[#This Row],[date]],2)&gt;5,"Weekend","Weekday")</f>
        <v>Weekend</v>
      </c>
      <c r="O1552" s="13" t="str">
        <f>IF(tblTransactions[[#This Row],[discount_pct]]=0,"0%",IF(tblTransactions[[#This Row],[discount_pct]]&lt;=10%,"1–
10%",IF(tblTransactions[[#This Row],[discount_pct]]&lt;=20%,"11–20%","&gt;20%")))</f>
        <v>0%</v>
      </c>
      <c r="P1552" s="13" t="str">
        <f>_xlfn.XLOOKUP(tblTransactions[[#This Row],[tenant_id]],tblTenants[tenant_id],tblTenants[zone],"NOT FOUND")</f>
        <v>Home &amp; Living</v>
      </c>
      <c r="Q1552" s="13" t="str">
        <f>_xlfn.XLOOKUP(tblTransactions[[#This Row],[tenant_id]],tblTenants[tenant_id],tblTenants[category],"NOT FOUND")</f>
        <v>Home Decor</v>
      </c>
    </row>
    <row r="1553" spans="1:17">
      <c r="A1553" t="s">
        <v>1597</v>
      </c>
      <c r="B1553" s="2">
        <v>45715</v>
      </c>
      <c r="C1553">
        <v>19</v>
      </c>
      <c r="D1553" t="s">
        <v>80</v>
      </c>
      <c r="E1553" t="s">
        <v>21</v>
      </c>
      <c r="F1553" s="7">
        <v>840.58</v>
      </c>
      <c r="G1553" s="10">
        <v>0</v>
      </c>
      <c r="H1553" s="7">
        <v>840.58</v>
      </c>
      <c r="I1553">
        <v>5</v>
      </c>
      <c r="J1553" t="s">
        <v>16</v>
      </c>
      <c r="K1553" s="13">
        <f>ROUND(tblTransactions[[#This Row],[gross_sales_inr]]*(1-tblTransactions[[#This Row],[discount_pct]]),2)</f>
        <v>840.58</v>
      </c>
      <c r="L1553" t="str">
        <f>IF(ABS(tblTransactions[[#This Row],[net_sales_inr]]-tblTransactions[[#This Row],[Recalc_Net_Sales]])&lt;0.02,"OK","CHECK")</f>
        <v>OK</v>
      </c>
      <c r="M1553" s="14">
        <f>DATE(YEAR(tblTransactions[[#This Row],[date]]),MONTH(tblTransactions[[#This Row],[date]]),1)</f>
        <v>45689</v>
      </c>
      <c r="N1553" t="str">
        <f>IF(WEEKDAY(tblTransactions[[#This Row],[date]],2)&gt;5,"Weekend","Weekday")</f>
        <v>Weekday</v>
      </c>
      <c r="O1553" s="13" t="str">
        <f>IF(tblTransactions[[#This Row],[discount_pct]]=0,"0%",IF(tblTransactions[[#This Row],[discount_pct]]&lt;=10%,"1–
10%",IF(tblTransactions[[#This Row],[discount_pct]]&lt;=20%,"11–20%","&gt;20%")))</f>
        <v>0%</v>
      </c>
      <c r="P1553" s="13" t="str">
        <f>_xlfn.XLOOKUP(tblTransactions[[#This Row],[tenant_id]],tblTenants[tenant_id],tblTenants[zone],"NOT FOUND")</f>
        <v>Food Court</v>
      </c>
      <c r="Q1553" s="13" t="str">
        <f>_xlfn.XLOOKUP(tblTransactions[[#This Row],[tenant_id]],tblTenants[tenant_id],tblTenants[category],"NOT FOUND")</f>
        <v>Casual Dining</v>
      </c>
    </row>
    <row r="1554" spans="1:17">
      <c r="A1554" t="s">
        <v>1598</v>
      </c>
      <c r="B1554" s="2">
        <v>45771</v>
      </c>
      <c r="C1554">
        <v>19</v>
      </c>
      <c r="D1554" t="s">
        <v>204</v>
      </c>
      <c r="E1554" t="s">
        <v>32</v>
      </c>
      <c r="F1554" s="7">
        <v>616.04999999999995</v>
      </c>
      <c r="G1554" s="10">
        <v>0.1</v>
      </c>
      <c r="H1554" s="7">
        <v>554.44000000000005</v>
      </c>
      <c r="I1554">
        <v>3</v>
      </c>
      <c r="J1554" t="s">
        <v>13</v>
      </c>
      <c r="K1554" s="13">
        <f>ROUND(tblTransactions[[#This Row],[gross_sales_inr]]*(1-tblTransactions[[#This Row],[discount_pct]]),2)</f>
        <v>554.45000000000005</v>
      </c>
      <c r="L1554" t="str">
        <f>IF(ABS(tblTransactions[[#This Row],[net_sales_inr]]-tblTransactions[[#This Row],[Recalc_Net_Sales]])&lt;0.02,"OK","CHECK")</f>
        <v>OK</v>
      </c>
      <c r="M1554" s="14">
        <f>DATE(YEAR(tblTransactions[[#This Row],[date]]),MONTH(tblTransactions[[#This Row],[date]]),1)</f>
        <v>45748</v>
      </c>
      <c r="N1554" t="str">
        <f>IF(WEEKDAY(tblTransactions[[#This Row],[date]],2)&gt;5,"Weekend","Weekday")</f>
        <v>Weekday</v>
      </c>
      <c r="O155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54" s="13" t="str">
        <f>_xlfn.XLOOKUP(tblTransactions[[#This Row],[tenant_id]],tblTenants[tenant_id],tblTenants[zone],"NOT FOUND")</f>
        <v>Home &amp; Living</v>
      </c>
      <c r="Q1554" s="13" t="str">
        <f>_xlfn.XLOOKUP(tblTransactions[[#This Row],[tenant_id]],tblTenants[tenant_id],tblTenants[category],"NOT FOUND")</f>
        <v>Home Decor</v>
      </c>
    </row>
    <row r="1555" spans="1:17">
      <c r="A1555" t="s">
        <v>1599</v>
      </c>
      <c r="B1555" s="2">
        <v>45726</v>
      </c>
      <c r="C1555">
        <v>11</v>
      </c>
      <c r="D1555" t="s">
        <v>29</v>
      </c>
      <c r="E1555" t="s">
        <v>51</v>
      </c>
      <c r="F1555" s="7">
        <v>1873.99</v>
      </c>
      <c r="G1555" s="10">
        <v>0</v>
      </c>
      <c r="H1555" s="7">
        <v>1873.99</v>
      </c>
      <c r="I1555">
        <v>2</v>
      </c>
      <c r="J1555" t="s">
        <v>16</v>
      </c>
      <c r="K1555" s="13">
        <f>ROUND(tblTransactions[[#This Row],[gross_sales_inr]]*(1-tblTransactions[[#This Row],[discount_pct]]),2)</f>
        <v>1873.99</v>
      </c>
      <c r="L1555" t="str">
        <f>IF(ABS(tblTransactions[[#This Row],[net_sales_inr]]-tblTransactions[[#This Row],[Recalc_Net_Sales]])&lt;0.02,"OK","CHECK")</f>
        <v>OK</v>
      </c>
      <c r="M1555" s="14">
        <f>DATE(YEAR(tblTransactions[[#This Row],[date]]),MONTH(tblTransactions[[#This Row],[date]]),1)</f>
        <v>45717</v>
      </c>
      <c r="N1555" t="str">
        <f>IF(WEEKDAY(tblTransactions[[#This Row],[date]],2)&gt;5,"Weekend","Weekday")</f>
        <v>Weekday</v>
      </c>
      <c r="O1555" s="13" t="str">
        <f>IF(tblTransactions[[#This Row],[discount_pct]]=0,"0%",IF(tblTransactions[[#This Row],[discount_pct]]&lt;=10%,"1–
10%",IF(tblTransactions[[#This Row],[discount_pct]]&lt;=20%,"11–20%","&gt;20%")))</f>
        <v>0%</v>
      </c>
      <c r="P1555" s="13" t="str">
        <f>_xlfn.XLOOKUP(tblTransactions[[#This Row],[tenant_id]],tblTenants[tenant_id],tblTenants[zone],"NOT FOUND")</f>
        <v>Entertainment</v>
      </c>
      <c r="Q1555" s="13" t="str">
        <f>_xlfn.XLOOKUP(tblTransactions[[#This Row],[tenant_id]],tblTenants[tenant_id],tblTenants[category],"NOT FOUND")</f>
        <v>Cinema</v>
      </c>
    </row>
    <row r="1556" spans="1:17">
      <c r="A1556" t="s">
        <v>1600</v>
      </c>
      <c r="B1556" s="2">
        <v>45795</v>
      </c>
      <c r="C1556">
        <v>10</v>
      </c>
      <c r="D1556" t="s">
        <v>72</v>
      </c>
      <c r="E1556" t="s">
        <v>32</v>
      </c>
      <c r="F1556" s="7">
        <v>1004.43</v>
      </c>
      <c r="G1556" s="10">
        <v>0.05</v>
      </c>
      <c r="H1556" s="7">
        <v>954.21</v>
      </c>
      <c r="I1556">
        <v>3</v>
      </c>
      <c r="J1556" t="s">
        <v>13</v>
      </c>
      <c r="K1556" s="13">
        <f>ROUND(tblTransactions[[#This Row],[gross_sales_inr]]*(1-tblTransactions[[#This Row],[discount_pct]]),2)</f>
        <v>954.21</v>
      </c>
      <c r="L1556" t="str">
        <f>IF(ABS(tblTransactions[[#This Row],[net_sales_inr]]-tblTransactions[[#This Row],[Recalc_Net_Sales]])&lt;0.02,"OK","CHECK")</f>
        <v>OK</v>
      </c>
      <c r="M1556" s="14">
        <f>DATE(YEAR(tblTransactions[[#This Row],[date]]),MONTH(tblTransactions[[#This Row],[date]]),1)</f>
        <v>45778</v>
      </c>
      <c r="N1556" t="str">
        <f>IF(WEEKDAY(tblTransactions[[#This Row],[date]],2)&gt;5,"Weekend","Weekday")</f>
        <v>Weekend</v>
      </c>
      <c r="O155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56" s="13" t="str">
        <f>_xlfn.XLOOKUP(tblTransactions[[#This Row],[tenant_id]],tblTenants[tenant_id],tblTenants[zone],"NOT FOUND")</f>
        <v>Entertainment</v>
      </c>
      <c r="Q1556" s="13" t="str">
        <f>_xlfn.XLOOKUP(tblTransactions[[#This Row],[tenant_id]],tblTenants[tenant_id],tblTenants[category],"NOT FOUND")</f>
        <v>Arcade</v>
      </c>
    </row>
    <row r="1557" spans="1:17">
      <c r="A1557" t="s">
        <v>1601</v>
      </c>
      <c r="B1557" s="2">
        <v>45678</v>
      </c>
      <c r="C1557">
        <v>14</v>
      </c>
      <c r="D1557" t="s">
        <v>204</v>
      </c>
      <c r="E1557" t="s">
        <v>51</v>
      </c>
      <c r="F1557" s="7">
        <v>699.22</v>
      </c>
      <c r="G1557" s="10">
        <v>0</v>
      </c>
      <c r="H1557" s="7">
        <v>699.22</v>
      </c>
      <c r="I1557">
        <v>1</v>
      </c>
      <c r="J1557" t="s">
        <v>13</v>
      </c>
      <c r="K1557" s="13">
        <f>ROUND(tblTransactions[[#This Row],[gross_sales_inr]]*(1-tblTransactions[[#This Row],[discount_pct]]),2)</f>
        <v>699.22</v>
      </c>
      <c r="L1557" t="str">
        <f>IF(ABS(tblTransactions[[#This Row],[net_sales_inr]]-tblTransactions[[#This Row],[Recalc_Net_Sales]])&lt;0.02,"OK","CHECK")</f>
        <v>OK</v>
      </c>
      <c r="M1557" s="14">
        <f>DATE(YEAR(tblTransactions[[#This Row],[date]]),MONTH(tblTransactions[[#This Row],[date]]),1)</f>
        <v>45658</v>
      </c>
      <c r="N1557" t="str">
        <f>IF(WEEKDAY(tblTransactions[[#This Row],[date]],2)&gt;5,"Weekend","Weekday")</f>
        <v>Weekday</v>
      </c>
      <c r="O1557" s="13" t="str">
        <f>IF(tblTransactions[[#This Row],[discount_pct]]=0,"0%",IF(tblTransactions[[#This Row],[discount_pct]]&lt;=10%,"1–
10%",IF(tblTransactions[[#This Row],[discount_pct]]&lt;=20%,"11–20%","&gt;20%")))</f>
        <v>0%</v>
      </c>
      <c r="P1557" s="13" t="str">
        <f>_xlfn.XLOOKUP(tblTransactions[[#This Row],[tenant_id]],tblTenants[tenant_id],tblTenants[zone],"NOT FOUND")</f>
        <v>Home &amp; Living</v>
      </c>
      <c r="Q1557" s="13" t="str">
        <f>_xlfn.XLOOKUP(tblTransactions[[#This Row],[tenant_id]],tblTenants[tenant_id],tblTenants[category],"NOT FOUND")</f>
        <v>Home Decor</v>
      </c>
    </row>
    <row r="1558" spans="1:17">
      <c r="A1558" t="s">
        <v>1602</v>
      </c>
      <c r="B1558" s="2">
        <v>45823</v>
      </c>
      <c r="C1558">
        <v>20</v>
      </c>
      <c r="D1558" t="s">
        <v>80</v>
      </c>
      <c r="E1558" t="s">
        <v>32</v>
      </c>
      <c r="F1558" s="7">
        <v>749.56</v>
      </c>
      <c r="G1558" s="10">
        <v>0</v>
      </c>
      <c r="H1558" s="7">
        <v>749.56</v>
      </c>
      <c r="I1558">
        <v>6</v>
      </c>
      <c r="J1558" t="s">
        <v>13</v>
      </c>
      <c r="K1558" s="13">
        <f>ROUND(tblTransactions[[#This Row],[gross_sales_inr]]*(1-tblTransactions[[#This Row],[discount_pct]]),2)</f>
        <v>749.56</v>
      </c>
      <c r="L1558" t="str">
        <f>IF(ABS(tblTransactions[[#This Row],[net_sales_inr]]-tblTransactions[[#This Row],[Recalc_Net_Sales]])&lt;0.02,"OK","CHECK")</f>
        <v>OK</v>
      </c>
      <c r="M1558" s="14">
        <f>DATE(YEAR(tblTransactions[[#This Row],[date]]),MONTH(tblTransactions[[#This Row],[date]]),1)</f>
        <v>45809</v>
      </c>
      <c r="N1558" t="str">
        <f>IF(WEEKDAY(tblTransactions[[#This Row],[date]],2)&gt;5,"Weekend","Weekday")</f>
        <v>Weekend</v>
      </c>
      <c r="O1558" s="13" t="str">
        <f>IF(tblTransactions[[#This Row],[discount_pct]]=0,"0%",IF(tblTransactions[[#This Row],[discount_pct]]&lt;=10%,"1–
10%",IF(tblTransactions[[#This Row],[discount_pct]]&lt;=20%,"11–20%","&gt;20%")))</f>
        <v>0%</v>
      </c>
      <c r="P1558" s="13" t="str">
        <f>_xlfn.XLOOKUP(tblTransactions[[#This Row],[tenant_id]],tblTenants[tenant_id],tblTenants[zone],"NOT FOUND")</f>
        <v>Food Court</v>
      </c>
      <c r="Q1558" s="13" t="str">
        <f>_xlfn.XLOOKUP(tblTransactions[[#This Row],[tenant_id]],tblTenants[tenant_id],tblTenants[category],"NOT FOUND")</f>
        <v>Casual Dining</v>
      </c>
    </row>
    <row r="1559" spans="1:17">
      <c r="A1559" t="s">
        <v>1603</v>
      </c>
      <c r="B1559" s="2">
        <v>45665</v>
      </c>
      <c r="C1559">
        <v>22</v>
      </c>
      <c r="D1559" t="s">
        <v>36</v>
      </c>
      <c r="E1559" t="s">
        <v>21</v>
      </c>
      <c r="F1559" s="7">
        <v>927.24</v>
      </c>
      <c r="G1559" s="10">
        <v>0</v>
      </c>
      <c r="H1559" s="7">
        <v>927.24</v>
      </c>
      <c r="I1559">
        <v>4</v>
      </c>
      <c r="J1559" t="s">
        <v>16</v>
      </c>
      <c r="K1559" s="13">
        <f>ROUND(tblTransactions[[#This Row],[gross_sales_inr]]*(1-tblTransactions[[#This Row],[discount_pct]]),2)</f>
        <v>927.24</v>
      </c>
      <c r="L1559" t="str">
        <f>IF(ABS(tblTransactions[[#This Row],[net_sales_inr]]-tblTransactions[[#This Row],[Recalc_Net_Sales]])&lt;0.02,"OK","CHECK")</f>
        <v>OK</v>
      </c>
      <c r="M1559" s="14">
        <f>DATE(YEAR(tblTransactions[[#This Row],[date]]),MONTH(tblTransactions[[#This Row],[date]]),1)</f>
        <v>45658</v>
      </c>
      <c r="N1559" t="str">
        <f>IF(WEEKDAY(tblTransactions[[#This Row],[date]],2)&gt;5,"Weekend","Weekday")</f>
        <v>Weekday</v>
      </c>
      <c r="O1559" s="13" t="str">
        <f>IF(tblTransactions[[#This Row],[discount_pct]]=0,"0%",IF(tblTransactions[[#This Row],[discount_pct]]&lt;=10%,"1–
10%",IF(tblTransactions[[#This Row],[discount_pct]]&lt;=20%,"11–20%","&gt;20%")))</f>
        <v>0%</v>
      </c>
      <c r="P1559" s="13" t="str">
        <f>_xlfn.XLOOKUP(tblTransactions[[#This Row],[tenant_id]],tblTenants[tenant_id],tblTenants[zone],"NOT FOUND")</f>
        <v>Home &amp; Living</v>
      </c>
      <c r="Q1559" s="13" t="str">
        <f>_xlfn.XLOOKUP(tblTransactions[[#This Row],[tenant_id]],tblTenants[tenant_id],tblTenants[category],"NOT FOUND")</f>
        <v>Electronics</v>
      </c>
    </row>
    <row r="1560" spans="1:17">
      <c r="A1560" t="s">
        <v>1604</v>
      </c>
      <c r="B1560" s="2">
        <v>45658</v>
      </c>
      <c r="C1560">
        <v>11</v>
      </c>
      <c r="D1560" t="s">
        <v>15</v>
      </c>
      <c r="E1560" t="s">
        <v>12</v>
      </c>
      <c r="F1560" s="7">
        <v>778.46</v>
      </c>
      <c r="G1560" s="10">
        <v>0.15</v>
      </c>
      <c r="H1560" s="7">
        <v>661.69</v>
      </c>
      <c r="I1560">
        <v>1</v>
      </c>
      <c r="J1560" t="s">
        <v>13</v>
      </c>
      <c r="K1560" s="13">
        <f>ROUND(tblTransactions[[#This Row],[gross_sales_inr]]*(1-tblTransactions[[#This Row],[discount_pct]]),2)</f>
        <v>661.69</v>
      </c>
      <c r="L1560" t="str">
        <f>IF(ABS(tblTransactions[[#This Row],[net_sales_inr]]-tblTransactions[[#This Row],[Recalc_Net_Sales]])&lt;0.02,"OK","CHECK")</f>
        <v>OK</v>
      </c>
      <c r="M1560" s="14">
        <f>DATE(YEAR(tblTransactions[[#This Row],[date]]),MONTH(tblTransactions[[#This Row],[date]]),1)</f>
        <v>45658</v>
      </c>
      <c r="N1560" t="str">
        <f>IF(WEEKDAY(tblTransactions[[#This Row],[date]],2)&gt;5,"Weekend","Weekday")</f>
        <v>Weekday</v>
      </c>
      <c r="O156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60" s="13" t="str">
        <f>_xlfn.XLOOKUP(tblTransactions[[#This Row],[tenant_id]],tblTenants[tenant_id],tblTenants[zone],"NOT FOUND")</f>
        <v>Fashion Avenue</v>
      </c>
      <c r="Q1560" s="13" t="str">
        <f>_xlfn.XLOOKUP(tblTransactions[[#This Row],[tenant_id]],tblTenants[tenant_id],tblTenants[category],"NOT FOUND")</f>
        <v>Accessories</v>
      </c>
    </row>
    <row r="1561" spans="1:17">
      <c r="A1561" t="s">
        <v>1605</v>
      </c>
      <c r="B1561" s="2">
        <v>45771</v>
      </c>
      <c r="C1561">
        <v>16</v>
      </c>
      <c r="D1561" t="s">
        <v>204</v>
      </c>
      <c r="E1561" t="s">
        <v>12</v>
      </c>
      <c r="F1561" s="7">
        <v>4960.5</v>
      </c>
      <c r="G1561" s="10">
        <v>0</v>
      </c>
      <c r="H1561" s="7">
        <v>4960.5</v>
      </c>
      <c r="I1561">
        <v>2</v>
      </c>
      <c r="J1561" t="s">
        <v>13</v>
      </c>
      <c r="K1561" s="13">
        <f>ROUND(tblTransactions[[#This Row],[gross_sales_inr]]*(1-tblTransactions[[#This Row],[discount_pct]]),2)</f>
        <v>4960.5</v>
      </c>
      <c r="L1561" t="str">
        <f>IF(ABS(tblTransactions[[#This Row],[net_sales_inr]]-tblTransactions[[#This Row],[Recalc_Net_Sales]])&lt;0.02,"OK","CHECK")</f>
        <v>OK</v>
      </c>
      <c r="M1561" s="14">
        <f>DATE(YEAR(tblTransactions[[#This Row],[date]]),MONTH(tblTransactions[[#This Row],[date]]),1)</f>
        <v>45748</v>
      </c>
      <c r="N1561" t="str">
        <f>IF(WEEKDAY(tblTransactions[[#This Row],[date]],2)&gt;5,"Weekend","Weekday")</f>
        <v>Weekday</v>
      </c>
      <c r="O1561" s="13" t="str">
        <f>IF(tblTransactions[[#This Row],[discount_pct]]=0,"0%",IF(tblTransactions[[#This Row],[discount_pct]]&lt;=10%,"1–
10%",IF(tblTransactions[[#This Row],[discount_pct]]&lt;=20%,"11–20%","&gt;20%")))</f>
        <v>0%</v>
      </c>
      <c r="P1561" s="13" t="str">
        <f>_xlfn.XLOOKUP(tblTransactions[[#This Row],[tenant_id]],tblTenants[tenant_id],tblTenants[zone],"NOT FOUND")</f>
        <v>Home &amp; Living</v>
      </c>
      <c r="Q1561" s="13" t="str">
        <f>_xlfn.XLOOKUP(tblTransactions[[#This Row],[tenant_id]],tblTenants[tenant_id],tblTenants[category],"NOT FOUND")</f>
        <v>Home Decor</v>
      </c>
    </row>
    <row r="1562" spans="1:17">
      <c r="A1562" t="s">
        <v>1606</v>
      </c>
      <c r="B1562" s="2">
        <v>45770</v>
      </c>
      <c r="C1562">
        <v>16</v>
      </c>
      <c r="D1562" t="s">
        <v>55</v>
      </c>
      <c r="E1562" t="s">
        <v>12</v>
      </c>
      <c r="F1562" s="7">
        <v>496.96</v>
      </c>
      <c r="G1562" s="10">
        <v>0.2</v>
      </c>
      <c r="H1562" s="7">
        <v>397.57</v>
      </c>
      <c r="I1562">
        <v>2</v>
      </c>
      <c r="J1562" t="s">
        <v>13</v>
      </c>
      <c r="K1562" s="13">
        <f>ROUND(tblTransactions[[#This Row],[gross_sales_inr]]*(1-tblTransactions[[#This Row],[discount_pct]]),2)</f>
        <v>397.57</v>
      </c>
      <c r="L1562" t="str">
        <f>IF(ABS(tblTransactions[[#This Row],[net_sales_inr]]-tblTransactions[[#This Row],[Recalc_Net_Sales]])&lt;0.02,"OK","CHECK")</f>
        <v>OK</v>
      </c>
      <c r="M1562" s="14">
        <f>DATE(YEAR(tblTransactions[[#This Row],[date]]),MONTH(tblTransactions[[#This Row],[date]]),1)</f>
        <v>45748</v>
      </c>
      <c r="N1562" t="str">
        <f>IF(WEEKDAY(tblTransactions[[#This Row],[date]],2)&gt;5,"Weekend","Weekday")</f>
        <v>Weekday</v>
      </c>
      <c r="O156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62" s="13" t="str">
        <f>_xlfn.XLOOKUP(tblTransactions[[#This Row],[tenant_id]],tblTenants[tenant_id],tblTenants[zone],"NOT FOUND")</f>
        <v>Food Court</v>
      </c>
      <c r="Q1562" s="13" t="str">
        <f>_xlfn.XLOOKUP(tblTransactions[[#This Row],[tenant_id]],tblTenants[tenant_id],tblTenants[category],"NOT FOUND")</f>
        <v>Quick Service</v>
      </c>
    </row>
    <row r="1563" spans="1:17">
      <c r="A1563" t="s">
        <v>1607</v>
      </c>
      <c r="B1563" s="2">
        <v>45767</v>
      </c>
      <c r="C1563">
        <v>17</v>
      </c>
      <c r="D1563" t="s">
        <v>104</v>
      </c>
      <c r="E1563" t="s">
        <v>32</v>
      </c>
      <c r="F1563" s="7">
        <v>2625.52</v>
      </c>
      <c r="G1563" s="10">
        <v>0.1</v>
      </c>
      <c r="H1563" s="7">
        <v>2362.9699999999998</v>
      </c>
      <c r="I1563">
        <v>1</v>
      </c>
      <c r="J1563" t="s">
        <v>16</v>
      </c>
      <c r="K1563" s="13">
        <f>ROUND(tblTransactions[[#This Row],[gross_sales_inr]]*(1-tblTransactions[[#This Row],[discount_pct]]),2)</f>
        <v>2362.9699999999998</v>
      </c>
      <c r="L1563" t="str">
        <f>IF(ABS(tblTransactions[[#This Row],[net_sales_inr]]-tblTransactions[[#This Row],[Recalc_Net_Sales]])&lt;0.02,"OK","CHECK")</f>
        <v>OK</v>
      </c>
      <c r="M1563" s="14">
        <f>DATE(YEAR(tblTransactions[[#This Row],[date]]),MONTH(tblTransactions[[#This Row],[date]]),1)</f>
        <v>45748</v>
      </c>
      <c r="N1563" t="str">
        <f>IF(WEEKDAY(tblTransactions[[#This Row],[date]],2)&gt;5,"Weekend","Weekday")</f>
        <v>Weekend</v>
      </c>
      <c r="O156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63" s="13" t="str">
        <f>_xlfn.XLOOKUP(tblTransactions[[#This Row],[tenant_id]],tblTenants[tenant_id],tblTenants[zone],"NOT FOUND")</f>
        <v>Entertainment</v>
      </c>
      <c r="Q1563" s="13" t="str">
        <f>_xlfn.XLOOKUP(tblTransactions[[#This Row],[tenant_id]],tblTenants[tenant_id],tblTenants[category],"NOT FOUND")</f>
        <v>Family Entertainment</v>
      </c>
    </row>
    <row r="1564" spans="1:17">
      <c r="A1564" t="s">
        <v>1608</v>
      </c>
      <c r="B1564" s="2">
        <v>45658</v>
      </c>
      <c r="C1564">
        <v>19</v>
      </c>
      <c r="D1564" t="s">
        <v>41</v>
      </c>
      <c r="E1564" t="s">
        <v>12</v>
      </c>
      <c r="F1564" s="7">
        <v>1630.95</v>
      </c>
      <c r="G1564" s="10">
        <v>0</v>
      </c>
      <c r="H1564" s="7">
        <v>1630.95</v>
      </c>
      <c r="I1564">
        <v>3</v>
      </c>
      <c r="J1564" t="s">
        <v>16</v>
      </c>
      <c r="K1564" s="13">
        <f>ROUND(tblTransactions[[#This Row],[gross_sales_inr]]*(1-tblTransactions[[#This Row],[discount_pct]]),2)</f>
        <v>1630.95</v>
      </c>
      <c r="L1564" t="str">
        <f>IF(ABS(tblTransactions[[#This Row],[net_sales_inr]]-tblTransactions[[#This Row],[Recalc_Net_Sales]])&lt;0.02,"OK","CHECK")</f>
        <v>OK</v>
      </c>
      <c r="M1564" s="14">
        <f>DATE(YEAR(tblTransactions[[#This Row],[date]]),MONTH(tblTransactions[[#This Row],[date]]),1)</f>
        <v>45658</v>
      </c>
      <c r="N1564" t="str">
        <f>IF(WEEKDAY(tblTransactions[[#This Row],[date]],2)&gt;5,"Weekend","Weekday")</f>
        <v>Weekday</v>
      </c>
      <c r="O1564" s="13" t="str">
        <f>IF(tblTransactions[[#This Row],[discount_pct]]=0,"0%",IF(tblTransactions[[#This Row],[discount_pct]]&lt;=10%,"1–
10%",IF(tblTransactions[[#This Row],[discount_pct]]&lt;=20%,"11–20%","&gt;20%")))</f>
        <v>0%</v>
      </c>
      <c r="P1564" s="13" t="str">
        <f>_xlfn.XLOOKUP(tblTransactions[[#This Row],[tenant_id]],tblTenants[tenant_id],tblTenants[zone],"NOT FOUND")</f>
        <v>Fashion Avenue</v>
      </c>
      <c r="Q1564" s="13" t="str">
        <f>_xlfn.XLOOKUP(tblTransactions[[#This Row],[tenant_id]],tblTenants[tenant_id],tblTenants[category],"NOT FOUND")</f>
        <v>Clothing</v>
      </c>
    </row>
    <row r="1565" spans="1:17">
      <c r="A1565" t="s">
        <v>1609</v>
      </c>
      <c r="B1565" s="2">
        <v>45790</v>
      </c>
      <c r="C1565">
        <v>14</v>
      </c>
      <c r="D1565" t="s">
        <v>204</v>
      </c>
      <c r="E1565" t="s">
        <v>12</v>
      </c>
      <c r="F1565" s="7">
        <v>331.45</v>
      </c>
      <c r="G1565" s="10">
        <v>0</v>
      </c>
      <c r="H1565" s="7">
        <v>331.45</v>
      </c>
      <c r="I1565">
        <v>2</v>
      </c>
      <c r="J1565" t="s">
        <v>13</v>
      </c>
      <c r="K1565" s="13">
        <f>ROUND(tblTransactions[[#This Row],[gross_sales_inr]]*(1-tblTransactions[[#This Row],[discount_pct]]),2)</f>
        <v>331.45</v>
      </c>
      <c r="L1565" t="str">
        <f>IF(ABS(tblTransactions[[#This Row],[net_sales_inr]]-tblTransactions[[#This Row],[Recalc_Net_Sales]])&lt;0.02,"OK","CHECK")</f>
        <v>OK</v>
      </c>
      <c r="M1565" s="14">
        <f>DATE(YEAR(tblTransactions[[#This Row],[date]]),MONTH(tblTransactions[[#This Row],[date]]),1)</f>
        <v>45778</v>
      </c>
      <c r="N1565" t="str">
        <f>IF(WEEKDAY(tblTransactions[[#This Row],[date]],2)&gt;5,"Weekend","Weekday")</f>
        <v>Weekday</v>
      </c>
      <c r="O1565" s="13" t="str">
        <f>IF(tblTransactions[[#This Row],[discount_pct]]=0,"0%",IF(tblTransactions[[#This Row],[discount_pct]]&lt;=10%,"1–
10%",IF(tblTransactions[[#This Row],[discount_pct]]&lt;=20%,"11–20%","&gt;20%")))</f>
        <v>0%</v>
      </c>
      <c r="P1565" s="13" t="str">
        <f>_xlfn.XLOOKUP(tblTransactions[[#This Row],[tenant_id]],tblTenants[tenant_id],tblTenants[zone],"NOT FOUND")</f>
        <v>Home &amp; Living</v>
      </c>
      <c r="Q1565" s="13" t="str">
        <f>_xlfn.XLOOKUP(tblTransactions[[#This Row],[tenant_id]],tblTenants[tenant_id],tblTenants[category],"NOT FOUND")</f>
        <v>Home Decor</v>
      </c>
    </row>
    <row r="1566" spans="1:17">
      <c r="A1566" t="s">
        <v>1610</v>
      </c>
      <c r="B1566" s="2">
        <v>45710</v>
      </c>
      <c r="C1566">
        <v>12</v>
      </c>
      <c r="D1566" t="s">
        <v>98</v>
      </c>
      <c r="E1566" t="s">
        <v>12</v>
      </c>
      <c r="F1566" s="7">
        <v>2204.21</v>
      </c>
      <c r="G1566" s="10">
        <v>0.3</v>
      </c>
      <c r="H1566" s="7">
        <v>1542.95</v>
      </c>
      <c r="I1566">
        <v>3</v>
      </c>
      <c r="J1566" t="s">
        <v>16</v>
      </c>
      <c r="K1566" s="13">
        <f>ROUND(tblTransactions[[#This Row],[gross_sales_inr]]*(1-tblTransactions[[#This Row],[discount_pct]]),2)</f>
        <v>1542.95</v>
      </c>
      <c r="L1566" t="str">
        <f>IF(ABS(tblTransactions[[#This Row],[net_sales_inr]]-tblTransactions[[#This Row],[Recalc_Net_Sales]])&lt;0.02,"OK","CHECK")</f>
        <v>OK</v>
      </c>
      <c r="M1566" s="14">
        <f>DATE(YEAR(tblTransactions[[#This Row],[date]]),MONTH(tblTransactions[[#This Row],[date]]),1)</f>
        <v>45689</v>
      </c>
      <c r="N1566" t="str">
        <f>IF(WEEKDAY(tblTransactions[[#This Row],[date]],2)&gt;5,"Weekend","Weekday")</f>
        <v>Weekend</v>
      </c>
      <c r="O1566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566" s="13" t="str">
        <f>_xlfn.XLOOKUP(tblTransactions[[#This Row],[tenant_id]],tblTenants[tenant_id],tblTenants[zone],"NOT FOUND")</f>
        <v>Fashion Avenue</v>
      </c>
      <c r="Q1566" s="13" t="str">
        <f>_xlfn.XLOOKUP(tblTransactions[[#This Row],[tenant_id]],tblTenants[tenant_id],tblTenants[category],"NOT FOUND")</f>
        <v>Accessories</v>
      </c>
    </row>
    <row r="1567" spans="1:17">
      <c r="A1567" t="s">
        <v>1611</v>
      </c>
      <c r="B1567" s="2">
        <v>45805</v>
      </c>
      <c r="C1567">
        <v>21</v>
      </c>
      <c r="D1567" t="s">
        <v>25</v>
      </c>
      <c r="E1567" t="s">
        <v>12</v>
      </c>
      <c r="F1567" s="7">
        <v>1126.24</v>
      </c>
      <c r="G1567" s="10">
        <v>0</v>
      </c>
      <c r="H1567" s="7">
        <v>1126.24</v>
      </c>
      <c r="I1567">
        <v>4</v>
      </c>
      <c r="J1567" t="s">
        <v>13</v>
      </c>
      <c r="K1567" s="13">
        <f>ROUND(tblTransactions[[#This Row],[gross_sales_inr]]*(1-tblTransactions[[#This Row],[discount_pct]]),2)</f>
        <v>1126.24</v>
      </c>
      <c r="L1567" t="str">
        <f>IF(ABS(tblTransactions[[#This Row],[net_sales_inr]]-tblTransactions[[#This Row],[Recalc_Net_Sales]])&lt;0.02,"OK","CHECK")</f>
        <v>OK</v>
      </c>
      <c r="M1567" s="14">
        <f>DATE(YEAR(tblTransactions[[#This Row],[date]]),MONTH(tblTransactions[[#This Row],[date]]),1)</f>
        <v>45778</v>
      </c>
      <c r="N1567" t="str">
        <f>IF(WEEKDAY(tblTransactions[[#This Row],[date]],2)&gt;5,"Weekend","Weekday")</f>
        <v>Weekday</v>
      </c>
      <c r="O1567" s="13" t="str">
        <f>IF(tblTransactions[[#This Row],[discount_pct]]=0,"0%",IF(tblTransactions[[#This Row],[discount_pct]]&lt;=10%,"1–
10%",IF(tblTransactions[[#This Row],[discount_pct]]&lt;=20%,"11–20%","&gt;20%")))</f>
        <v>0%</v>
      </c>
      <c r="P1567" s="13" t="str">
        <f>_xlfn.XLOOKUP(tblTransactions[[#This Row],[tenant_id]],tblTenants[tenant_id],tblTenants[zone],"NOT FOUND")</f>
        <v>Beauty &amp; Wellness</v>
      </c>
      <c r="Q1567" s="13" t="str">
        <f>_xlfn.XLOOKUP(tblTransactions[[#This Row],[tenant_id]],tblTenants[tenant_id],tblTenants[category],"NOT FOUND")</f>
        <v>Beauty</v>
      </c>
    </row>
    <row r="1568" spans="1:17">
      <c r="A1568" t="s">
        <v>1612</v>
      </c>
      <c r="B1568" s="2">
        <v>45689</v>
      </c>
      <c r="C1568">
        <v>10</v>
      </c>
      <c r="D1568" t="s">
        <v>20</v>
      </c>
      <c r="E1568" t="s">
        <v>32</v>
      </c>
      <c r="F1568" s="7">
        <v>702.1</v>
      </c>
      <c r="G1568" s="10">
        <v>0.15</v>
      </c>
      <c r="H1568" s="7">
        <v>596.78</v>
      </c>
      <c r="I1568">
        <v>2</v>
      </c>
      <c r="J1568" t="s">
        <v>13</v>
      </c>
      <c r="K1568" s="13">
        <f>ROUND(tblTransactions[[#This Row],[gross_sales_inr]]*(1-tblTransactions[[#This Row],[discount_pct]]),2)</f>
        <v>596.79</v>
      </c>
      <c r="L1568" t="str">
        <f>IF(ABS(tblTransactions[[#This Row],[net_sales_inr]]-tblTransactions[[#This Row],[Recalc_Net_Sales]])&lt;0.02,"OK","CHECK")</f>
        <v>OK</v>
      </c>
      <c r="M1568" s="14">
        <f>DATE(YEAR(tblTransactions[[#This Row],[date]]),MONTH(tblTransactions[[#This Row],[date]]),1)</f>
        <v>45689</v>
      </c>
      <c r="N1568" t="str">
        <f>IF(WEEKDAY(tblTransactions[[#This Row],[date]],2)&gt;5,"Weekend","Weekday")</f>
        <v>Weekend</v>
      </c>
      <c r="O156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68" s="13" t="str">
        <f>_xlfn.XLOOKUP(tblTransactions[[#This Row],[tenant_id]],tblTenants[tenant_id],tblTenants[zone],"NOT FOUND")</f>
        <v>Fashion Avenue</v>
      </c>
      <c r="Q1568" s="13" t="str">
        <f>_xlfn.XLOOKUP(tblTransactions[[#This Row],[tenant_id]],tblTenants[tenant_id],tblTenants[category],"NOT FOUND")</f>
        <v>Accessories</v>
      </c>
    </row>
    <row r="1569" spans="1:17">
      <c r="A1569" t="s">
        <v>1613</v>
      </c>
      <c r="B1569" s="2">
        <v>45806</v>
      </c>
      <c r="C1569">
        <v>21</v>
      </c>
      <c r="D1569" t="s">
        <v>72</v>
      </c>
      <c r="E1569" t="s">
        <v>12</v>
      </c>
      <c r="F1569" s="7">
        <v>1217.67</v>
      </c>
      <c r="G1569" s="10">
        <v>0</v>
      </c>
      <c r="H1569" s="7">
        <v>1217.67</v>
      </c>
      <c r="I1569">
        <v>2</v>
      </c>
      <c r="J1569" t="s">
        <v>13</v>
      </c>
      <c r="K1569" s="13">
        <f>ROUND(tblTransactions[[#This Row],[gross_sales_inr]]*(1-tblTransactions[[#This Row],[discount_pct]]),2)</f>
        <v>1217.67</v>
      </c>
      <c r="L1569" t="str">
        <f>IF(ABS(tblTransactions[[#This Row],[net_sales_inr]]-tblTransactions[[#This Row],[Recalc_Net_Sales]])&lt;0.02,"OK","CHECK")</f>
        <v>OK</v>
      </c>
      <c r="M1569" s="14">
        <f>DATE(YEAR(tblTransactions[[#This Row],[date]]),MONTH(tblTransactions[[#This Row],[date]]),1)</f>
        <v>45778</v>
      </c>
      <c r="N1569" t="str">
        <f>IF(WEEKDAY(tblTransactions[[#This Row],[date]],2)&gt;5,"Weekend","Weekday")</f>
        <v>Weekday</v>
      </c>
      <c r="O1569" s="13" t="str">
        <f>IF(tblTransactions[[#This Row],[discount_pct]]=0,"0%",IF(tblTransactions[[#This Row],[discount_pct]]&lt;=10%,"1–
10%",IF(tblTransactions[[#This Row],[discount_pct]]&lt;=20%,"11–20%","&gt;20%")))</f>
        <v>0%</v>
      </c>
      <c r="P1569" s="13" t="str">
        <f>_xlfn.XLOOKUP(tblTransactions[[#This Row],[tenant_id]],tblTenants[tenant_id],tblTenants[zone],"NOT FOUND")</f>
        <v>Entertainment</v>
      </c>
      <c r="Q1569" s="13" t="str">
        <f>_xlfn.XLOOKUP(tblTransactions[[#This Row],[tenant_id]],tblTenants[tenant_id],tblTenants[category],"NOT FOUND")</f>
        <v>Arcade</v>
      </c>
    </row>
    <row r="1570" spans="1:17">
      <c r="A1570" t="s">
        <v>1614</v>
      </c>
      <c r="B1570" s="2">
        <v>45819</v>
      </c>
      <c r="C1570">
        <v>15</v>
      </c>
      <c r="D1570" t="s">
        <v>98</v>
      </c>
      <c r="E1570" t="s">
        <v>21</v>
      </c>
      <c r="F1570" s="7">
        <v>780.39</v>
      </c>
      <c r="G1570" s="10">
        <v>0</v>
      </c>
      <c r="H1570" s="7">
        <v>780.39</v>
      </c>
      <c r="I1570">
        <v>2</v>
      </c>
      <c r="J1570" t="s">
        <v>13</v>
      </c>
      <c r="K1570" s="13">
        <f>ROUND(tblTransactions[[#This Row],[gross_sales_inr]]*(1-tblTransactions[[#This Row],[discount_pct]]),2)</f>
        <v>780.39</v>
      </c>
      <c r="L1570" t="str">
        <f>IF(ABS(tblTransactions[[#This Row],[net_sales_inr]]-tblTransactions[[#This Row],[Recalc_Net_Sales]])&lt;0.02,"OK","CHECK")</f>
        <v>OK</v>
      </c>
      <c r="M1570" s="14">
        <f>DATE(YEAR(tblTransactions[[#This Row],[date]]),MONTH(tblTransactions[[#This Row],[date]]),1)</f>
        <v>45809</v>
      </c>
      <c r="N1570" t="str">
        <f>IF(WEEKDAY(tblTransactions[[#This Row],[date]],2)&gt;5,"Weekend","Weekday")</f>
        <v>Weekday</v>
      </c>
      <c r="O1570" s="13" t="str">
        <f>IF(tblTransactions[[#This Row],[discount_pct]]=0,"0%",IF(tblTransactions[[#This Row],[discount_pct]]&lt;=10%,"1–
10%",IF(tblTransactions[[#This Row],[discount_pct]]&lt;=20%,"11–20%","&gt;20%")))</f>
        <v>0%</v>
      </c>
      <c r="P1570" s="13" t="str">
        <f>_xlfn.XLOOKUP(tblTransactions[[#This Row],[tenant_id]],tblTenants[tenant_id],tblTenants[zone],"NOT FOUND")</f>
        <v>Fashion Avenue</v>
      </c>
      <c r="Q1570" s="13" t="str">
        <f>_xlfn.XLOOKUP(tblTransactions[[#This Row],[tenant_id]],tblTenants[tenant_id],tblTenants[category],"NOT FOUND")</f>
        <v>Accessories</v>
      </c>
    </row>
    <row r="1571" spans="1:17">
      <c r="A1571" t="s">
        <v>1615</v>
      </c>
      <c r="B1571" s="2">
        <v>45819</v>
      </c>
      <c r="C1571">
        <v>11</v>
      </c>
      <c r="D1571" t="s">
        <v>25</v>
      </c>
      <c r="E1571" t="s">
        <v>12</v>
      </c>
      <c r="F1571" s="7">
        <v>1665.8</v>
      </c>
      <c r="G1571" s="10">
        <v>0.1</v>
      </c>
      <c r="H1571" s="7">
        <v>1499.22</v>
      </c>
      <c r="I1571">
        <v>6</v>
      </c>
      <c r="J1571" t="s">
        <v>16</v>
      </c>
      <c r="K1571" s="13">
        <f>ROUND(tblTransactions[[#This Row],[gross_sales_inr]]*(1-tblTransactions[[#This Row],[discount_pct]]),2)</f>
        <v>1499.22</v>
      </c>
      <c r="L1571" t="str">
        <f>IF(ABS(tblTransactions[[#This Row],[net_sales_inr]]-tblTransactions[[#This Row],[Recalc_Net_Sales]])&lt;0.02,"OK","CHECK")</f>
        <v>OK</v>
      </c>
      <c r="M1571" s="14">
        <f>DATE(YEAR(tblTransactions[[#This Row],[date]]),MONTH(tblTransactions[[#This Row],[date]]),1)</f>
        <v>45809</v>
      </c>
      <c r="N1571" t="str">
        <f>IF(WEEKDAY(tblTransactions[[#This Row],[date]],2)&gt;5,"Weekend","Weekday")</f>
        <v>Weekday</v>
      </c>
      <c r="O157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71" s="13" t="str">
        <f>_xlfn.XLOOKUP(tblTransactions[[#This Row],[tenant_id]],tblTenants[tenant_id],tblTenants[zone],"NOT FOUND")</f>
        <v>Beauty &amp; Wellness</v>
      </c>
      <c r="Q1571" s="13" t="str">
        <f>_xlfn.XLOOKUP(tblTransactions[[#This Row],[tenant_id]],tblTenants[tenant_id],tblTenants[category],"NOT FOUND")</f>
        <v>Beauty</v>
      </c>
    </row>
    <row r="1572" spans="1:17">
      <c r="A1572" t="s">
        <v>1616</v>
      </c>
      <c r="B1572" s="2">
        <v>45661</v>
      </c>
      <c r="C1572">
        <v>12</v>
      </c>
      <c r="D1572" t="s">
        <v>11</v>
      </c>
      <c r="E1572" t="s">
        <v>12</v>
      </c>
      <c r="F1572" s="7">
        <v>964.07</v>
      </c>
      <c r="G1572" s="10">
        <v>0.1</v>
      </c>
      <c r="H1572" s="7">
        <v>867.66</v>
      </c>
      <c r="I1572">
        <v>2</v>
      </c>
      <c r="J1572" t="s">
        <v>13</v>
      </c>
      <c r="K1572" s="13">
        <f>ROUND(tblTransactions[[#This Row],[gross_sales_inr]]*(1-tblTransactions[[#This Row],[discount_pct]]),2)</f>
        <v>867.66</v>
      </c>
      <c r="L1572" t="str">
        <f>IF(ABS(tblTransactions[[#This Row],[net_sales_inr]]-tblTransactions[[#This Row],[Recalc_Net_Sales]])&lt;0.02,"OK","CHECK")</f>
        <v>OK</v>
      </c>
      <c r="M1572" s="14">
        <f>DATE(YEAR(tblTransactions[[#This Row],[date]]),MONTH(tblTransactions[[#This Row],[date]]),1)</f>
        <v>45658</v>
      </c>
      <c r="N1572" t="str">
        <f>IF(WEEKDAY(tblTransactions[[#This Row],[date]],2)&gt;5,"Weekend","Weekday")</f>
        <v>Weekend</v>
      </c>
      <c r="O157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72" s="13" t="str">
        <f>_xlfn.XLOOKUP(tblTransactions[[#This Row],[tenant_id]],tblTenants[tenant_id],tblTenants[zone],"NOT FOUND")</f>
        <v>Home &amp; Living</v>
      </c>
      <c r="Q1572" s="13" t="str">
        <f>_xlfn.XLOOKUP(tblTransactions[[#This Row],[tenant_id]],tblTenants[tenant_id],tblTenants[category],"NOT FOUND")</f>
        <v>Home Decor</v>
      </c>
    </row>
    <row r="1573" spans="1:17">
      <c r="A1573" t="s">
        <v>1617</v>
      </c>
      <c r="B1573" s="2">
        <v>45670</v>
      </c>
      <c r="C1573">
        <v>13</v>
      </c>
      <c r="D1573" t="s">
        <v>11</v>
      </c>
      <c r="E1573" t="s">
        <v>21</v>
      </c>
      <c r="F1573" s="7">
        <v>545.69000000000005</v>
      </c>
      <c r="G1573" s="10">
        <v>0.05</v>
      </c>
      <c r="H1573" s="7">
        <v>518.41</v>
      </c>
      <c r="I1573">
        <v>1</v>
      </c>
      <c r="J1573" t="s">
        <v>13</v>
      </c>
      <c r="K1573" s="13">
        <f>ROUND(tblTransactions[[#This Row],[gross_sales_inr]]*(1-tblTransactions[[#This Row],[discount_pct]]),2)</f>
        <v>518.41</v>
      </c>
      <c r="L1573" t="str">
        <f>IF(ABS(tblTransactions[[#This Row],[net_sales_inr]]-tblTransactions[[#This Row],[Recalc_Net_Sales]])&lt;0.02,"OK","CHECK")</f>
        <v>OK</v>
      </c>
      <c r="M1573" s="14">
        <f>DATE(YEAR(tblTransactions[[#This Row],[date]]),MONTH(tblTransactions[[#This Row],[date]]),1)</f>
        <v>45658</v>
      </c>
      <c r="N1573" t="str">
        <f>IF(WEEKDAY(tblTransactions[[#This Row],[date]],2)&gt;5,"Weekend","Weekday")</f>
        <v>Weekday</v>
      </c>
      <c r="O157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73" s="13" t="str">
        <f>_xlfn.XLOOKUP(tblTransactions[[#This Row],[tenant_id]],tblTenants[tenant_id],tblTenants[zone],"NOT FOUND")</f>
        <v>Home &amp; Living</v>
      </c>
      <c r="Q1573" s="13" t="str">
        <f>_xlfn.XLOOKUP(tblTransactions[[#This Row],[tenant_id]],tblTenants[tenant_id],tblTenants[category],"NOT FOUND")</f>
        <v>Home Decor</v>
      </c>
    </row>
    <row r="1574" spans="1:17">
      <c r="A1574" t="s">
        <v>1618</v>
      </c>
      <c r="B1574" s="2">
        <v>45691</v>
      </c>
      <c r="C1574">
        <v>10</v>
      </c>
      <c r="D1574" t="s">
        <v>85</v>
      </c>
      <c r="E1574" t="s">
        <v>12</v>
      </c>
      <c r="F1574" s="7">
        <v>2024.13</v>
      </c>
      <c r="G1574" s="10">
        <v>0</v>
      </c>
      <c r="H1574" s="7">
        <v>2024.13</v>
      </c>
      <c r="I1574">
        <v>2</v>
      </c>
      <c r="J1574" t="s">
        <v>16</v>
      </c>
      <c r="K1574" s="13">
        <f>ROUND(tblTransactions[[#This Row],[gross_sales_inr]]*(1-tblTransactions[[#This Row],[discount_pct]]),2)</f>
        <v>2024.13</v>
      </c>
      <c r="L1574" t="str">
        <f>IF(ABS(tblTransactions[[#This Row],[net_sales_inr]]-tblTransactions[[#This Row],[Recalc_Net_Sales]])&lt;0.02,"OK","CHECK")</f>
        <v>OK</v>
      </c>
      <c r="M1574" s="14">
        <f>DATE(YEAR(tblTransactions[[#This Row],[date]]),MONTH(tblTransactions[[#This Row],[date]]),1)</f>
        <v>45689</v>
      </c>
      <c r="N1574" t="str">
        <f>IF(WEEKDAY(tblTransactions[[#This Row],[date]],2)&gt;5,"Weekend","Weekday")</f>
        <v>Weekday</v>
      </c>
      <c r="O1574" s="13" t="str">
        <f>IF(tblTransactions[[#This Row],[discount_pct]]=0,"0%",IF(tblTransactions[[#This Row],[discount_pct]]&lt;=10%,"1–
10%",IF(tblTransactions[[#This Row],[discount_pct]]&lt;=20%,"11–20%","&gt;20%")))</f>
        <v>0%</v>
      </c>
      <c r="P1574" s="13" t="str">
        <f>_xlfn.XLOOKUP(tblTransactions[[#This Row],[tenant_id]],tblTenants[tenant_id],tblTenants[zone],"NOT FOUND")</f>
        <v>Home &amp; Living</v>
      </c>
      <c r="Q1574" s="13" t="str">
        <f>_xlfn.XLOOKUP(tblTransactions[[#This Row],[tenant_id]],tblTenants[tenant_id],tblTenants[category],"NOT FOUND")</f>
        <v>Electronics</v>
      </c>
    </row>
    <row r="1575" spans="1:17">
      <c r="A1575" t="s">
        <v>1619</v>
      </c>
      <c r="B1575" s="2">
        <v>45817</v>
      </c>
      <c r="C1575">
        <v>20</v>
      </c>
      <c r="D1575" t="s">
        <v>204</v>
      </c>
      <c r="E1575" t="s">
        <v>32</v>
      </c>
      <c r="F1575" s="7">
        <v>1916.55</v>
      </c>
      <c r="G1575" s="10">
        <v>0.1</v>
      </c>
      <c r="H1575" s="7">
        <v>1724.89</v>
      </c>
      <c r="I1575">
        <v>2</v>
      </c>
      <c r="J1575" t="s">
        <v>16</v>
      </c>
      <c r="K1575" s="13">
        <f>ROUND(tblTransactions[[#This Row],[gross_sales_inr]]*(1-tblTransactions[[#This Row],[discount_pct]]),2)</f>
        <v>1724.9</v>
      </c>
      <c r="L1575" t="str">
        <f>IF(ABS(tblTransactions[[#This Row],[net_sales_inr]]-tblTransactions[[#This Row],[Recalc_Net_Sales]])&lt;0.02,"OK","CHECK")</f>
        <v>OK</v>
      </c>
      <c r="M1575" s="14">
        <f>DATE(YEAR(tblTransactions[[#This Row],[date]]),MONTH(tblTransactions[[#This Row],[date]]),1)</f>
        <v>45809</v>
      </c>
      <c r="N1575" t="str">
        <f>IF(WEEKDAY(tblTransactions[[#This Row],[date]],2)&gt;5,"Weekend","Weekday")</f>
        <v>Weekday</v>
      </c>
      <c r="O157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75" s="13" t="str">
        <f>_xlfn.XLOOKUP(tblTransactions[[#This Row],[tenant_id]],tblTenants[tenant_id],tblTenants[zone],"NOT FOUND")</f>
        <v>Home &amp; Living</v>
      </c>
      <c r="Q1575" s="13" t="str">
        <f>_xlfn.XLOOKUP(tblTransactions[[#This Row],[tenant_id]],tblTenants[tenant_id],tblTenants[category],"NOT FOUND")</f>
        <v>Home Decor</v>
      </c>
    </row>
    <row r="1576" spans="1:17">
      <c r="A1576" t="s">
        <v>1620</v>
      </c>
      <c r="B1576" s="2">
        <v>45746</v>
      </c>
      <c r="C1576">
        <v>16</v>
      </c>
      <c r="D1576" t="s">
        <v>98</v>
      </c>
      <c r="E1576" t="s">
        <v>12</v>
      </c>
      <c r="F1576" s="7">
        <v>880.82</v>
      </c>
      <c r="G1576" s="10">
        <v>0</v>
      </c>
      <c r="H1576" s="7">
        <v>880.82</v>
      </c>
      <c r="I1576">
        <v>1</v>
      </c>
      <c r="J1576" t="s">
        <v>13</v>
      </c>
      <c r="K1576" s="13">
        <f>ROUND(tblTransactions[[#This Row],[gross_sales_inr]]*(1-tblTransactions[[#This Row],[discount_pct]]),2)</f>
        <v>880.82</v>
      </c>
      <c r="L1576" t="str">
        <f>IF(ABS(tblTransactions[[#This Row],[net_sales_inr]]-tblTransactions[[#This Row],[Recalc_Net_Sales]])&lt;0.02,"OK","CHECK")</f>
        <v>OK</v>
      </c>
      <c r="M1576" s="14">
        <f>DATE(YEAR(tblTransactions[[#This Row],[date]]),MONTH(tblTransactions[[#This Row],[date]]),1)</f>
        <v>45717</v>
      </c>
      <c r="N1576" t="str">
        <f>IF(WEEKDAY(tblTransactions[[#This Row],[date]],2)&gt;5,"Weekend","Weekday")</f>
        <v>Weekend</v>
      </c>
      <c r="O1576" s="13" t="str">
        <f>IF(tblTransactions[[#This Row],[discount_pct]]=0,"0%",IF(tblTransactions[[#This Row],[discount_pct]]&lt;=10%,"1–
10%",IF(tblTransactions[[#This Row],[discount_pct]]&lt;=20%,"11–20%","&gt;20%")))</f>
        <v>0%</v>
      </c>
      <c r="P1576" s="13" t="str">
        <f>_xlfn.XLOOKUP(tblTransactions[[#This Row],[tenant_id]],tblTenants[tenant_id],tblTenants[zone],"NOT FOUND")</f>
        <v>Fashion Avenue</v>
      </c>
      <c r="Q1576" s="13" t="str">
        <f>_xlfn.XLOOKUP(tblTransactions[[#This Row],[tenant_id]],tblTenants[tenant_id],tblTenants[category],"NOT FOUND")</f>
        <v>Accessories</v>
      </c>
    </row>
    <row r="1577" spans="1:17">
      <c r="A1577" t="s">
        <v>1621</v>
      </c>
      <c r="B1577" s="2">
        <v>45775</v>
      </c>
      <c r="C1577">
        <v>13</v>
      </c>
      <c r="D1577" t="s">
        <v>104</v>
      </c>
      <c r="E1577" t="s">
        <v>12</v>
      </c>
      <c r="F1577" s="7">
        <v>752.95</v>
      </c>
      <c r="G1577" s="10">
        <v>0</v>
      </c>
      <c r="H1577" s="7">
        <v>752.95</v>
      </c>
      <c r="I1577">
        <v>2</v>
      </c>
      <c r="J1577" t="s">
        <v>13</v>
      </c>
      <c r="K1577" s="13">
        <f>ROUND(tblTransactions[[#This Row],[gross_sales_inr]]*(1-tblTransactions[[#This Row],[discount_pct]]),2)</f>
        <v>752.95</v>
      </c>
      <c r="L1577" t="str">
        <f>IF(ABS(tblTransactions[[#This Row],[net_sales_inr]]-tblTransactions[[#This Row],[Recalc_Net_Sales]])&lt;0.02,"OK","CHECK")</f>
        <v>OK</v>
      </c>
      <c r="M1577" s="14">
        <f>DATE(YEAR(tblTransactions[[#This Row],[date]]),MONTH(tblTransactions[[#This Row],[date]]),1)</f>
        <v>45748</v>
      </c>
      <c r="N1577" t="str">
        <f>IF(WEEKDAY(tblTransactions[[#This Row],[date]],2)&gt;5,"Weekend","Weekday")</f>
        <v>Weekday</v>
      </c>
      <c r="O1577" s="13" t="str">
        <f>IF(tblTransactions[[#This Row],[discount_pct]]=0,"0%",IF(tblTransactions[[#This Row],[discount_pct]]&lt;=10%,"1–
10%",IF(tblTransactions[[#This Row],[discount_pct]]&lt;=20%,"11–20%","&gt;20%")))</f>
        <v>0%</v>
      </c>
      <c r="P1577" s="13" t="str">
        <f>_xlfn.XLOOKUP(tblTransactions[[#This Row],[tenant_id]],tblTenants[tenant_id],tblTenants[zone],"NOT FOUND")</f>
        <v>Entertainment</v>
      </c>
      <c r="Q1577" s="13" t="str">
        <f>_xlfn.XLOOKUP(tblTransactions[[#This Row],[tenant_id]],tblTenants[tenant_id],tblTenants[category],"NOT FOUND")</f>
        <v>Family Entertainment</v>
      </c>
    </row>
    <row r="1578" spans="1:17">
      <c r="A1578" t="s">
        <v>1622</v>
      </c>
      <c r="B1578" s="2">
        <v>45758</v>
      </c>
      <c r="C1578">
        <v>16</v>
      </c>
      <c r="D1578" t="s">
        <v>87</v>
      </c>
      <c r="E1578" t="s">
        <v>32</v>
      </c>
      <c r="F1578" s="7">
        <v>950.54</v>
      </c>
      <c r="G1578" s="10">
        <v>0.1</v>
      </c>
      <c r="H1578" s="7">
        <v>855.49</v>
      </c>
      <c r="I1578">
        <v>3</v>
      </c>
      <c r="J1578" t="s">
        <v>13</v>
      </c>
      <c r="K1578" s="13">
        <f>ROUND(tblTransactions[[#This Row],[gross_sales_inr]]*(1-tblTransactions[[#This Row],[discount_pct]]),2)</f>
        <v>855.49</v>
      </c>
      <c r="L1578" t="str">
        <f>IF(ABS(tblTransactions[[#This Row],[net_sales_inr]]-tblTransactions[[#This Row],[Recalc_Net_Sales]])&lt;0.02,"OK","CHECK")</f>
        <v>OK</v>
      </c>
      <c r="M1578" s="14">
        <f>DATE(YEAR(tblTransactions[[#This Row],[date]]),MONTH(tblTransactions[[#This Row],[date]]),1)</f>
        <v>45748</v>
      </c>
      <c r="N1578" t="str">
        <f>IF(WEEKDAY(tblTransactions[[#This Row],[date]],2)&gt;5,"Weekend","Weekday")</f>
        <v>Weekday</v>
      </c>
      <c r="O157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78" s="13" t="str">
        <f>_xlfn.XLOOKUP(tblTransactions[[#This Row],[tenant_id]],tblTenants[tenant_id],tblTenants[zone],"NOT FOUND")</f>
        <v>Fashion Avenue</v>
      </c>
      <c r="Q1578" s="13" t="str">
        <f>_xlfn.XLOOKUP(tblTransactions[[#This Row],[tenant_id]],tblTenants[tenant_id],tblTenants[category],"NOT FOUND")</f>
        <v>Footwear</v>
      </c>
    </row>
    <row r="1579" spans="1:17">
      <c r="A1579" t="s">
        <v>1623</v>
      </c>
      <c r="B1579" s="2">
        <v>45821</v>
      </c>
      <c r="C1579">
        <v>14</v>
      </c>
      <c r="D1579" t="s">
        <v>41</v>
      </c>
      <c r="E1579" t="s">
        <v>12</v>
      </c>
      <c r="F1579" s="7">
        <v>861.39</v>
      </c>
      <c r="G1579" s="10">
        <v>0.15</v>
      </c>
      <c r="H1579" s="7">
        <v>732.18</v>
      </c>
      <c r="I1579">
        <v>3</v>
      </c>
      <c r="J1579" t="s">
        <v>13</v>
      </c>
      <c r="K1579" s="13">
        <f>ROUND(tblTransactions[[#This Row],[gross_sales_inr]]*(1-tblTransactions[[#This Row],[discount_pct]]),2)</f>
        <v>732.18</v>
      </c>
      <c r="L1579" t="str">
        <f>IF(ABS(tblTransactions[[#This Row],[net_sales_inr]]-tblTransactions[[#This Row],[Recalc_Net_Sales]])&lt;0.02,"OK","CHECK")</f>
        <v>OK</v>
      </c>
      <c r="M1579" s="14">
        <f>DATE(YEAR(tblTransactions[[#This Row],[date]]),MONTH(tblTransactions[[#This Row],[date]]),1)</f>
        <v>45809</v>
      </c>
      <c r="N1579" t="str">
        <f>IF(WEEKDAY(tblTransactions[[#This Row],[date]],2)&gt;5,"Weekend","Weekday")</f>
        <v>Weekday</v>
      </c>
      <c r="O157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79" s="13" t="str">
        <f>_xlfn.XLOOKUP(tblTransactions[[#This Row],[tenant_id]],tblTenants[tenant_id],tblTenants[zone],"NOT FOUND")</f>
        <v>Fashion Avenue</v>
      </c>
      <c r="Q1579" s="13" t="str">
        <f>_xlfn.XLOOKUP(tblTransactions[[#This Row],[tenant_id]],tblTenants[tenant_id],tblTenants[category],"NOT FOUND")</f>
        <v>Clothing</v>
      </c>
    </row>
    <row r="1580" spans="1:17">
      <c r="A1580" t="s">
        <v>1624</v>
      </c>
      <c r="B1580" s="2">
        <v>45730</v>
      </c>
      <c r="C1580">
        <v>16</v>
      </c>
      <c r="D1580" t="s">
        <v>122</v>
      </c>
      <c r="E1580" t="s">
        <v>51</v>
      </c>
      <c r="F1580" s="7">
        <v>652.51</v>
      </c>
      <c r="G1580" s="10">
        <v>0</v>
      </c>
      <c r="H1580" s="7">
        <v>652.51</v>
      </c>
      <c r="I1580">
        <v>3</v>
      </c>
      <c r="J1580" t="s">
        <v>13</v>
      </c>
      <c r="K1580" s="13">
        <f>ROUND(tblTransactions[[#This Row],[gross_sales_inr]]*(1-tblTransactions[[#This Row],[discount_pct]]),2)</f>
        <v>652.51</v>
      </c>
      <c r="L1580" t="str">
        <f>IF(ABS(tblTransactions[[#This Row],[net_sales_inr]]-tblTransactions[[#This Row],[Recalc_Net_Sales]])&lt;0.02,"OK","CHECK")</f>
        <v>OK</v>
      </c>
      <c r="M1580" s="14">
        <f>DATE(YEAR(tblTransactions[[#This Row],[date]]),MONTH(tblTransactions[[#This Row],[date]]),1)</f>
        <v>45717</v>
      </c>
      <c r="N1580" t="str">
        <f>IF(WEEKDAY(tblTransactions[[#This Row],[date]],2)&gt;5,"Weekend","Weekday")</f>
        <v>Weekday</v>
      </c>
      <c r="O1580" s="13" t="str">
        <f>IF(tblTransactions[[#This Row],[discount_pct]]=0,"0%",IF(tblTransactions[[#This Row],[discount_pct]]&lt;=10%,"1–
10%",IF(tblTransactions[[#This Row],[discount_pct]]&lt;=20%,"11–20%","&gt;20%")))</f>
        <v>0%</v>
      </c>
      <c r="P1580" s="13" t="str">
        <f>_xlfn.XLOOKUP(tblTransactions[[#This Row],[tenant_id]],tblTenants[tenant_id],tblTenants[zone],"NOT FOUND")</f>
        <v>Beauty &amp; Wellness</v>
      </c>
      <c r="Q1580" s="13" t="str">
        <f>_xlfn.XLOOKUP(tblTransactions[[#This Row],[tenant_id]],tblTenants[tenant_id],tblTenants[category],"NOT FOUND")</f>
        <v>Wellness</v>
      </c>
    </row>
    <row r="1581" spans="1:17">
      <c r="A1581" t="s">
        <v>1625</v>
      </c>
      <c r="B1581" s="2">
        <v>45719</v>
      </c>
      <c r="C1581">
        <v>16</v>
      </c>
      <c r="D1581" t="s">
        <v>59</v>
      </c>
      <c r="E1581" t="s">
        <v>12</v>
      </c>
      <c r="F1581" s="7">
        <v>2602.88</v>
      </c>
      <c r="G1581" s="10">
        <v>0.1</v>
      </c>
      <c r="H1581" s="7">
        <v>2342.59</v>
      </c>
      <c r="I1581">
        <v>1</v>
      </c>
      <c r="J1581" t="s">
        <v>16</v>
      </c>
      <c r="K1581" s="13">
        <f>ROUND(tblTransactions[[#This Row],[gross_sales_inr]]*(1-tblTransactions[[#This Row],[discount_pct]]),2)</f>
        <v>2342.59</v>
      </c>
      <c r="L1581" t="str">
        <f>IF(ABS(tblTransactions[[#This Row],[net_sales_inr]]-tblTransactions[[#This Row],[Recalc_Net_Sales]])&lt;0.02,"OK","CHECK")</f>
        <v>OK</v>
      </c>
      <c r="M1581" s="14">
        <f>DATE(YEAR(tblTransactions[[#This Row],[date]]),MONTH(tblTransactions[[#This Row],[date]]),1)</f>
        <v>45717</v>
      </c>
      <c r="N1581" t="str">
        <f>IF(WEEKDAY(tblTransactions[[#This Row],[date]],2)&gt;5,"Weekend","Weekday")</f>
        <v>Weekday</v>
      </c>
      <c r="O158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81" s="13" t="str">
        <f>_xlfn.XLOOKUP(tblTransactions[[#This Row],[tenant_id]],tblTenants[tenant_id],tblTenants[zone],"NOT FOUND")</f>
        <v>Fashion Avenue</v>
      </c>
      <c r="Q1581" s="13" t="str">
        <f>_xlfn.XLOOKUP(tblTransactions[[#This Row],[tenant_id]],tblTenants[tenant_id],tblTenants[category],"NOT FOUND")</f>
        <v>Footwear</v>
      </c>
    </row>
    <row r="1582" spans="1:17">
      <c r="A1582" t="s">
        <v>1626</v>
      </c>
      <c r="B1582" s="2">
        <v>45787</v>
      </c>
      <c r="C1582">
        <v>11</v>
      </c>
      <c r="D1582" t="s">
        <v>20</v>
      </c>
      <c r="E1582" t="s">
        <v>51</v>
      </c>
      <c r="F1582" s="7">
        <v>1088.49</v>
      </c>
      <c r="G1582" s="10">
        <v>0.1</v>
      </c>
      <c r="H1582" s="7">
        <v>979.64</v>
      </c>
      <c r="I1582">
        <v>1</v>
      </c>
      <c r="J1582" t="s">
        <v>16</v>
      </c>
      <c r="K1582" s="13">
        <f>ROUND(tblTransactions[[#This Row],[gross_sales_inr]]*(1-tblTransactions[[#This Row],[discount_pct]]),2)</f>
        <v>979.64</v>
      </c>
      <c r="L1582" t="str">
        <f>IF(ABS(tblTransactions[[#This Row],[net_sales_inr]]-tblTransactions[[#This Row],[Recalc_Net_Sales]])&lt;0.02,"OK","CHECK")</f>
        <v>OK</v>
      </c>
      <c r="M1582" s="14">
        <f>DATE(YEAR(tblTransactions[[#This Row],[date]]),MONTH(tblTransactions[[#This Row],[date]]),1)</f>
        <v>45778</v>
      </c>
      <c r="N1582" t="str">
        <f>IF(WEEKDAY(tblTransactions[[#This Row],[date]],2)&gt;5,"Weekend","Weekday")</f>
        <v>Weekend</v>
      </c>
      <c r="O158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82" s="13" t="str">
        <f>_xlfn.XLOOKUP(tblTransactions[[#This Row],[tenant_id]],tblTenants[tenant_id],tblTenants[zone],"NOT FOUND")</f>
        <v>Fashion Avenue</v>
      </c>
      <c r="Q1582" s="13" t="str">
        <f>_xlfn.XLOOKUP(tblTransactions[[#This Row],[tenant_id]],tblTenants[tenant_id],tblTenants[category],"NOT FOUND")</f>
        <v>Accessories</v>
      </c>
    </row>
    <row r="1583" spans="1:17">
      <c r="A1583" t="s">
        <v>1627</v>
      </c>
      <c r="B1583" s="2">
        <v>45748</v>
      </c>
      <c r="C1583">
        <v>21</v>
      </c>
      <c r="D1583" t="s">
        <v>27</v>
      </c>
      <c r="E1583" t="s">
        <v>12</v>
      </c>
      <c r="F1583" s="7">
        <v>1235.21</v>
      </c>
      <c r="G1583" s="10">
        <v>0.1</v>
      </c>
      <c r="H1583" s="7">
        <v>1111.69</v>
      </c>
      <c r="I1583">
        <v>6</v>
      </c>
      <c r="J1583" t="s">
        <v>13</v>
      </c>
      <c r="K1583" s="13">
        <f>ROUND(tblTransactions[[#This Row],[gross_sales_inr]]*(1-tblTransactions[[#This Row],[discount_pct]]),2)</f>
        <v>1111.69</v>
      </c>
      <c r="L1583" t="str">
        <f>IF(ABS(tblTransactions[[#This Row],[net_sales_inr]]-tblTransactions[[#This Row],[Recalc_Net_Sales]])&lt;0.02,"OK","CHECK")</f>
        <v>OK</v>
      </c>
      <c r="M1583" s="14">
        <f>DATE(YEAR(tblTransactions[[#This Row],[date]]),MONTH(tblTransactions[[#This Row],[date]]),1)</f>
        <v>45748</v>
      </c>
      <c r="N1583" t="str">
        <f>IF(WEEKDAY(tblTransactions[[#This Row],[date]],2)&gt;5,"Weekend","Weekday")</f>
        <v>Weekday</v>
      </c>
      <c r="O158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83" s="13" t="str">
        <f>_xlfn.XLOOKUP(tblTransactions[[#This Row],[tenant_id]],tblTenants[tenant_id],tblTenants[zone],"NOT FOUND")</f>
        <v>Beauty &amp; Wellness</v>
      </c>
      <c r="Q1583" s="13" t="str">
        <f>_xlfn.XLOOKUP(tblTransactions[[#This Row],[tenant_id]],tblTenants[tenant_id],tblTenants[category],"NOT FOUND")</f>
        <v>Wellness</v>
      </c>
    </row>
    <row r="1584" spans="1:17">
      <c r="A1584" t="s">
        <v>1628</v>
      </c>
      <c r="B1584" s="2">
        <v>45738</v>
      </c>
      <c r="C1584">
        <v>20</v>
      </c>
      <c r="D1584" t="s">
        <v>15</v>
      </c>
      <c r="E1584" t="s">
        <v>21</v>
      </c>
      <c r="F1584" s="7">
        <v>7047.8</v>
      </c>
      <c r="G1584" s="10">
        <v>0.05</v>
      </c>
      <c r="H1584" s="7">
        <v>6695.41</v>
      </c>
      <c r="I1584">
        <v>2</v>
      </c>
      <c r="J1584" t="s">
        <v>13</v>
      </c>
      <c r="K1584" s="13">
        <f>ROUND(tblTransactions[[#This Row],[gross_sales_inr]]*(1-tblTransactions[[#This Row],[discount_pct]]),2)</f>
        <v>6695.41</v>
      </c>
      <c r="L1584" t="str">
        <f>IF(ABS(tblTransactions[[#This Row],[net_sales_inr]]-tblTransactions[[#This Row],[Recalc_Net_Sales]])&lt;0.02,"OK","CHECK")</f>
        <v>OK</v>
      </c>
      <c r="M1584" s="14">
        <f>DATE(YEAR(tblTransactions[[#This Row],[date]]),MONTH(tblTransactions[[#This Row],[date]]),1)</f>
        <v>45717</v>
      </c>
      <c r="N1584" t="str">
        <f>IF(WEEKDAY(tblTransactions[[#This Row],[date]],2)&gt;5,"Weekend","Weekday")</f>
        <v>Weekend</v>
      </c>
      <c r="O158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84" s="13" t="str">
        <f>_xlfn.XLOOKUP(tblTransactions[[#This Row],[tenant_id]],tblTenants[tenant_id],tblTenants[zone],"NOT FOUND")</f>
        <v>Fashion Avenue</v>
      </c>
      <c r="Q1584" s="13" t="str">
        <f>_xlfn.XLOOKUP(tblTransactions[[#This Row],[tenant_id]],tblTenants[tenant_id],tblTenants[category],"NOT FOUND")</f>
        <v>Accessories</v>
      </c>
    </row>
    <row r="1585" spans="1:17">
      <c r="A1585" t="s">
        <v>1629</v>
      </c>
      <c r="B1585" s="2">
        <v>45806</v>
      </c>
      <c r="C1585">
        <v>19</v>
      </c>
      <c r="D1585" t="s">
        <v>20</v>
      </c>
      <c r="E1585" t="s">
        <v>12</v>
      </c>
      <c r="F1585" s="7">
        <v>1174.5</v>
      </c>
      <c r="G1585" s="10">
        <v>0</v>
      </c>
      <c r="H1585" s="7">
        <v>1174.5</v>
      </c>
      <c r="I1585">
        <v>1</v>
      </c>
      <c r="J1585" t="s">
        <v>13</v>
      </c>
      <c r="K1585" s="13">
        <f>ROUND(tblTransactions[[#This Row],[gross_sales_inr]]*(1-tblTransactions[[#This Row],[discount_pct]]),2)</f>
        <v>1174.5</v>
      </c>
      <c r="L1585" t="str">
        <f>IF(ABS(tblTransactions[[#This Row],[net_sales_inr]]-tblTransactions[[#This Row],[Recalc_Net_Sales]])&lt;0.02,"OK","CHECK")</f>
        <v>OK</v>
      </c>
      <c r="M1585" s="14">
        <f>DATE(YEAR(tblTransactions[[#This Row],[date]]),MONTH(tblTransactions[[#This Row],[date]]),1)</f>
        <v>45778</v>
      </c>
      <c r="N1585" t="str">
        <f>IF(WEEKDAY(tblTransactions[[#This Row],[date]],2)&gt;5,"Weekend","Weekday")</f>
        <v>Weekday</v>
      </c>
      <c r="O1585" s="13" t="str">
        <f>IF(tblTransactions[[#This Row],[discount_pct]]=0,"0%",IF(tblTransactions[[#This Row],[discount_pct]]&lt;=10%,"1–
10%",IF(tblTransactions[[#This Row],[discount_pct]]&lt;=20%,"11–20%","&gt;20%")))</f>
        <v>0%</v>
      </c>
      <c r="P1585" s="13" t="str">
        <f>_xlfn.XLOOKUP(tblTransactions[[#This Row],[tenant_id]],tblTenants[tenant_id],tblTenants[zone],"NOT FOUND")</f>
        <v>Fashion Avenue</v>
      </c>
      <c r="Q1585" s="13" t="str">
        <f>_xlfn.XLOOKUP(tblTransactions[[#This Row],[tenant_id]],tblTenants[tenant_id],tblTenants[category],"NOT FOUND")</f>
        <v>Accessories</v>
      </c>
    </row>
    <row r="1586" spans="1:17">
      <c r="A1586" t="s">
        <v>1630</v>
      </c>
      <c r="B1586" s="2">
        <v>45828</v>
      </c>
      <c r="C1586">
        <v>19</v>
      </c>
      <c r="D1586" t="s">
        <v>41</v>
      </c>
      <c r="E1586" t="s">
        <v>12</v>
      </c>
      <c r="F1586" s="7">
        <v>1174.57</v>
      </c>
      <c r="G1586" s="10">
        <v>0.2</v>
      </c>
      <c r="H1586" s="7">
        <v>939.66</v>
      </c>
      <c r="I1586">
        <v>1</v>
      </c>
      <c r="J1586" t="s">
        <v>13</v>
      </c>
      <c r="K1586" s="13">
        <f>ROUND(tblTransactions[[#This Row],[gross_sales_inr]]*(1-tblTransactions[[#This Row],[discount_pct]]),2)</f>
        <v>939.66</v>
      </c>
      <c r="L1586" t="str">
        <f>IF(ABS(tblTransactions[[#This Row],[net_sales_inr]]-tblTransactions[[#This Row],[Recalc_Net_Sales]])&lt;0.02,"OK","CHECK")</f>
        <v>OK</v>
      </c>
      <c r="M1586" s="14">
        <f>DATE(YEAR(tblTransactions[[#This Row],[date]]),MONTH(tblTransactions[[#This Row],[date]]),1)</f>
        <v>45809</v>
      </c>
      <c r="N1586" t="str">
        <f>IF(WEEKDAY(tblTransactions[[#This Row],[date]],2)&gt;5,"Weekend","Weekday")</f>
        <v>Weekday</v>
      </c>
      <c r="O158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86" s="13" t="str">
        <f>_xlfn.XLOOKUP(tblTransactions[[#This Row],[tenant_id]],tblTenants[tenant_id],tblTenants[zone],"NOT FOUND")</f>
        <v>Fashion Avenue</v>
      </c>
      <c r="Q1586" s="13" t="str">
        <f>_xlfn.XLOOKUP(tblTransactions[[#This Row],[tenant_id]],tblTenants[tenant_id],tblTenants[category],"NOT FOUND")</f>
        <v>Clothing</v>
      </c>
    </row>
    <row r="1587" spans="1:17">
      <c r="A1587" t="s">
        <v>1631</v>
      </c>
      <c r="B1587" s="2">
        <v>45784</v>
      </c>
      <c r="C1587">
        <v>15</v>
      </c>
      <c r="D1587" t="s">
        <v>15</v>
      </c>
      <c r="E1587" t="s">
        <v>12</v>
      </c>
      <c r="F1587" s="7">
        <v>295.52999999999997</v>
      </c>
      <c r="G1587" s="10">
        <v>0.05</v>
      </c>
      <c r="H1587" s="7">
        <v>280.75</v>
      </c>
      <c r="I1587">
        <v>3</v>
      </c>
      <c r="J1587" t="s">
        <v>16</v>
      </c>
      <c r="K1587" s="13">
        <f>ROUND(tblTransactions[[#This Row],[gross_sales_inr]]*(1-tblTransactions[[#This Row],[discount_pct]]),2)</f>
        <v>280.75</v>
      </c>
      <c r="L1587" t="str">
        <f>IF(ABS(tblTransactions[[#This Row],[net_sales_inr]]-tblTransactions[[#This Row],[Recalc_Net_Sales]])&lt;0.02,"OK","CHECK")</f>
        <v>OK</v>
      </c>
      <c r="M1587" s="14">
        <f>DATE(YEAR(tblTransactions[[#This Row],[date]]),MONTH(tblTransactions[[#This Row],[date]]),1)</f>
        <v>45778</v>
      </c>
      <c r="N1587" t="str">
        <f>IF(WEEKDAY(tblTransactions[[#This Row],[date]],2)&gt;5,"Weekend","Weekday")</f>
        <v>Weekday</v>
      </c>
      <c r="O158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87" s="13" t="str">
        <f>_xlfn.XLOOKUP(tblTransactions[[#This Row],[tenant_id]],tblTenants[tenant_id],tblTenants[zone],"NOT FOUND")</f>
        <v>Fashion Avenue</v>
      </c>
      <c r="Q1587" s="13" t="str">
        <f>_xlfn.XLOOKUP(tblTransactions[[#This Row],[tenant_id]],tblTenants[tenant_id],tblTenants[category],"NOT FOUND")</f>
        <v>Accessories</v>
      </c>
    </row>
    <row r="1588" spans="1:17">
      <c r="A1588" t="s">
        <v>1632</v>
      </c>
      <c r="B1588" s="2">
        <v>45690</v>
      </c>
      <c r="C1588">
        <v>10</v>
      </c>
      <c r="D1588" t="s">
        <v>20</v>
      </c>
      <c r="E1588" t="s">
        <v>21</v>
      </c>
      <c r="F1588" s="7">
        <v>845.81</v>
      </c>
      <c r="G1588" s="10">
        <v>0</v>
      </c>
      <c r="H1588" s="7">
        <v>845.81</v>
      </c>
      <c r="I1588">
        <v>1</v>
      </c>
      <c r="J1588" t="s">
        <v>16</v>
      </c>
      <c r="K1588" s="13">
        <f>ROUND(tblTransactions[[#This Row],[gross_sales_inr]]*(1-tblTransactions[[#This Row],[discount_pct]]),2)</f>
        <v>845.81</v>
      </c>
      <c r="L1588" t="str">
        <f>IF(ABS(tblTransactions[[#This Row],[net_sales_inr]]-tblTransactions[[#This Row],[Recalc_Net_Sales]])&lt;0.02,"OK","CHECK")</f>
        <v>OK</v>
      </c>
      <c r="M1588" s="14">
        <f>DATE(YEAR(tblTransactions[[#This Row],[date]]),MONTH(tblTransactions[[#This Row],[date]]),1)</f>
        <v>45689</v>
      </c>
      <c r="N1588" t="str">
        <f>IF(WEEKDAY(tblTransactions[[#This Row],[date]],2)&gt;5,"Weekend","Weekday")</f>
        <v>Weekend</v>
      </c>
      <c r="O1588" s="13" t="str">
        <f>IF(tblTransactions[[#This Row],[discount_pct]]=0,"0%",IF(tblTransactions[[#This Row],[discount_pct]]&lt;=10%,"1–
10%",IF(tblTransactions[[#This Row],[discount_pct]]&lt;=20%,"11–20%","&gt;20%")))</f>
        <v>0%</v>
      </c>
      <c r="P1588" s="13" t="str">
        <f>_xlfn.XLOOKUP(tblTransactions[[#This Row],[tenant_id]],tblTenants[tenant_id],tblTenants[zone],"NOT FOUND")</f>
        <v>Fashion Avenue</v>
      </c>
      <c r="Q1588" s="13" t="str">
        <f>_xlfn.XLOOKUP(tblTransactions[[#This Row],[tenant_id]],tblTenants[tenant_id],tblTenants[category],"NOT FOUND")</f>
        <v>Accessories</v>
      </c>
    </row>
    <row r="1589" spans="1:17">
      <c r="A1589" t="s">
        <v>1633</v>
      </c>
      <c r="B1589" s="2">
        <v>45683</v>
      </c>
      <c r="C1589">
        <v>11</v>
      </c>
      <c r="D1589" t="s">
        <v>48</v>
      </c>
      <c r="E1589" t="s">
        <v>51</v>
      </c>
      <c r="F1589" s="7">
        <v>527.49</v>
      </c>
      <c r="G1589" s="10">
        <v>0</v>
      </c>
      <c r="H1589" s="7">
        <v>527.49</v>
      </c>
      <c r="I1589">
        <v>3</v>
      </c>
      <c r="J1589" t="s">
        <v>13</v>
      </c>
      <c r="K1589" s="13">
        <f>ROUND(tblTransactions[[#This Row],[gross_sales_inr]]*(1-tblTransactions[[#This Row],[discount_pct]]),2)</f>
        <v>527.49</v>
      </c>
      <c r="L1589" t="str">
        <f>IF(ABS(tblTransactions[[#This Row],[net_sales_inr]]-tblTransactions[[#This Row],[Recalc_Net_Sales]])&lt;0.02,"OK","CHECK")</f>
        <v>OK</v>
      </c>
      <c r="M1589" s="14">
        <f>DATE(YEAR(tblTransactions[[#This Row],[date]]),MONTH(tblTransactions[[#This Row],[date]]),1)</f>
        <v>45658</v>
      </c>
      <c r="N1589" t="str">
        <f>IF(WEEKDAY(tblTransactions[[#This Row],[date]],2)&gt;5,"Weekend","Weekday")</f>
        <v>Weekend</v>
      </c>
      <c r="O1589" s="13" t="str">
        <f>IF(tblTransactions[[#This Row],[discount_pct]]=0,"0%",IF(tblTransactions[[#This Row],[discount_pct]]&lt;=10%,"1–
10%",IF(tblTransactions[[#This Row],[discount_pct]]&lt;=20%,"11–20%","&gt;20%")))</f>
        <v>0%</v>
      </c>
      <c r="P1589" s="13" t="str">
        <f>_xlfn.XLOOKUP(tblTransactions[[#This Row],[tenant_id]],tblTenants[tenant_id],tblTenants[zone],"NOT FOUND")</f>
        <v>Beauty &amp; Wellness</v>
      </c>
      <c r="Q1589" s="13" t="str">
        <f>_xlfn.XLOOKUP(tblTransactions[[#This Row],[tenant_id]],tblTenants[tenant_id],tblTenants[category],"NOT FOUND")</f>
        <v>Wellness</v>
      </c>
    </row>
    <row r="1590" spans="1:17">
      <c r="A1590" t="s">
        <v>1634</v>
      </c>
      <c r="B1590" s="2">
        <v>45817</v>
      </c>
      <c r="C1590">
        <v>18</v>
      </c>
      <c r="D1590" t="s">
        <v>25</v>
      </c>
      <c r="E1590" t="s">
        <v>12</v>
      </c>
      <c r="F1590" s="7">
        <v>1626.78</v>
      </c>
      <c r="G1590" s="10">
        <v>0.3</v>
      </c>
      <c r="H1590" s="7">
        <v>1138.75</v>
      </c>
      <c r="I1590">
        <v>3</v>
      </c>
      <c r="J1590" t="s">
        <v>16</v>
      </c>
      <c r="K1590" s="13">
        <f>ROUND(tblTransactions[[#This Row],[gross_sales_inr]]*(1-tblTransactions[[#This Row],[discount_pct]]),2)</f>
        <v>1138.75</v>
      </c>
      <c r="L1590" t="str">
        <f>IF(ABS(tblTransactions[[#This Row],[net_sales_inr]]-tblTransactions[[#This Row],[Recalc_Net_Sales]])&lt;0.02,"OK","CHECK")</f>
        <v>OK</v>
      </c>
      <c r="M1590" s="14">
        <f>DATE(YEAR(tblTransactions[[#This Row],[date]]),MONTH(tblTransactions[[#This Row],[date]]),1)</f>
        <v>45809</v>
      </c>
      <c r="N1590" t="str">
        <f>IF(WEEKDAY(tblTransactions[[#This Row],[date]],2)&gt;5,"Weekend","Weekday")</f>
        <v>Weekday</v>
      </c>
      <c r="O159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590" s="13" t="str">
        <f>_xlfn.XLOOKUP(tblTransactions[[#This Row],[tenant_id]],tblTenants[tenant_id],tblTenants[zone],"NOT FOUND")</f>
        <v>Beauty &amp; Wellness</v>
      </c>
      <c r="Q1590" s="13" t="str">
        <f>_xlfn.XLOOKUP(tblTransactions[[#This Row],[tenant_id]],tblTenants[tenant_id],tblTenants[category],"NOT FOUND")</f>
        <v>Beauty</v>
      </c>
    </row>
    <row r="1591" spans="1:17">
      <c r="A1591" t="s">
        <v>1635</v>
      </c>
      <c r="B1591" s="2">
        <v>45830</v>
      </c>
      <c r="C1591">
        <v>17</v>
      </c>
      <c r="D1591" t="s">
        <v>36</v>
      </c>
      <c r="E1591" t="s">
        <v>12</v>
      </c>
      <c r="F1591" s="7">
        <v>1234.5899999999999</v>
      </c>
      <c r="G1591" s="10">
        <v>0.2</v>
      </c>
      <c r="H1591" s="7">
        <v>987.67</v>
      </c>
      <c r="I1591">
        <v>3</v>
      </c>
      <c r="J1591" t="s">
        <v>13</v>
      </c>
      <c r="K1591" s="13">
        <f>ROUND(tblTransactions[[#This Row],[gross_sales_inr]]*(1-tblTransactions[[#This Row],[discount_pct]]),2)</f>
        <v>987.67</v>
      </c>
      <c r="L1591" t="str">
        <f>IF(ABS(tblTransactions[[#This Row],[net_sales_inr]]-tblTransactions[[#This Row],[Recalc_Net_Sales]])&lt;0.02,"OK","CHECK")</f>
        <v>OK</v>
      </c>
      <c r="M1591" s="14">
        <f>DATE(YEAR(tblTransactions[[#This Row],[date]]),MONTH(tblTransactions[[#This Row],[date]]),1)</f>
        <v>45809</v>
      </c>
      <c r="N1591" t="str">
        <f>IF(WEEKDAY(tblTransactions[[#This Row],[date]],2)&gt;5,"Weekend","Weekday")</f>
        <v>Weekend</v>
      </c>
      <c r="O159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91" s="13" t="str">
        <f>_xlfn.XLOOKUP(tblTransactions[[#This Row],[tenant_id]],tblTenants[tenant_id],tblTenants[zone],"NOT FOUND")</f>
        <v>Home &amp; Living</v>
      </c>
      <c r="Q1591" s="13" t="str">
        <f>_xlfn.XLOOKUP(tblTransactions[[#This Row],[tenant_id]],tblTenants[tenant_id],tblTenants[category],"NOT FOUND")</f>
        <v>Electronics</v>
      </c>
    </row>
    <row r="1592" spans="1:17">
      <c r="A1592" t="s">
        <v>1636</v>
      </c>
      <c r="B1592" s="2">
        <v>45757</v>
      </c>
      <c r="C1592">
        <v>15</v>
      </c>
      <c r="D1592" t="s">
        <v>43</v>
      </c>
      <c r="E1592" t="s">
        <v>51</v>
      </c>
      <c r="F1592" s="7">
        <v>961.51</v>
      </c>
      <c r="G1592" s="10">
        <v>0.1</v>
      </c>
      <c r="H1592" s="7">
        <v>865.36</v>
      </c>
      <c r="I1592">
        <v>1</v>
      </c>
      <c r="J1592" t="s">
        <v>16</v>
      </c>
      <c r="K1592" s="13">
        <f>ROUND(tblTransactions[[#This Row],[gross_sales_inr]]*(1-tblTransactions[[#This Row],[discount_pct]]),2)</f>
        <v>865.36</v>
      </c>
      <c r="L1592" t="str">
        <f>IF(ABS(tblTransactions[[#This Row],[net_sales_inr]]-tblTransactions[[#This Row],[Recalc_Net_Sales]])&lt;0.02,"OK","CHECK")</f>
        <v>OK</v>
      </c>
      <c r="M1592" s="14">
        <f>DATE(YEAR(tblTransactions[[#This Row],[date]]),MONTH(tblTransactions[[#This Row],[date]]),1)</f>
        <v>45748</v>
      </c>
      <c r="N1592" t="str">
        <f>IF(WEEKDAY(tblTransactions[[#This Row],[date]],2)&gt;5,"Weekend","Weekday")</f>
        <v>Weekday</v>
      </c>
      <c r="O159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92" s="13" t="str">
        <f>_xlfn.XLOOKUP(tblTransactions[[#This Row],[tenant_id]],tblTenants[tenant_id],tblTenants[zone],"NOT FOUND")</f>
        <v>Food Court</v>
      </c>
      <c r="Q1592" s="13" t="str">
        <f>_xlfn.XLOOKUP(tblTransactions[[#This Row],[tenant_id]],tblTenants[tenant_id],tblTenants[category],"NOT FOUND")</f>
        <v>Casual Dining</v>
      </c>
    </row>
    <row r="1593" spans="1:17">
      <c r="A1593" t="s">
        <v>1637</v>
      </c>
      <c r="B1593" s="2">
        <v>45795</v>
      </c>
      <c r="C1593">
        <v>11</v>
      </c>
      <c r="D1593" t="s">
        <v>34</v>
      </c>
      <c r="E1593" t="s">
        <v>21</v>
      </c>
      <c r="F1593" s="7">
        <v>1390.02</v>
      </c>
      <c r="G1593" s="10">
        <v>0.05</v>
      </c>
      <c r="H1593" s="7">
        <v>1320.52</v>
      </c>
      <c r="I1593">
        <v>2</v>
      </c>
      <c r="J1593" t="s">
        <v>13</v>
      </c>
      <c r="K1593" s="13">
        <f>ROUND(tblTransactions[[#This Row],[gross_sales_inr]]*(1-tblTransactions[[#This Row],[discount_pct]]),2)</f>
        <v>1320.52</v>
      </c>
      <c r="L1593" t="str">
        <f>IF(ABS(tblTransactions[[#This Row],[net_sales_inr]]-tblTransactions[[#This Row],[Recalc_Net_Sales]])&lt;0.02,"OK","CHECK")</f>
        <v>OK</v>
      </c>
      <c r="M1593" s="14">
        <f>DATE(YEAR(tblTransactions[[#This Row],[date]]),MONTH(tblTransactions[[#This Row],[date]]),1)</f>
        <v>45778</v>
      </c>
      <c r="N1593" t="str">
        <f>IF(WEEKDAY(tblTransactions[[#This Row],[date]],2)&gt;5,"Weekend","Weekday")</f>
        <v>Weekend</v>
      </c>
      <c r="O159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93" s="13" t="str">
        <f>_xlfn.XLOOKUP(tblTransactions[[#This Row],[tenant_id]],tblTenants[tenant_id],tblTenants[zone],"NOT FOUND")</f>
        <v>Home &amp; Living</v>
      </c>
      <c r="Q1593" s="13" t="str">
        <f>_xlfn.XLOOKUP(tblTransactions[[#This Row],[tenant_id]],tblTenants[tenant_id],tblTenants[category],"NOT FOUND")</f>
        <v>Electronics</v>
      </c>
    </row>
    <row r="1594" spans="1:17">
      <c r="A1594" t="s">
        <v>1638</v>
      </c>
      <c r="B1594" s="2">
        <v>45683</v>
      </c>
      <c r="C1594">
        <v>22</v>
      </c>
      <c r="D1594" t="s">
        <v>55</v>
      </c>
      <c r="E1594" t="s">
        <v>12</v>
      </c>
      <c r="F1594" s="7">
        <v>1778.06</v>
      </c>
      <c r="G1594" s="10">
        <v>0.15</v>
      </c>
      <c r="H1594" s="7">
        <v>1511.35</v>
      </c>
      <c r="I1594">
        <v>5</v>
      </c>
      <c r="J1594" t="s">
        <v>13</v>
      </c>
      <c r="K1594" s="13">
        <f>ROUND(tblTransactions[[#This Row],[gross_sales_inr]]*(1-tblTransactions[[#This Row],[discount_pct]]),2)</f>
        <v>1511.35</v>
      </c>
      <c r="L1594" t="str">
        <f>IF(ABS(tblTransactions[[#This Row],[net_sales_inr]]-tblTransactions[[#This Row],[Recalc_Net_Sales]])&lt;0.02,"OK","CHECK")</f>
        <v>OK</v>
      </c>
      <c r="M1594" s="14">
        <f>DATE(YEAR(tblTransactions[[#This Row],[date]]),MONTH(tblTransactions[[#This Row],[date]]),1)</f>
        <v>45658</v>
      </c>
      <c r="N1594" t="str">
        <f>IF(WEEKDAY(tblTransactions[[#This Row],[date]],2)&gt;5,"Weekend","Weekday")</f>
        <v>Weekend</v>
      </c>
      <c r="O159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594" s="13" t="str">
        <f>_xlfn.XLOOKUP(tblTransactions[[#This Row],[tenant_id]],tblTenants[tenant_id],tblTenants[zone],"NOT FOUND")</f>
        <v>Food Court</v>
      </c>
      <c r="Q1594" s="13" t="str">
        <f>_xlfn.XLOOKUP(tblTransactions[[#This Row],[tenant_id]],tblTenants[tenant_id],tblTenants[category],"NOT FOUND")</f>
        <v>Quick Service</v>
      </c>
    </row>
    <row r="1595" spans="1:17">
      <c r="A1595" t="s">
        <v>1639</v>
      </c>
      <c r="B1595" s="2">
        <v>45775</v>
      </c>
      <c r="C1595">
        <v>12</v>
      </c>
      <c r="D1595" t="s">
        <v>27</v>
      </c>
      <c r="E1595" t="s">
        <v>12</v>
      </c>
      <c r="F1595" s="7">
        <v>427.42</v>
      </c>
      <c r="G1595" s="10">
        <v>0.1</v>
      </c>
      <c r="H1595" s="7">
        <v>384.68</v>
      </c>
      <c r="I1595">
        <v>4</v>
      </c>
      <c r="J1595" t="s">
        <v>13</v>
      </c>
      <c r="K1595" s="13">
        <f>ROUND(tblTransactions[[#This Row],[gross_sales_inr]]*(1-tblTransactions[[#This Row],[discount_pct]]),2)</f>
        <v>384.68</v>
      </c>
      <c r="L1595" t="str">
        <f>IF(ABS(tblTransactions[[#This Row],[net_sales_inr]]-tblTransactions[[#This Row],[Recalc_Net_Sales]])&lt;0.02,"OK","CHECK")</f>
        <v>OK</v>
      </c>
      <c r="M1595" s="14">
        <f>DATE(YEAR(tblTransactions[[#This Row],[date]]),MONTH(tblTransactions[[#This Row],[date]]),1)</f>
        <v>45748</v>
      </c>
      <c r="N1595" t="str">
        <f>IF(WEEKDAY(tblTransactions[[#This Row],[date]],2)&gt;5,"Weekend","Weekday")</f>
        <v>Weekday</v>
      </c>
      <c r="O159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95" s="13" t="str">
        <f>_xlfn.XLOOKUP(tblTransactions[[#This Row],[tenant_id]],tblTenants[tenant_id],tblTenants[zone],"NOT FOUND")</f>
        <v>Beauty &amp; Wellness</v>
      </c>
      <c r="Q1595" s="13" t="str">
        <f>_xlfn.XLOOKUP(tblTransactions[[#This Row],[tenant_id]],tblTenants[tenant_id],tblTenants[category],"NOT FOUND")</f>
        <v>Wellness</v>
      </c>
    </row>
    <row r="1596" spans="1:17">
      <c r="A1596" t="s">
        <v>1640</v>
      </c>
      <c r="B1596" s="2">
        <v>45665</v>
      </c>
      <c r="C1596">
        <v>14</v>
      </c>
      <c r="D1596" t="s">
        <v>122</v>
      </c>
      <c r="E1596" t="s">
        <v>12</v>
      </c>
      <c r="F1596" s="7">
        <v>243.64</v>
      </c>
      <c r="G1596" s="10">
        <v>0.05</v>
      </c>
      <c r="H1596" s="7">
        <v>231.46</v>
      </c>
      <c r="I1596">
        <v>2</v>
      </c>
      <c r="J1596" t="s">
        <v>13</v>
      </c>
      <c r="K1596" s="13">
        <f>ROUND(tblTransactions[[#This Row],[gross_sales_inr]]*(1-tblTransactions[[#This Row],[discount_pct]]),2)</f>
        <v>231.46</v>
      </c>
      <c r="L1596" t="str">
        <f>IF(ABS(tblTransactions[[#This Row],[net_sales_inr]]-tblTransactions[[#This Row],[Recalc_Net_Sales]])&lt;0.02,"OK","CHECK")</f>
        <v>OK</v>
      </c>
      <c r="M1596" s="14">
        <f>DATE(YEAR(tblTransactions[[#This Row],[date]]),MONTH(tblTransactions[[#This Row],[date]]),1)</f>
        <v>45658</v>
      </c>
      <c r="N1596" t="str">
        <f>IF(WEEKDAY(tblTransactions[[#This Row],[date]],2)&gt;5,"Weekend","Weekday")</f>
        <v>Weekday</v>
      </c>
      <c r="O159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596" s="13" t="str">
        <f>_xlfn.XLOOKUP(tblTransactions[[#This Row],[tenant_id]],tblTenants[tenant_id],tblTenants[zone],"NOT FOUND")</f>
        <v>Beauty &amp; Wellness</v>
      </c>
      <c r="Q1596" s="13" t="str">
        <f>_xlfn.XLOOKUP(tblTransactions[[#This Row],[tenant_id]],tblTenants[tenant_id],tblTenants[category],"NOT FOUND")</f>
        <v>Wellness</v>
      </c>
    </row>
    <row r="1597" spans="1:17">
      <c r="A1597" t="s">
        <v>1641</v>
      </c>
      <c r="B1597" s="2">
        <v>45732</v>
      </c>
      <c r="C1597">
        <v>12</v>
      </c>
      <c r="D1597" t="s">
        <v>53</v>
      </c>
      <c r="E1597" t="s">
        <v>12</v>
      </c>
      <c r="F1597" s="7">
        <v>1590.62</v>
      </c>
      <c r="G1597" s="10">
        <v>0</v>
      </c>
      <c r="H1597" s="7">
        <v>1590.62</v>
      </c>
      <c r="I1597">
        <v>2</v>
      </c>
      <c r="J1597" t="s">
        <v>16</v>
      </c>
      <c r="K1597" s="13">
        <f>ROUND(tblTransactions[[#This Row],[gross_sales_inr]]*(1-tblTransactions[[#This Row],[discount_pct]]),2)</f>
        <v>1590.62</v>
      </c>
      <c r="L1597" t="str">
        <f>IF(ABS(tblTransactions[[#This Row],[net_sales_inr]]-tblTransactions[[#This Row],[Recalc_Net_Sales]])&lt;0.02,"OK","CHECK")</f>
        <v>OK</v>
      </c>
      <c r="M1597" s="14">
        <f>DATE(YEAR(tblTransactions[[#This Row],[date]]),MONTH(tblTransactions[[#This Row],[date]]),1)</f>
        <v>45717</v>
      </c>
      <c r="N1597" t="str">
        <f>IF(WEEKDAY(tblTransactions[[#This Row],[date]],2)&gt;5,"Weekend","Weekday")</f>
        <v>Weekend</v>
      </c>
      <c r="O1597" s="13" t="str">
        <f>IF(tblTransactions[[#This Row],[discount_pct]]=0,"0%",IF(tblTransactions[[#This Row],[discount_pct]]&lt;=10%,"1–
10%",IF(tblTransactions[[#This Row],[discount_pct]]&lt;=20%,"11–20%","&gt;20%")))</f>
        <v>0%</v>
      </c>
      <c r="P1597" s="13" t="str">
        <f>_xlfn.XLOOKUP(tblTransactions[[#This Row],[tenant_id]],tblTenants[tenant_id],tblTenants[zone],"NOT FOUND")</f>
        <v>Beauty &amp; Wellness</v>
      </c>
      <c r="Q1597" s="13" t="str">
        <f>_xlfn.XLOOKUP(tblTransactions[[#This Row],[tenant_id]],tblTenants[tenant_id],tblTenants[category],"NOT FOUND")</f>
        <v>Beauty</v>
      </c>
    </row>
    <row r="1598" spans="1:17">
      <c r="A1598" t="s">
        <v>1642</v>
      </c>
      <c r="B1598" s="2">
        <v>45709</v>
      </c>
      <c r="C1598">
        <v>11</v>
      </c>
      <c r="D1598" t="s">
        <v>25</v>
      </c>
      <c r="E1598" t="s">
        <v>32</v>
      </c>
      <c r="F1598" s="7">
        <v>1302.3800000000001</v>
      </c>
      <c r="G1598" s="10">
        <v>0</v>
      </c>
      <c r="H1598" s="7">
        <v>1302.3800000000001</v>
      </c>
      <c r="I1598">
        <v>1</v>
      </c>
      <c r="J1598" t="s">
        <v>13</v>
      </c>
      <c r="K1598" s="13">
        <f>ROUND(tblTransactions[[#This Row],[gross_sales_inr]]*(1-tblTransactions[[#This Row],[discount_pct]]),2)</f>
        <v>1302.3800000000001</v>
      </c>
      <c r="L1598" t="str">
        <f>IF(ABS(tblTransactions[[#This Row],[net_sales_inr]]-tblTransactions[[#This Row],[Recalc_Net_Sales]])&lt;0.02,"OK","CHECK")</f>
        <v>OK</v>
      </c>
      <c r="M1598" s="14">
        <f>DATE(YEAR(tblTransactions[[#This Row],[date]]),MONTH(tblTransactions[[#This Row],[date]]),1)</f>
        <v>45689</v>
      </c>
      <c r="N1598" t="str">
        <f>IF(WEEKDAY(tblTransactions[[#This Row],[date]],2)&gt;5,"Weekend","Weekday")</f>
        <v>Weekday</v>
      </c>
      <c r="O1598" s="13" t="str">
        <f>IF(tblTransactions[[#This Row],[discount_pct]]=0,"0%",IF(tblTransactions[[#This Row],[discount_pct]]&lt;=10%,"1–
10%",IF(tblTransactions[[#This Row],[discount_pct]]&lt;=20%,"11–20%","&gt;20%")))</f>
        <v>0%</v>
      </c>
      <c r="P1598" s="13" t="str">
        <f>_xlfn.XLOOKUP(tblTransactions[[#This Row],[tenant_id]],tblTenants[tenant_id],tblTenants[zone],"NOT FOUND")</f>
        <v>Beauty &amp; Wellness</v>
      </c>
      <c r="Q1598" s="13" t="str">
        <f>_xlfn.XLOOKUP(tblTransactions[[#This Row],[tenant_id]],tblTenants[tenant_id],tblTenants[category],"NOT FOUND")</f>
        <v>Beauty</v>
      </c>
    </row>
    <row r="1599" spans="1:17">
      <c r="A1599" t="s">
        <v>1643</v>
      </c>
      <c r="B1599" s="2">
        <v>45673</v>
      </c>
      <c r="C1599">
        <v>19</v>
      </c>
      <c r="D1599" t="s">
        <v>80</v>
      </c>
      <c r="E1599" t="s">
        <v>51</v>
      </c>
      <c r="F1599" s="7">
        <v>2751.51</v>
      </c>
      <c r="G1599" s="10">
        <v>0</v>
      </c>
      <c r="H1599" s="7">
        <v>2751.51</v>
      </c>
      <c r="I1599">
        <v>1</v>
      </c>
      <c r="J1599" t="s">
        <v>13</v>
      </c>
      <c r="K1599" s="13">
        <f>ROUND(tblTransactions[[#This Row],[gross_sales_inr]]*(1-tblTransactions[[#This Row],[discount_pct]]),2)</f>
        <v>2751.51</v>
      </c>
      <c r="L1599" t="str">
        <f>IF(ABS(tblTransactions[[#This Row],[net_sales_inr]]-tblTransactions[[#This Row],[Recalc_Net_Sales]])&lt;0.02,"OK","CHECK")</f>
        <v>OK</v>
      </c>
      <c r="M1599" s="14">
        <f>DATE(YEAR(tblTransactions[[#This Row],[date]]),MONTH(tblTransactions[[#This Row],[date]]),1)</f>
        <v>45658</v>
      </c>
      <c r="N1599" t="str">
        <f>IF(WEEKDAY(tblTransactions[[#This Row],[date]],2)&gt;5,"Weekend","Weekday")</f>
        <v>Weekday</v>
      </c>
      <c r="O1599" s="13" t="str">
        <f>IF(tblTransactions[[#This Row],[discount_pct]]=0,"0%",IF(tblTransactions[[#This Row],[discount_pct]]&lt;=10%,"1–
10%",IF(tblTransactions[[#This Row],[discount_pct]]&lt;=20%,"11–20%","&gt;20%")))</f>
        <v>0%</v>
      </c>
      <c r="P1599" s="13" t="str">
        <f>_xlfn.XLOOKUP(tblTransactions[[#This Row],[tenant_id]],tblTenants[tenant_id],tblTenants[zone],"NOT FOUND")</f>
        <v>Food Court</v>
      </c>
      <c r="Q1599" s="13" t="str">
        <f>_xlfn.XLOOKUP(tblTransactions[[#This Row],[tenant_id]],tblTenants[tenant_id],tblTenants[category],"NOT FOUND")</f>
        <v>Casual Dining</v>
      </c>
    </row>
    <row r="1600" spans="1:17">
      <c r="A1600" t="s">
        <v>1644</v>
      </c>
      <c r="B1600" s="2">
        <v>45762</v>
      </c>
      <c r="C1600">
        <v>15</v>
      </c>
      <c r="D1600" t="s">
        <v>18</v>
      </c>
      <c r="E1600" t="s">
        <v>51</v>
      </c>
      <c r="F1600" s="7">
        <v>838.39</v>
      </c>
      <c r="G1600" s="10">
        <v>0</v>
      </c>
      <c r="H1600" s="7">
        <v>838.39</v>
      </c>
      <c r="I1600">
        <v>1</v>
      </c>
      <c r="J1600" t="s">
        <v>13</v>
      </c>
      <c r="K1600" s="13">
        <f>ROUND(tblTransactions[[#This Row],[gross_sales_inr]]*(1-tblTransactions[[#This Row],[discount_pct]]),2)</f>
        <v>838.39</v>
      </c>
      <c r="L1600" t="str">
        <f>IF(ABS(tblTransactions[[#This Row],[net_sales_inr]]-tblTransactions[[#This Row],[Recalc_Net_Sales]])&lt;0.02,"OK","CHECK")</f>
        <v>OK</v>
      </c>
      <c r="M1600" s="14">
        <f>DATE(YEAR(tblTransactions[[#This Row],[date]]),MONTH(tblTransactions[[#This Row],[date]]),1)</f>
        <v>45748</v>
      </c>
      <c r="N1600" t="str">
        <f>IF(WEEKDAY(tblTransactions[[#This Row],[date]],2)&gt;5,"Weekend","Weekday")</f>
        <v>Weekday</v>
      </c>
      <c r="O1600" s="13" t="str">
        <f>IF(tblTransactions[[#This Row],[discount_pct]]=0,"0%",IF(tblTransactions[[#This Row],[discount_pct]]&lt;=10%,"1–
10%",IF(tblTransactions[[#This Row],[discount_pct]]&lt;=20%,"11–20%","&gt;20%")))</f>
        <v>0%</v>
      </c>
      <c r="P1600" s="13" t="str">
        <f>_xlfn.XLOOKUP(tblTransactions[[#This Row],[tenant_id]],tblTenants[tenant_id],tblTenants[zone],"NOT FOUND")</f>
        <v>Beauty &amp; Wellness</v>
      </c>
      <c r="Q1600" s="13" t="str">
        <f>_xlfn.XLOOKUP(tblTransactions[[#This Row],[tenant_id]],tblTenants[tenant_id],tblTenants[category],"NOT FOUND")</f>
        <v>Beauty</v>
      </c>
    </row>
    <row r="1601" spans="1:17">
      <c r="A1601" t="s">
        <v>1645</v>
      </c>
      <c r="B1601" s="2">
        <v>45686</v>
      </c>
      <c r="C1601">
        <v>16</v>
      </c>
      <c r="D1601" t="s">
        <v>87</v>
      </c>
      <c r="E1601" t="s">
        <v>12</v>
      </c>
      <c r="F1601" s="7">
        <v>514.01</v>
      </c>
      <c r="G1601" s="10">
        <v>0.1</v>
      </c>
      <c r="H1601" s="7">
        <v>462.61</v>
      </c>
      <c r="I1601">
        <v>2</v>
      </c>
      <c r="J1601" t="s">
        <v>13</v>
      </c>
      <c r="K1601" s="13">
        <f>ROUND(tblTransactions[[#This Row],[gross_sales_inr]]*(1-tblTransactions[[#This Row],[discount_pct]]),2)</f>
        <v>462.61</v>
      </c>
      <c r="L1601" t="str">
        <f>IF(ABS(tblTransactions[[#This Row],[net_sales_inr]]-tblTransactions[[#This Row],[Recalc_Net_Sales]])&lt;0.02,"OK","CHECK")</f>
        <v>OK</v>
      </c>
      <c r="M1601" s="14">
        <f>DATE(YEAR(tblTransactions[[#This Row],[date]]),MONTH(tblTransactions[[#This Row],[date]]),1)</f>
        <v>45658</v>
      </c>
      <c r="N1601" t="str">
        <f>IF(WEEKDAY(tblTransactions[[#This Row],[date]],2)&gt;5,"Weekend","Weekday")</f>
        <v>Weekday</v>
      </c>
      <c r="O160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01" s="13" t="str">
        <f>_xlfn.XLOOKUP(tblTransactions[[#This Row],[tenant_id]],tblTenants[tenant_id],tblTenants[zone],"NOT FOUND")</f>
        <v>Fashion Avenue</v>
      </c>
      <c r="Q1601" s="13" t="str">
        <f>_xlfn.XLOOKUP(tblTransactions[[#This Row],[tenant_id]],tblTenants[tenant_id],tblTenants[category],"NOT FOUND")</f>
        <v>Footwear</v>
      </c>
    </row>
    <row r="1602" spans="1:17">
      <c r="A1602" t="s">
        <v>1646</v>
      </c>
      <c r="B1602" s="2">
        <v>45659</v>
      </c>
      <c r="C1602">
        <v>12</v>
      </c>
      <c r="D1602" t="s">
        <v>31</v>
      </c>
      <c r="E1602" t="s">
        <v>32</v>
      </c>
      <c r="F1602" s="7">
        <v>604.70000000000005</v>
      </c>
      <c r="G1602" s="10">
        <v>0.3</v>
      </c>
      <c r="H1602" s="7">
        <v>423.29</v>
      </c>
      <c r="I1602">
        <v>1</v>
      </c>
      <c r="J1602" t="s">
        <v>13</v>
      </c>
      <c r="K1602" s="13">
        <f>ROUND(tblTransactions[[#This Row],[gross_sales_inr]]*(1-tblTransactions[[#This Row],[discount_pct]]),2)</f>
        <v>423.29</v>
      </c>
      <c r="L1602" t="str">
        <f>IF(ABS(tblTransactions[[#This Row],[net_sales_inr]]-tblTransactions[[#This Row],[Recalc_Net_Sales]])&lt;0.02,"OK","CHECK")</f>
        <v>OK</v>
      </c>
      <c r="M1602" s="14">
        <f>DATE(YEAR(tblTransactions[[#This Row],[date]]),MONTH(tblTransactions[[#This Row],[date]]),1)</f>
        <v>45658</v>
      </c>
      <c r="N1602" t="str">
        <f>IF(WEEKDAY(tblTransactions[[#This Row],[date]],2)&gt;5,"Weekend","Weekday")</f>
        <v>Weekday</v>
      </c>
      <c r="O1602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602" s="13" t="str">
        <f>_xlfn.XLOOKUP(tblTransactions[[#This Row],[tenant_id]],tblTenants[tenant_id],tblTenants[zone],"NOT FOUND")</f>
        <v>Entertainment</v>
      </c>
      <c r="Q1602" s="13" t="str">
        <f>_xlfn.XLOOKUP(tblTransactions[[#This Row],[tenant_id]],tblTenants[tenant_id],tblTenants[category],"NOT FOUND")</f>
        <v>Arcade</v>
      </c>
    </row>
    <row r="1603" spans="1:17">
      <c r="A1603" t="s">
        <v>1647</v>
      </c>
      <c r="B1603" s="2">
        <v>45667</v>
      </c>
      <c r="C1603">
        <v>22</v>
      </c>
      <c r="D1603" t="s">
        <v>11</v>
      </c>
      <c r="E1603" t="s">
        <v>12</v>
      </c>
      <c r="F1603" s="7">
        <v>1066.51</v>
      </c>
      <c r="G1603" s="10">
        <v>0.2</v>
      </c>
      <c r="H1603" s="7">
        <v>853.21</v>
      </c>
      <c r="I1603">
        <v>2</v>
      </c>
      <c r="J1603" t="s">
        <v>16</v>
      </c>
      <c r="K1603" s="13">
        <f>ROUND(tblTransactions[[#This Row],[gross_sales_inr]]*(1-tblTransactions[[#This Row],[discount_pct]]),2)</f>
        <v>853.21</v>
      </c>
      <c r="L1603" t="str">
        <f>IF(ABS(tblTransactions[[#This Row],[net_sales_inr]]-tblTransactions[[#This Row],[Recalc_Net_Sales]])&lt;0.02,"OK","CHECK")</f>
        <v>OK</v>
      </c>
      <c r="M1603" s="14">
        <f>DATE(YEAR(tblTransactions[[#This Row],[date]]),MONTH(tblTransactions[[#This Row],[date]]),1)</f>
        <v>45658</v>
      </c>
      <c r="N1603" t="str">
        <f>IF(WEEKDAY(tblTransactions[[#This Row],[date]],2)&gt;5,"Weekend","Weekday")</f>
        <v>Weekday</v>
      </c>
      <c r="O160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03" s="13" t="str">
        <f>_xlfn.XLOOKUP(tblTransactions[[#This Row],[tenant_id]],tblTenants[tenant_id],tblTenants[zone],"NOT FOUND")</f>
        <v>Home &amp; Living</v>
      </c>
      <c r="Q1603" s="13" t="str">
        <f>_xlfn.XLOOKUP(tblTransactions[[#This Row],[tenant_id]],tblTenants[tenant_id],tblTenants[category],"NOT FOUND")</f>
        <v>Home Decor</v>
      </c>
    </row>
    <row r="1604" spans="1:17">
      <c r="A1604" t="s">
        <v>1648</v>
      </c>
      <c r="B1604" s="2">
        <v>45704</v>
      </c>
      <c r="C1604">
        <v>15</v>
      </c>
      <c r="D1604" t="s">
        <v>70</v>
      </c>
      <c r="E1604" t="s">
        <v>12</v>
      </c>
      <c r="F1604" s="7">
        <v>485.9</v>
      </c>
      <c r="G1604" s="10">
        <v>0</v>
      </c>
      <c r="H1604" s="7">
        <v>485.9</v>
      </c>
      <c r="I1604">
        <v>1</v>
      </c>
      <c r="J1604" t="s">
        <v>16</v>
      </c>
      <c r="K1604" s="13">
        <f>ROUND(tblTransactions[[#This Row],[gross_sales_inr]]*(1-tblTransactions[[#This Row],[discount_pct]]),2)</f>
        <v>485.9</v>
      </c>
      <c r="L1604" t="str">
        <f>IF(ABS(tblTransactions[[#This Row],[net_sales_inr]]-tblTransactions[[#This Row],[Recalc_Net_Sales]])&lt;0.02,"OK","CHECK")</f>
        <v>OK</v>
      </c>
      <c r="M1604" s="14">
        <f>DATE(YEAR(tblTransactions[[#This Row],[date]]),MONTH(tblTransactions[[#This Row],[date]]),1)</f>
        <v>45689</v>
      </c>
      <c r="N1604" t="str">
        <f>IF(WEEKDAY(tblTransactions[[#This Row],[date]],2)&gt;5,"Weekend","Weekday")</f>
        <v>Weekend</v>
      </c>
      <c r="O1604" s="13" t="str">
        <f>IF(tblTransactions[[#This Row],[discount_pct]]=0,"0%",IF(tblTransactions[[#This Row],[discount_pct]]&lt;=10%,"1–
10%",IF(tblTransactions[[#This Row],[discount_pct]]&lt;=20%,"11–20%","&gt;20%")))</f>
        <v>0%</v>
      </c>
      <c r="P1604" s="13" t="str">
        <f>_xlfn.XLOOKUP(tblTransactions[[#This Row],[tenant_id]],tblTenants[tenant_id],tblTenants[zone],"NOT FOUND")</f>
        <v>Food Court</v>
      </c>
      <c r="Q1604" s="13" t="str">
        <f>_xlfn.XLOOKUP(tblTransactions[[#This Row],[tenant_id]],tblTenants[tenant_id],tblTenants[category],"NOT FOUND")</f>
        <v>Quick Service</v>
      </c>
    </row>
    <row r="1605" spans="1:17">
      <c r="A1605" t="s">
        <v>1649</v>
      </c>
      <c r="B1605" s="2">
        <v>45660</v>
      </c>
      <c r="C1605">
        <v>21</v>
      </c>
      <c r="D1605" t="s">
        <v>57</v>
      </c>
      <c r="E1605" t="s">
        <v>32</v>
      </c>
      <c r="F1605" s="7">
        <v>1081.6300000000001</v>
      </c>
      <c r="G1605" s="10">
        <v>0</v>
      </c>
      <c r="H1605" s="7">
        <v>1081.6300000000001</v>
      </c>
      <c r="I1605">
        <v>2</v>
      </c>
      <c r="J1605" t="s">
        <v>13</v>
      </c>
      <c r="K1605" s="13">
        <f>ROUND(tblTransactions[[#This Row],[gross_sales_inr]]*(1-tblTransactions[[#This Row],[discount_pct]]),2)</f>
        <v>1081.6300000000001</v>
      </c>
      <c r="L1605" t="str">
        <f>IF(ABS(tblTransactions[[#This Row],[net_sales_inr]]-tblTransactions[[#This Row],[Recalc_Net_Sales]])&lt;0.02,"OK","CHECK")</f>
        <v>OK</v>
      </c>
      <c r="M1605" s="14">
        <f>DATE(YEAR(tblTransactions[[#This Row],[date]]),MONTH(tblTransactions[[#This Row],[date]]),1)</f>
        <v>45658</v>
      </c>
      <c r="N1605" t="str">
        <f>IF(WEEKDAY(tblTransactions[[#This Row],[date]],2)&gt;5,"Weekend","Weekday")</f>
        <v>Weekday</v>
      </c>
      <c r="O1605" s="13" t="str">
        <f>IF(tblTransactions[[#This Row],[discount_pct]]=0,"0%",IF(tblTransactions[[#This Row],[discount_pct]]&lt;=10%,"1–
10%",IF(tblTransactions[[#This Row],[discount_pct]]&lt;=20%,"11–20%","&gt;20%")))</f>
        <v>0%</v>
      </c>
      <c r="P1605" s="13" t="str">
        <f>_xlfn.XLOOKUP(tblTransactions[[#This Row],[tenant_id]],tblTenants[tenant_id],tblTenants[zone],"NOT FOUND")</f>
        <v>Food Court</v>
      </c>
      <c r="Q1605" s="13" t="str">
        <f>_xlfn.XLOOKUP(tblTransactions[[#This Row],[tenant_id]],tblTenants[tenant_id],tblTenants[category],"NOT FOUND")</f>
        <v>Casual Dining</v>
      </c>
    </row>
    <row r="1606" spans="1:17">
      <c r="A1606" t="s">
        <v>1650</v>
      </c>
      <c r="B1606" s="2">
        <v>45836</v>
      </c>
      <c r="C1606">
        <v>14</v>
      </c>
      <c r="D1606" t="s">
        <v>27</v>
      </c>
      <c r="E1606" t="s">
        <v>32</v>
      </c>
      <c r="F1606" s="7">
        <v>660.44</v>
      </c>
      <c r="G1606" s="10">
        <v>0</v>
      </c>
      <c r="H1606" s="7">
        <v>660.44</v>
      </c>
      <c r="I1606">
        <v>3</v>
      </c>
      <c r="J1606" t="s">
        <v>13</v>
      </c>
      <c r="K1606" s="13">
        <f>ROUND(tblTransactions[[#This Row],[gross_sales_inr]]*(1-tblTransactions[[#This Row],[discount_pct]]),2)</f>
        <v>660.44</v>
      </c>
      <c r="L1606" t="str">
        <f>IF(ABS(tblTransactions[[#This Row],[net_sales_inr]]-tblTransactions[[#This Row],[Recalc_Net_Sales]])&lt;0.02,"OK","CHECK")</f>
        <v>OK</v>
      </c>
      <c r="M1606" s="14">
        <f>DATE(YEAR(tblTransactions[[#This Row],[date]]),MONTH(tblTransactions[[#This Row],[date]]),1)</f>
        <v>45809</v>
      </c>
      <c r="N1606" t="str">
        <f>IF(WEEKDAY(tblTransactions[[#This Row],[date]],2)&gt;5,"Weekend","Weekday")</f>
        <v>Weekend</v>
      </c>
      <c r="O1606" s="13" t="str">
        <f>IF(tblTransactions[[#This Row],[discount_pct]]=0,"0%",IF(tblTransactions[[#This Row],[discount_pct]]&lt;=10%,"1–
10%",IF(tblTransactions[[#This Row],[discount_pct]]&lt;=20%,"11–20%","&gt;20%")))</f>
        <v>0%</v>
      </c>
      <c r="P1606" s="13" t="str">
        <f>_xlfn.XLOOKUP(tblTransactions[[#This Row],[tenant_id]],tblTenants[tenant_id],tblTenants[zone],"NOT FOUND")</f>
        <v>Beauty &amp; Wellness</v>
      </c>
      <c r="Q1606" s="13" t="str">
        <f>_xlfn.XLOOKUP(tblTransactions[[#This Row],[tenant_id]],tblTenants[tenant_id],tblTenants[category],"NOT FOUND")</f>
        <v>Wellness</v>
      </c>
    </row>
    <row r="1607" spans="1:17">
      <c r="A1607" t="s">
        <v>1651</v>
      </c>
      <c r="B1607" s="2">
        <v>45691</v>
      </c>
      <c r="C1607">
        <v>14</v>
      </c>
      <c r="D1607" t="s">
        <v>29</v>
      </c>
      <c r="E1607" t="s">
        <v>12</v>
      </c>
      <c r="F1607" s="7">
        <v>1053.1300000000001</v>
      </c>
      <c r="G1607" s="10">
        <v>0.15</v>
      </c>
      <c r="H1607" s="7">
        <v>895.16</v>
      </c>
      <c r="I1607">
        <v>1</v>
      </c>
      <c r="J1607" t="s">
        <v>16</v>
      </c>
      <c r="K1607" s="13">
        <f>ROUND(tblTransactions[[#This Row],[gross_sales_inr]]*(1-tblTransactions[[#This Row],[discount_pct]]),2)</f>
        <v>895.16</v>
      </c>
      <c r="L1607" t="str">
        <f>IF(ABS(tblTransactions[[#This Row],[net_sales_inr]]-tblTransactions[[#This Row],[Recalc_Net_Sales]])&lt;0.02,"OK","CHECK")</f>
        <v>OK</v>
      </c>
      <c r="M1607" s="14">
        <f>DATE(YEAR(tblTransactions[[#This Row],[date]]),MONTH(tblTransactions[[#This Row],[date]]),1)</f>
        <v>45689</v>
      </c>
      <c r="N1607" t="str">
        <f>IF(WEEKDAY(tblTransactions[[#This Row],[date]],2)&gt;5,"Weekend","Weekday")</f>
        <v>Weekday</v>
      </c>
      <c r="O160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07" s="13" t="str">
        <f>_xlfn.XLOOKUP(tblTransactions[[#This Row],[tenant_id]],tblTenants[tenant_id],tblTenants[zone],"NOT FOUND")</f>
        <v>Entertainment</v>
      </c>
      <c r="Q1607" s="13" t="str">
        <f>_xlfn.XLOOKUP(tblTransactions[[#This Row],[tenant_id]],tblTenants[tenant_id],tblTenants[category],"NOT FOUND")</f>
        <v>Cinema</v>
      </c>
    </row>
    <row r="1608" spans="1:17">
      <c r="A1608" t="s">
        <v>1652</v>
      </c>
      <c r="B1608" s="2">
        <v>45658</v>
      </c>
      <c r="C1608">
        <v>18</v>
      </c>
      <c r="D1608" t="s">
        <v>43</v>
      </c>
      <c r="E1608" t="s">
        <v>32</v>
      </c>
      <c r="F1608" s="7">
        <v>3642.32</v>
      </c>
      <c r="G1608" s="10">
        <v>0.1</v>
      </c>
      <c r="H1608" s="7">
        <v>3278.09</v>
      </c>
      <c r="I1608">
        <v>3</v>
      </c>
      <c r="J1608" t="s">
        <v>13</v>
      </c>
      <c r="K1608" s="13">
        <f>ROUND(tblTransactions[[#This Row],[gross_sales_inr]]*(1-tblTransactions[[#This Row],[discount_pct]]),2)</f>
        <v>3278.09</v>
      </c>
      <c r="L1608" t="str">
        <f>IF(ABS(tblTransactions[[#This Row],[net_sales_inr]]-tblTransactions[[#This Row],[Recalc_Net_Sales]])&lt;0.02,"OK","CHECK")</f>
        <v>OK</v>
      </c>
      <c r="M1608" s="14">
        <f>DATE(YEAR(tblTransactions[[#This Row],[date]]),MONTH(tblTransactions[[#This Row],[date]]),1)</f>
        <v>45658</v>
      </c>
      <c r="N1608" t="str">
        <f>IF(WEEKDAY(tblTransactions[[#This Row],[date]],2)&gt;5,"Weekend","Weekday")</f>
        <v>Weekday</v>
      </c>
      <c r="O160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08" s="13" t="str">
        <f>_xlfn.XLOOKUP(tblTransactions[[#This Row],[tenant_id]],tblTenants[tenant_id],tblTenants[zone],"NOT FOUND")</f>
        <v>Food Court</v>
      </c>
      <c r="Q1608" s="13" t="str">
        <f>_xlfn.XLOOKUP(tblTransactions[[#This Row],[tenant_id]],tblTenants[tenant_id],tblTenants[category],"NOT FOUND")</f>
        <v>Casual Dining</v>
      </c>
    </row>
    <row r="1609" spans="1:17">
      <c r="A1609" t="s">
        <v>1653</v>
      </c>
      <c r="B1609" s="2">
        <v>45778</v>
      </c>
      <c r="C1609">
        <v>22</v>
      </c>
      <c r="D1609" t="s">
        <v>80</v>
      </c>
      <c r="E1609" t="s">
        <v>12</v>
      </c>
      <c r="F1609" s="7">
        <v>309.89999999999998</v>
      </c>
      <c r="G1609" s="10">
        <v>0.05</v>
      </c>
      <c r="H1609" s="7">
        <v>294.39999999999998</v>
      </c>
      <c r="I1609">
        <v>3</v>
      </c>
      <c r="J1609" t="s">
        <v>13</v>
      </c>
      <c r="K1609" s="13">
        <f>ROUND(tblTransactions[[#This Row],[gross_sales_inr]]*(1-tblTransactions[[#This Row],[discount_pct]]),2)</f>
        <v>294.41000000000003</v>
      </c>
      <c r="L1609" t="str">
        <f>IF(ABS(tblTransactions[[#This Row],[net_sales_inr]]-tblTransactions[[#This Row],[Recalc_Net_Sales]])&lt;0.02,"OK","CHECK")</f>
        <v>OK</v>
      </c>
      <c r="M1609" s="14">
        <f>DATE(YEAR(tblTransactions[[#This Row],[date]]),MONTH(tblTransactions[[#This Row],[date]]),1)</f>
        <v>45778</v>
      </c>
      <c r="N1609" t="str">
        <f>IF(WEEKDAY(tblTransactions[[#This Row],[date]],2)&gt;5,"Weekend","Weekday")</f>
        <v>Weekday</v>
      </c>
      <c r="O160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09" s="13" t="str">
        <f>_xlfn.XLOOKUP(tblTransactions[[#This Row],[tenant_id]],tblTenants[tenant_id],tblTenants[zone],"NOT FOUND")</f>
        <v>Food Court</v>
      </c>
      <c r="Q1609" s="13" t="str">
        <f>_xlfn.XLOOKUP(tblTransactions[[#This Row],[tenant_id]],tblTenants[tenant_id],tblTenants[category],"NOT FOUND")</f>
        <v>Casual Dining</v>
      </c>
    </row>
    <row r="1610" spans="1:17">
      <c r="A1610" t="s">
        <v>1654</v>
      </c>
      <c r="B1610" s="2">
        <v>45804</v>
      </c>
      <c r="C1610">
        <v>22</v>
      </c>
      <c r="D1610" t="s">
        <v>15</v>
      </c>
      <c r="E1610" t="s">
        <v>32</v>
      </c>
      <c r="F1610" s="7">
        <v>1227.76</v>
      </c>
      <c r="G1610" s="10">
        <v>0.2</v>
      </c>
      <c r="H1610" s="7">
        <v>982.21</v>
      </c>
      <c r="I1610">
        <v>6</v>
      </c>
      <c r="J1610" t="s">
        <v>13</v>
      </c>
      <c r="K1610" s="13">
        <f>ROUND(tblTransactions[[#This Row],[gross_sales_inr]]*(1-tblTransactions[[#This Row],[discount_pct]]),2)</f>
        <v>982.21</v>
      </c>
      <c r="L1610" t="str">
        <f>IF(ABS(tblTransactions[[#This Row],[net_sales_inr]]-tblTransactions[[#This Row],[Recalc_Net_Sales]])&lt;0.02,"OK","CHECK")</f>
        <v>OK</v>
      </c>
      <c r="M1610" s="14">
        <f>DATE(YEAR(tblTransactions[[#This Row],[date]]),MONTH(tblTransactions[[#This Row],[date]]),1)</f>
        <v>45778</v>
      </c>
      <c r="N1610" t="str">
        <f>IF(WEEKDAY(tblTransactions[[#This Row],[date]],2)&gt;5,"Weekend","Weekday")</f>
        <v>Weekday</v>
      </c>
      <c r="O161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10" s="13" t="str">
        <f>_xlfn.XLOOKUP(tblTransactions[[#This Row],[tenant_id]],tblTenants[tenant_id],tblTenants[zone],"NOT FOUND")</f>
        <v>Fashion Avenue</v>
      </c>
      <c r="Q1610" s="13" t="str">
        <f>_xlfn.XLOOKUP(tblTransactions[[#This Row],[tenant_id]],tblTenants[tenant_id],tblTenants[category],"NOT FOUND")</f>
        <v>Accessories</v>
      </c>
    </row>
    <row r="1611" spans="1:17">
      <c r="A1611" t="s">
        <v>1655</v>
      </c>
      <c r="B1611" s="2">
        <v>45828</v>
      </c>
      <c r="C1611">
        <v>10</v>
      </c>
      <c r="D1611" t="s">
        <v>70</v>
      </c>
      <c r="E1611" t="s">
        <v>12</v>
      </c>
      <c r="F1611" s="7">
        <v>1009.16</v>
      </c>
      <c r="G1611" s="10">
        <v>0</v>
      </c>
      <c r="H1611" s="7">
        <v>1009.16</v>
      </c>
      <c r="I1611">
        <v>1</v>
      </c>
      <c r="J1611" t="s">
        <v>13</v>
      </c>
      <c r="K1611" s="13">
        <f>ROUND(tblTransactions[[#This Row],[gross_sales_inr]]*(1-tblTransactions[[#This Row],[discount_pct]]),2)</f>
        <v>1009.16</v>
      </c>
      <c r="L1611" t="str">
        <f>IF(ABS(tblTransactions[[#This Row],[net_sales_inr]]-tblTransactions[[#This Row],[Recalc_Net_Sales]])&lt;0.02,"OK","CHECK")</f>
        <v>OK</v>
      </c>
      <c r="M1611" s="14">
        <f>DATE(YEAR(tblTransactions[[#This Row],[date]]),MONTH(tblTransactions[[#This Row],[date]]),1)</f>
        <v>45809</v>
      </c>
      <c r="N1611" t="str">
        <f>IF(WEEKDAY(tblTransactions[[#This Row],[date]],2)&gt;5,"Weekend","Weekday")</f>
        <v>Weekday</v>
      </c>
      <c r="O1611" s="13" t="str">
        <f>IF(tblTransactions[[#This Row],[discount_pct]]=0,"0%",IF(tblTransactions[[#This Row],[discount_pct]]&lt;=10%,"1–
10%",IF(tblTransactions[[#This Row],[discount_pct]]&lt;=20%,"11–20%","&gt;20%")))</f>
        <v>0%</v>
      </c>
      <c r="P1611" s="13" t="str">
        <f>_xlfn.XLOOKUP(tblTransactions[[#This Row],[tenant_id]],tblTenants[tenant_id],tblTenants[zone],"NOT FOUND")</f>
        <v>Food Court</v>
      </c>
      <c r="Q1611" s="13" t="str">
        <f>_xlfn.XLOOKUP(tblTransactions[[#This Row],[tenant_id]],tblTenants[tenant_id],tblTenants[category],"NOT FOUND")</f>
        <v>Quick Service</v>
      </c>
    </row>
    <row r="1612" spans="1:17">
      <c r="A1612" t="s">
        <v>1656</v>
      </c>
      <c r="B1612" s="2">
        <v>45678</v>
      </c>
      <c r="C1612">
        <v>21</v>
      </c>
      <c r="D1612" t="s">
        <v>41</v>
      </c>
      <c r="E1612" t="s">
        <v>21</v>
      </c>
      <c r="F1612" s="7">
        <v>564.63</v>
      </c>
      <c r="G1612" s="10">
        <v>0</v>
      </c>
      <c r="H1612" s="7">
        <v>564.63</v>
      </c>
      <c r="I1612">
        <v>6</v>
      </c>
      <c r="J1612" t="s">
        <v>13</v>
      </c>
      <c r="K1612" s="13">
        <f>ROUND(tblTransactions[[#This Row],[gross_sales_inr]]*(1-tblTransactions[[#This Row],[discount_pct]]),2)</f>
        <v>564.63</v>
      </c>
      <c r="L1612" t="str">
        <f>IF(ABS(tblTransactions[[#This Row],[net_sales_inr]]-tblTransactions[[#This Row],[Recalc_Net_Sales]])&lt;0.02,"OK","CHECK")</f>
        <v>OK</v>
      </c>
      <c r="M1612" s="14">
        <f>DATE(YEAR(tblTransactions[[#This Row],[date]]),MONTH(tblTransactions[[#This Row],[date]]),1)</f>
        <v>45658</v>
      </c>
      <c r="N1612" t="str">
        <f>IF(WEEKDAY(tblTransactions[[#This Row],[date]],2)&gt;5,"Weekend","Weekday")</f>
        <v>Weekday</v>
      </c>
      <c r="O1612" s="13" t="str">
        <f>IF(tblTransactions[[#This Row],[discount_pct]]=0,"0%",IF(tblTransactions[[#This Row],[discount_pct]]&lt;=10%,"1–
10%",IF(tblTransactions[[#This Row],[discount_pct]]&lt;=20%,"11–20%","&gt;20%")))</f>
        <v>0%</v>
      </c>
      <c r="P1612" s="13" t="str">
        <f>_xlfn.XLOOKUP(tblTransactions[[#This Row],[tenant_id]],tblTenants[tenant_id],tblTenants[zone],"NOT FOUND")</f>
        <v>Fashion Avenue</v>
      </c>
      <c r="Q1612" s="13" t="str">
        <f>_xlfn.XLOOKUP(tblTransactions[[#This Row],[tenant_id]],tblTenants[tenant_id],tblTenants[category],"NOT FOUND")</f>
        <v>Clothing</v>
      </c>
    </row>
    <row r="1613" spans="1:17">
      <c r="A1613" t="s">
        <v>1657</v>
      </c>
      <c r="B1613" s="2">
        <v>45775</v>
      </c>
      <c r="C1613">
        <v>13</v>
      </c>
      <c r="D1613" t="s">
        <v>61</v>
      </c>
      <c r="E1613" t="s">
        <v>51</v>
      </c>
      <c r="F1613" s="7">
        <v>494.92</v>
      </c>
      <c r="G1613" s="10">
        <v>0</v>
      </c>
      <c r="H1613" s="7">
        <v>494.92</v>
      </c>
      <c r="I1613">
        <v>3</v>
      </c>
      <c r="J1613" t="s">
        <v>13</v>
      </c>
      <c r="K1613" s="13">
        <f>ROUND(tblTransactions[[#This Row],[gross_sales_inr]]*(1-tblTransactions[[#This Row],[discount_pct]]),2)</f>
        <v>494.92</v>
      </c>
      <c r="L1613" t="str">
        <f>IF(ABS(tblTransactions[[#This Row],[net_sales_inr]]-tblTransactions[[#This Row],[Recalc_Net_Sales]])&lt;0.02,"OK","CHECK")</f>
        <v>OK</v>
      </c>
      <c r="M1613" s="14">
        <f>DATE(YEAR(tblTransactions[[#This Row],[date]]),MONTH(tblTransactions[[#This Row],[date]]),1)</f>
        <v>45748</v>
      </c>
      <c r="N1613" t="str">
        <f>IF(WEEKDAY(tblTransactions[[#This Row],[date]],2)&gt;5,"Weekend","Weekday")</f>
        <v>Weekday</v>
      </c>
      <c r="O1613" s="13" t="str">
        <f>IF(tblTransactions[[#This Row],[discount_pct]]=0,"0%",IF(tblTransactions[[#This Row],[discount_pct]]&lt;=10%,"1–
10%",IF(tblTransactions[[#This Row],[discount_pct]]&lt;=20%,"11–20%","&gt;20%")))</f>
        <v>0%</v>
      </c>
      <c r="P1613" s="13" t="str">
        <f>_xlfn.XLOOKUP(tblTransactions[[#This Row],[tenant_id]],tblTenants[tenant_id],tblTenants[zone],"NOT FOUND")</f>
        <v>Food Court</v>
      </c>
      <c r="Q1613" s="13" t="str">
        <f>_xlfn.XLOOKUP(tblTransactions[[#This Row],[tenant_id]],tblTenants[tenant_id],tblTenants[category],"NOT FOUND")</f>
        <v>Quick Service</v>
      </c>
    </row>
    <row r="1614" spans="1:17">
      <c r="A1614" t="s">
        <v>1658</v>
      </c>
      <c r="B1614" s="2">
        <v>45828</v>
      </c>
      <c r="C1614">
        <v>21</v>
      </c>
      <c r="D1614" t="s">
        <v>23</v>
      </c>
      <c r="E1614" t="s">
        <v>21</v>
      </c>
      <c r="F1614" s="7">
        <v>1059.8800000000001</v>
      </c>
      <c r="G1614" s="10">
        <v>0.05</v>
      </c>
      <c r="H1614" s="7">
        <v>1006.89</v>
      </c>
      <c r="I1614">
        <v>3</v>
      </c>
      <c r="J1614" t="s">
        <v>13</v>
      </c>
      <c r="K1614" s="13">
        <f>ROUND(tblTransactions[[#This Row],[gross_sales_inr]]*(1-tblTransactions[[#This Row],[discount_pct]]),2)</f>
        <v>1006.89</v>
      </c>
      <c r="L1614" t="str">
        <f>IF(ABS(tblTransactions[[#This Row],[net_sales_inr]]-tblTransactions[[#This Row],[Recalc_Net_Sales]])&lt;0.02,"OK","CHECK")</f>
        <v>OK</v>
      </c>
      <c r="M1614" s="14">
        <f>DATE(YEAR(tblTransactions[[#This Row],[date]]),MONTH(tblTransactions[[#This Row],[date]]),1)</f>
        <v>45809</v>
      </c>
      <c r="N1614" t="str">
        <f>IF(WEEKDAY(tblTransactions[[#This Row],[date]],2)&gt;5,"Weekend","Weekday")</f>
        <v>Weekday</v>
      </c>
      <c r="O161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14" s="13" t="str">
        <f>_xlfn.XLOOKUP(tblTransactions[[#This Row],[tenant_id]],tblTenants[tenant_id],tblTenants[zone],"NOT FOUND")</f>
        <v>Entertainment</v>
      </c>
      <c r="Q1614" s="13" t="str">
        <f>_xlfn.XLOOKUP(tblTransactions[[#This Row],[tenant_id]],tblTenants[tenant_id],tblTenants[category],"NOT FOUND")</f>
        <v>Cinema</v>
      </c>
    </row>
    <row r="1615" spans="1:17">
      <c r="A1615" t="s">
        <v>1659</v>
      </c>
      <c r="B1615" s="2">
        <v>45732</v>
      </c>
      <c r="C1615">
        <v>12</v>
      </c>
      <c r="D1615" t="s">
        <v>45</v>
      </c>
      <c r="E1615" t="s">
        <v>32</v>
      </c>
      <c r="F1615" s="7">
        <v>2507.0100000000002</v>
      </c>
      <c r="G1615" s="10">
        <v>0</v>
      </c>
      <c r="H1615" s="7">
        <v>2507.0100000000002</v>
      </c>
      <c r="I1615">
        <v>3</v>
      </c>
      <c r="J1615" t="s">
        <v>13</v>
      </c>
      <c r="K1615" s="13">
        <f>ROUND(tblTransactions[[#This Row],[gross_sales_inr]]*(1-tblTransactions[[#This Row],[discount_pct]]),2)</f>
        <v>2507.0100000000002</v>
      </c>
      <c r="L1615" t="str">
        <f>IF(ABS(tblTransactions[[#This Row],[net_sales_inr]]-tblTransactions[[#This Row],[Recalc_Net_Sales]])&lt;0.02,"OK","CHECK")</f>
        <v>OK</v>
      </c>
      <c r="M1615" s="14">
        <f>DATE(YEAR(tblTransactions[[#This Row],[date]]),MONTH(tblTransactions[[#This Row],[date]]),1)</f>
        <v>45717</v>
      </c>
      <c r="N1615" t="str">
        <f>IF(WEEKDAY(tblTransactions[[#This Row],[date]],2)&gt;5,"Weekend","Weekday")</f>
        <v>Weekend</v>
      </c>
      <c r="O1615" s="13" t="str">
        <f>IF(tblTransactions[[#This Row],[discount_pct]]=0,"0%",IF(tblTransactions[[#This Row],[discount_pct]]&lt;=10%,"1–
10%",IF(tblTransactions[[#This Row],[discount_pct]]&lt;=20%,"11–20%","&gt;20%")))</f>
        <v>0%</v>
      </c>
      <c r="P1615" s="13" t="str">
        <f>_xlfn.XLOOKUP(tblTransactions[[#This Row],[tenant_id]],tblTenants[tenant_id],tblTenants[zone],"NOT FOUND")</f>
        <v>Home &amp; Living</v>
      </c>
      <c r="Q1615" s="13" t="str">
        <f>_xlfn.XLOOKUP(tblTransactions[[#This Row],[tenant_id]],tblTenants[tenant_id],tblTenants[category],"NOT FOUND")</f>
        <v>Home Decor</v>
      </c>
    </row>
    <row r="1616" spans="1:17">
      <c r="A1616" t="s">
        <v>1660</v>
      </c>
      <c r="B1616" s="2">
        <v>45815</v>
      </c>
      <c r="C1616">
        <v>16</v>
      </c>
      <c r="D1616" t="s">
        <v>34</v>
      </c>
      <c r="E1616" t="s">
        <v>32</v>
      </c>
      <c r="F1616" s="7">
        <v>1196.42</v>
      </c>
      <c r="G1616" s="10">
        <v>0.15</v>
      </c>
      <c r="H1616" s="7">
        <v>1016.96</v>
      </c>
      <c r="I1616">
        <v>2</v>
      </c>
      <c r="J1616" t="s">
        <v>13</v>
      </c>
      <c r="K1616" s="13">
        <f>ROUND(tblTransactions[[#This Row],[gross_sales_inr]]*(1-tblTransactions[[#This Row],[discount_pct]]),2)</f>
        <v>1016.96</v>
      </c>
      <c r="L1616" t="str">
        <f>IF(ABS(tblTransactions[[#This Row],[net_sales_inr]]-tblTransactions[[#This Row],[Recalc_Net_Sales]])&lt;0.02,"OK","CHECK")</f>
        <v>OK</v>
      </c>
      <c r="M1616" s="14">
        <f>DATE(YEAR(tblTransactions[[#This Row],[date]]),MONTH(tblTransactions[[#This Row],[date]]),1)</f>
        <v>45809</v>
      </c>
      <c r="N1616" t="str">
        <f>IF(WEEKDAY(tblTransactions[[#This Row],[date]],2)&gt;5,"Weekend","Weekday")</f>
        <v>Weekend</v>
      </c>
      <c r="O161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16" s="13" t="str">
        <f>_xlfn.XLOOKUP(tblTransactions[[#This Row],[tenant_id]],tblTenants[tenant_id],tblTenants[zone],"NOT FOUND")</f>
        <v>Home &amp; Living</v>
      </c>
      <c r="Q1616" s="13" t="str">
        <f>_xlfn.XLOOKUP(tblTransactions[[#This Row],[tenant_id]],tblTenants[tenant_id],tblTenants[category],"NOT FOUND")</f>
        <v>Electronics</v>
      </c>
    </row>
    <row r="1617" spans="1:17">
      <c r="A1617" t="s">
        <v>1661</v>
      </c>
      <c r="B1617" s="2">
        <v>45782</v>
      </c>
      <c r="C1617">
        <v>12</v>
      </c>
      <c r="D1617" t="s">
        <v>48</v>
      </c>
      <c r="E1617" t="s">
        <v>12</v>
      </c>
      <c r="F1617" s="7">
        <v>1334.22</v>
      </c>
      <c r="G1617" s="10">
        <v>0.15</v>
      </c>
      <c r="H1617" s="7">
        <v>1134.0899999999999</v>
      </c>
      <c r="I1617">
        <v>4</v>
      </c>
      <c r="J1617" t="s">
        <v>16</v>
      </c>
      <c r="K1617" s="13">
        <f>ROUND(tblTransactions[[#This Row],[gross_sales_inr]]*(1-tblTransactions[[#This Row],[discount_pct]]),2)</f>
        <v>1134.0899999999999</v>
      </c>
      <c r="L1617" t="str">
        <f>IF(ABS(tblTransactions[[#This Row],[net_sales_inr]]-tblTransactions[[#This Row],[Recalc_Net_Sales]])&lt;0.02,"OK","CHECK")</f>
        <v>OK</v>
      </c>
      <c r="M1617" s="14">
        <f>DATE(YEAR(tblTransactions[[#This Row],[date]]),MONTH(tblTransactions[[#This Row],[date]]),1)</f>
        <v>45778</v>
      </c>
      <c r="N1617" t="str">
        <f>IF(WEEKDAY(tblTransactions[[#This Row],[date]],2)&gt;5,"Weekend","Weekday")</f>
        <v>Weekday</v>
      </c>
      <c r="O161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17" s="13" t="str">
        <f>_xlfn.XLOOKUP(tblTransactions[[#This Row],[tenant_id]],tblTenants[tenant_id],tblTenants[zone],"NOT FOUND")</f>
        <v>Beauty &amp; Wellness</v>
      </c>
      <c r="Q1617" s="13" t="str">
        <f>_xlfn.XLOOKUP(tblTransactions[[#This Row],[tenant_id]],tblTenants[tenant_id],tblTenants[category],"NOT FOUND")</f>
        <v>Wellness</v>
      </c>
    </row>
    <row r="1618" spans="1:17">
      <c r="A1618" t="s">
        <v>1662</v>
      </c>
      <c r="B1618" s="2">
        <v>45813</v>
      </c>
      <c r="C1618">
        <v>18</v>
      </c>
      <c r="D1618" t="s">
        <v>204</v>
      </c>
      <c r="E1618" t="s">
        <v>12</v>
      </c>
      <c r="F1618" s="7">
        <v>508.77</v>
      </c>
      <c r="G1618" s="10">
        <v>0.15</v>
      </c>
      <c r="H1618" s="7">
        <v>432.45</v>
      </c>
      <c r="I1618">
        <v>1</v>
      </c>
      <c r="J1618" t="s">
        <v>16</v>
      </c>
      <c r="K1618" s="13">
        <f>ROUND(tblTransactions[[#This Row],[gross_sales_inr]]*(1-tblTransactions[[#This Row],[discount_pct]]),2)</f>
        <v>432.45</v>
      </c>
      <c r="L1618" t="str">
        <f>IF(ABS(tblTransactions[[#This Row],[net_sales_inr]]-tblTransactions[[#This Row],[Recalc_Net_Sales]])&lt;0.02,"OK","CHECK")</f>
        <v>OK</v>
      </c>
      <c r="M1618" s="14">
        <f>DATE(YEAR(tblTransactions[[#This Row],[date]]),MONTH(tblTransactions[[#This Row],[date]]),1)</f>
        <v>45809</v>
      </c>
      <c r="N1618" t="str">
        <f>IF(WEEKDAY(tblTransactions[[#This Row],[date]],2)&gt;5,"Weekend","Weekday")</f>
        <v>Weekday</v>
      </c>
      <c r="O161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18" s="13" t="str">
        <f>_xlfn.XLOOKUP(tblTransactions[[#This Row],[tenant_id]],tblTenants[tenant_id],tblTenants[zone],"NOT FOUND")</f>
        <v>Home &amp; Living</v>
      </c>
      <c r="Q1618" s="13" t="str">
        <f>_xlfn.XLOOKUP(tblTransactions[[#This Row],[tenant_id]],tblTenants[tenant_id],tblTenants[category],"NOT FOUND")</f>
        <v>Home Decor</v>
      </c>
    </row>
    <row r="1619" spans="1:17">
      <c r="A1619" t="s">
        <v>1663</v>
      </c>
      <c r="B1619" s="2">
        <v>45798</v>
      </c>
      <c r="C1619">
        <v>12</v>
      </c>
      <c r="D1619" t="s">
        <v>63</v>
      </c>
      <c r="E1619" t="s">
        <v>12</v>
      </c>
      <c r="F1619" s="7">
        <v>268.81</v>
      </c>
      <c r="G1619" s="10">
        <v>0</v>
      </c>
      <c r="H1619" s="7">
        <v>268.81</v>
      </c>
      <c r="I1619">
        <v>1</v>
      </c>
      <c r="J1619" t="s">
        <v>13</v>
      </c>
      <c r="K1619" s="13">
        <f>ROUND(tblTransactions[[#This Row],[gross_sales_inr]]*(1-tblTransactions[[#This Row],[discount_pct]]),2)</f>
        <v>268.81</v>
      </c>
      <c r="L1619" t="str">
        <f>IF(ABS(tblTransactions[[#This Row],[net_sales_inr]]-tblTransactions[[#This Row],[Recalc_Net_Sales]])&lt;0.02,"OK","CHECK")</f>
        <v>OK</v>
      </c>
      <c r="M1619" s="14">
        <f>DATE(YEAR(tblTransactions[[#This Row],[date]]),MONTH(tblTransactions[[#This Row],[date]]),1)</f>
        <v>45778</v>
      </c>
      <c r="N1619" t="str">
        <f>IF(WEEKDAY(tblTransactions[[#This Row],[date]],2)&gt;5,"Weekend","Weekday")</f>
        <v>Weekday</v>
      </c>
      <c r="O1619" s="13" t="str">
        <f>IF(tblTransactions[[#This Row],[discount_pct]]=0,"0%",IF(tblTransactions[[#This Row],[discount_pct]]&lt;=10%,"1–
10%",IF(tblTransactions[[#This Row],[discount_pct]]&lt;=20%,"11–20%","&gt;20%")))</f>
        <v>0%</v>
      </c>
      <c r="P1619" s="13" t="str">
        <f>_xlfn.XLOOKUP(tblTransactions[[#This Row],[tenant_id]],tblTenants[tenant_id],tblTenants[zone],"NOT FOUND")</f>
        <v>Entertainment</v>
      </c>
      <c r="Q1619" s="13" t="str">
        <f>_xlfn.XLOOKUP(tblTransactions[[#This Row],[tenant_id]],tblTenants[tenant_id],tblTenants[category],"NOT FOUND")</f>
        <v>Family Entertainment</v>
      </c>
    </row>
    <row r="1620" spans="1:17">
      <c r="A1620" t="s">
        <v>1664</v>
      </c>
      <c r="B1620" s="2">
        <v>45725</v>
      </c>
      <c r="C1620">
        <v>19</v>
      </c>
      <c r="D1620" t="s">
        <v>15</v>
      </c>
      <c r="E1620" t="s">
        <v>12</v>
      </c>
      <c r="F1620" s="7">
        <v>1332.29</v>
      </c>
      <c r="G1620" s="10">
        <v>0.1</v>
      </c>
      <c r="H1620" s="7">
        <v>1199.06</v>
      </c>
      <c r="I1620">
        <v>4</v>
      </c>
      <c r="J1620" t="s">
        <v>13</v>
      </c>
      <c r="K1620" s="13">
        <f>ROUND(tblTransactions[[#This Row],[gross_sales_inr]]*(1-tblTransactions[[#This Row],[discount_pct]]),2)</f>
        <v>1199.06</v>
      </c>
      <c r="L1620" t="str">
        <f>IF(ABS(tblTransactions[[#This Row],[net_sales_inr]]-tblTransactions[[#This Row],[Recalc_Net_Sales]])&lt;0.02,"OK","CHECK")</f>
        <v>OK</v>
      </c>
      <c r="M1620" s="14">
        <f>DATE(YEAR(tblTransactions[[#This Row],[date]]),MONTH(tblTransactions[[#This Row],[date]]),1)</f>
        <v>45717</v>
      </c>
      <c r="N1620" t="str">
        <f>IF(WEEKDAY(tblTransactions[[#This Row],[date]],2)&gt;5,"Weekend","Weekday")</f>
        <v>Weekend</v>
      </c>
      <c r="O162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20" s="13" t="str">
        <f>_xlfn.XLOOKUP(tblTransactions[[#This Row],[tenant_id]],tblTenants[tenant_id],tblTenants[zone],"NOT FOUND")</f>
        <v>Fashion Avenue</v>
      </c>
      <c r="Q1620" s="13" t="str">
        <f>_xlfn.XLOOKUP(tblTransactions[[#This Row],[tenant_id]],tblTenants[tenant_id],tblTenants[category],"NOT FOUND")</f>
        <v>Accessories</v>
      </c>
    </row>
    <row r="1621" spans="1:17">
      <c r="A1621" t="s">
        <v>1665</v>
      </c>
      <c r="B1621" s="2">
        <v>45831</v>
      </c>
      <c r="C1621">
        <v>11</v>
      </c>
      <c r="D1621" t="s">
        <v>18</v>
      </c>
      <c r="E1621" t="s">
        <v>32</v>
      </c>
      <c r="F1621" s="7">
        <v>1592.47</v>
      </c>
      <c r="G1621" s="10">
        <v>0.1</v>
      </c>
      <c r="H1621" s="7">
        <v>1433.22</v>
      </c>
      <c r="I1621">
        <v>1</v>
      </c>
      <c r="J1621" t="s">
        <v>13</v>
      </c>
      <c r="K1621" s="13">
        <f>ROUND(tblTransactions[[#This Row],[gross_sales_inr]]*(1-tblTransactions[[#This Row],[discount_pct]]),2)</f>
        <v>1433.22</v>
      </c>
      <c r="L1621" t="str">
        <f>IF(ABS(tblTransactions[[#This Row],[net_sales_inr]]-tblTransactions[[#This Row],[Recalc_Net_Sales]])&lt;0.02,"OK","CHECK")</f>
        <v>OK</v>
      </c>
      <c r="M1621" s="14">
        <f>DATE(YEAR(tblTransactions[[#This Row],[date]]),MONTH(tblTransactions[[#This Row],[date]]),1)</f>
        <v>45809</v>
      </c>
      <c r="N1621" t="str">
        <f>IF(WEEKDAY(tblTransactions[[#This Row],[date]],2)&gt;5,"Weekend","Weekday")</f>
        <v>Weekday</v>
      </c>
      <c r="O162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21" s="13" t="str">
        <f>_xlfn.XLOOKUP(tblTransactions[[#This Row],[tenant_id]],tblTenants[tenant_id],tblTenants[zone],"NOT FOUND")</f>
        <v>Beauty &amp; Wellness</v>
      </c>
      <c r="Q1621" s="13" t="str">
        <f>_xlfn.XLOOKUP(tblTransactions[[#This Row],[tenant_id]],tblTenants[tenant_id],tblTenants[category],"NOT FOUND")</f>
        <v>Beauty</v>
      </c>
    </row>
    <row r="1622" spans="1:17">
      <c r="A1622" t="s">
        <v>1666</v>
      </c>
      <c r="B1622" s="2">
        <v>45814</v>
      </c>
      <c r="C1622">
        <v>22</v>
      </c>
      <c r="D1622" t="s">
        <v>70</v>
      </c>
      <c r="E1622" t="s">
        <v>32</v>
      </c>
      <c r="F1622" s="7">
        <v>354.35</v>
      </c>
      <c r="G1622" s="10">
        <v>0</v>
      </c>
      <c r="H1622" s="7">
        <v>354.35</v>
      </c>
      <c r="I1622">
        <v>4</v>
      </c>
      <c r="J1622" t="s">
        <v>13</v>
      </c>
      <c r="K1622" s="13">
        <f>ROUND(tblTransactions[[#This Row],[gross_sales_inr]]*(1-tblTransactions[[#This Row],[discount_pct]]),2)</f>
        <v>354.35</v>
      </c>
      <c r="L1622" t="str">
        <f>IF(ABS(tblTransactions[[#This Row],[net_sales_inr]]-tblTransactions[[#This Row],[Recalc_Net_Sales]])&lt;0.02,"OK","CHECK")</f>
        <v>OK</v>
      </c>
      <c r="M1622" s="14">
        <f>DATE(YEAR(tblTransactions[[#This Row],[date]]),MONTH(tblTransactions[[#This Row],[date]]),1)</f>
        <v>45809</v>
      </c>
      <c r="N1622" t="str">
        <f>IF(WEEKDAY(tblTransactions[[#This Row],[date]],2)&gt;5,"Weekend","Weekday")</f>
        <v>Weekday</v>
      </c>
      <c r="O1622" s="13" t="str">
        <f>IF(tblTransactions[[#This Row],[discount_pct]]=0,"0%",IF(tblTransactions[[#This Row],[discount_pct]]&lt;=10%,"1–
10%",IF(tblTransactions[[#This Row],[discount_pct]]&lt;=20%,"11–20%","&gt;20%")))</f>
        <v>0%</v>
      </c>
      <c r="P1622" s="13" t="str">
        <f>_xlfn.XLOOKUP(tblTransactions[[#This Row],[tenant_id]],tblTenants[tenant_id],tblTenants[zone],"NOT FOUND")</f>
        <v>Food Court</v>
      </c>
      <c r="Q1622" s="13" t="str">
        <f>_xlfn.XLOOKUP(tblTransactions[[#This Row],[tenant_id]],tblTenants[tenant_id],tblTenants[category],"NOT FOUND")</f>
        <v>Quick Service</v>
      </c>
    </row>
    <row r="1623" spans="1:17">
      <c r="A1623" t="s">
        <v>1667</v>
      </c>
      <c r="B1623" s="2">
        <v>45704</v>
      </c>
      <c r="C1623">
        <v>21</v>
      </c>
      <c r="D1623" t="s">
        <v>204</v>
      </c>
      <c r="E1623" t="s">
        <v>12</v>
      </c>
      <c r="F1623" s="7">
        <v>937.15</v>
      </c>
      <c r="G1623" s="10">
        <v>0</v>
      </c>
      <c r="H1623" s="7">
        <v>937.15</v>
      </c>
      <c r="I1623">
        <v>1</v>
      </c>
      <c r="J1623" t="s">
        <v>13</v>
      </c>
      <c r="K1623" s="13">
        <f>ROUND(tblTransactions[[#This Row],[gross_sales_inr]]*(1-tblTransactions[[#This Row],[discount_pct]]),2)</f>
        <v>937.15</v>
      </c>
      <c r="L1623" t="str">
        <f>IF(ABS(tblTransactions[[#This Row],[net_sales_inr]]-tblTransactions[[#This Row],[Recalc_Net_Sales]])&lt;0.02,"OK","CHECK")</f>
        <v>OK</v>
      </c>
      <c r="M1623" s="14">
        <f>DATE(YEAR(tblTransactions[[#This Row],[date]]),MONTH(tblTransactions[[#This Row],[date]]),1)</f>
        <v>45689</v>
      </c>
      <c r="N1623" t="str">
        <f>IF(WEEKDAY(tblTransactions[[#This Row],[date]],2)&gt;5,"Weekend","Weekday")</f>
        <v>Weekend</v>
      </c>
      <c r="O1623" s="13" t="str">
        <f>IF(tblTransactions[[#This Row],[discount_pct]]=0,"0%",IF(tblTransactions[[#This Row],[discount_pct]]&lt;=10%,"1–
10%",IF(tblTransactions[[#This Row],[discount_pct]]&lt;=20%,"11–20%","&gt;20%")))</f>
        <v>0%</v>
      </c>
      <c r="P1623" s="13" t="str">
        <f>_xlfn.XLOOKUP(tblTransactions[[#This Row],[tenant_id]],tblTenants[tenant_id],tblTenants[zone],"NOT FOUND")</f>
        <v>Home &amp; Living</v>
      </c>
      <c r="Q1623" s="13" t="str">
        <f>_xlfn.XLOOKUP(tblTransactions[[#This Row],[tenant_id]],tblTenants[tenant_id],tblTenants[category],"NOT FOUND")</f>
        <v>Home Decor</v>
      </c>
    </row>
    <row r="1624" spans="1:17">
      <c r="A1624" t="s">
        <v>1668</v>
      </c>
      <c r="B1624" s="2">
        <v>45732</v>
      </c>
      <c r="C1624">
        <v>11</v>
      </c>
      <c r="D1624" t="s">
        <v>23</v>
      </c>
      <c r="E1624" t="s">
        <v>12</v>
      </c>
      <c r="F1624" s="7">
        <v>576.47</v>
      </c>
      <c r="G1624" s="10">
        <v>0.2</v>
      </c>
      <c r="H1624" s="7">
        <v>461.18</v>
      </c>
      <c r="I1624">
        <v>3</v>
      </c>
      <c r="J1624" t="s">
        <v>13</v>
      </c>
      <c r="K1624" s="13">
        <f>ROUND(tblTransactions[[#This Row],[gross_sales_inr]]*(1-tblTransactions[[#This Row],[discount_pct]]),2)</f>
        <v>461.18</v>
      </c>
      <c r="L1624" t="str">
        <f>IF(ABS(tblTransactions[[#This Row],[net_sales_inr]]-tblTransactions[[#This Row],[Recalc_Net_Sales]])&lt;0.02,"OK","CHECK")</f>
        <v>OK</v>
      </c>
      <c r="M1624" s="14">
        <f>DATE(YEAR(tblTransactions[[#This Row],[date]]),MONTH(tblTransactions[[#This Row],[date]]),1)</f>
        <v>45717</v>
      </c>
      <c r="N1624" t="str">
        <f>IF(WEEKDAY(tblTransactions[[#This Row],[date]],2)&gt;5,"Weekend","Weekday")</f>
        <v>Weekend</v>
      </c>
      <c r="O162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24" s="13" t="str">
        <f>_xlfn.XLOOKUP(tblTransactions[[#This Row],[tenant_id]],tblTenants[tenant_id],tblTenants[zone],"NOT FOUND")</f>
        <v>Entertainment</v>
      </c>
      <c r="Q1624" s="13" t="str">
        <f>_xlfn.XLOOKUP(tblTransactions[[#This Row],[tenant_id]],tblTenants[tenant_id],tblTenants[category],"NOT FOUND")</f>
        <v>Cinema</v>
      </c>
    </row>
    <row r="1625" spans="1:17">
      <c r="A1625" t="s">
        <v>1669</v>
      </c>
      <c r="B1625" s="2">
        <v>45761</v>
      </c>
      <c r="C1625">
        <v>21</v>
      </c>
      <c r="D1625" t="s">
        <v>27</v>
      </c>
      <c r="E1625" t="s">
        <v>12</v>
      </c>
      <c r="F1625" s="7">
        <v>473.35</v>
      </c>
      <c r="G1625" s="10">
        <v>0</v>
      </c>
      <c r="H1625" s="7">
        <v>473.35</v>
      </c>
      <c r="I1625">
        <v>1</v>
      </c>
      <c r="J1625" t="s">
        <v>13</v>
      </c>
      <c r="K1625" s="13">
        <f>ROUND(tblTransactions[[#This Row],[gross_sales_inr]]*(1-tblTransactions[[#This Row],[discount_pct]]),2)</f>
        <v>473.35</v>
      </c>
      <c r="L1625" t="str">
        <f>IF(ABS(tblTransactions[[#This Row],[net_sales_inr]]-tblTransactions[[#This Row],[Recalc_Net_Sales]])&lt;0.02,"OK","CHECK")</f>
        <v>OK</v>
      </c>
      <c r="M1625" s="14">
        <f>DATE(YEAR(tblTransactions[[#This Row],[date]]),MONTH(tblTransactions[[#This Row],[date]]),1)</f>
        <v>45748</v>
      </c>
      <c r="N1625" t="str">
        <f>IF(WEEKDAY(tblTransactions[[#This Row],[date]],2)&gt;5,"Weekend","Weekday")</f>
        <v>Weekday</v>
      </c>
      <c r="O1625" s="13" t="str">
        <f>IF(tblTransactions[[#This Row],[discount_pct]]=0,"0%",IF(tblTransactions[[#This Row],[discount_pct]]&lt;=10%,"1–
10%",IF(tblTransactions[[#This Row],[discount_pct]]&lt;=20%,"11–20%","&gt;20%")))</f>
        <v>0%</v>
      </c>
      <c r="P1625" s="13" t="str">
        <f>_xlfn.XLOOKUP(tblTransactions[[#This Row],[tenant_id]],tblTenants[tenant_id],tblTenants[zone],"NOT FOUND")</f>
        <v>Beauty &amp; Wellness</v>
      </c>
      <c r="Q1625" s="13" t="str">
        <f>_xlfn.XLOOKUP(tblTransactions[[#This Row],[tenant_id]],tblTenants[tenant_id],tblTenants[category],"NOT FOUND")</f>
        <v>Wellness</v>
      </c>
    </row>
    <row r="1626" spans="1:17">
      <c r="A1626" t="s">
        <v>1670</v>
      </c>
      <c r="B1626" s="2">
        <v>45744</v>
      </c>
      <c r="C1626">
        <v>12</v>
      </c>
      <c r="D1626" t="s">
        <v>20</v>
      </c>
      <c r="E1626" t="s">
        <v>12</v>
      </c>
      <c r="F1626" s="7">
        <v>248.91</v>
      </c>
      <c r="G1626" s="10">
        <v>0.05</v>
      </c>
      <c r="H1626" s="7">
        <v>236.46</v>
      </c>
      <c r="I1626">
        <v>1</v>
      </c>
      <c r="J1626" t="s">
        <v>13</v>
      </c>
      <c r="K1626" s="13">
        <f>ROUND(tblTransactions[[#This Row],[gross_sales_inr]]*(1-tblTransactions[[#This Row],[discount_pct]]),2)</f>
        <v>236.46</v>
      </c>
      <c r="L1626" t="str">
        <f>IF(ABS(tblTransactions[[#This Row],[net_sales_inr]]-tblTransactions[[#This Row],[Recalc_Net_Sales]])&lt;0.02,"OK","CHECK")</f>
        <v>OK</v>
      </c>
      <c r="M1626" s="14">
        <f>DATE(YEAR(tblTransactions[[#This Row],[date]]),MONTH(tblTransactions[[#This Row],[date]]),1)</f>
        <v>45717</v>
      </c>
      <c r="N1626" t="str">
        <f>IF(WEEKDAY(tblTransactions[[#This Row],[date]],2)&gt;5,"Weekend","Weekday")</f>
        <v>Weekday</v>
      </c>
      <c r="O162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26" s="13" t="str">
        <f>_xlfn.XLOOKUP(tblTransactions[[#This Row],[tenant_id]],tblTenants[tenant_id],tblTenants[zone],"NOT FOUND")</f>
        <v>Fashion Avenue</v>
      </c>
      <c r="Q1626" s="13" t="str">
        <f>_xlfn.XLOOKUP(tblTransactions[[#This Row],[tenant_id]],tblTenants[tenant_id],tblTenants[category],"NOT FOUND")</f>
        <v>Accessories</v>
      </c>
    </row>
    <row r="1627" spans="1:17">
      <c r="A1627" t="s">
        <v>1671</v>
      </c>
      <c r="B1627" s="2">
        <v>45716</v>
      </c>
      <c r="C1627">
        <v>17</v>
      </c>
      <c r="D1627" t="s">
        <v>70</v>
      </c>
      <c r="E1627" t="s">
        <v>32</v>
      </c>
      <c r="F1627" s="7">
        <v>1919.54</v>
      </c>
      <c r="G1627" s="10">
        <v>0</v>
      </c>
      <c r="H1627" s="7">
        <v>1919.54</v>
      </c>
      <c r="I1627">
        <v>1</v>
      </c>
      <c r="J1627" t="s">
        <v>13</v>
      </c>
      <c r="K1627" s="13">
        <f>ROUND(tblTransactions[[#This Row],[gross_sales_inr]]*(1-tblTransactions[[#This Row],[discount_pct]]),2)</f>
        <v>1919.54</v>
      </c>
      <c r="L1627" t="str">
        <f>IF(ABS(tblTransactions[[#This Row],[net_sales_inr]]-tblTransactions[[#This Row],[Recalc_Net_Sales]])&lt;0.02,"OK","CHECK")</f>
        <v>OK</v>
      </c>
      <c r="M1627" s="14">
        <f>DATE(YEAR(tblTransactions[[#This Row],[date]]),MONTH(tblTransactions[[#This Row],[date]]),1)</f>
        <v>45689</v>
      </c>
      <c r="N1627" t="str">
        <f>IF(WEEKDAY(tblTransactions[[#This Row],[date]],2)&gt;5,"Weekend","Weekday")</f>
        <v>Weekday</v>
      </c>
      <c r="O1627" s="13" t="str">
        <f>IF(tblTransactions[[#This Row],[discount_pct]]=0,"0%",IF(tblTransactions[[#This Row],[discount_pct]]&lt;=10%,"1–
10%",IF(tblTransactions[[#This Row],[discount_pct]]&lt;=20%,"11–20%","&gt;20%")))</f>
        <v>0%</v>
      </c>
      <c r="P1627" s="13" t="str">
        <f>_xlfn.XLOOKUP(tblTransactions[[#This Row],[tenant_id]],tblTenants[tenant_id],tblTenants[zone],"NOT FOUND")</f>
        <v>Food Court</v>
      </c>
      <c r="Q1627" s="13" t="str">
        <f>_xlfn.XLOOKUP(tblTransactions[[#This Row],[tenant_id]],tblTenants[tenant_id],tblTenants[category],"NOT FOUND")</f>
        <v>Quick Service</v>
      </c>
    </row>
    <row r="1628" spans="1:17">
      <c r="A1628" t="s">
        <v>1672</v>
      </c>
      <c r="B1628" s="2">
        <v>45737</v>
      </c>
      <c r="C1628">
        <v>21</v>
      </c>
      <c r="D1628" t="s">
        <v>41</v>
      </c>
      <c r="E1628" t="s">
        <v>32</v>
      </c>
      <c r="F1628" s="7">
        <v>1002.56</v>
      </c>
      <c r="G1628" s="10">
        <v>0</v>
      </c>
      <c r="H1628" s="7">
        <v>1002.56</v>
      </c>
      <c r="I1628">
        <v>2</v>
      </c>
      <c r="J1628" t="s">
        <v>13</v>
      </c>
      <c r="K1628" s="13">
        <f>ROUND(tblTransactions[[#This Row],[gross_sales_inr]]*(1-tblTransactions[[#This Row],[discount_pct]]),2)</f>
        <v>1002.56</v>
      </c>
      <c r="L1628" t="str">
        <f>IF(ABS(tblTransactions[[#This Row],[net_sales_inr]]-tblTransactions[[#This Row],[Recalc_Net_Sales]])&lt;0.02,"OK","CHECK")</f>
        <v>OK</v>
      </c>
      <c r="M1628" s="14">
        <f>DATE(YEAR(tblTransactions[[#This Row],[date]]),MONTH(tblTransactions[[#This Row],[date]]),1)</f>
        <v>45717</v>
      </c>
      <c r="N1628" t="str">
        <f>IF(WEEKDAY(tblTransactions[[#This Row],[date]],2)&gt;5,"Weekend","Weekday")</f>
        <v>Weekday</v>
      </c>
      <c r="O1628" s="13" t="str">
        <f>IF(tblTransactions[[#This Row],[discount_pct]]=0,"0%",IF(tblTransactions[[#This Row],[discount_pct]]&lt;=10%,"1–
10%",IF(tblTransactions[[#This Row],[discount_pct]]&lt;=20%,"11–20%","&gt;20%")))</f>
        <v>0%</v>
      </c>
      <c r="P1628" s="13" t="str">
        <f>_xlfn.XLOOKUP(tblTransactions[[#This Row],[tenant_id]],tblTenants[tenant_id],tblTenants[zone],"NOT FOUND")</f>
        <v>Fashion Avenue</v>
      </c>
      <c r="Q1628" s="13" t="str">
        <f>_xlfn.XLOOKUP(tblTransactions[[#This Row],[tenant_id]],tblTenants[tenant_id],tblTenants[category],"NOT FOUND")</f>
        <v>Clothing</v>
      </c>
    </row>
    <row r="1629" spans="1:17">
      <c r="A1629" t="s">
        <v>1673</v>
      </c>
      <c r="B1629" s="2">
        <v>45690</v>
      </c>
      <c r="C1629">
        <v>14</v>
      </c>
      <c r="D1629" t="s">
        <v>15</v>
      </c>
      <c r="E1629" t="s">
        <v>32</v>
      </c>
      <c r="F1629" s="7">
        <v>2442.44</v>
      </c>
      <c r="G1629" s="10">
        <v>0</v>
      </c>
      <c r="H1629" s="7">
        <v>2442.44</v>
      </c>
      <c r="I1629">
        <v>4</v>
      </c>
      <c r="J1629" t="s">
        <v>13</v>
      </c>
      <c r="K1629" s="13">
        <f>ROUND(tblTransactions[[#This Row],[gross_sales_inr]]*(1-tblTransactions[[#This Row],[discount_pct]]),2)</f>
        <v>2442.44</v>
      </c>
      <c r="L1629" t="str">
        <f>IF(ABS(tblTransactions[[#This Row],[net_sales_inr]]-tblTransactions[[#This Row],[Recalc_Net_Sales]])&lt;0.02,"OK","CHECK")</f>
        <v>OK</v>
      </c>
      <c r="M1629" s="14">
        <f>DATE(YEAR(tblTransactions[[#This Row],[date]]),MONTH(tblTransactions[[#This Row],[date]]),1)</f>
        <v>45689</v>
      </c>
      <c r="N1629" t="str">
        <f>IF(WEEKDAY(tblTransactions[[#This Row],[date]],2)&gt;5,"Weekend","Weekday")</f>
        <v>Weekend</v>
      </c>
      <c r="O1629" s="13" t="str">
        <f>IF(tblTransactions[[#This Row],[discount_pct]]=0,"0%",IF(tblTransactions[[#This Row],[discount_pct]]&lt;=10%,"1–
10%",IF(tblTransactions[[#This Row],[discount_pct]]&lt;=20%,"11–20%","&gt;20%")))</f>
        <v>0%</v>
      </c>
      <c r="P1629" s="13" t="str">
        <f>_xlfn.XLOOKUP(tblTransactions[[#This Row],[tenant_id]],tblTenants[tenant_id],tblTenants[zone],"NOT FOUND")</f>
        <v>Fashion Avenue</v>
      </c>
      <c r="Q1629" s="13" t="str">
        <f>_xlfn.XLOOKUP(tblTransactions[[#This Row],[tenant_id]],tblTenants[tenant_id],tblTenants[category],"NOT FOUND")</f>
        <v>Accessories</v>
      </c>
    </row>
    <row r="1630" spans="1:17">
      <c r="A1630" t="s">
        <v>1674</v>
      </c>
      <c r="B1630" s="2">
        <v>45692</v>
      </c>
      <c r="C1630">
        <v>16</v>
      </c>
      <c r="D1630" t="s">
        <v>27</v>
      </c>
      <c r="E1630" t="s">
        <v>12</v>
      </c>
      <c r="F1630" s="7">
        <v>534.80999999999995</v>
      </c>
      <c r="G1630" s="10">
        <v>0</v>
      </c>
      <c r="H1630" s="7">
        <v>534.80999999999995</v>
      </c>
      <c r="I1630">
        <v>3</v>
      </c>
      <c r="J1630" t="s">
        <v>13</v>
      </c>
      <c r="K1630" s="13">
        <f>ROUND(tblTransactions[[#This Row],[gross_sales_inr]]*(1-tblTransactions[[#This Row],[discount_pct]]),2)</f>
        <v>534.80999999999995</v>
      </c>
      <c r="L1630" t="str">
        <f>IF(ABS(tblTransactions[[#This Row],[net_sales_inr]]-tblTransactions[[#This Row],[Recalc_Net_Sales]])&lt;0.02,"OK","CHECK")</f>
        <v>OK</v>
      </c>
      <c r="M1630" s="14">
        <f>DATE(YEAR(tblTransactions[[#This Row],[date]]),MONTH(tblTransactions[[#This Row],[date]]),1)</f>
        <v>45689</v>
      </c>
      <c r="N1630" t="str">
        <f>IF(WEEKDAY(tblTransactions[[#This Row],[date]],2)&gt;5,"Weekend","Weekday")</f>
        <v>Weekday</v>
      </c>
      <c r="O1630" s="13" t="str">
        <f>IF(tblTransactions[[#This Row],[discount_pct]]=0,"0%",IF(tblTransactions[[#This Row],[discount_pct]]&lt;=10%,"1–
10%",IF(tblTransactions[[#This Row],[discount_pct]]&lt;=20%,"11–20%","&gt;20%")))</f>
        <v>0%</v>
      </c>
      <c r="P1630" s="13" t="str">
        <f>_xlfn.XLOOKUP(tblTransactions[[#This Row],[tenant_id]],tblTenants[tenant_id],tblTenants[zone],"NOT FOUND")</f>
        <v>Beauty &amp; Wellness</v>
      </c>
      <c r="Q1630" s="13" t="str">
        <f>_xlfn.XLOOKUP(tblTransactions[[#This Row],[tenant_id]],tblTenants[tenant_id],tblTenants[category],"NOT FOUND")</f>
        <v>Wellness</v>
      </c>
    </row>
    <row r="1631" spans="1:17">
      <c r="A1631" t="s">
        <v>1675</v>
      </c>
      <c r="B1631" s="2">
        <v>45756</v>
      </c>
      <c r="C1631">
        <v>12</v>
      </c>
      <c r="D1631" t="s">
        <v>43</v>
      </c>
      <c r="E1631" t="s">
        <v>32</v>
      </c>
      <c r="F1631" s="7">
        <v>3219.78</v>
      </c>
      <c r="G1631" s="10">
        <v>0</v>
      </c>
      <c r="H1631" s="7">
        <v>3219.78</v>
      </c>
      <c r="I1631">
        <v>2</v>
      </c>
      <c r="J1631" t="s">
        <v>13</v>
      </c>
      <c r="K1631" s="13">
        <f>ROUND(tblTransactions[[#This Row],[gross_sales_inr]]*(1-tblTransactions[[#This Row],[discount_pct]]),2)</f>
        <v>3219.78</v>
      </c>
      <c r="L1631" t="str">
        <f>IF(ABS(tblTransactions[[#This Row],[net_sales_inr]]-tblTransactions[[#This Row],[Recalc_Net_Sales]])&lt;0.02,"OK","CHECK")</f>
        <v>OK</v>
      </c>
      <c r="M1631" s="14">
        <f>DATE(YEAR(tblTransactions[[#This Row],[date]]),MONTH(tblTransactions[[#This Row],[date]]),1)</f>
        <v>45748</v>
      </c>
      <c r="N1631" t="str">
        <f>IF(WEEKDAY(tblTransactions[[#This Row],[date]],2)&gt;5,"Weekend","Weekday")</f>
        <v>Weekday</v>
      </c>
      <c r="O1631" s="13" t="str">
        <f>IF(tblTransactions[[#This Row],[discount_pct]]=0,"0%",IF(tblTransactions[[#This Row],[discount_pct]]&lt;=10%,"1–
10%",IF(tblTransactions[[#This Row],[discount_pct]]&lt;=20%,"11–20%","&gt;20%")))</f>
        <v>0%</v>
      </c>
      <c r="P1631" s="13" t="str">
        <f>_xlfn.XLOOKUP(tblTransactions[[#This Row],[tenant_id]],tblTenants[tenant_id],tblTenants[zone],"NOT FOUND")</f>
        <v>Food Court</v>
      </c>
      <c r="Q1631" s="13" t="str">
        <f>_xlfn.XLOOKUP(tblTransactions[[#This Row],[tenant_id]],tblTenants[tenant_id],tblTenants[category],"NOT FOUND")</f>
        <v>Casual Dining</v>
      </c>
    </row>
    <row r="1632" spans="1:17">
      <c r="A1632" t="s">
        <v>1676</v>
      </c>
      <c r="B1632" s="2">
        <v>45761</v>
      </c>
      <c r="C1632">
        <v>22</v>
      </c>
      <c r="D1632" t="s">
        <v>20</v>
      </c>
      <c r="E1632" t="s">
        <v>12</v>
      </c>
      <c r="F1632" s="7">
        <v>540.6</v>
      </c>
      <c r="G1632" s="10">
        <v>0</v>
      </c>
      <c r="H1632" s="7">
        <v>540.6</v>
      </c>
      <c r="I1632">
        <v>3</v>
      </c>
      <c r="J1632" t="s">
        <v>16</v>
      </c>
      <c r="K1632" s="13">
        <f>ROUND(tblTransactions[[#This Row],[gross_sales_inr]]*(1-tblTransactions[[#This Row],[discount_pct]]),2)</f>
        <v>540.6</v>
      </c>
      <c r="L1632" t="str">
        <f>IF(ABS(tblTransactions[[#This Row],[net_sales_inr]]-tblTransactions[[#This Row],[Recalc_Net_Sales]])&lt;0.02,"OK","CHECK")</f>
        <v>OK</v>
      </c>
      <c r="M1632" s="14">
        <f>DATE(YEAR(tblTransactions[[#This Row],[date]]),MONTH(tblTransactions[[#This Row],[date]]),1)</f>
        <v>45748</v>
      </c>
      <c r="N1632" t="str">
        <f>IF(WEEKDAY(tblTransactions[[#This Row],[date]],2)&gt;5,"Weekend","Weekday")</f>
        <v>Weekday</v>
      </c>
      <c r="O1632" s="13" t="str">
        <f>IF(tblTransactions[[#This Row],[discount_pct]]=0,"0%",IF(tblTransactions[[#This Row],[discount_pct]]&lt;=10%,"1–
10%",IF(tblTransactions[[#This Row],[discount_pct]]&lt;=20%,"11–20%","&gt;20%")))</f>
        <v>0%</v>
      </c>
      <c r="P1632" s="13" t="str">
        <f>_xlfn.XLOOKUP(tblTransactions[[#This Row],[tenant_id]],tblTenants[tenant_id],tblTenants[zone],"NOT FOUND")</f>
        <v>Fashion Avenue</v>
      </c>
      <c r="Q1632" s="13" t="str">
        <f>_xlfn.XLOOKUP(tblTransactions[[#This Row],[tenant_id]],tblTenants[tenant_id],tblTenants[category],"NOT FOUND")</f>
        <v>Accessories</v>
      </c>
    </row>
    <row r="1633" spans="1:17">
      <c r="A1633" t="s">
        <v>1677</v>
      </c>
      <c r="B1633" s="2">
        <v>45672</v>
      </c>
      <c r="C1633">
        <v>13</v>
      </c>
      <c r="D1633" t="s">
        <v>20</v>
      </c>
      <c r="E1633" t="s">
        <v>51</v>
      </c>
      <c r="F1633" s="7">
        <v>2255.3000000000002</v>
      </c>
      <c r="G1633" s="10">
        <v>0.15</v>
      </c>
      <c r="H1633" s="7">
        <v>1917.01</v>
      </c>
      <c r="I1633">
        <v>2</v>
      </c>
      <c r="J1633" t="s">
        <v>16</v>
      </c>
      <c r="K1633" s="13">
        <f>ROUND(tblTransactions[[#This Row],[gross_sales_inr]]*(1-tblTransactions[[#This Row],[discount_pct]]),2)</f>
        <v>1917.01</v>
      </c>
      <c r="L1633" t="str">
        <f>IF(ABS(tblTransactions[[#This Row],[net_sales_inr]]-tblTransactions[[#This Row],[Recalc_Net_Sales]])&lt;0.02,"OK","CHECK")</f>
        <v>OK</v>
      </c>
      <c r="M1633" s="14">
        <f>DATE(YEAR(tblTransactions[[#This Row],[date]]),MONTH(tblTransactions[[#This Row],[date]]),1)</f>
        <v>45658</v>
      </c>
      <c r="N1633" t="str">
        <f>IF(WEEKDAY(tblTransactions[[#This Row],[date]],2)&gt;5,"Weekend","Weekday")</f>
        <v>Weekday</v>
      </c>
      <c r="O163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33" s="13" t="str">
        <f>_xlfn.XLOOKUP(tblTransactions[[#This Row],[tenant_id]],tblTenants[tenant_id],tblTenants[zone],"NOT FOUND")</f>
        <v>Fashion Avenue</v>
      </c>
      <c r="Q1633" s="13" t="str">
        <f>_xlfn.XLOOKUP(tblTransactions[[#This Row],[tenant_id]],tblTenants[tenant_id],tblTenants[category],"NOT FOUND")</f>
        <v>Accessories</v>
      </c>
    </row>
    <row r="1634" spans="1:17">
      <c r="A1634" t="s">
        <v>1678</v>
      </c>
      <c r="B1634" s="2">
        <v>45666</v>
      </c>
      <c r="C1634">
        <v>22</v>
      </c>
      <c r="D1634" t="s">
        <v>104</v>
      </c>
      <c r="E1634" t="s">
        <v>32</v>
      </c>
      <c r="F1634" s="7">
        <v>518.04</v>
      </c>
      <c r="G1634" s="10">
        <v>0.3</v>
      </c>
      <c r="H1634" s="7">
        <v>362.63</v>
      </c>
      <c r="I1634">
        <v>5</v>
      </c>
      <c r="J1634" t="s">
        <v>13</v>
      </c>
      <c r="K1634" s="13">
        <f>ROUND(tblTransactions[[#This Row],[gross_sales_inr]]*(1-tblTransactions[[#This Row],[discount_pct]]),2)</f>
        <v>362.63</v>
      </c>
      <c r="L1634" t="str">
        <f>IF(ABS(tblTransactions[[#This Row],[net_sales_inr]]-tblTransactions[[#This Row],[Recalc_Net_Sales]])&lt;0.02,"OK","CHECK")</f>
        <v>OK</v>
      </c>
      <c r="M1634" s="14">
        <f>DATE(YEAR(tblTransactions[[#This Row],[date]]),MONTH(tblTransactions[[#This Row],[date]]),1)</f>
        <v>45658</v>
      </c>
      <c r="N1634" t="str">
        <f>IF(WEEKDAY(tblTransactions[[#This Row],[date]],2)&gt;5,"Weekend","Weekday")</f>
        <v>Weekday</v>
      </c>
      <c r="O163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634" s="13" t="str">
        <f>_xlfn.XLOOKUP(tblTransactions[[#This Row],[tenant_id]],tblTenants[tenant_id],tblTenants[zone],"NOT FOUND")</f>
        <v>Entertainment</v>
      </c>
      <c r="Q1634" s="13" t="str">
        <f>_xlfn.XLOOKUP(tblTransactions[[#This Row],[tenant_id]],tblTenants[tenant_id],tblTenants[category],"NOT FOUND")</f>
        <v>Family Entertainment</v>
      </c>
    </row>
    <row r="1635" spans="1:17">
      <c r="A1635" t="s">
        <v>1679</v>
      </c>
      <c r="B1635" s="2">
        <v>45741</v>
      </c>
      <c r="C1635">
        <v>13</v>
      </c>
      <c r="D1635" t="s">
        <v>204</v>
      </c>
      <c r="E1635" t="s">
        <v>12</v>
      </c>
      <c r="F1635" s="7">
        <v>239</v>
      </c>
      <c r="G1635" s="10">
        <v>0</v>
      </c>
      <c r="H1635" s="7">
        <v>239</v>
      </c>
      <c r="I1635">
        <v>6</v>
      </c>
      <c r="J1635" t="s">
        <v>16</v>
      </c>
      <c r="K1635" s="13">
        <f>ROUND(tblTransactions[[#This Row],[gross_sales_inr]]*(1-tblTransactions[[#This Row],[discount_pct]]),2)</f>
        <v>239</v>
      </c>
      <c r="L1635" t="str">
        <f>IF(ABS(tblTransactions[[#This Row],[net_sales_inr]]-tblTransactions[[#This Row],[Recalc_Net_Sales]])&lt;0.02,"OK","CHECK")</f>
        <v>OK</v>
      </c>
      <c r="M1635" s="14">
        <f>DATE(YEAR(tblTransactions[[#This Row],[date]]),MONTH(tblTransactions[[#This Row],[date]]),1)</f>
        <v>45717</v>
      </c>
      <c r="N1635" t="str">
        <f>IF(WEEKDAY(tblTransactions[[#This Row],[date]],2)&gt;5,"Weekend","Weekday")</f>
        <v>Weekday</v>
      </c>
      <c r="O1635" s="13" t="str">
        <f>IF(tblTransactions[[#This Row],[discount_pct]]=0,"0%",IF(tblTransactions[[#This Row],[discount_pct]]&lt;=10%,"1–
10%",IF(tblTransactions[[#This Row],[discount_pct]]&lt;=20%,"11–20%","&gt;20%")))</f>
        <v>0%</v>
      </c>
      <c r="P1635" s="13" t="str">
        <f>_xlfn.XLOOKUP(tblTransactions[[#This Row],[tenant_id]],tblTenants[tenant_id],tblTenants[zone],"NOT FOUND")</f>
        <v>Home &amp; Living</v>
      </c>
      <c r="Q1635" s="13" t="str">
        <f>_xlfn.XLOOKUP(tblTransactions[[#This Row],[tenant_id]],tblTenants[tenant_id],tblTenants[category],"NOT FOUND")</f>
        <v>Home Decor</v>
      </c>
    </row>
    <row r="1636" spans="1:17">
      <c r="A1636" t="s">
        <v>1680</v>
      </c>
      <c r="B1636" s="2">
        <v>45670</v>
      </c>
      <c r="C1636">
        <v>11</v>
      </c>
      <c r="D1636" t="s">
        <v>122</v>
      </c>
      <c r="E1636" t="s">
        <v>32</v>
      </c>
      <c r="F1636" s="7">
        <v>616.20000000000005</v>
      </c>
      <c r="G1636" s="10">
        <v>0</v>
      </c>
      <c r="H1636" s="7">
        <v>616.20000000000005</v>
      </c>
      <c r="I1636">
        <v>3</v>
      </c>
      <c r="J1636" t="s">
        <v>16</v>
      </c>
      <c r="K1636" s="13">
        <f>ROUND(tblTransactions[[#This Row],[gross_sales_inr]]*(1-tblTransactions[[#This Row],[discount_pct]]),2)</f>
        <v>616.20000000000005</v>
      </c>
      <c r="L1636" t="str">
        <f>IF(ABS(tblTransactions[[#This Row],[net_sales_inr]]-tblTransactions[[#This Row],[Recalc_Net_Sales]])&lt;0.02,"OK","CHECK")</f>
        <v>OK</v>
      </c>
      <c r="M1636" s="14">
        <f>DATE(YEAR(tblTransactions[[#This Row],[date]]),MONTH(tblTransactions[[#This Row],[date]]),1)</f>
        <v>45658</v>
      </c>
      <c r="N1636" t="str">
        <f>IF(WEEKDAY(tblTransactions[[#This Row],[date]],2)&gt;5,"Weekend","Weekday")</f>
        <v>Weekday</v>
      </c>
      <c r="O1636" s="13" t="str">
        <f>IF(tblTransactions[[#This Row],[discount_pct]]=0,"0%",IF(tblTransactions[[#This Row],[discount_pct]]&lt;=10%,"1–
10%",IF(tblTransactions[[#This Row],[discount_pct]]&lt;=20%,"11–20%","&gt;20%")))</f>
        <v>0%</v>
      </c>
      <c r="P1636" s="13" t="str">
        <f>_xlfn.XLOOKUP(tblTransactions[[#This Row],[tenant_id]],tblTenants[tenant_id],tblTenants[zone],"NOT FOUND")</f>
        <v>Beauty &amp; Wellness</v>
      </c>
      <c r="Q1636" s="13" t="str">
        <f>_xlfn.XLOOKUP(tblTransactions[[#This Row],[tenant_id]],tblTenants[tenant_id],tblTenants[category],"NOT FOUND")</f>
        <v>Wellness</v>
      </c>
    </row>
    <row r="1637" spans="1:17">
      <c r="A1637" t="s">
        <v>1681</v>
      </c>
      <c r="B1637" s="2">
        <v>45766</v>
      </c>
      <c r="C1637">
        <v>10</v>
      </c>
      <c r="D1637" t="s">
        <v>104</v>
      </c>
      <c r="E1637" t="s">
        <v>32</v>
      </c>
      <c r="F1637" s="7">
        <v>1977.43</v>
      </c>
      <c r="G1637" s="10">
        <v>0.05</v>
      </c>
      <c r="H1637" s="7">
        <v>1878.56</v>
      </c>
      <c r="I1637">
        <v>3</v>
      </c>
      <c r="J1637" t="s">
        <v>13</v>
      </c>
      <c r="K1637" s="13">
        <f>ROUND(tblTransactions[[#This Row],[gross_sales_inr]]*(1-tblTransactions[[#This Row],[discount_pct]]),2)</f>
        <v>1878.56</v>
      </c>
      <c r="L1637" t="str">
        <f>IF(ABS(tblTransactions[[#This Row],[net_sales_inr]]-tblTransactions[[#This Row],[Recalc_Net_Sales]])&lt;0.02,"OK","CHECK")</f>
        <v>OK</v>
      </c>
      <c r="M1637" s="14">
        <f>DATE(YEAR(tblTransactions[[#This Row],[date]]),MONTH(tblTransactions[[#This Row],[date]]),1)</f>
        <v>45748</v>
      </c>
      <c r="N1637" t="str">
        <f>IF(WEEKDAY(tblTransactions[[#This Row],[date]],2)&gt;5,"Weekend","Weekday")</f>
        <v>Weekend</v>
      </c>
      <c r="O163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37" s="13" t="str">
        <f>_xlfn.XLOOKUP(tblTransactions[[#This Row],[tenant_id]],tblTenants[tenant_id],tblTenants[zone],"NOT FOUND")</f>
        <v>Entertainment</v>
      </c>
      <c r="Q1637" s="13" t="str">
        <f>_xlfn.XLOOKUP(tblTransactions[[#This Row],[tenant_id]],tblTenants[tenant_id],tblTenants[category],"NOT FOUND")</f>
        <v>Family Entertainment</v>
      </c>
    </row>
    <row r="1638" spans="1:17">
      <c r="A1638" t="s">
        <v>1682</v>
      </c>
      <c r="B1638" s="2">
        <v>45716</v>
      </c>
      <c r="C1638">
        <v>19</v>
      </c>
      <c r="D1638" t="s">
        <v>45</v>
      </c>
      <c r="E1638" t="s">
        <v>51</v>
      </c>
      <c r="F1638" s="7">
        <v>2679.85</v>
      </c>
      <c r="G1638" s="10">
        <v>0.1</v>
      </c>
      <c r="H1638" s="7">
        <v>2411.86</v>
      </c>
      <c r="I1638">
        <v>2</v>
      </c>
      <c r="J1638" t="s">
        <v>13</v>
      </c>
      <c r="K1638" s="13">
        <f>ROUND(tblTransactions[[#This Row],[gross_sales_inr]]*(1-tblTransactions[[#This Row],[discount_pct]]),2)</f>
        <v>2411.87</v>
      </c>
      <c r="L1638" t="str">
        <f>IF(ABS(tblTransactions[[#This Row],[net_sales_inr]]-tblTransactions[[#This Row],[Recalc_Net_Sales]])&lt;0.02,"OK","CHECK")</f>
        <v>OK</v>
      </c>
      <c r="M1638" s="14">
        <f>DATE(YEAR(tblTransactions[[#This Row],[date]]),MONTH(tblTransactions[[#This Row],[date]]),1)</f>
        <v>45689</v>
      </c>
      <c r="N1638" t="str">
        <f>IF(WEEKDAY(tblTransactions[[#This Row],[date]],2)&gt;5,"Weekend","Weekday")</f>
        <v>Weekday</v>
      </c>
      <c r="O163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38" s="13" t="str">
        <f>_xlfn.XLOOKUP(tblTransactions[[#This Row],[tenant_id]],tblTenants[tenant_id],tblTenants[zone],"NOT FOUND")</f>
        <v>Home &amp; Living</v>
      </c>
      <c r="Q1638" s="13" t="str">
        <f>_xlfn.XLOOKUP(tblTransactions[[#This Row],[tenant_id]],tblTenants[tenant_id],tblTenants[category],"NOT FOUND")</f>
        <v>Home Decor</v>
      </c>
    </row>
    <row r="1639" spans="1:17">
      <c r="A1639" t="s">
        <v>1683</v>
      </c>
      <c r="B1639" s="2">
        <v>45792</v>
      </c>
      <c r="C1639">
        <v>15</v>
      </c>
      <c r="D1639" t="s">
        <v>87</v>
      </c>
      <c r="E1639" t="s">
        <v>21</v>
      </c>
      <c r="F1639" s="7">
        <v>2089.2199999999998</v>
      </c>
      <c r="G1639" s="10">
        <v>0.2</v>
      </c>
      <c r="H1639" s="7">
        <v>1671.38</v>
      </c>
      <c r="I1639">
        <v>1</v>
      </c>
      <c r="J1639" t="s">
        <v>16</v>
      </c>
      <c r="K1639" s="13">
        <f>ROUND(tblTransactions[[#This Row],[gross_sales_inr]]*(1-tblTransactions[[#This Row],[discount_pct]]),2)</f>
        <v>1671.38</v>
      </c>
      <c r="L1639" t="str">
        <f>IF(ABS(tblTransactions[[#This Row],[net_sales_inr]]-tblTransactions[[#This Row],[Recalc_Net_Sales]])&lt;0.02,"OK","CHECK")</f>
        <v>OK</v>
      </c>
      <c r="M1639" s="14">
        <f>DATE(YEAR(tblTransactions[[#This Row],[date]]),MONTH(tblTransactions[[#This Row],[date]]),1)</f>
        <v>45778</v>
      </c>
      <c r="N1639" t="str">
        <f>IF(WEEKDAY(tblTransactions[[#This Row],[date]],2)&gt;5,"Weekend","Weekday")</f>
        <v>Weekday</v>
      </c>
      <c r="O163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39" s="13" t="str">
        <f>_xlfn.XLOOKUP(tblTransactions[[#This Row],[tenant_id]],tblTenants[tenant_id],tblTenants[zone],"NOT FOUND")</f>
        <v>Fashion Avenue</v>
      </c>
      <c r="Q1639" s="13" t="str">
        <f>_xlfn.XLOOKUP(tblTransactions[[#This Row],[tenant_id]],tblTenants[tenant_id],tblTenants[category],"NOT FOUND")</f>
        <v>Footwear</v>
      </c>
    </row>
    <row r="1640" spans="1:17">
      <c r="A1640" t="s">
        <v>1684</v>
      </c>
      <c r="B1640" s="2">
        <v>45825</v>
      </c>
      <c r="C1640">
        <v>12</v>
      </c>
      <c r="D1640" t="s">
        <v>63</v>
      </c>
      <c r="E1640" t="s">
        <v>21</v>
      </c>
      <c r="F1640" s="7">
        <v>920.46</v>
      </c>
      <c r="G1640" s="10">
        <v>0.2</v>
      </c>
      <c r="H1640" s="7">
        <v>736.37</v>
      </c>
      <c r="I1640">
        <v>3</v>
      </c>
      <c r="J1640" t="s">
        <v>16</v>
      </c>
      <c r="K1640" s="13">
        <f>ROUND(tblTransactions[[#This Row],[gross_sales_inr]]*(1-tblTransactions[[#This Row],[discount_pct]]),2)</f>
        <v>736.37</v>
      </c>
      <c r="L1640" t="str">
        <f>IF(ABS(tblTransactions[[#This Row],[net_sales_inr]]-tblTransactions[[#This Row],[Recalc_Net_Sales]])&lt;0.02,"OK","CHECK")</f>
        <v>OK</v>
      </c>
      <c r="M1640" s="14">
        <f>DATE(YEAR(tblTransactions[[#This Row],[date]]),MONTH(tblTransactions[[#This Row],[date]]),1)</f>
        <v>45809</v>
      </c>
      <c r="N1640" t="str">
        <f>IF(WEEKDAY(tblTransactions[[#This Row],[date]],2)&gt;5,"Weekend","Weekday")</f>
        <v>Weekday</v>
      </c>
      <c r="O164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40" s="13" t="str">
        <f>_xlfn.XLOOKUP(tblTransactions[[#This Row],[tenant_id]],tblTenants[tenant_id],tblTenants[zone],"NOT FOUND")</f>
        <v>Entertainment</v>
      </c>
      <c r="Q1640" s="13" t="str">
        <f>_xlfn.XLOOKUP(tblTransactions[[#This Row],[tenant_id]],tblTenants[tenant_id],tblTenants[category],"NOT FOUND")</f>
        <v>Family Entertainment</v>
      </c>
    </row>
    <row r="1641" spans="1:17">
      <c r="A1641" t="s">
        <v>1685</v>
      </c>
      <c r="B1641" s="2">
        <v>45714</v>
      </c>
      <c r="C1641">
        <v>11</v>
      </c>
      <c r="D1641" t="s">
        <v>85</v>
      </c>
      <c r="E1641" t="s">
        <v>32</v>
      </c>
      <c r="F1641" s="7">
        <v>1438.68</v>
      </c>
      <c r="G1641" s="10">
        <v>0</v>
      </c>
      <c r="H1641" s="7">
        <v>1438.68</v>
      </c>
      <c r="I1641">
        <v>2</v>
      </c>
      <c r="J1641" t="s">
        <v>13</v>
      </c>
      <c r="K1641" s="13">
        <f>ROUND(tblTransactions[[#This Row],[gross_sales_inr]]*(1-tblTransactions[[#This Row],[discount_pct]]),2)</f>
        <v>1438.68</v>
      </c>
      <c r="L1641" t="str">
        <f>IF(ABS(tblTransactions[[#This Row],[net_sales_inr]]-tblTransactions[[#This Row],[Recalc_Net_Sales]])&lt;0.02,"OK","CHECK")</f>
        <v>OK</v>
      </c>
      <c r="M1641" s="14">
        <f>DATE(YEAR(tblTransactions[[#This Row],[date]]),MONTH(tblTransactions[[#This Row],[date]]),1)</f>
        <v>45689</v>
      </c>
      <c r="N1641" t="str">
        <f>IF(WEEKDAY(tblTransactions[[#This Row],[date]],2)&gt;5,"Weekend","Weekday")</f>
        <v>Weekday</v>
      </c>
      <c r="O1641" s="13" t="str">
        <f>IF(tblTransactions[[#This Row],[discount_pct]]=0,"0%",IF(tblTransactions[[#This Row],[discount_pct]]&lt;=10%,"1–
10%",IF(tblTransactions[[#This Row],[discount_pct]]&lt;=20%,"11–20%","&gt;20%")))</f>
        <v>0%</v>
      </c>
      <c r="P1641" s="13" t="str">
        <f>_xlfn.XLOOKUP(tblTransactions[[#This Row],[tenant_id]],tblTenants[tenant_id],tblTenants[zone],"NOT FOUND")</f>
        <v>Home &amp; Living</v>
      </c>
      <c r="Q1641" s="13" t="str">
        <f>_xlfn.XLOOKUP(tblTransactions[[#This Row],[tenant_id]],tblTenants[tenant_id],tblTenants[category],"NOT FOUND")</f>
        <v>Electronics</v>
      </c>
    </row>
    <row r="1642" spans="1:17">
      <c r="A1642" t="s">
        <v>1686</v>
      </c>
      <c r="B1642" s="2">
        <v>45726</v>
      </c>
      <c r="C1642">
        <v>20</v>
      </c>
      <c r="D1642" t="s">
        <v>36</v>
      </c>
      <c r="E1642" t="s">
        <v>32</v>
      </c>
      <c r="F1642" s="7">
        <v>1695.66</v>
      </c>
      <c r="G1642" s="10">
        <v>0.1</v>
      </c>
      <c r="H1642" s="7">
        <v>1526.09</v>
      </c>
      <c r="I1642">
        <v>2</v>
      </c>
      <c r="J1642" t="s">
        <v>13</v>
      </c>
      <c r="K1642" s="13">
        <f>ROUND(tblTransactions[[#This Row],[gross_sales_inr]]*(1-tblTransactions[[#This Row],[discount_pct]]),2)</f>
        <v>1526.09</v>
      </c>
      <c r="L1642" t="str">
        <f>IF(ABS(tblTransactions[[#This Row],[net_sales_inr]]-tblTransactions[[#This Row],[Recalc_Net_Sales]])&lt;0.02,"OK","CHECK")</f>
        <v>OK</v>
      </c>
      <c r="M1642" s="14">
        <f>DATE(YEAR(tblTransactions[[#This Row],[date]]),MONTH(tblTransactions[[#This Row],[date]]),1)</f>
        <v>45717</v>
      </c>
      <c r="N1642" t="str">
        <f>IF(WEEKDAY(tblTransactions[[#This Row],[date]],2)&gt;5,"Weekend","Weekday")</f>
        <v>Weekday</v>
      </c>
      <c r="O164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42" s="13" t="str">
        <f>_xlfn.XLOOKUP(tblTransactions[[#This Row],[tenant_id]],tblTenants[tenant_id],tblTenants[zone],"NOT FOUND")</f>
        <v>Home &amp; Living</v>
      </c>
      <c r="Q1642" s="13" t="str">
        <f>_xlfn.XLOOKUP(tblTransactions[[#This Row],[tenant_id]],tblTenants[tenant_id],tblTenants[category],"NOT FOUND")</f>
        <v>Electronics</v>
      </c>
    </row>
    <row r="1643" spans="1:17">
      <c r="A1643" t="s">
        <v>1687</v>
      </c>
      <c r="B1643" s="2">
        <v>45798</v>
      </c>
      <c r="C1643">
        <v>17</v>
      </c>
      <c r="D1643" t="s">
        <v>80</v>
      </c>
      <c r="E1643" t="s">
        <v>12</v>
      </c>
      <c r="F1643" s="7">
        <v>1108.48</v>
      </c>
      <c r="G1643" s="10">
        <v>0</v>
      </c>
      <c r="H1643" s="7">
        <v>1108.48</v>
      </c>
      <c r="I1643">
        <v>3</v>
      </c>
      <c r="J1643" t="s">
        <v>16</v>
      </c>
      <c r="K1643" s="13">
        <f>ROUND(tblTransactions[[#This Row],[gross_sales_inr]]*(1-tblTransactions[[#This Row],[discount_pct]]),2)</f>
        <v>1108.48</v>
      </c>
      <c r="L1643" t="str">
        <f>IF(ABS(tblTransactions[[#This Row],[net_sales_inr]]-tblTransactions[[#This Row],[Recalc_Net_Sales]])&lt;0.02,"OK","CHECK")</f>
        <v>OK</v>
      </c>
      <c r="M1643" s="14">
        <f>DATE(YEAR(tblTransactions[[#This Row],[date]]),MONTH(tblTransactions[[#This Row],[date]]),1)</f>
        <v>45778</v>
      </c>
      <c r="N1643" t="str">
        <f>IF(WEEKDAY(tblTransactions[[#This Row],[date]],2)&gt;5,"Weekend","Weekday")</f>
        <v>Weekday</v>
      </c>
      <c r="O1643" s="13" t="str">
        <f>IF(tblTransactions[[#This Row],[discount_pct]]=0,"0%",IF(tblTransactions[[#This Row],[discount_pct]]&lt;=10%,"1–
10%",IF(tblTransactions[[#This Row],[discount_pct]]&lt;=20%,"11–20%","&gt;20%")))</f>
        <v>0%</v>
      </c>
      <c r="P1643" s="13" t="str">
        <f>_xlfn.XLOOKUP(tblTransactions[[#This Row],[tenant_id]],tblTenants[tenant_id],tblTenants[zone],"NOT FOUND")</f>
        <v>Food Court</v>
      </c>
      <c r="Q1643" s="13" t="str">
        <f>_xlfn.XLOOKUP(tblTransactions[[#This Row],[tenant_id]],tblTenants[tenant_id],tblTenants[category],"NOT FOUND")</f>
        <v>Casual Dining</v>
      </c>
    </row>
    <row r="1644" spans="1:17">
      <c r="A1644" t="s">
        <v>1688</v>
      </c>
      <c r="B1644" s="2">
        <v>45774</v>
      </c>
      <c r="C1644">
        <v>12</v>
      </c>
      <c r="D1644" t="s">
        <v>80</v>
      </c>
      <c r="E1644" t="s">
        <v>32</v>
      </c>
      <c r="F1644" s="7">
        <v>1839.44</v>
      </c>
      <c r="G1644" s="10">
        <v>0</v>
      </c>
      <c r="H1644" s="7">
        <v>1839.44</v>
      </c>
      <c r="I1644">
        <v>1</v>
      </c>
      <c r="J1644" t="s">
        <v>13</v>
      </c>
      <c r="K1644" s="13">
        <f>ROUND(tblTransactions[[#This Row],[gross_sales_inr]]*(1-tblTransactions[[#This Row],[discount_pct]]),2)</f>
        <v>1839.44</v>
      </c>
      <c r="L1644" t="str">
        <f>IF(ABS(tblTransactions[[#This Row],[net_sales_inr]]-tblTransactions[[#This Row],[Recalc_Net_Sales]])&lt;0.02,"OK","CHECK")</f>
        <v>OK</v>
      </c>
      <c r="M1644" s="14">
        <f>DATE(YEAR(tblTransactions[[#This Row],[date]]),MONTH(tblTransactions[[#This Row],[date]]),1)</f>
        <v>45748</v>
      </c>
      <c r="N1644" t="str">
        <f>IF(WEEKDAY(tblTransactions[[#This Row],[date]],2)&gt;5,"Weekend","Weekday")</f>
        <v>Weekend</v>
      </c>
      <c r="O1644" s="13" t="str">
        <f>IF(tblTransactions[[#This Row],[discount_pct]]=0,"0%",IF(tblTransactions[[#This Row],[discount_pct]]&lt;=10%,"1–
10%",IF(tblTransactions[[#This Row],[discount_pct]]&lt;=20%,"11–20%","&gt;20%")))</f>
        <v>0%</v>
      </c>
      <c r="P1644" s="13" t="str">
        <f>_xlfn.XLOOKUP(tblTransactions[[#This Row],[tenant_id]],tblTenants[tenant_id],tblTenants[zone],"NOT FOUND")</f>
        <v>Food Court</v>
      </c>
      <c r="Q1644" s="13" t="str">
        <f>_xlfn.XLOOKUP(tblTransactions[[#This Row],[tenant_id]],tblTenants[tenant_id],tblTenants[category],"NOT FOUND")</f>
        <v>Casual Dining</v>
      </c>
    </row>
    <row r="1645" spans="1:17">
      <c r="A1645" t="s">
        <v>1689</v>
      </c>
      <c r="B1645" s="2">
        <v>45675</v>
      </c>
      <c r="C1645">
        <v>16</v>
      </c>
      <c r="D1645" t="s">
        <v>80</v>
      </c>
      <c r="E1645" t="s">
        <v>32</v>
      </c>
      <c r="F1645" s="7">
        <v>445.92</v>
      </c>
      <c r="G1645" s="10">
        <v>0.1</v>
      </c>
      <c r="H1645" s="7">
        <v>401.33</v>
      </c>
      <c r="I1645">
        <v>2</v>
      </c>
      <c r="J1645" t="s">
        <v>16</v>
      </c>
      <c r="K1645" s="13">
        <f>ROUND(tblTransactions[[#This Row],[gross_sales_inr]]*(1-tblTransactions[[#This Row],[discount_pct]]),2)</f>
        <v>401.33</v>
      </c>
      <c r="L1645" t="str">
        <f>IF(ABS(tblTransactions[[#This Row],[net_sales_inr]]-tblTransactions[[#This Row],[Recalc_Net_Sales]])&lt;0.02,"OK","CHECK")</f>
        <v>OK</v>
      </c>
      <c r="M1645" s="14">
        <f>DATE(YEAR(tblTransactions[[#This Row],[date]]),MONTH(tblTransactions[[#This Row],[date]]),1)</f>
        <v>45658</v>
      </c>
      <c r="N1645" t="str">
        <f>IF(WEEKDAY(tblTransactions[[#This Row],[date]],2)&gt;5,"Weekend","Weekday")</f>
        <v>Weekend</v>
      </c>
      <c r="O164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45" s="13" t="str">
        <f>_xlfn.XLOOKUP(tblTransactions[[#This Row],[tenant_id]],tblTenants[tenant_id],tblTenants[zone],"NOT FOUND")</f>
        <v>Food Court</v>
      </c>
      <c r="Q1645" s="13" t="str">
        <f>_xlfn.XLOOKUP(tblTransactions[[#This Row],[tenant_id]],tblTenants[tenant_id],tblTenants[category],"NOT FOUND")</f>
        <v>Casual Dining</v>
      </c>
    </row>
    <row r="1646" spans="1:17">
      <c r="A1646" t="s">
        <v>1690</v>
      </c>
      <c r="B1646" s="2">
        <v>45746</v>
      </c>
      <c r="C1646">
        <v>18</v>
      </c>
      <c r="D1646" t="s">
        <v>104</v>
      </c>
      <c r="E1646" t="s">
        <v>12</v>
      </c>
      <c r="F1646" s="7">
        <v>1236.79</v>
      </c>
      <c r="G1646" s="10">
        <v>0</v>
      </c>
      <c r="H1646" s="7">
        <v>1236.79</v>
      </c>
      <c r="I1646">
        <v>2</v>
      </c>
      <c r="J1646" t="s">
        <v>16</v>
      </c>
      <c r="K1646" s="13">
        <f>ROUND(tblTransactions[[#This Row],[gross_sales_inr]]*(1-tblTransactions[[#This Row],[discount_pct]]),2)</f>
        <v>1236.79</v>
      </c>
      <c r="L1646" t="str">
        <f>IF(ABS(tblTransactions[[#This Row],[net_sales_inr]]-tblTransactions[[#This Row],[Recalc_Net_Sales]])&lt;0.02,"OK","CHECK")</f>
        <v>OK</v>
      </c>
      <c r="M1646" s="14">
        <f>DATE(YEAR(tblTransactions[[#This Row],[date]]),MONTH(tblTransactions[[#This Row],[date]]),1)</f>
        <v>45717</v>
      </c>
      <c r="N1646" t="str">
        <f>IF(WEEKDAY(tblTransactions[[#This Row],[date]],2)&gt;5,"Weekend","Weekday")</f>
        <v>Weekend</v>
      </c>
      <c r="O1646" s="13" t="str">
        <f>IF(tblTransactions[[#This Row],[discount_pct]]=0,"0%",IF(tblTransactions[[#This Row],[discount_pct]]&lt;=10%,"1–
10%",IF(tblTransactions[[#This Row],[discount_pct]]&lt;=20%,"11–20%","&gt;20%")))</f>
        <v>0%</v>
      </c>
      <c r="P1646" s="13" t="str">
        <f>_xlfn.XLOOKUP(tblTransactions[[#This Row],[tenant_id]],tblTenants[tenant_id],tblTenants[zone],"NOT FOUND")</f>
        <v>Entertainment</v>
      </c>
      <c r="Q1646" s="13" t="str">
        <f>_xlfn.XLOOKUP(tblTransactions[[#This Row],[tenant_id]],tblTenants[tenant_id],tblTenants[category],"NOT FOUND")</f>
        <v>Family Entertainment</v>
      </c>
    </row>
    <row r="1647" spans="1:17">
      <c r="A1647" t="s">
        <v>1691</v>
      </c>
      <c r="B1647" s="2">
        <v>45716</v>
      </c>
      <c r="C1647">
        <v>19</v>
      </c>
      <c r="D1647" t="s">
        <v>25</v>
      </c>
      <c r="E1647" t="s">
        <v>12</v>
      </c>
      <c r="F1647" s="7">
        <v>194.65</v>
      </c>
      <c r="G1647" s="10">
        <v>0.1</v>
      </c>
      <c r="H1647" s="7">
        <v>175.19</v>
      </c>
      <c r="I1647">
        <v>2</v>
      </c>
      <c r="J1647" t="s">
        <v>16</v>
      </c>
      <c r="K1647" s="13">
        <f>ROUND(tblTransactions[[#This Row],[gross_sales_inr]]*(1-tblTransactions[[#This Row],[discount_pct]]),2)</f>
        <v>175.19</v>
      </c>
      <c r="L1647" t="str">
        <f>IF(ABS(tblTransactions[[#This Row],[net_sales_inr]]-tblTransactions[[#This Row],[Recalc_Net_Sales]])&lt;0.02,"OK","CHECK")</f>
        <v>OK</v>
      </c>
      <c r="M1647" s="14">
        <f>DATE(YEAR(tblTransactions[[#This Row],[date]]),MONTH(tblTransactions[[#This Row],[date]]),1)</f>
        <v>45689</v>
      </c>
      <c r="N1647" t="str">
        <f>IF(WEEKDAY(tblTransactions[[#This Row],[date]],2)&gt;5,"Weekend","Weekday")</f>
        <v>Weekday</v>
      </c>
      <c r="O164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47" s="13" t="str">
        <f>_xlfn.XLOOKUP(tblTransactions[[#This Row],[tenant_id]],tblTenants[tenant_id],tblTenants[zone],"NOT FOUND")</f>
        <v>Beauty &amp; Wellness</v>
      </c>
      <c r="Q1647" s="13" t="str">
        <f>_xlfn.XLOOKUP(tblTransactions[[#This Row],[tenant_id]],tblTenants[tenant_id],tblTenants[category],"NOT FOUND")</f>
        <v>Beauty</v>
      </c>
    </row>
    <row r="1648" spans="1:17">
      <c r="A1648" t="s">
        <v>1692</v>
      </c>
      <c r="B1648" s="2">
        <v>45678</v>
      </c>
      <c r="C1648">
        <v>12</v>
      </c>
      <c r="D1648" t="s">
        <v>80</v>
      </c>
      <c r="E1648" t="s">
        <v>12</v>
      </c>
      <c r="F1648" s="7">
        <v>464.29</v>
      </c>
      <c r="G1648" s="10">
        <v>0</v>
      </c>
      <c r="H1648" s="7">
        <v>464.29</v>
      </c>
      <c r="I1648">
        <v>2</v>
      </c>
      <c r="J1648" t="s">
        <v>13</v>
      </c>
      <c r="K1648" s="13">
        <f>ROUND(tblTransactions[[#This Row],[gross_sales_inr]]*(1-tblTransactions[[#This Row],[discount_pct]]),2)</f>
        <v>464.29</v>
      </c>
      <c r="L1648" t="str">
        <f>IF(ABS(tblTransactions[[#This Row],[net_sales_inr]]-tblTransactions[[#This Row],[Recalc_Net_Sales]])&lt;0.02,"OK","CHECK")</f>
        <v>OK</v>
      </c>
      <c r="M1648" s="14">
        <f>DATE(YEAR(tblTransactions[[#This Row],[date]]),MONTH(tblTransactions[[#This Row],[date]]),1)</f>
        <v>45658</v>
      </c>
      <c r="N1648" t="str">
        <f>IF(WEEKDAY(tblTransactions[[#This Row],[date]],2)&gt;5,"Weekend","Weekday")</f>
        <v>Weekday</v>
      </c>
      <c r="O1648" s="13" t="str">
        <f>IF(tblTransactions[[#This Row],[discount_pct]]=0,"0%",IF(tblTransactions[[#This Row],[discount_pct]]&lt;=10%,"1–
10%",IF(tblTransactions[[#This Row],[discount_pct]]&lt;=20%,"11–20%","&gt;20%")))</f>
        <v>0%</v>
      </c>
      <c r="P1648" s="13" t="str">
        <f>_xlfn.XLOOKUP(tblTransactions[[#This Row],[tenant_id]],tblTenants[tenant_id],tblTenants[zone],"NOT FOUND")</f>
        <v>Food Court</v>
      </c>
      <c r="Q1648" s="13" t="str">
        <f>_xlfn.XLOOKUP(tblTransactions[[#This Row],[tenant_id]],tblTenants[tenant_id],tblTenants[category],"NOT FOUND")</f>
        <v>Casual Dining</v>
      </c>
    </row>
    <row r="1649" spans="1:17">
      <c r="A1649" t="s">
        <v>1693</v>
      </c>
      <c r="B1649" s="2">
        <v>45829</v>
      </c>
      <c r="C1649">
        <v>12</v>
      </c>
      <c r="D1649" t="s">
        <v>204</v>
      </c>
      <c r="E1649" t="s">
        <v>32</v>
      </c>
      <c r="F1649" s="7">
        <v>1977.06</v>
      </c>
      <c r="G1649" s="10">
        <v>0</v>
      </c>
      <c r="H1649" s="7">
        <v>1977.06</v>
      </c>
      <c r="I1649">
        <v>2</v>
      </c>
      <c r="J1649" t="s">
        <v>13</v>
      </c>
      <c r="K1649" s="13">
        <f>ROUND(tblTransactions[[#This Row],[gross_sales_inr]]*(1-tblTransactions[[#This Row],[discount_pct]]),2)</f>
        <v>1977.06</v>
      </c>
      <c r="L1649" t="str">
        <f>IF(ABS(tblTransactions[[#This Row],[net_sales_inr]]-tblTransactions[[#This Row],[Recalc_Net_Sales]])&lt;0.02,"OK","CHECK")</f>
        <v>OK</v>
      </c>
      <c r="M1649" s="14">
        <f>DATE(YEAR(tblTransactions[[#This Row],[date]]),MONTH(tblTransactions[[#This Row],[date]]),1)</f>
        <v>45809</v>
      </c>
      <c r="N1649" t="str">
        <f>IF(WEEKDAY(tblTransactions[[#This Row],[date]],2)&gt;5,"Weekend","Weekday")</f>
        <v>Weekend</v>
      </c>
      <c r="O1649" s="13" t="str">
        <f>IF(tblTransactions[[#This Row],[discount_pct]]=0,"0%",IF(tblTransactions[[#This Row],[discount_pct]]&lt;=10%,"1–
10%",IF(tblTransactions[[#This Row],[discount_pct]]&lt;=20%,"11–20%","&gt;20%")))</f>
        <v>0%</v>
      </c>
      <c r="P1649" s="13" t="str">
        <f>_xlfn.XLOOKUP(tblTransactions[[#This Row],[tenant_id]],tblTenants[tenant_id],tblTenants[zone],"NOT FOUND")</f>
        <v>Home &amp; Living</v>
      </c>
      <c r="Q1649" s="13" t="str">
        <f>_xlfn.XLOOKUP(tblTransactions[[#This Row],[tenant_id]],tblTenants[tenant_id],tblTenants[category],"NOT FOUND")</f>
        <v>Home Decor</v>
      </c>
    </row>
    <row r="1650" spans="1:17">
      <c r="A1650" t="s">
        <v>1694</v>
      </c>
      <c r="B1650" s="2">
        <v>45800</v>
      </c>
      <c r="C1650">
        <v>13</v>
      </c>
      <c r="D1650" t="s">
        <v>36</v>
      </c>
      <c r="E1650" t="s">
        <v>12</v>
      </c>
      <c r="F1650" s="7">
        <v>619.4</v>
      </c>
      <c r="G1650" s="10">
        <v>0</v>
      </c>
      <c r="H1650" s="7">
        <v>619.4</v>
      </c>
      <c r="I1650">
        <v>1</v>
      </c>
      <c r="J1650" t="s">
        <v>16</v>
      </c>
      <c r="K1650" s="13">
        <f>ROUND(tblTransactions[[#This Row],[gross_sales_inr]]*(1-tblTransactions[[#This Row],[discount_pct]]),2)</f>
        <v>619.4</v>
      </c>
      <c r="L1650" t="str">
        <f>IF(ABS(tblTransactions[[#This Row],[net_sales_inr]]-tblTransactions[[#This Row],[Recalc_Net_Sales]])&lt;0.02,"OK","CHECK")</f>
        <v>OK</v>
      </c>
      <c r="M1650" s="14">
        <f>DATE(YEAR(tblTransactions[[#This Row],[date]]),MONTH(tblTransactions[[#This Row],[date]]),1)</f>
        <v>45778</v>
      </c>
      <c r="N1650" t="str">
        <f>IF(WEEKDAY(tblTransactions[[#This Row],[date]],2)&gt;5,"Weekend","Weekday")</f>
        <v>Weekday</v>
      </c>
      <c r="O1650" s="13" t="str">
        <f>IF(tblTransactions[[#This Row],[discount_pct]]=0,"0%",IF(tblTransactions[[#This Row],[discount_pct]]&lt;=10%,"1–
10%",IF(tblTransactions[[#This Row],[discount_pct]]&lt;=20%,"11–20%","&gt;20%")))</f>
        <v>0%</v>
      </c>
      <c r="P1650" s="13" t="str">
        <f>_xlfn.XLOOKUP(tblTransactions[[#This Row],[tenant_id]],tblTenants[tenant_id],tblTenants[zone],"NOT FOUND")</f>
        <v>Home &amp; Living</v>
      </c>
      <c r="Q1650" s="13" t="str">
        <f>_xlfn.XLOOKUP(tblTransactions[[#This Row],[tenant_id]],tblTenants[tenant_id],tblTenants[category],"NOT FOUND")</f>
        <v>Electronics</v>
      </c>
    </row>
    <row r="1651" spans="1:17">
      <c r="A1651" t="s">
        <v>1695</v>
      </c>
      <c r="B1651" s="2">
        <v>45767</v>
      </c>
      <c r="C1651">
        <v>18</v>
      </c>
      <c r="D1651" t="s">
        <v>61</v>
      </c>
      <c r="E1651" t="s">
        <v>51</v>
      </c>
      <c r="F1651" s="7">
        <v>3520.31</v>
      </c>
      <c r="G1651" s="10">
        <v>0.1</v>
      </c>
      <c r="H1651" s="7">
        <v>3168.28</v>
      </c>
      <c r="I1651">
        <v>1</v>
      </c>
      <c r="J1651" t="s">
        <v>16</v>
      </c>
      <c r="K1651" s="13">
        <f>ROUND(tblTransactions[[#This Row],[gross_sales_inr]]*(1-tblTransactions[[#This Row],[discount_pct]]),2)</f>
        <v>3168.28</v>
      </c>
      <c r="L1651" t="str">
        <f>IF(ABS(tblTransactions[[#This Row],[net_sales_inr]]-tblTransactions[[#This Row],[Recalc_Net_Sales]])&lt;0.02,"OK","CHECK")</f>
        <v>OK</v>
      </c>
      <c r="M1651" s="14">
        <f>DATE(YEAR(tblTransactions[[#This Row],[date]]),MONTH(tblTransactions[[#This Row],[date]]),1)</f>
        <v>45748</v>
      </c>
      <c r="N1651" t="str">
        <f>IF(WEEKDAY(tblTransactions[[#This Row],[date]],2)&gt;5,"Weekend","Weekday")</f>
        <v>Weekend</v>
      </c>
      <c r="O165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51" s="13" t="str">
        <f>_xlfn.XLOOKUP(tblTransactions[[#This Row],[tenant_id]],tblTenants[tenant_id],tblTenants[zone],"NOT FOUND")</f>
        <v>Food Court</v>
      </c>
      <c r="Q1651" s="13" t="str">
        <f>_xlfn.XLOOKUP(tblTransactions[[#This Row],[tenant_id]],tblTenants[tenant_id],tblTenants[category],"NOT FOUND")</f>
        <v>Quick Service</v>
      </c>
    </row>
    <row r="1652" spans="1:17">
      <c r="A1652" t="s">
        <v>1696</v>
      </c>
      <c r="B1652" s="2">
        <v>45831</v>
      </c>
      <c r="C1652">
        <v>18</v>
      </c>
      <c r="D1652" t="s">
        <v>48</v>
      </c>
      <c r="E1652" t="s">
        <v>12</v>
      </c>
      <c r="F1652" s="7">
        <v>298.76</v>
      </c>
      <c r="G1652" s="10">
        <v>0.05</v>
      </c>
      <c r="H1652" s="7">
        <v>283.82</v>
      </c>
      <c r="I1652">
        <v>1</v>
      </c>
      <c r="J1652" t="s">
        <v>13</v>
      </c>
      <c r="K1652" s="13">
        <f>ROUND(tblTransactions[[#This Row],[gross_sales_inr]]*(1-tblTransactions[[#This Row],[discount_pct]]),2)</f>
        <v>283.82</v>
      </c>
      <c r="L1652" t="str">
        <f>IF(ABS(tblTransactions[[#This Row],[net_sales_inr]]-tblTransactions[[#This Row],[Recalc_Net_Sales]])&lt;0.02,"OK","CHECK")</f>
        <v>OK</v>
      </c>
      <c r="M1652" s="14">
        <f>DATE(YEAR(tblTransactions[[#This Row],[date]]),MONTH(tblTransactions[[#This Row],[date]]),1)</f>
        <v>45809</v>
      </c>
      <c r="N1652" t="str">
        <f>IF(WEEKDAY(tblTransactions[[#This Row],[date]],2)&gt;5,"Weekend","Weekday")</f>
        <v>Weekday</v>
      </c>
      <c r="O165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52" s="13" t="str">
        <f>_xlfn.XLOOKUP(tblTransactions[[#This Row],[tenant_id]],tblTenants[tenant_id],tblTenants[zone],"NOT FOUND")</f>
        <v>Beauty &amp; Wellness</v>
      </c>
      <c r="Q1652" s="13" t="str">
        <f>_xlfn.XLOOKUP(tblTransactions[[#This Row],[tenant_id]],tblTenants[tenant_id],tblTenants[category],"NOT FOUND")</f>
        <v>Wellness</v>
      </c>
    </row>
    <row r="1653" spans="1:17">
      <c r="A1653" t="s">
        <v>1697</v>
      </c>
      <c r="B1653" s="2">
        <v>45792</v>
      </c>
      <c r="C1653">
        <v>13</v>
      </c>
      <c r="D1653" t="s">
        <v>43</v>
      </c>
      <c r="E1653" t="s">
        <v>12</v>
      </c>
      <c r="F1653" s="7">
        <v>1465.55</v>
      </c>
      <c r="G1653" s="10">
        <v>0.2</v>
      </c>
      <c r="H1653" s="7">
        <v>1172.44</v>
      </c>
      <c r="I1653">
        <v>2</v>
      </c>
      <c r="J1653" t="s">
        <v>13</v>
      </c>
      <c r="K1653" s="13">
        <f>ROUND(tblTransactions[[#This Row],[gross_sales_inr]]*(1-tblTransactions[[#This Row],[discount_pct]]),2)</f>
        <v>1172.44</v>
      </c>
      <c r="L1653" t="str">
        <f>IF(ABS(tblTransactions[[#This Row],[net_sales_inr]]-tblTransactions[[#This Row],[Recalc_Net_Sales]])&lt;0.02,"OK","CHECK")</f>
        <v>OK</v>
      </c>
      <c r="M1653" s="14">
        <f>DATE(YEAR(tblTransactions[[#This Row],[date]]),MONTH(tblTransactions[[#This Row],[date]]),1)</f>
        <v>45778</v>
      </c>
      <c r="N1653" t="str">
        <f>IF(WEEKDAY(tblTransactions[[#This Row],[date]],2)&gt;5,"Weekend","Weekday")</f>
        <v>Weekday</v>
      </c>
      <c r="O165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53" s="13" t="str">
        <f>_xlfn.XLOOKUP(tblTransactions[[#This Row],[tenant_id]],tblTenants[tenant_id],tblTenants[zone],"NOT FOUND")</f>
        <v>Food Court</v>
      </c>
      <c r="Q1653" s="13" t="str">
        <f>_xlfn.XLOOKUP(tblTransactions[[#This Row],[tenant_id]],tblTenants[tenant_id],tblTenants[category],"NOT FOUND")</f>
        <v>Casual Dining</v>
      </c>
    </row>
    <row r="1654" spans="1:17">
      <c r="A1654" t="s">
        <v>1698</v>
      </c>
      <c r="B1654" s="2">
        <v>45699</v>
      </c>
      <c r="C1654">
        <v>21</v>
      </c>
      <c r="D1654" t="s">
        <v>15</v>
      </c>
      <c r="E1654" t="s">
        <v>32</v>
      </c>
      <c r="F1654" s="7">
        <v>930.06</v>
      </c>
      <c r="G1654" s="10">
        <v>0.15</v>
      </c>
      <c r="H1654" s="7">
        <v>790.55</v>
      </c>
      <c r="I1654">
        <v>3</v>
      </c>
      <c r="J1654" t="s">
        <v>13</v>
      </c>
      <c r="K1654" s="13">
        <f>ROUND(tblTransactions[[#This Row],[gross_sales_inr]]*(1-tblTransactions[[#This Row],[discount_pct]]),2)</f>
        <v>790.55</v>
      </c>
      <c r="L1654" t="str">
        <f>IF(ABS(tblTransactions[[#This Row],[net_sales_inr]]-tblTransactions[[#This Row],[Recalc_Net_Sales]])&lt;0.02,"OK","CHECK")</f>
        <v>OK</v>
      </c>
      <c r="M1654" s="14">
        <f>DATE(YEAR(tblTransactions[[#This Row],[date]]),MONTH(tblTransactions[[#This Row],[date]]),1)</f>
        <v>45689</v>
      </c>
      <c r="N1654" t="str">
        <f>IF(WEEKDAY(tblTransactions[[#This Row],[date]],2)&gt;5,"Weekend","Weekday")</f>
        <v>Weekday</v>
      </c>
      <c r="O165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54" s="13" t="str">
        <f>_xlfn.XLOOKUP(tblTransactions[[#This Row],[tenant_id]],tblTenants[tenant_id],tblTenants[zone],"NOT FOUND")</f>
        <v>Fashion Avenue</v>
      </c>
      <c r="Q1654" s="13" t="str">
        <f>_xlfn.XLOOKUP(tblTransactions[[#This Row],[tenant_id]],tblTenants[tenant_id],tblTenants[category],"NOT FOUND")</f>
        <v>Accessories</v>
      </c>
    </row>
    <row r="1655" spans="1:17">
      <c r="A1655" t="s">
        <v>1699</v>
      </c>
      <c r="B1655" s="2">
        <v>45755</v>
      </c>
      <c r="C1655">
        <v>18</v>
      </c>
      <c r="D1655" t="s">
        <v>34</v>
      </c>
      <c r="E1655" t="s">
        <v>12</v>
      </c>
      <c r="F1655" s="7">
        <v>906.77</v>
      </c>
      <c r="G1655" s="10">
        <v>0.15</v>
      </c>
      <c r="H1655" s="7">
        <v>770.75</v>
      </c>
      <c r="I1655">
        <v>1</v>
      </c>
      <c r="J1655" t="s">
        <v>16</v>
      </c>
      <c r="K1655" s="13">
        <f>ROUND(tblTransactions[[#This Row],[gross_sales_inr]]*(1-tblTransactions[[#This Row],[discount_pct]]),2)</f>
        <v>770.75</v>
      </c>
      <c r="L1655" t="str">
        <f>IF(ABS(tblTransactions[[#This Row],[net_sales_inr]]-tblTransactions[[#This Row],[Recalc_Net_Sales]])&lt;0.02,"OK","CHECK")</f>
        <v>OK</v>
      </c>
      <c r="M1655" s="14">
        <f>DATE(YEAR(tblTransactions[[#This Row],[date]]),MONTH(tblTransactions[[#This Row],[date]]),1)</f>
        <v>45748</v>
      </c>
      <c r="N1655" t="str">
        <f>IF(WEEKDAY(tblTransactions[[#This Row],[date]],2)&gt;5,"Weekend","Weekday")</f>
        <v>Weekday</v>
      </c>
      <c r="O165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55" s="13" t="str">
        <f>_xlfn.XLOOKUP(tblTransactions[[#This Row],[tenant_id]],tblTenants[tenant_id],tblTenants[zone],"NOT FOUND")</f>
        <v>Home &amp; Living</v>
      </c>
      <c r="Q1655" s="13" t="str">
        <f>_xlfn.XLOOKUP(tblTransactions[[#This Row],[tenant_id]],tblTenants[tenant_id],tblTenants[category],"NOT FOUND")</f>
        <v>Electronics</v>
      </c>
    </row>
    <row r="1656" spans="1:17">
      <c r="A1656" t="s">
        <v>1700</v>
      </c>
      <c r="B1656" s="2">
        <v>45701</v>
      </c>
      <c r="C1656">
        <v>21</v>
      </c>
      <c r="D1656" t="s">
        <v>31</v>
      </c>
      <c r="E1656" t="s">
        <v>32</v>
      </c>
      <c r="F1656" s="7">
        <v>1060.05</v>
      </c>
      <c r="G1656" s="10">
        <v>0</v>
      </c>
      <c r="H1656" s="7">
        <v>1060.05</v>
      </c>
      <c r="I1656">
        <v>1</v>
      </c>
      <c r="J1656" t="s">
        <v>16</v>
      </c>
      <c r="K1656" s="13">
        <f>ROUND(tblTransactions[[#This Row],[gross_sales_inr]]*(1-tblTransactions[[#This Row],[discount_pct]]),2)</f>
        <v>1060.05</v>
      </c>
      <c r="L1656" t="str">
        <f>IF(ABS(tblTransactions[[#This Row],[net_sales_inr]]-tblTransactions[[#This Row],[Recalc_Net_Sales]])&lt;0.02,"OK","CHECK")</f>
        <v>OK</v>
      </c>
      <c r="M1656" s="14">
        <f>DATE(YEAR(tblTransactions[[#This Row],[date]]),MONTH(tblTransactions[[#This Row],[date]]),1)</f>
        <v>45689</v>
      </c>
      <c r="N1656" t="str">
        <f>IF(WEEKDAY(tblTransactions[[#This Row],[date]],2)&gt;5,"Weekend","Weekday")</f>
        <v>Weekday</v>
      </c>
      <c r="O1656" s="13" t="str">
        <f>IF(tblTransactions[[#This Row],[discount_pct]]=0,"0%",IF(tblTransactions[[#This Row],[discount_pct]]&lt;=10%,"1–
10%",IF(tblTransactions[[#This Row],[discount_pct]]&lt;=20%,"11–20%","&gt;20%")))</f>
        <v>0%</v>
      </c>
      <c r="P1656" s="13" t="str">
        <f>_xlfn.XLOOKUP(tblTransactions[[#This Row],[tenant_id]],tblTenants[tenant_id],tblTenants[zone],"NOT FOUND")</f>
        <v>Entertainment</v>
      </c>
      <c r="Q1656" s="13" t="str">
        <f>_xlfn.XLOOKUP(tblTransactions[[#This Row],[tenant_id]],tblTenants[tenant_id],tblTenants[category],"NOT FOUND")</f>
        <v>Arcade</v>
      </c>
    </row>
    <row r="1657" spans="1:17">
      <c r="A1657" t="s">
        <v>1701</v>
      </c>
      <c r="B1657" s="2">
        <v>45776</v>
      </c>
      <c r="C1657">
        <v>16</v>
      </c>
      <c r="D1657" t="s">
        <v>41</v>
      </c>
      <c r="E1657" t="s">
        <v>12</v>
      </c>
      <c r="F1657" s="7">
        <v>474.06</v>
      </c>
      <c r="G1657" s="10">
        <v>0</v>
      </c>
      <c r="H1657" s="7">
        <v>474.06</v>
      </c>
      <c r="I1657">
        <v>1</v>
      </c>
      <c r="J1657" t="s">
        <v>16</v>
      </c>
      <c r="K1657" s="13">
        <f>ROUND(tblTransactions[[#This Row],[gross_sales_inr]]*(1-tblTransactions[[#This Row],[discount_pct]]),2)</f>
        <v>474.06</v>
      </c>
      <c r="L1657" t="str">
        <f>IF(ABS(tblTransactions[[#This Row],[net_sales_inr]]-tblTransactions[[#This Row],[Recalc_Net_Sales]])&lt;0.02,"OK","CHECK")</f>
        <v>OK</v>
      </c>
      <c r="M1657" s="14">
        <f>DATE(YEAR(tblTransactions[[#This Row],[date]]),MONTH(tblTransactions[[#This Row],[date]]),1)</f>
        <v>45748</v>
      </c>
      <c r="N1657" t="str">
        <f>IF(WEEKDAY(tblTransactions[[#This Row],[date]],2)&gt;5,"Weekend","Weekday")</f>
        <v>Weekday</v>
      </c>
      <c r="O1657" s="13" t="str">
        <f>IF(tblTransactions[[#This Row],[discount_pct]]=0,"0%",IF(tblTransactions[[#This Row],[discount_pct]]&lt;=10%,"1–
10%",IF(tblTransactions[[#This Row],[discount_pct]]&lt;=20%,"11–20%","&gt;20%")))</f>
        <v>0%</v>
      </c>
      <c r="P1657" s="13" t="str">
        <f>_xlfn.XLOOKUP(tblTransactions[[#This Row],[tenant_id]],tblTenants[tenant_id],tblTenants[zone],"NOT FOUND")</f>
        <v>Fashion Avenue</v>
      </c>
      <c r="Q1657" s="13" t="str">
        <f>_xlfn.XLOOKUP(tblTransactions[[#This Row],[tenant_id]],tblTenants[tenant_id],tblTenants[category],"NOT FOUND")</f>
        <v>Clothing</v>
      </c>
    </row>
    <row r="1658" spans="1:17">
      <c r="A1658" t="s">
        <v>1702</v>
      </c>
      <c r="B1658" s="2">
        <v>45782</v>
      </c>
      <c r="C1658">
        <v>22</v>
      </c>
      <c r="D1658" t="s">
        <v>41</v>
      </c>
      <c r="E1658" t="s">
        <v>21</v>
      </c>
      <c r="F1658" s="7">
        <v>1645</v>
      </c>
      <c r="G1658" s="10">
        <v>0</v>
      </c>
      <c r="H1658" s="7">
        <v>1645</v>
      </c>
      <c r="I1658">
        <v>3</v>
      </c>
      <c r="J1658" t="s">
        <v>13</v>
      </c>
      <c r="K1658" s="13">
        <f>ROUND(tblTransactions[[#This Row],[gross_sales_inr]]*(1-tblTransactions[[#This Row],[discount_pct]]),2)</f>
        <v>1645</v>
      </c>
      <c r="L1658" t="str">
        <f>IF(ABS(tblTransactions[[#This Row],[net_sales_inr]]-tblTransactions[[#This Row],[Recalc_Net_Sales]])&lt;0.02,"OK","CHECK")</f>
        <v>OK</v>
      </c>
      <c r="M1658" s="14">
        <f>DATE(YEAR(tblTransactions[[#This Row],[date]]),MONTH(tblTransactions[[#This Row],[date]]),1)</f>
        <v>45778</v>
      </c>
      <c r="N1658" t="str">
        <f>IF(WEEKDAY(tblTransactions[[#This Row],[date]],2)&gt;5,"Weekend","Weekday")</f>
        <v>Weekday</v>
      </c>
      <c r="O1658" s="13" t="str">
        <f>IF(tblTransactions[[#This Row],[discount_pct]]=0,"0%",IF(tblTransactions[[#This Row],[discount_pct]]&lt;=10%,"1–
10%",IF(tblTransactions[[#This Row],[discount_pct]]&lt;=20%,"11–20%","&gt;20%")))</f>
        <v>0%</v>
      </c>
      <c r="P1658" s="13" t="str">
        <f>_xlfn.XLOOKUP(tblTransactions[[#This Row],[tenant_id]],tblTenants[tenant_id],tblTenants[zone],"NOT FOUND")</f>
        <v>Fashion Avenue</v>
      </c>
      <c r="Q1658" s="13" t="str">
        <f>_xlfn.XLOOKUP(tblTransactions[[#This Row],[tenant_id]],tblTenants[tenant_id],tblTenants[category],"NOT FOUND")</f>
        <v>Clothing</v>
      </c>
    </row>
    <row r="1659" spans="1:17">
      <c r="A1659" t="s">
        <v>1703</v>
      </c>
      <c r="B1659" s="2">
        <v>45680</v>
      </c>
      <c r="C1659">
        <v>18</v>
      </c>
      <c r="D1659" t="s">
        <v>72</v>
      </c>
      <c r="E1659" t="s">
        <v>12</v>
      </c>
      <c r="F1659" s="7">
        <v>654.04999999999995</v>
      </c>
      <c r="G1659" s="10">
        <v>0</v>
      </c>
      <c r="H1659" s="7">
        <v>654.04999999999995</v>
      </c>
      <c r="I1659">
        <v>4</v>
      </c>
      <c r="J1659" t="s">
        <v>13</v>
      </c>
      <c r="K1659" s="13">
        <f>ROUND(tblTransactions[[#This Row],[gross_sales_inr]]*(1-tblTransactions[[#This Row],[discount_pct]]),2)</f>
        <v>654.04999999999995</v>
      </c>
      <c r="L1659" t="str">
        <f>IF(ABS(tblTransactions[[#This Row],[net_sales_inr]]-tblTransactions[[#This Row],[Recalc_Net_Sales]])&lt;0.02,"OK","CHECK")</f>
        <v>OK</v>
      </c>
      <c r="M1659" s="14">
        <f>DATE(YEAR(tblTransactions[[#This Row],[date]]),MONTH(tblTransactions[[#This Row],[date]]),1)</f>
        <v>45658</v>
      </c>
      <c r="N1659" t="str">
        <f>IF(WEEKDAY(tblTransactions[[#This Row],[date]],2)&gt;5,"Weekend","Weekday")</f>
        <v>Weekday</v>
      </c>
      <c r="O1659" s="13" t="str">
        <f>IF(tblTransactions[[#This Row],[discount_pct]]=0,"0%",IF(tblTransactions[[#This Row],[discount_pct]]&lt;=10%,"1–
10%",IF(tblTransactions[[#This Row],[discount_pct]]&lt;=20%,"11–20%","&gt;20%")))</f>
        <v>0%</v>
      </c>
      <c r="P1659" s="13" t="str">
        <f>_xlfn.XLOOKUP(tblTransactions[[#This Row],[tenant_id]],tblTenants[tenant_id],tblTenants[zone],"NOT FOUND")</f>
        <v>Entertainment</v>
      </c>
      <c r="Q1659" s="13" t="str">
        <f>_xlfn.XLOOKUP(tblTransactions[[#This Row],[tenant_id]],tblTenants[tenant_id],tblTenants[category],"NOT FOUND")</f>
        <v>Arcade</v>
      </c>
    </row>
    <row r="1660" spans="1:17">
      <c r="A1660" t="s">
        <v>1704</v>
      </c>
      <c r="B1660" s="2">
        <v>45822</v>
      </c>
      <c r="C1660">
        <v>15</v>
      </c>
      <c r="D1660" t="s">
        <v>53</v>
      </c>
      <c r="E1660" t="s">
        <v>32</v>
      </c>
      <c r="F1660" s="7">
        <v>1712.29</v>
      </c>
      <c r="G1660" s="10">
        <v>0.2</v>
      </c>
      <c r="H1660" s="7">
        <v>1369.83</v>
      </c>
      <c r="I1660">
        <v>4</v>
      </c>
      <c r="J1660" t="s">
        <v>16</v>
      </c>
      <c r="K1660" s="13">
        <f>ROUND(tblTransactions[[#This Row],[gross_sales_inr]]*(1-tblTransactions[[#This Row],[discount_pct]]),2)</f>
        <v>1369.83</v>
      </c>
      <c r="L1660" t="str">
        <f>IF(ABS(tblTransactions[[#This Row],[net_sales_inr]]-tblTransactions[[#This Row],[Recalc_Net_Sales]])&lt;0.02,"OK","CHECK")</f>
        <v>OK</v>
      </c>
      <c r="M1660" s="14">
        <f>DATE(YEAR(tblTransactions[[#This Row],[date]]),MONTH(tblTransactions[[#This Row],[date]]),1)</f>
        <v>45809</v>
      </c>
      <c r="N1660" t="str">
        <f>IF(WEEKDAY(tblTransactions[[#This Row],[date]],2)&gt;5,"Weekend","Weekday")</f>
        <v>Weekend</v>
      </c>
      <c r="O166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60" s="13" t="str">
        <f>_xlfn.XLOOKUP(tblTransactions[[#This Row],[tenant_id]],tblTenants[tenant_id],tblTenants[zone],"NOT FOUND")</f>
        <v>Beauty &amp; Wellness</v>
      </c>
      <c r="Q1660" s="13" t="str">
        <f>_xlfn.XLOOKUP(tblTransactions[[#This Row],[tenant_id]],tblTenants[tenant_id],tblTenants[category],"NOT FOUND")</f>
        <v>Beauty</v>
      </c>
    </row>
    <row r="1661" spans="1:17">
      <c r="A1661" t="s">
        <v>1705</v>
      </c>
      <c r="B1661" s="2">
        <v>45719</v>
      </c>
      <c r="C1661">
        <v>12</v>
      </c>
      <c r="D1661" t="s">
        <v>98</v>
      </c>
      <c r="E1661" t="s">
        <v>12</v>
      </c>
      <c r="F1661" s="7">
        <v>535.24</v>
      </c>
      <c r="G1661" s="10">
        <v>0.15</v>
      </c>
      <c r="H1661" s="7">
        <v>454.95</v>
      </c>
      <c r="I1661">
        <v>4</v>
      </c>
      <c r="J1661" t="s">
        <v>16</v>
      </c>
      <c r="K1661" s="13">
        <f>ROUND(tblTransactions[[#This Row],[gross_sales_inr]]*(1-tblTransactions[[#This Row],[discount_pct]]),2)</f>
        <v>454.95</v>
      </c>
      <c r="L1661" t="str">
        <f>IF(ABS(tblTransactions[[#This Row],[net_sales_inr]]-tblTransactions[[#This Row],[Recalc_Net_Sales]])&lt;0.02,"OK","CHECK")</f>
        <v>OK</v>
      </c>
      <c r="M1661" s="14">
        <f>DATE(YEAR(tblTransactions[[#This Row],[date]]),MONTH(tblTransactions[[#This Row],[date]]),1)</f>
        <v>45717</v>
      </c>
      <c r="N1661" t="str">
        <f>IF(WEEKDAY(tblTransactions[[#This Row],[date]],2)&gt;5,"Weekend","Weekday")</f>
        <v>Weekday</v>
      </c>
      <c r="O166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61" s="13" t="str">
        <f>_xlfn.XLOOKUP(tblTransactions[[#This Row],[tenant_id]],tblTenants[tenant_id],tblTenants[zone],"NOT FOUND")</f>
        <v>Fashion Avenue</v>
      </c>
      <c r="Q1661" s="13" t="str">
        <f>_xlfn.XLOOKUP(tblTransactions[[#This Row],[tenant_id]],tblTenants[tenant_id],tblTenants[category],"NOT FOUND")</f>
        <v>Accessories</v>
      </c>
    </row>
    <row r="1662" spans="1:17">
      <c r="A1662" t="s">
        <v>1706</v>
      </c>
      <c r="B1662" s="2">
        <v>45797</v>
      </c>
      <c r="C1662">
        <v>12</v>
      </c>
      <c r="D1662" t="s">
        <v>104</v>
      </c>
      <c r="E1662" t="s">
        <v>32</v>
      </c>
      <c r="F1662" s="7">
        <v>451.9</v>
      </c>
      <c r="G1662" s="10">
        <v>0.2</v>
      </c>
      <c r="H1662" s="7">
        <v>361.52</v>
      </c>
      <c r="I1662">
        <v>1</v>
      </c>
      <c r="J1662" t="s">
        <v>13</v>
      </c>
      <c r="K1662" s="13">
        <f>ROUND(tblTransactions[[#This Row],[gross_sales_inr]]*(1-tblTransactions[[#This Row],[discount_pct]]),2)</f>
        <v>361.52</v>
      </c>
      <c r="L1662" t="str">
        <f>IF(ABS(tblTransactions[[#This Row],[net_sales_inr]]-tblTransactions[[#This Row],[Recalc_Net_Sales]])&lt;0.02,"OK","CHECK")</f>
        <v>OK</v>
      </c>
      <c r="M1662" s="14">
        <f>DATE(YEAR(tblTransactions[[#This Row],[date]]),MONTH(tblTransactions[[#This Row],[date]]),1)</f>
        <v>45778</v>
      </c>
      <c r="N1662" t="str">
        <f>IF(WEEKDAY(tblTransactions[[#This Row],[date]],2)&gt;5,"Weekend","Weekday")</f>
        <v>Weekday</v>
      </c>
      <c r="O166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62" s="13" t="str">
        <f>_xlfn.XLOOKUP(tblTransactions[[#This Row],[tenant_id]],tblTenants[tenant_id],tblTenants[zone],"NOT FOUND")</f>
        <v>Entertainment</v>
      </c>
      <c r="Q1662" s="13" t="str">
        <f>_xlfn.XLOOKUP(tblTransactions[[#This Row],[tenant_id]],tblTenants[tenant_id],tblTenants[category],"NOT FOUND")</f>
        <v>Family Entertainment</v>
      </c>
    </row>
    <row r="1663" spans="1:17">
      <c r="A1663" t="s">
        <v>1707</v>
      </c>
      <c r="B1663" s="2">
        <v>45681</v>
      </c>
      <c r="C1663">
        <v>20</v>
      </c>
      <c r="D1663" t="s">
        <v>23</v>
      </c>
      <c r="E1663" t="s">
        <v>12</v>
      </c>
      <c r="F1663" s="7">
        <v>5403.73</v>
      </c>
      <c r="G1663" s="10">
        <v>0</v>
      </c>
      <c r="H1663" s="7">
        <v>5403.73</v>
      </c>
      <c r="I1663">
        <v>2</v>
      </c>
      <c r="J1663" t="s">
        <v>13</v>
      </c>
      <c r="K1663" s="13">
        <f>ROUND(tblTransactions[[#This Row],[gross_sales_inr]]*(1-tblTransactions[[#This Row],[discount_pct]]),2)</f>
        <v>5403.73</v>
      </c>
      <c r="L1663" t="str">
        <f>IF(ABS(tblTransactions[[#This Row],[net_sales_inr]]-tblTransactions[[#This Row],[Recalc_Net_Sales]])&lt;0.02,"OK","CHECK")</f>
        <v>OK</v>
      </c>
      <c r="M1663" s="14">
        <f>DATE(YEAR(tblTransactions[[#This Row],[date]]),MONTH(tblTransactions[[#This Row],[date]]),1)</f>
        <v>45658</v>
      </c>
      <c r="N1663" t="str">
        <f>IF(WEEKDAY(tblTransactions[[#This Row],[date]],2)&gt;5,"Weekend","Weekday")</f>
        <v>Weekday</v>
      </c>
      <c r="O1663" s="13" t="str">
        <f>IF(tblTransactions[[#This Row],[discount_pct]]=0,"0%",IF(tblTransactions[[#This Row],[discount_pct]]&lt;=10%,"1–
10%",IF(tblTransactions[[#This Row],[discount_pct]]&lt;=20%,"11–20%","&gt;20%")))</f>
        <v>0%</v>
      </c>
      <c r="P1663" s="13" t="str">
        <f>_xlfn.XLOOKUP(tblTransactions[[#This Row],[tenant_id]],tblTenants[tenant_id],tblTenants[zone],"NOT FOUND")</f>
        <v>Entertainment</v>
      </c>
      <c r="Q1663" s="13" t="str">
        <f>_xlfn.XLOOKUP(tblTransactions[[#This Row],[tenant_id]],tblTenants[tenant_id],tblTenants[category],"NOT FOUND")</f>
        <v>Cinema</v>
      </c>
    </row>
    <row r="1664" spans="1:17">
      <c r="A1664" t="s">
        <v>1708</v>
      </c>
      <c r="B1664" s="2">
        <v>45757</v>
      </c>
      <c r="C1664">
        <v>21</v>
      </c>
      <c r="D1664" t="s">
        <v>57</v>
      </c>
      <c r="E1664" t="s">
        <v>12</v>
      </c>
      <c r="F1664" s="7">
        <v>1467.89</v>
      </c>
      <c r="G1664" s="10">
        <v>0.1</v>
      </c>
      <c r="H1664" s="7">
        <v>1321.1</v>
      </c>
      <c r="I1664">
        <v>1</v>
      </c>
      <c r="J1664" t="s">
        <v>16</v>
      </c>
      <c r="K1664" s="13">
        <f>ROUND(tblTransactions[[#This Row],[gross_sales_inr]]*(1-tblTransactions[[#This Row],[discount_pct]]),2)</f>
        <v>1321.1</v>
      </c>
      <c r="L1664" t="str">
        <f>IF(ABS(tblTransactions[[#This Row],[net_sales_inr]]-tblTransactions[[#This Row],[Recalc_Net_Sales]])&lt;0.02,"OK","CHECK")</f>
        <v>OK</v>
      </c>
      <c r="M1664" s="14">
        <f>DATE(YEAR(tblTransactions[[#This Row],[date]]),MONTH(tblTransactions[[#This Row],[date]]),1)</f>
        <v>45748</v>
      </c>
      <c r="N1664" t="str">
        <f>IF(WEEKDAY(tblTransactions[[#This Row],[date]],2)&gt;5,"Weekend","Weekday")</f>
        <v>Weekday</v>
      </c>
      <c r="O166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64" s="13" t="str">
        <f>_xlfn.XLOOKUP(tblTransactions[[#This Row],[tenant_id]],tblTenants[tenant_id],tblTenants[zone],"NOT FOUND")</f>
        <v>Food Court</v>
      </c>
      <c r="Q1664" s="13" t="str">
        <f>_xlfn.XLOOKUP(tblTransactions[[#This Row],[tenant_id]],tblTenants[tenant_id],tblTenants[category],"NOT FOUND")</f>
        <v>Casual Dining</v>
      </c>
    </row>
    <row r="1665" spans="1:17">
      <c r="A1665" t="s">
        <v>1709</v>
      </c>
      <c r="B1665" s="2">
        <v>45740</v>
      </c>
      <c r="C1665">
        <v>17</v>
      </c>
      <c r="D1665" t="s">
        <v>36</v>
      </c>
      <c r="E1665" t="s">
        <v>12</v>
      </c>
      <c r="F1665" s="7">
        <v>852.14</v>
      </c>
      <c r="G1665" s="10">
        <v>0.1</v>
      </c>
      <c r="H1665" s="7">
        <v>766.93</v>
      </c>
      <c r="I1665">
        <v>3</v>
      </c>
      <c r="J1665" t="s">
        <v>16</v>
      </c>
      <c r="K1665" s="13">
        <f>ROUND(tblTransactions[[#This Row],[gross_sales_inr]]*(1-tblTransactions[[#This Row],[discount_pct]]),2)</f>
        <v>766.93</v>
      </c>
      <c r="L1665" t="str">
        <f>IF(ABS(tblTransactions[[#This Row],[net_sales_inr]]-tblTransactions[[#This Row],[Recalc_Net_Sales]])&lt;0.02,"OK","CHECK")</f>
        <v>OK</v>
      </c>
      <c r="M1665" s="14">
        <f>DATE(YEAR(tblTransactions[[#This Row],[date]]),MONTH(tblTransactions[[#This Row],[date]]),1)</f>
        <v>45717</v>
      </c>
      <c r="N1665" t="str">
        <f>IF(WEEKDAY(tblTransactions[[#This Row],[date]],2)&gt;5,"Weekend","Weekday")</f>
        <v>Weekday</v>
      </c>
      <c r="O166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65" s="13" t="str">
        <f>_xlfn.XLOOKUP(tblTransactions[[#This Row],[tenant_id]],tblTenants[tenant_id],tblTenants[zone],"NOT FOUND")</f>
        <v>Home &amp; Living</v>
      </c>
      <c r="Q1665" s="13" t="str">
        <f>_xlfn.XLOOKUP(tblTransactions[[#This Row],[tenant_id]],tblTenants[tenant_id],tblTenants[category],"NOT FOUND")</f>
        <v>Electronics</v>
      </c>
    </row>
    <row r="1666" spans="1:17">
      <c r="A1666" t="s">
        <v>1710</v>
      </c>
      <c r="B1666" s="2">
        <v>45706</v>
      </c>
      <c r="C1666">
        <v>14</v>
      </c>
      <c r="D1666" t="s">
        <v>122</v>
      </c>
      <c r="E1666" t="s">
        <v>12</v>
      </c>
      <c r="F1666" s="7">
        <v>466.95</v>
      </c>
      <c r="G1666" s="10">
        <v>0</v>
      </c>
      <c r="H1666" s="7">
        <v>466.95</v>
      </c>
      <c r="I1666">
        <v>3</v>
      </c>
      <c r="J1666" t="s">
        <v>16</v>
      </c>
      <c r="K1666" s="13">
        <f>ROUND(tblTransactions[[#This Row],[gross_sales_inr]]*(1-tblTransactions[[#This Row],[discount_pct]]),2)</f>
        <v>466.95</v>
      </c>
      <c r="L1666" t="str">
        <f>IF(ABS(tblTransactions[[#This Row],[net_sales_inr]]-tblTransactions[[#This Row],[Recalc_Net_Sales]])&lt;0.02,"OK","CHECK")</f>
        <v>OK</v>
      </c>
      <c r="M1666" s="14">
        <f>DATE(YEAR(tblTransactions[[#This Row],[date]]),MONTH(tblTransactions[[#This Row],[date]]),1)</f>
        <v>45689</v>
      </c>
      <c r="N1666" t="str">
        <f>IF(WEEKDAY(tblTransactions[[#This Row],[date]],2)&gt;5,"Weekend","Weekday")</f>
        <v>Weekday</v>
      </c>
      <c r="O1666" s="13" t="str">
        <f>IF(tblTransactions[[#This Row],[discount_pct]]=0,"0%",IF(tblTransactions[[#This Row],[discount_pct]]&lt;=10%,"1–
10%",IF(tblTransactions[[#This Row],[discount_pct]]&lt;=20%,"11–20%","&gt;20%")))</f>
        <v>0%</v>
      </c>
      <c r="P1666" s="13" t="str">
        <f>_xlfn.XLOOKUP(tblTransactions[[#This Row],[tenant_id]],tblTenants[tenant_id],tblTenants[zone],"NOT FOUND")</f>
        <v>Beauty &amp; Wellness</v>
      </c>
      <c r="Q1666" s="13" t="str">
        <f>_xlfn.XLOOKUP(tblTransactions[[#This Row],[tenant_id]],tblTenants[tenant_id],tblTenants[category],"NOT FOUND")</f>
        <v>Wellness</v>
      </c>
    </row>
    <row r="1667" spans="1:17">
      <c r="A1667" t="s">
        <v>1711</v>
      </c>
      <c r="B1667" s="2">
        <v>45660</v>
      </c>
      <c r="C1667">
        <v>19</v>
      </c>
      <c r="D1667" t="s">
        <v>55</v>
      </c>
      <c r="E1667" t="s">
        <v>32</v>
      </c>
      <c r="F1667" s="7">
        <v>470.54</v>
      </c>
      <c r="G1667" s="10">
        <v>0.05</v>
      </c>
      <c r="H1667" s="7">
        <v>447.01</v>
      </c>
      <c r="I1667">
        <v>2</v>
      </c>
      <c r="J1667" t="s">
        <v>13</v>
      </c>
      <c r="K1667" s="13">
        <f>ROUND(tblTransactions[[#This Row],[gross_sales_inr]]*(1-tblTransactions[[#This Row],[discount_pct]]),2)</f>
        <v>447.01</v>
      </c>
      <c r="L1667" t="str">
        <f>IF(ABS(tblTransactions[[#This Row],[net_sales_inr]]-tblTransactions[[#This Row],[Recalc_Net_Sales]])&lt;0.02,"OK","CHECK")</f>
        <v>OK</v>
      </c>
      <c r="M1667" s="14">
        <f>DATE(YEAR(tblTransactions[[#This Row],[date]]),MONTH(tblTransactions[[#This Row],[date]]),1)</f>
        <v>45658</v>
      </c>
      <c r="N1667" t="str">
        <f>IF(WEEKDAY(tblTransactions[[#This Row],[date]],2)&gt;5,"Weekend","Weekday")</f>
        <v>Weekday</v>
      </c>
      <c r="O166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67" s="13" t="str">
        <f>_xlfn.XLOOKUP(tblTransactions[[#This Row],[tenant_id]],tblTenants[tenant_id],tblTenants[zone],"NOT FOUND")</f>
        <v>Food Court</v>
      </c>
      <c r="Q1667" s="13" t="str">
        <f>_xlfn.XLOOKUP(tblTransactions[[#This Row],[tenant_id]],tblTenants[tenant_id],tblTenants[category],"NOT FOUND")</f>
        <v>Quick Service</v>
      </c>
    </row>
    <row r="1668" spans="1:17">
      <c r="A1668" t="s">
        <v>1712</v>
      </c>
      <c r="B1668" s="2">
        <v>45812</v>
      </c>
      <c r="C1668">
        <v>13</v>
      </c>
      <c r="D1668" t="s">
        <v>45</v>
      </c>
      <c r="E1668" t="s">
        <v>12</v>
      </c>
      <c r="F1668" s="7">
        <v>643.42999999999995</v>
      </c>
      <c r="G1668" s="10">
        <v>0</v>
      </c>
      <c r="H1668" s="7">
        <v>643.42999999999995</v>
      </c>
      <c r="I1668">
        <v>2</v>
      </c>
      <c r="J1668" t="s">
        <v>16</v>
      </c>
      <c r="K1668" s="13">
        <f>ROUND(tblTransactions[[#This Row],[gross_sales_inr]]*(1-tblTransactions[[#This Row],[discount_pct]]),2)</f>
        <v>643.42999999999995</v>
      </c>
      <c r="L1668" t="str">
        <f>IF(ABS(tblTransactions[[#This Row],[net_sales_inr]]-tblTransactions[[#This Row],[Recalc_Net_Sales]])&lt;0.02,"OK","CHECK")</f>
        <v>OK</v>
      </c>
      <c r="M1668" s="14">
        <f>DATE(YEAR(tblTransactions[[#This Row],[date]]),MONTH(tblTransactions[[#This Row],[date]]),1)</f>
        <v>45809</v>
      </c>
      <c r="N1668" t="str">
        <f>IF(WEEKDAY(tblTransactions[[#This Row],[date]],2)&gt;5,"Weekend","Weekday")</f>
        <v>Weekday</v>
      </c>
      <c r="O1668" s="13" t="str">
        <f>IF(tblTransactions[[#This Row],[discount_pct]]=0,"0%",IF(tblTransactions[[#This Row],[discount_pct]]&lt;=10%,"1–
10%",IF(tblTransactions[[#This Row],[discount_pct]]&lt;=20%,"11–20%","&gt;20%")))</f>
        <v>0%</v>
      </c>
      <c r="P1668" s="13" t="str">
        <f>_xlfn.XLOOKUP(tblTransactions[[#This Row],[tenant_id]],tblTenants[tenant_id],tblTenants[zone],"NOT FOUND")</f>
        <v>Home &amp; Living</v>
      </c>
      <c r="Q1668" s="13" t="str">
        <f>_xlfn.XLOOKUP(tblTransactions[[#This Row],[tenant_id]],tblTenants[tenant_id],tblTenants[category],"NOT FOUND")</f>
        <v>Home Decor</v>
      </c>
    </row>
    <row r="1669" spans="1:17">
      <c r="A1669" t="s">
        <v>1713</v>
      </c>
      <c r="B1669" s="2">
        <v>45775</v>
      </c>
      <c r="C1669">
        <v>12</v>
      </c>
      <c r="D1669" t="s">
        <v>70</v>
      </c>
      <c r="E1669" t="s">
        <v>12</v>
      </c>
      <c r="F1669" s="7">
        <v>979.78</v>
      </c>
      <c r="G1669" s="10">
        <v>0.2</v>
      </c>
      <c r="H1669" s="7">
        <v>783.82</v>
      </c>
      <c r="I1669">
        <v>2</v>
      </c>
      <c r="J1669" t="s">
        <v>13</v>
      </c>
      <c r="K1669" s="13">
        <f>ROUND(tblTransactions[[#This Row],[gross_sales_inr]]*(1-tblTransactions[[#This Row],[discount_pct]]),2)</f>
        <v>783.82</v>
      </c>
      <c r="L1669" t="str">
        <f>IF(ABS(tblTransactions[[#This Row],[net_sales_inr]]-tblTransactions[[#This Row],[Recalc_Net_Sales]])&lt;0.02,"OK","CHECK")</f>
        <v>OK</v>
      </c>
      <c r="M1669" s="14">
        <f>DATE(YEAR(tblTransactions[[#This Row],[date]]),MONTH(tblTransactions[[#This Row],[date]]),1)</f>
        <v>45748</v>
      </c>
      <c r="N1669" t="str">
        <f>IF(WEEKDAY(tblTransactions[[#This Row],[date]],2)&gt;5,"Weekend","Weekday")</f>
        <v>Weekday</v>
      </c>
      <c r="O166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69" s="13" t="str">
        <f>_xlfn.XLOOKUP(tblTransactions[[#This Row],[tenant_id]],tblTenants[tenant_id],tblTenants[zone],"NOT FOUND")</f>
        <v>Food Court</v>
      </c>
      <c r="Q1669" s="13" t="str">
        <f>_xlfn.XLOOKUP(tblTransactions[[#This Row],[tenant_id]],tblTenants[tenant_id],tblTenants[category],"NOT FOUND")</f>
        <v>Quick Service</v>
      </c>
    </row>
    <row r="1670" spans="1:17">
      <c r="A1670" t="s">
        <v>1714</v>
      </c>
      <c r="B1670" s="2">
        <v>45705</v>
      </c>
      <c r="C1670">
        <v>17</v>
      </c>
      <c r="D1670" t="s">
        <v>72</v>
      </c>
      <c r="E1670" t="s">
        <v>32</v>
      </c>
      <c r="F1670" s="7">
        <v>688.1</v>
      </c>
      <c r="G1670" s="10">
        <v>0</v>
      </c>
      <c r="H1670" s="7">
        <v>688.1</v>
      </c>
      <c r="I1670">
        <v>1</v>
      </c>
      <c r="J1670" t="s">
        <v>13</v>
      </c>
      <c r="K1670" s="13">
        <f>ROUND(tblTransactions[[#This Row],[gross_sales_inr]]*(1-tblTransactions[[#This Row],[discount_pct]]),2)</f>
        <v>688.1</v>
      </c>
      <c r="L1670" t="str">
        <f>IF(ABS(tblTransactions[[#This Row],[net_sales_inr]]-tblTransactions[[#This Row],[Recalc_Net_Sales]])&lt;0.02,"OK","CHECK")</f>
        <v>OK</v>
      </c>
      <c r="M1670" s="14">
        <f>DATE(YEAR(tblTransactions[[#This Row],[date]]),MONTH(tblTransactions[[#This Row],[date]]),1)</f>
        <v>45689</v>
      </c>
      <c r="N1670" t="str">
        <f>IF(WEEKDAY(tblTransactions[[#This Row],[date]],2)&gt;5,"Weekend","Weekday")</f>
        <v>Weekday</v>
      </c>
      <c r="O1670" s="13" t="str">
        <f>IF(tblTransactions[[#This Row],[discount_pct]]=0,"0%",IF(tblTransactions[[#This Row],[discount_pct]]&lt;=10%,"1–
10%",IF(tblTransactions[[#This Row],[discount_pct]]&lt;=20%,"11–20%","&gt;20%")))</f>
        <v>0%</v>
      </c>
      <c r="P1670" s="13" t="str">
        <f>_xlfn.XLOOKUP(tblTransactions[[#This Row],[tenant_id]],tblTenants[tenant_id],tblTenants[zone],"NOT FOUND")</f>
        <v>Entertainment</v>
      </c>
      <c r="Q1670" s="13" t="str">
        <f>_xlfn.XLOOKUP(tblTransactions[[#This Row],[tenant_id]],tblTenants[tenant_id],tblTenants[category],"NOT FOUND")</f>
        <v>Arcade</v>
      </c>
    </row>
    <row r="1671" spans="1:17">
      <c r="A1671" t="s">
        <v>1715</v>
      </c>
      <c r="B1671" s="2">
        <v>45684</v>
      </c>
      <c r="C1671">
        <v>21</v>
      </c>
      <c r="D1671" t="s">
        <v>43</v>
      </c>
      <c r="E1671" t="s">
        <v>32</v>
      </c>
      <c r="F1671" s="7">
        <v>370.34</v>
      </c>
      <c r="G1671" s="10">
        <v>0</v>
      </c>
      <c r="H1671" s="7">
        <v>370.34</v>
      </c>
      <c r="I1671">
        <v>3</v>
      </c>
      <c r="J1671" t="s">
        <v>16</v>
      </c>
      <c r="K1671" s="13">
        <f>ROUND(tblTransactions[[#This Row],[gross_sales_inr]]*(1-tblTransactions[[#This Row],[discount_pct]]),2)</f>
        <v>370.34</v>
      </c>
      <c r="L1671" t="str">
        <f>IF(ABS(tblTransactions[[#This Row],[net_sales_inr]]-tblTransactions[[#This Row],[Recalc_Net_Sales]])&lt;0.02,"OK","CHECK")</f>
        <v>OK</v>
      </c>
      <c r="M1671" s="14">
        <f>DATE(YEAR(tblTransactions[[#This Row],[date]]),MONTH(tblTransactions[[#This Row],[date]]),1)</f>
        <v>45658</v>
      </c>
      <c r="N1671" t="str">
        <f>IF(WEEKDAY(tblTransactions[[#This Row],[date]],2)&gt;5,"Weekend","Weekday")</f>
        <v>Weekday</v>
      </c>
      <c r="O1671" s="13" t="str">
        <f>IF(tblTransactions[[#This Row],[discount_pct]]=0,"0%",IF(tblTransactions[[#This Row],[discount_pct]]&lt;=10%,"1–
10%",IF(tblTransactions[[#This Row],[discount_pct]]&lt;=20%,"11–20%","&gt;20%")))</f>
        <v>0%</v>
      </c>
      <c r="P1671" s="13" t="str">
        <f>_xlfn.XLOOKUP(tblTransactions[[#This Row],[tenant_id]],tblTenants[tenant_id],tblTenants[zone],"NOT FOUND")</f>
        <v>Food Court</v>
      </c>
      <c r="Q1671" s="13" t="str">
        <f>_xlfn.XLOOKUP(tblTransactions[[#This Row],[tenant_id]],tblTenants[tenant_id],tblTenants[category],"NOT FOUND")</f>
        <v>Casual Dining</v>
      </c>
    </row>
    <row r="1672" spans="1:17">
      <c r="A1672" t="s">
        <v>1716</v>
      </c>
      <c r="B1672" s="2">
        <v>45814</v>
      </c>
      <c r="C1672">
        <v>21</v>
      </c>
      <c r="D1672" t="s">
        <v>31</v>
      </c>
      <c r="E1672" t="s">
        <v>21</v>
      </c>
      <c r="F1672" s="7">
        <v>1504.25</v>
      </c>
      <c r="G1672" s="10">
        <v>0</v>
      </c>
      <c r="H1672" s="7">
        <v>1504.25</v>
      </c>
      <c r="I1672">
        <v>1</v>
      </c>
      <c r="J1672" t="s">
        <v>13</v>
      </c>
      <c r="K1672" s="13">
        <f>ROUND(tblTransactions[[#This Row],[gross_sales_inr]]*(1-tblTransactions[[#This Row],[discount_pct]]),2)</f>
        <v>1504.25</v>
      </c>
      <c r="L1672" t="str">
        <f>IF(ABS(tblTransactions[[#This Row],[net_sales_inr]]-tblTransactions[[#This Row],[Recalc_Net_Sales]])&lt;0.02,"OK","CHECK")</f>
        <v>OK</v>
      </c>
      <c r="M1672" s="14">
        <f>DATE(YEAR(tblTransactions[[#This Row],[date]]),MONTH(tblTransactions[[#This Row],[date]]),1)</f>
        <v>45809</v>
      </c>
      <c r="N1672" t="str">
        <f>IF(WEEKDAY(tblTransactions[[#This Row],[date]],2)&gt;5,"Weekend","Weekday")</f>
        <v>Weekday</v>
      </c>
      <c r="O1672" s="13" t="str">
        <f>IF(tblTransactions[[#This Row],[discount_pct]]=0,"0%",IF(tblTransactions[[#This Row],[discount_pct]]&lt;=10%,"1–
10%",IF(tblTransactions[[#This Row],[discount_pct]]&lt;=20%,"11–20%","&gt;20%")))</f>
        <v>0%</v>
      </c>
      <c r="P1672" s="13" t="str">
        <f>_xlfn.XLOOKUP(tblTransactions[[#This Row],[tenant_id]],tblTenants[tenant_id],tblTenants[zone],"NOT FOUND")</f>
        <v>Entertainment</v>
      </c>
      <c r="Q1672" s="13" t="str">
        <f>_xlfn.XLOOKUP(tblTransactions[[#This Row],[tenant_id]],tblTenants[tenant_id],tblTenants[category],"NOT FOUND")</f>
        <v>Arcade</v>
      </c>
    </row>
    <row r="1673" spans="1:17">
      <c r="A1673" t="s">
        <v>1717</v>
      </c>
      <c r="B1673" s="2">
        <v>45829</v>
      </c>
      <c r="C1673">
        <v>12</v>
      </c>
      <c r="D1673" t="s">
        <v>59</v>
      </c>
      <c r="E1673" t="s">
        <v>32</v>
      </c>
      <c r="F1673" s="7">
        <v>775.74</v>
      </c>
      <c r="G1673" s="10">
        <v>0</v>
      </c>
      <c r="H1673" s="7">
        <v>775.74</v>
      </c>
      <c r="I1673">
        <v>3</v>
      </c>
      <c r="J1673" t="s">
        <v>13</v>
      </c>
      <c r="K1673" s="13">
        <f>ROUND(tblTransactions[[#This Row],[gross_sales_inr]]*(1-tblTransactions[[#This Row],[discount_pct]]),2)</f>
        <v>775.74</v>
      </c>
      <c r="L1673" t="str">
        <f>IF(ABS(tblTransactions[[#This Row],[net_sales_inr]]-tblTransactions[[#This Row],[Recalc_Net_Sales]])&lt;0.02,"OK","CHECK")</f>
        <v>OK</v>
      </c>
      <c r="M1673" s="14">
        <f>DATE(YEAR(tblTransactions[[#This Row],[date]]),MONTH(tblTransactions[[#This Row],[date]]),1)</f>
        <v>45809</v>
      </c>
      <c r="N1673" t="str">
        <f>IF(WEEKDAY(tblTransactions[[#This Row],[date]],2)&gt;5,"Weekend","Weekday")</f>
        <v>Weekend</v>
      </c>
      <c r="O1673" s="13" t="str">
        <f>IF(tblTransactions[[#This Row],[discount_pct]]=0,"0%",IF(tblTransactions[[#This Row],[discount_pct]]&lt;=10%,"1–
10%",IF(tblTransactions[[#This Row],[discount_pct]]&lt;=20%,"11–20%","&gt;20%")))</f>
        <v>0%</v>
      </c>
      <c r="P1673" s="13" t="str">
        <f>_xlfn.XLOOKUP(tblTransactions[[#This Row],[tenant_id]],tblTenants[tenant_id],tblTenants[zone],"NOT FOUND")</f>
        <v>Fashion Avenue</v>
      </c>
      <c r="Q1673" s="13" t="str">
        <f>_xlfn.XLOOKUP(tblTransactions[[#This Row],[tenant_id]],tblTenants[tenant_id],tblTenants[category],"NOT FOUND")</f>
        <v>Footwear</v>
      </c>
    </row>
    <row r="1674" spans="1:17">
      <c r="A1674" t="s">
        <v>1718</v>
      </c>
      <c r="B1674" s="2">
        <v>45737</v>
      </c>
      <c r="C1674">
        <v>16</v>
      </c>
      <c r="D1674" t="s">
        <v>70</v>
      </c>
      <c r="E1674" t="s">
        <v>12</v>
      </c>
      <c r="F1674" s="7">
        <v>1171.08</v>
      </c>
      <c r="G1674" s="10">
        <v>0.15</v>
      </c>
      <c r="H1674" s="7">
        <v>995.42</v>
      </c>
      <c r="I1674">
        <v>2</v>
      </c>
      <c r="J1674" t="s">
        <v>16</v>
      </c>
      <c r="K1674" s="13">
        <f>ROUND(tblTransactions[[#This Row],[gross_sales_inr]]*(1-tblTransactions[[#This Row],[discount_pct]]),2)</f>
        <v>995.42</v>
      </c>
      <c r="L1674" t="str">
        <f>IF(ABS(tblTransactions[[#This Row],[net_sales_inr]]-tblTransactions[[#This Row],[Recalc_Net_Sales]])&lt;0.02,"OK","CHECK")</f>
        <v>OK</v>
      </c>
      <c r="M1674" s="14">
        <f>DATE(YEAR(tblTransactions[[#This Row],[date]]),MONTH(tblTransactions[[#This Row],[date]]),1)</f>
        <v>45717</v>
      </c>
      <c r="N1674" t="str">
        <f>IF(WEEKDAY(tblTransactions[[#This Row],[date]],2)&gt;5,"Weekend","Weekday")</f>
        <v>Weekday</v>
      </c>
      <c r="O167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74" s="13" t="str">
        <f>_xlfn.XLOOKUP(tblTransactions[[#This Row],[tenant_id]],tblTenants[tenant_id],tblTenants[zone],"NOT FOUND")</f>
        <v>Food Court</v>
      </c>
      <c r="Q1674" s="13" t="str">
        <f>_xlfn.XLOOKUP(tblTransactions[[#This Row],[tenant_id]],tblTenants[tenant_id],tblTenants[category],"NOT FOUND")</f>
        <v>Quick Service</v>
      </c>
    </row>
    <row r="1675" spans="1:17">
      <c r="A1675" t="s">
        <v>1719</v>
      </c>
      <c r="B1675" s="2">
        <v>45682</v>
      </c>
      <c r="C1675">
        <v>12</v>
      </c>
      <c r="D1675" t="s">
        <v>36</v>
      </c>
      <c r="E1675" t="s">
        <v>51</v>
      </c>
      <c r="F1675" s="7">
        <v>1520.91</v>
      </c>
      <c r="G1675" s="10">
        <v>0</v>
      </c>
      <c r="H1675" s="7">
        <v>1520.91</v>
      </c>
      <c r="I1675">
        <v>1</v>
      </c>
      <c r="J1675" t="s">
        <v>13</v>
      </c>
      <c r="K1675" s="13">
        <f>ROUND(tblTransactions[[#This Row],[gross_sales_inr]]*(1-tblTransactions[[#This Row],[discount_pct]]),2)</f>
        <v>1520.91</v>
      </c>
      <c r="L1675" t="str">
        <f>IF(ABS(tblTransactions[[#This Row],[net_sales_inr]]-tblTransactions[[#This Row],[Recalc_Net_Sales]])&lt;0.02,"OK","CHECK")</f>
        <v>OK</v>
      </c>
      <c r="M1675" s="14">
        <f>DATE(YEAR(tblTransactions[[#This Row],[date]]),MONTH(tblTransactions[[#This Row],[date]]),1)</f>
        <v>45658</v>
      </c>
      <c r="N1675" t="str">
        <f>IF(WEEKDAY(tblTransactions[[#This Row],[date]],2)&gt;5,"Weekend","Weekday")</f>
        <v>Weekend</v>
      </c>
      <c r="O1675" s="13" t="str">
        <f>IF(tblTransactions[[#This Row],[discount_pct]]=0,"0%",IF(tblTransactions[[#This Row],[discount_pct]]&lt;=10%,"1–
10%",IF(tblTransactions[[#This Row],[discount_pct]]&lt;=20%,"11–20%","&gt;20%")))</f>
        <v>0%</v>
      </c>
      <c r="P1675" s="13" t="str">
        <f>_xlfn.XLOOKUP(tblTransactions[[#This Row],[tenant_id]],tblTenants[tenant_id],tblTenants[zone],"NOT FOUND")</f>
        <v>Home &amp; Living</v>
      </c>
      <c r="Q1675" s="13" t="str">
        <f>_xlfn.XLOOKUP(tblTransactions[[#This Row],[tenant_id]],tblTenants[tenant_id],tblTenants[category],"NOT FOUND")</f>
        <v>Electronics</v>
      </c>
    </row>
    <row r="1676" spans="1:17">
      <c r="A1676" t="s">
        <v>1720</v>
      </c>
      <c r="B1676" s="2">
        <v>45700</v>
      </c>
      <c r="C1676">
        <v>16</v>
      </c>
      <c r="D1676" t="s">
        <v>53</v>
      </c>
      <c r="E1676" t="s">
        <v>12</v>
      </c>
      <c r="F1676" s="7">
        <v>2809.82</v>
      </c>
      <c r="G1676" s="10">
        <v>0</v>
      </c>
      <c r="H1676" s="7">
        <v>2809.82</v>
      </c>
      <c r="I1676">
        <v>1</v>
      </c>
      <c r="J1676" t="s">
        <v>13</v>
      </c>
      <c r="K1676" s="13">
        <f>ROUND(tblTransactions[[#This Row],[gross_sales_inr]]*(1-tblTransactions[[#This Row],[discount_pct]]),2)</f>
        <v>2809.82</v>
      </c>
      <c r="L1676" t="str">
        <f>IF(ABS(tblTransactions[[#This Row],[net_sales_inr]]-tblTransactions[[#This Row],[Recalc_Net_Sales]])&lt;0.02,"OK","CHECK")</f>
        <v>OK</v>
      </c>
      <c r="M1676" s="14">
        <f>DATE(YEAR(tblTransactions[[#This Row],[date]]),MONTH(tblTransactions[[#This Row],[date]]),1)</f>
        <v>45689</v>
      </c>
      <c r="N1676" t="str">
        <f>IF(WEEKDAY(tblTransactions[[#This Row],[date]],2)&gt;5,"Weekend","Weekday")</f>
        <v>Weekday</v>
      </c>
      <c r="O1676" s="13" t="str">
        <f>IF(tblTransactions[[#This Row],[discount_pct]]=0,"0%",IF(tblTransactions[[#This Row],[discount_pct]]&lt;=10%,"1–
10%",IF(tblTransactions[[#This Row],[discount_pct]]&lt;=20%,"11–20%","&gt;20%")))</f>
        <v>0%</v>
      </c>
      <c r="P1676" s="13" t="str">
        <f>_xlfn.XLOOKUP(tblTransactions[[#This Row],[tenant_id]],tblTenants[tenant_id],tblTenants[zone],"NOT FOUND")</f>
        <v>Beauty &amp; Wellness</v>
      </c>
      <c r="Q1676" s="13" t="str">
        <f>_xlfn.XLOOKUP(tblTransactions[[#This Row],[tenant_id]],tblTenants[tenant_id],tblTenants[category],"NOT FOUND")</f>
        <v>Beauty</v>
      </c>
    </row>
    <row r="1677" spans="1:17">
      <c r="A1677" t="s">
        <v>1721</v>
      </c>
      <c r="B1677" s="2">
        <v>45825</v>
      </c>
      <c r="C1677">
        <v>15</v>
      </c>
      <c r="D1677" t="s">
        <v>20</v>
      </c>
      <c r="E1677" t="s">
        <v>32</v>
      </c>
      <c r="F1677" s="7">
        <v>605.84</v>
      </c>
      <c r="G1677" s="10">
        <v>0</v>
      </c>
      <c r="H1677" s="7">
        <v>605.84</v>
      </c>
      <c r="I1677">
        <v>3</v>
      </c>
      <c r="J1677" t="s">
        <v>13</v>
      </c>
      <c r="K1677" s="13">
        <f>ROUND(tblTransactions[[#This Row],[gross_sales_inr]]*(1-tblTransactions[[#This Row],[discount_pct]]),2)</f>
        <v>605.84</v>
      </c>
      <c r="L1677" t="str">
        <f>IF(ABS(tblTransactions[[#This Row],[net_sales_inr]]-tblTransactions[[#This Row],[Recalc_Net_Sales]])&lt;0.02,"OK","CHECK")</f>
        <v>OK</v>
      </c>
      <c r="M1677" s="14">
        <f>DATE(YEAR(tblTransactions[[#This Row],[date]]),MONTH(tblTransactions[[#This Row],[date]]),1)</f>
        <v>45809</v>
      </c>
      <c r="N1677" t="str">
        <f>IF(WEEKDAY(tblTransactions[[#This Row],[date]],2)&gt;5,"Weekend","Weekday")</f>
        <v>Weekday</v>
      </c>
      <c r="O1677" s="13" t="str">
        <f>IF(tblTransactions[[#This Row],[discount_pct]]=0,"0%",IF(tblTransactions[[#This Row],[discount_pct]]&lt;=10%,"1–
10%",IF(tblTransactions[[#This Row],[discount_pct]]&lt;=20%,"11–20%","&gt;20%")))</f>
        <v>0%</v>
      </c>
      <c r="P1677" s="13" t="str">
        <f>_xlfn.XLOOKUP(tblTransactions[[#This Row],[tenant_id]],tblTenants[tenant_id],tblTenants[zone],"NOT FOUND")</f>
        <v>Fashion Avenue</v>
      </c>
      <c r="Q1677" s="13" t="str">
        <f>_xlfn.XLOOKUP(tblTransactions[[#This Row],[tenant_id]],tblTenants[tenant_id],tblTenants[category],"NOT FOUND")</f>
        <v>Accessories</v>
      </c>
    </row>
    <row r="1678" spans="1:17">
      <c r="A1678" t="s">
        <v>1722</v>
      </c>
      <c r="B1678" s="2">
        <v>45836</v>
      </c>
      <c r="C1678">
        <v>12</v>
      </c>
      <c r="D1678" t="s">
        <v>48</v>
      </c>
      <c r="E1678" t="s">
        <v>32</v>
      </c>
      <c r="F1678" s="7">
        <v>1173.8399999999999</v>
      </c>
      <c r="G1678" s="10">
        <v>0</v>
      </c>
      <c r="H1678" s="7">
        <v>1173.8399999999999</v>
      </c>
      <c r="I1678">
        <v>2</v>
      </c>
      <c r="J1678" t="s">
        <v>13</v>
      </c>
      <c r="K1678" s="13">
        <f>ROUND(tblTransactions[[#This Row],[gross_sales_inr]]*(1-tblTransactions[[#This Row],[discount_pct]]),2)</f>
        <v>1173.8399999999999</v>
      </c>
      <c r="L1678" t="str">
        <f>IF(ABS(tblTransactions[[#This Row],[net_sales_inr]]-tblTransactions[[#This Row],[Recalc_Net_Sales]])&lt;0.02,"OK","CHECK")</f>
        <v>OK</v>
      </c>
      <c r="M1678" s="14">
        <f>DATE(YEAR(tblTransactions[[#This Row],[date]]),MONTH(tblTransactions[[#This Row],[date]]),1)</f>
        <v>45809</v>
      </c>
      <c r="N1678" t="str">
        <f>IF(WEEKDAY(tblTransactions[[#This Row],[date]],2)&gt;5,"Weekend","Weekday")</f>
        <v>Weekend</v>
      </c>
      <c r="O1678" s="13" t="str">
        <f>IF(tblTransactions[[#This Row],[discount_pct]]=0,"0%",IF(tblTransactions[[#This Row],[discount_pct]]&lt;=10%,"1–
10%",IF(tblTransactions[[#This Row],[discount_pct]]&lt;=20%,"11–20%","&gt;20%")))</f>
        <v>0%</v>
      </c>
      <c r="P1678" s="13" t="str">
        <f>_xlfn.XLOOKUP(tblTransactions[[#This Row],[tenant_id]],tblTenants[tenant_id],tblTenants[zone],"NOT FOUND")</f>
        <v>Beauty &amp; Wellness</v>
      </c>
      <c r="Q1678" s="13" t="str">
        <f>_xlfn.XLOOKUP(tblTransactions[[#This Row],[tenant_id]],tblTenants[tenant_id],tblTenants[category],"NOT FOUND")</f>
        <v>Wellness</v>
      </c>
    </row>
    <row r="1679" spans="1:17">
      <c r="A1679" t="s">
        <v>1723</v>
      </c>
      <c r="B1679" s="2">
        <v>45671</v>
      </c>
      <c r="C1679">
        <v>21</v>
      </c>
      <c r="D1679" t="s">
        <v>70</v>
      </c>
      <c r="E1679" t="s">
        <v>32</v>
      </c>
      <c r="F1679" s="7">
        <v>434.04</v>
      </c>
      <c r="G1679" s="10">
        <v>0</v>
      </c>
      <c r="H1679" s="7">
        <v>434.04</v>
      </c>
      <c r="I1679">
        <v>4</v>
      </c>
      <c r="J1679" t="s">
        <v>16</v>
      </c>
      <c r="K1679" s="13">
        <f>ROUND(tblTransactions[[#This Row],[gross_sales_inr]]*(1-tblTransactions[[#This Row],[discount_pct]]),2)</f>
        <v>434.04</v>
      </c>
      <c r="L1679" t="str">
        <f>IF(ABS(tblTransactions[[#This Row],[net_sales_inr]]-tblTransactions[[#This Row],[Recalc_Net_Sales]])&lt;0.02,"OK","CHECK")</f>
        <v>OK</v>
      </c>
      <c r="M1679" s="14">
        <f>DATE(YEAR(tblTransactions[[#This Row],[date]]),MONTH(tblTransactions[[#This Row],[date]]),1)</f>
        <v>45658</v>
      </c>
      <c r="N1679" t="str">
        <f>IF(WEEKDAY(tblTransactions[[#This Row],[date]],2)&gt;5,"Weekend","Weekday")</f>
        <v>Weekday</v>
      </c>
      <c r="O1679" s="13" t="str">
        <f>IF(tblTransactions[[#This Row],[discount_pct]]=0,"0%",IF(tblTransactions[[#This Row],[discount_pct]]&lt;=10%,"1–
10%",IF(tblTransactions[[#This Row],[discount_pct]]&lt;=20%,"11–20%","&gt;20%")))</f>
        <v>0%</v>
      </c>
      <c r="P1679" s="13" t="str">
        <f>_xlfn.XLOOKUP(tblTransactions[[#This Row],[tenant_id]],tblTenants[tenant_id],tblTenants[zone],"NOT FOUND")</f>
        <v>Food Court</v>
      </c>
      <c r="Q1679" s="13" t="str">
        <f>_xlfn.XLOOKUP(tblTransactions[[#This Row],[tenant_id]],tblTenants[tenant_id],tblTenants[category],"NOT FOUND")</f>
        <v>Quick Service</v>
      </c>
    </row>
    <row r="1680" spans="1:17">
      <c r="A1680" t="s">
        <v>1724</v>
      </c>
      <c r="B1680" s="2">
        <v>45789</v>
      </c>
      <c r="C1680">
        <v>16</v>
      </c>
      <c r="D1680" t="s">
        <v>15</v>
      </c>
      <c r="E1680" t="s">
        <v>12</v>
      </c>
      <c r="F1680" s="7">
        <v>1104.46</v>
      </c>
      <c r="G1680" s="10">
        <v>0</v>
      </c>
      <c r="H1680" s="7">
        <v>1104.46</v>
      </c>
      <c r="I1680">
        <v>1</v>
      </c>
      <c r="J1680" t="s">
        <v>13</v>
      </c>
      <c r="K1680" s="13">
        <f>ROUND(tblTransactions[[#This Row],[gross_sales_inr]]*(1-tblTransactions[[#This Row],[discount_pct]]),2)</f>
        <v>1104.46</v>
      </c>
      <c r="L1680" t="str">
        <f>IF(ABS(tblTransactions[[#This Row],[net_sales_inr]]-tblTransactions[[#This Row],[Recalc_Net_Sales]])&lt;0.02,"OK","CHECK")</f>
        <v>OK</v>
      </c>
      <c r="M1680" s="14">
        <f>DATE(YEAR(tblTransactions[[#This Row],[date]]),MONTH(tblTransactions[[#This Row],[date]]),1)</f>
        <v>45778</v>
      </c>
      <c r="N1680" t="str">
        <f>IF(WEEKDAY(tblTransactions[[#This Row],[date]],2)&gt;5,"Weekend","Weekday")</f>
        <v>Weekday</v>
      </c>
      <c r="O1680" s="13" t="str">
        <f>IF(tblTransactions[[#This Row],[discount_pct]]=0,"0%",IF(tblTransactions[[#This Row],[discount_pct]]&lt;=10%,"1–
10%",IF(tblTransactions[[#This Row],[discount_pct]]&lt;=20%,"11–20%","&gt;20%")))</f>
        <v>0%</v>
      </c>
      <c r="P1680" s="13" t="str">
        <f>_xlfn.XLOOKUP(tblTransactions[[#This Row],[tenant_id]],tblTenants[tenant_id],tblTenants[zone],"NOT FOUND")</f>
        <v>Fashion Avenue</v>
      </c>
      <c r="Q1680" s="13" t="str">
        <f>_xlfn.XLOOKUP(tblTransactions[[#This Row],[tenant_id]],tblTenants[tenant_id],tblTenants[category],"NOT FOUND")</f>
        <v>Accessories</v>
      </c>
    </row>
    <row r="1681" spans="1:17">
      <c r="A1681" t="s">
        <v>1725</v>
      </c>
      <c r="B1681" s="2">
        <v>45820</v>
      </c>
      <c r="C1681">
        <v>14</v>
      </c>
      <c r="D1681" t="s">
        <v>104</v>
      </c>
      <c r="E1681" t="s">
        <v>12</v>
      </c>
      <c r="F1681" s="7">
        <v>790.96</v>
      </c>
      <c r="G1681" s="10">
        <v>0.15</v>
      </c>
      <c r="H1681" s="7">
        <v>672.32</v>
      </c>
      <c r="I1681">
        <v>3</v>
      </c>
      <c r="J1681" t="s">
        <v>16</v>
      </c>
      <c r="K1681" s="13">
        <f>ROUND(tblTransactions[[#This Row],[gross_sales_inr]]*(1-tblTransactions[[#This Row],[discount_pct]]),2)</f>
        <v>672.32</v>
      </c>
      <c r="L1681" t="str">
        <f>IF(ABS(tblTransactions[[#This Row],[net_sales_inr]]-tblTransactions[[#This Row],[Recalc_Net_Sales]])&lt;0.02,"OK","CHECK")</f>
        <v>OK</v>
      </c>
      <c r="M1681" s="14">
        <f>DATE(YEAR(tblTransactions[[#This Row],[date]]),MONTH(tblTransactions[[#This Row],[date]]),1)</f>
        <v>45809</v>
      </c>
      <c r="N1681" t="str">
        <f>IF(WEEKDAY(tblTransactions[[#This Row],[date]],2)&gt;5,"Weekend","Weekday")</f>
        <v>Weekday</v>
      </c>
      <c r="O168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81" s="13" t="str">
        <f>_xlfn.XLOOKUP(tblTransactions[[#This Row],[tenant_id]],tblTenants[tenant_id],tblTenants[zone],"NOT FOUND")</f>
        <v>Entertainment</v>
      </c>
      <c r="Q1681" s="13" t="str">
        <f>_xlfn.XLOOKUP(tblTransactions[[#This Row],[tenant_id]],tblTenants[tenant_id],tblTenants[category],"NOT FOUND")</f>
        <v>Family Entertainment</v>
      </c>
    </row>
    <row r="1682" spans="1:17">
      <c r="A1682" t="s">
        <v>1726</v>
      </c>
      <c r="B1682" s="2">
        <v>45744</v>
      </c>
      <c r="C1682">
        <v>16</v>
      </c>
      <c r="D1682" t="s">
        <v>204</v>
      </c>
      <c r="E1682" t="s">
        <v>21</v>
      </c>
      <c r="F1682" s="7">
        <v>2315.1999999999998</v>
      </c>
      <c r="G1682" s="10">
        <v>0</v>
      </c>
      <c r="H1682" s="7">
        <v>2315.1999999999998</v>
      </c>
      <c r="I1682">
        <v>4</v>
      </c>
      <c r="J1682" t="s">
        <v>16</v>
      </c>
      <c r="K1682" s="13">
        <f>ROUND(tblTransactions[[#This Row],[gross_sales_inr]]*(1-tblTransactions[[#This Row],[discount_pct]]),2)</f>
        <v>2315.1999999999998</v>
      </c>
      <c r="L1682" t="str">
        <f>IF(ABS(tblTransactions[[#This Row],[net_sales_inr]]-tblTransactions[[#This Row],[Recalc_Net_Sales]])&lt;0.02,"OK","CHECK")</f>
        <v>OK</v>
      </c>
      <c r="M1682" s="14">
        <f>DATE(YEAR(tblTransactions[[#This Row],[date]]),MONTH(tblTransactions[[#This Row],[date]]),1)</f>
        <v>45717</v>
      </c>
      <c r="N1682" t="str">
        <f>IF(WEEKDAY(tblTransactions[[#This Row],[date]],2)&gt;5,"Weekend","Weekday")</f>
        <v>Weekday</v>
      </c>
      <c r="O1682" s="13" t="str">
        <f>IF(tblTransactions[[#This Row],[discount_pct]]=0,"0%",IF(tblTransactions[[#This Row],[discount_pct]]&lt;=10%,"1–
10%",IF(tblTransactions[[#This Row],[discount_pct]]&lt;=20%,"11–20%","&gt;20%")))</f>
        <v>0%</v>
      </c>
      <c r="P1682" s="13" t="str">
        <f>_xlfn.XLOOKUP(tblTransactions[[#This Row],[tenant_id]],tblTenants[tenant_id],tblTenants[zone],"NOT FOUND")</f>
        <v>Home &amp; Living</v>
      </c>
      <c r="Q1682" s="13" t="str">
        <f>_xlfn.XLOOKUP(tblTransactions[[#This Row],[tenant_id]],tblTenants[tenant_id],tblTenants[category],"NOT FOUND")</f>
        <v>Home Decor</v>
      </c>
    </row>
    <row r="1683" spans="1:17">
      <c r="A1683" t="s">
        <v>1727</v>
      </c>
      <c r="B1683" s="2">
        <v>45813</v>
      </c>
      <c r="C1683">
        <v>13</v>
      </c>
      <c r="D1683" t="s">
        <v>104</v>
      </c>
      <c r="E1683" t="s">
        <v>32</v>
      </c>
      <c r="F1683" s="7">
        <v>766.61</v>
      </c>
      <c r="G1683" s="10">
        <v>0.05</v>
      </c>
      <c r="H1683" s="7">
        <v>728.28</v>
      </c>
      <c r="I1683">
        <v>4</v>
      </c>
      <c r="J1683" t="s">
        <v>16</v>
      </c>
      <c r="K1683" s="13">
        <f>ROUND(tblTransactions[[#This Row],[gross_sales_inr]]*(1-tblTransactions[[#This Row],[discount_pct]]),2)</f>
        <v>728.28</v>
      </c>
      <c r="L1683" t="str">
        <f>IF(ABS(tblTransactions[[#This Row],[net_sales_inr]]-tblTransactions[[#This Row],[Recalc_Net_Sales]])&lt;0.02,"OK","CHECK")</f>
        <v>OK</v>
      </c>
      <c r="M1683" s="14">
        <f>DATE(YEAR(tblTransactions[[#This Row],[date]]),MONTH(tblTransactions[[#This Row],[date]]),1)</f>
        <v>45809</v>
      </c>
      <c r="N1683" t="str">
        <f>IF(WEEKDAY(tblTransactions[[#This Row],[date]],2)&gt;5,"Weekend","Weekday")</f>
        <v>Weekday</v>
      </c>
      <c r="O168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83" s="13" t="str">
        <f>_xlfn.XLOOKUP(tblTransactions[[#This Row],[tenant_id]],tblTenants[tenant_id],tblTenants[zone],"NOT FOUND")</f>
        <v>Entertainment</v>
      </c>
      <c r="Q1683" s="13" t="str">
        <f>_xlfn.XLOOKUP(tblTransactions[[#This Row],[tenant_id]],tblTenants[tenant_id],tblTenants[category],"NOT FOUND")</f>
        <v>Family Entertainment</v>
      </c>
    </row>
    <row r="1684" spans="1:17">
      <c r="A1684" t="s">
        <v>1728</v>
      </c>
      <c r="B1684" s="2">
        <v>45661</v>
      </c>
      <c r="C1684">
        <v>11</v>
      </c>
      <c r="D1684" t="s">
        <v>204</v>
      </c>
      <c r="E1684" t="s">
        <v>12</v>
      </c>
      <c r="F1684" s="7">
        <v>976.61</v>
      </c>
      <c r="G1684" s="10">
        <v>0.1</v>
      </c>
      <c r="H1684" s="7">
        <v>878.95</v>
      </c>
      <c r="I1684">
        <v>1</v>
      </c>
      <c r="J1684" t="s">
        <v>13</v>
      </c>
      <c r="K1684" s="13">
        <f>ROUND(tblTransactions[[#This Row],[gross_sales_inr]]*(1-tblTransactions[[#This Row],[discount_pct]]),2)</f>
        <v>878.95</v>
      </c>
      <c r="L1684" t="str">
        <f>IF(ABS(tblTransactions[[#This Row],[net_sales_inr]]-tblTransactions[[#This Row],[Recalc_Net_Sales]])&lt;0.02,"OK","CHECK")</f>
        <v>OK</v>
      </c>
      <c r="M1684" s="14">
        <f>DATE(YEAR(tblTransactions[[#This Row],[date]]),MONTH(tblTransactions[[#This Row],[date]]),1)</f>
        <v>45658</v>
      </c>
      <c r="N1684" t="str">
        <f>IF(WEEKDAY(tblTransactions[[#This Row],[date]],2)&gt;5,"Weekend","Weekday")</f>
        <v>Weekend</v>
      </c>
      <c r="O168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84" s="13" t="str">
        <f>_xlfn.XLOOKUP(tblTransactions[[#This Row],[tenant_id]],tblTenants[tenant_id],tblTenants[zone],"NOT FOUND")</f>
        <v>Home &amp; Living</v>
      </c>
      <c r="Q1684" s="13" t="str">
        <f>_xlfn.XLOOKUP(tblTransactions[[#This Row],[tenant_id]],tblTenants[tenant_id],tblTenants[category],"NOT FOUND")</f>
        <v>Home Decor</v>
      </c>
    </row>
    <row r="1685" spans="1:17">
      <c r="A1685" t="s">
        <v>1729</v>
      </c>
      <c r="B1685" s="2">
        <v>45800</v>
      </c>
      <c r="C1685">
        <v>20</v>
      </c>
      <c r="D1685" t="s">
        <v>122</v>
      </c>
      <c r="E1685" t="s">
        <v>21</v>
      </c>
      <c r="F1685" s="7">
        <v>1586.53</v>
      </c>
      <c r="G1685" s="10">
        <v>0</v>
      </c>
      <c r="H1685" s="7">
        <v>1586.53</v>
      </c>
      <c r="I1685">
        <v>3</v>
      </c>
      <c r="J1685" t="s">
        <v>13</v>
      </c>
      <c r="K1685" s="13">
        <f>ROUND(tblTransactions[[#This Row],[gross_sales_inr]]*(1-tblTransactions[[#This Row],[discount_pct]]),2)</f>
        <v>1586.53</v>
      </c>
      <c r="L1685" t="str">
        <f>IF(ABS(tblTransactions[[#This Row],[net_sales_inr]]-tblTransactions[[#This Row],[Recalc_Net_Sales]])&lt;0.02,"OK","CHECK")</f>
        <v>OK</v>
      </c>
      <c r="M1685" s="14">
        <f>DATE(YEAR(tblTransactions[[#This Row],[date]]),MONTH(tblTransactions[[#This Row],[date]]),1)</f>
        <v>45778</v>
      </c>
      <c r="N1685" t="str">
        <f>IF(WEEKDAY(tblTransactions[[#This Row],[date]],2)&gt;5,"Weekend","Weekday")</f>
        <v>Weekday</v>
      </c>
      <c r="O1685" s="13" t="str">
        <f>IF(tblTransactions[[#This Row],[discount_pct]]=0,"0%",IF(tblTransactions[[#This Row],[discount_pct]]&lt;=10%,"1–
10%",IF(tblTransactions[[#This Row],[discount_pct]]&lt;=20%,"11–20%","&gt;20%")))</f>
        <v>0%</v>
      </c>
      <c r="P1685" s="13" t="str">
        <f>_xlfn.XLOOKUP(tblTransactions[[#This Row],[tenant_id]],tblTenants[tenant_id],tblTenants[zone],"NOT FOUND")</f>
        <v>Beauty &amp; Wellness</v>
      </c>
      <c r="Q1685" s="13" t="str">
        <f>_xlfn.XLOOKUP(tblTransactions[[#This Row],[tenant_id]],tblTenants[tenant_id],tblTenants[category],"NOT FOUND")</f>
        <v>Wellness</v>
      </c>
    </row>
    <row r="1686" spans="1:17">
      <c r="A1686" t="s">
        <v>1730</v>
      </c>
      <c r="B1686" s="2">
        <v>45706</v>
      </c>
      <c r="C1686">
        <v>12</v>
      </c>
      <c r="D1686" t="s">
        <v>27</v>
      </c>
      <c r="E1686" t="s">
        <v>12</v>
      </c>
      <c r="F1686" s="7">
        <v>1055.74</v>
      </c>
      <c r="G1686" s="10">
        <v>0.05</v>
      </c>
      <c r="H1686" s="7">
        <v>1002.95</v>
      </c>
      <c r="I1686">
        <v>5</v>
      </c>
      <c r="J1686" t="s">
        <v>16</v>
      </c>
      <c r="K1686" s="13">
        <f>ROUND(tblTransactions[[#This Row],[gross_sales_inr]]*(1-tblTransactions[[#This Row],[discount_pct]]),2)</f>
        <v>1002.95</v>
      </c>
      <c r="L1686" t="str">
        <f>IF(ABS(tblTransactions[[#This Row],[net_sales_inr]]-tblTransactions[[#This Row],[Recalc_Net_Sales]])&lt;0.02,"OK","CHECK")</f>
        <v>OK</v>
      </c>
      <c r="M1686" s="14">
        <f>DATE(YEAR(tblTransactions[[#This Row],[date]]),MONTH(tblTransactions[[#This Row],[date]]),1)</f>
        <v>45689</v>
      </c>
      <c r="N1686" t="str">
        <f>IF(WEEKDAY(tblTransactions[[#This Row],[date]],2)&gt;5,"Weekend","Weekday")</f>
        <v>Weekday</v>
      </c>
      <c r="O168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86" s="13" t="str">
        <f>_xlfn.XLOOKUP(tblTransactions[[#This Row],[tenant_id]],tblTenants[tenant_id],tblTenants[zone],"NOT FOUND")</f>
        <v>Beauty &amp; Wellness</v>
      </c>
      <c r="Q1686" s="13" t="str">
        <f>_xlfn.XLOOKUP(tblTransactions[[#This Row],[tenant_id]],tblTenants[tenant_id],tblTenants[category],"NOT FOUND")</f>
        <v>Wellness</v>
      </c>
    </row>
    <row r="1687" spans="1:17">
      <c r="A1687" t="s">
        <v>1731</v>
      </c>
      <c r="B1687" s="2">
        <v>45709</v>
      </c>
      <c r="C1687">
        <v>22</v>
      </c>
      <c r="D1687" t="s">
        <v>43</v>
      </c>
      <c r="E1687" t="s">
        <v>12</v>
      </c>
      <c r="F1687" s="7">
        <v>898.1</v>
      </c>
      <c r="G1687" s="10">
        <v>0.15</v>
      </c>
      <c r="H1687" s="7">
        <v>763.38</v>
      </c>
      <c r="I1687">
        <v>3</v>
      </c>
      <c r="J1687" t="s">
        <v>13</v>
      </c>
      <c r="K1687" s="13">
        <f>ROUND(tblTransactions[[#This Row],[gross_sales_inr]]*(1-tblTransactions[[#This Row],[discount_pct]]),2)</f>
        <v>763.39</v>
      </c>
      <c r="L1687" t="str">
        <f>IF(ABS(tblTransactions[[#This Row],[net_sales_inr]]-tblTransactions[[#This Row],[Recalc_Net_Sales]])&lt;0.02,"OK","CHECK")</f>
        <v>OK</v>
      </c>
      <c r="M1687" s="14">
        <f>DATE(YEAR(tblTransactions[[#This Row],[date]]),MONTH(tblTransactions[[#This Row],[date]]),1)</f>
        <v>45689</v>
      </c>
      <c r="N1687" t="str">
        <f>IF(WEEKDAY(tblTransactions[[#This Row],[date]],2)&gt;5,"Weekend","Weekday")</f>
        <v>Weekday</v>
      </c>
      <c r="O168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87" s="13" t="str">
        <f>_xlfn.XLOOKUP(tblTransactions[[#This Row],[tenant_id]],tblTenants[tenant_id],tblTenants[zone],"NOT FOUND")</f>
        <v>Food Court</v>
      </c>
      <c r="Q1687" s="13" t="str">
        <f>_xlfn.XLOOKUP(tblTransactions[[#This Row],[tenant_id]],tblTenants[tenant_id],tblTenants[category],"NOT FOUND")</f>
        <v>Casual Dining</v>
      </c>
    </row>
    <row r="1688" spans="1:17">
      <c r="A1688" t="s">
        <v>1732</v>
      </c>
      <c r="B1688" s="2">
        <v>45679</v>
      </c>
      <c r="C1688">
        <v>19</v>
      </c>
      <c r="D1688" t="s">
        <v>72</v>
      </c>
      <c r="E1688" t="s">
        <v>12</v>
      </c>
      <c r="F1688" s="7">
        <v>567.91</v>
      </c>
      <c r="G1688" s="10">
        <v>0</v>
      </c>
      <c r="H1688" s="7">
        <v>567.91</v>
      </c>
      <c r="I1688">
        <v>3</v>
      </c>
      <c r="J1688" t="s">
        <v>16</v>
      </c>
      <c r="K1688" s="13">
        <f>ROUND(tblTransactions[[#This Row],[gross_sales_inr]]*(1-tblTransactions[[#This Row],[discount_pct]]),2)</f>
        <v>567.91</v>
      </c>
      <c r="L1688" t="str">
        <f>IF(ABS(tblTransactions[[#This Row],[net_sales_inr]]-tblTransactions[[#This Row],[Recalc_Net_Sales]])&lt;0.02,"OK","CHECK")</f>
        <v>OK</v>
      </c>
      <c r="M1688" s="14">
        <f>DATE(YEAR(tblTransactions[[#This Row],[date]]),MONTH(tblTransactions[[#This Row],[date]]),1)</f>
        <v>45658</v>
      </c>
      <c r="N1688" t="str">
        <f>IF(WEEKDAY(tblTransactions[[#This Row],[date]],2)&gt;5,"Weekend","Weekday")</f>
        <v>Weekday</v>
      </c>
      <c r="O1688" s="13" t="str">
        <f>IF(tblTransactions[[#This Row],[discount_pct]]=0,"0%",IF(tblTransactions[[#This Row],[discount_pct]]&lt;=10%,"1–
10%",IF(tblTransactions[[#This Row],[discount_pct]]&lt;=20%,"11–20%","&gt;20%")))</f>
        <v>0%</v>
      </c>
      <c r="P1688" s="13" t="str">
        <f>_xlfn.XLOOKUP(tblTransactions[[#This Row],[tenant_id]],tblTenants[tenant_id],tblTenants[zone],"NOT FOUND")</f>
        <v>Entertainment</v>
      </c>
      <c r="Q1688" s="13" t="str">
        <f>_xlfn.XLOOKUP(tblTransactions[[#This Row],[tenant_id]],tblTenants[tenant_id],tblTenants[category],"NOT FOUND")</f>
        <v>Arcade</v>
      </c>
    </row>
    <row r="1689" spans="1:17">
      <c r="A1689" t="s">
        <v>1733</v>
      </c>
      <c r="B1689" s="2">
        <v>45828</v>
      </c>
      <c r="C1689">
        <v>11</v>
      </c>
      <c r="D1689" t="s">
        <v>53</v>
      </c>
      <c r="E1689" t="s">
        <v>32</v>
      </c>
      <c r="F1689" s="7">
        <v>1648.27</v>
      </c>
      <c r="G1689" s="10">
        <v>0.1</v>
      </c>
      <c r="H1689" s="7">
        <v>1483.44</v>
      </c>
      <c r="I1689">
        <v>2</v>
      </c>
      <c r="J1689" t="s">
        <v>13</v>
      </c>
      <c r="K1689" s="13">
        <f>ROUND(tblTransactions[[#This Row],[gross_sales_inr]]*(1-tblTransactions[[#This Row],[discount_pct]]),2)</f>
        <v>1483.44</v>
      </c>
      <c r="L1689" t="str">
        <f>IF(ABS(tblTransactions[[#This Row],[net_sales_inr]]-tblTransactions[[#This Row],[Recalc_Net_Sales]])&lt;0.02,"OK","CHECK")</f>
        <v>OK</v>
      </c>
      <c r="M1689" s="14">
        <f>DATE(YEAR(tblTransactions[[#This Row],[date]]),MONTH(tblTransactions[[#This Row],[date]]),1)</f>
        <v>45809</v>
      </c>
      <c r="N1689" t="str">
        <f>IF(WEEKDAY(tblTransactions[[#This Row],[date]],2)&gt;5,"Weekend","Weekday")</f>
        <v>Weekday</v>
      </c>
      <c r="O168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89" s="13" t="str">
        <f>_xlfn.XLOOKUP(tblTransactions[[#This Row],[tenant_id]],tblTenants[tenant_id],tblTenants[zone],"NOT FOUND")</f>
        <v>Beauty &amp; Wellness</v>
      </c>
      <c r="Q1689" s="13" t="str">
        <f>_xlfn.XLOOKUP(tblTransactions[[#This Row],[tenant_id]],tblTenants[tenant_id],tblTenants[category],"NOT FOUND")</f>
        <v>Beauty</v>
      </c>
    </row>
    <row r="1690" spans="1:17">
      <c r="A1690" t="s">
        <v>1734</v>
      </c>
      <c r="B1690" s="2">
        <v>45685</v>
      </c>
      <c r="C1690">
        <v>14</v>
      </c>
      <c r="D1690" t="s">
        <v>53</v>
      </c>
      <c r="E1690" t="s">
        <v>32</v>
      </c>
      <c r="F1690" s="7">
        <v>1212.82</v>
      </c>
      <c r="G1690" s="10">
        <v>0</v>
      </c>
      <c r="H1690" s="7">
        <v>1212.82</v>
      </c>
      <c r="I1690">
        <v>2</v>
      </c>
      <c r="J1690" t="s">
        <v>13</v>
      </c>
      <c r="K1690" s="13">
        <f>ROUND(tblTransactions[[#This Row],[gross_sales_inr]]*(1-tblTransactions[[#This Row],[discount_pct]]),2)</f>
        <v>1212.82</v>
      </c>
      <c r="L1690" t="str">
        <f>IF(ABS(tblTransactions[[#This Row],[net_sales_inr]]-tblTransactions[[#This Row],[Recalc_Net_Sales]])&lt;0.02,"OK","CHECK")</f>
        <v>OK</v>
      </c>
      <c r="M1690" s="14">
        <f>DATE(YEAR(tblTransactions[[#This Row],[date]]),MONTH(tblTransactions[[#This Row],[date]]),1)</f>
        <v>45658</v>
      </c>
      <c r="N1690" t="str">
        <f>IF(WEEKDAY(tblTransactions[[#This Row],[date]],2)&gt;5,"Weekend","Weekday")</f>
        <v>Weekday</v>
      </c>
      <c r="O1690" s="13" t="str">
        <f>IF(tblTransactions[[#This Row],[discount_pct]]=0,"0%",IF(tblTransactions[[#This Row],[discount_pct]]&lt;=10%,"1–
10%",IF(tblTransactions[[#This Row],[discount_pct]]&lt;=20%,"11–20%","&gt;20%")))</f>
        <v>0%</v>
      </c>
      <c r="P1690" s="13" t="str">
        <f>_xlfn.XLOOKUP(tblTransactions[[#This Row],[tenant_id]],tblTenants[tenant_id],tblTenants[zone],"NOT FOUND")</f>
        <v>Beauty &amp; Wellness</v>
      </c>
      <c r="Q1690" s="13" t="str">
        <f>_xlfn.XLOOKUP(tblTransactions[[#This Row],[tenant_id]],tblTenants[tenant_id],tblTenants[category],"NOT FOUND")</f>
        <v>Beauty</v>
      </c>
    </row>
    <row r="1691" spans="1:17">
      <c r="A1691" t="s">
        <v>1735</v>
      </c>
      <c r="B1691" s="2">
        <v>45716</v>
      </c>
      <c r="C1691">
        <v>15</v>
      </c>
      <c r="D1691" t="s">
        <v>61</v>
      </c>
      <c r="E1691" t="s">
        <v>32</v>
      </c>
      <c r="F1691" s="7">
        <v>469.48</v>
      </c>
      <c r="G1691" s="10">
        <v>0.15</v>
      </c>
      <c r="H1691" s="7">
        <v>399.06</v>
      </c>
      <c r="I1691">
        <v>2</v>
      </c>
      <c r="J1691" t="s">
        <v>16</v>
      </c>
      <c r="K1691" s="13">
        <f>ROUND(tblTransactions[[#This Row],[gross_sales_inr]]*(1-tblTransactions[[#This Row],[discount_pct]]),2)</f>
        <v>399.06</v>
      </c>
      <c r="L1691" t="str">
        <f>IF(ABS(tblTransactions[[#This Row],[net_sales_inr]]-tblTransactions[[#This Row],[Recalc_Net_Sales]])&lt;0.02,"OK","CHECK")</f>
        <v>OK</v>
      </c>
      <c r="M1691" s="14">
        <f>DATE(YEAR(tblTransactions[[#This Row],[date]]),MONTH(tblTransactions[[#This Row],[date]]),1)</f>
        <v>45689</v>
      </c>
      <c r="N1691" t="str">
        <f>IF(WEEKDAY(tblTransactions[[#This Row],[date]],2)&gt;5,"Weekend","Weekday")</f>
        <v>Weekday</v>
      </c>
      <c r="O169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91" s="13" t="str">
        <f>_xlfn.XLOOKUP(tblTransactions[[#This Row],[tenant_id]],tblTenants[tenant_id],tblTenants[zone],"NOT FOUND")</f>
        <v>Food Court</v>
      </c>
      <c r="Q1691" s="13" t="str">
        <f>_xlfn.XLOOKUP(tblTransactions[[#This Row],[tenant_id]],tblTenants[tenant_id],tblTenants[category],"NOT FOUND")</f>
        <v>Quick Service</v>
      </c>
    </row>
    <row r="1692" spans="1:17">
      <c r="A1692" t="s">
        <v>1736</v>
      </c>
      <c r="B1692" s="2">
        <v>45797</v>
      </c>
      <c r="C1692">
        <v>22</v>
      </c>
      <c r="D1692" t="s">
        <v>20</v>
      </c>
      <c r="E1692" t="s">
        <v>12</v>
      </c>
      <c r="F1692" s="7">
        <v>989.89</v>
      </c>
      <c r="G1692" s="10">
        <v>0.15</v>
      </c>
      <c r="H1692" s="7">
        <v>841.41</v>
      </c>
      <c r="I1692">
        <v>1</v>
      </c>
      <c r="J1692" t="s">
        <v>13</v>
      </c>
      <c r="K1692" s="13">
        <f>ROUND(tblTransactions[[#This Row],[gross_sales_inr]]*(1-tblTransactions[[#This Row],[discount_pct]]),2)</f>
        <v>841.41</v>
      </c>
      <c r="L1692" t="str">
        <f>IF(ABS(tblTransactions[[#This Row],[net_sales_inr]]-tblTransactions[[#This Row],[Recalc_Net_Sales]])&lt;0.02,"OK","CHECK")</f>
        <v>OK</v>
      </c>
      <c r="M1692" s="14">
        <f>DATE(YEAR(tblTransactions[[#This Row],[date]]),MONTH(tblTransactions[[#This Row],[date]]),1)</f>
        <v>45778</v>
      </c>
      <c r="N1692" t="str">
        <f>IF(WEEKDAY(tblTransactions[[#This Row],[date]],2)&gt;5,"Weekend","Weekday")</f>
        <v>Weekday</v>
      </c>
      <c r="O169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92" s="13" t="str">
        <f>_xlfn.XLOOKUP(tblTransactions[[#This Row],[tenant_id]],tblTenants[tenant_id],tblTenants[zone],"NOT FOUND")</f>
        <v>Fashion Avenue</v>
      </c>
      <c r="Q1692" s="13" t="str">
        <f>_xlfn.XLOOKUP(tblTransactions[[#This Row],[tenant_id]],tblTenants[tenant_id],tblTenants[category],"NOT FOUND")</f>
        <v>Accessories</v>
      </c>
    </row>
    <row r="1693" spans="1:17">
      <c r="A1693" t="s">
        <v>1737</v>
      </c>
      <c r="B1693" s="2">
        <v>45727</v>
      </c>
      <c r="C1693">
        <v>21</v>
      </c>
      <c r="D1693" t="s">
        <v>43</v>
      </c>
      <c r="E1693" t="s">
        <v>12</v>
      </c>
      <c r="F1693" s="7">
        <v>1369.07</v>
      </c>
      <c r="G1693" s="10">
        <v>0</v>
      </c>
      <c r="H1693" s="7">
        <v>1369.07</v>
      </c>
      <c r="I1693">
        <v>6</v>
      </c>
      <c r="J1693" t="s">
        <v>13</v>
      </c>
      <c r="K1693" s="13">
        <f>ROUND(tblTransactions[[#This Row],[gross_sales_inr]]*(1-tblTransactions[[#This Row],[discount_pct]]),2)</f>
        <v>1369.07</v>
      </c>
      <c r="L1693" t="str">
        <f>IF(ABS(tblTransactions[[#This Row],[net_sales_inr]]-tblTransactions[[#This Row],[Recalc_Net_Sales]])&lt;0.02,"OK","CHECK")</f>
        <v>OK</v>
      </c>
      <c r="M1693" s="14">
        <f>DATE(YEAR(tblTransactions[[#This Row],[date]]),MONTH(tblTransactions[[#This Row],[date]]),1)</f>
        <v>45717</v>
      </c>
      <c r="N1693" t="str">
        <f>IF(WEEKDAY(tblTransactions[[#This Row],[date]],2)&gt;5,"Weekend","Weekday")</f>
        <v>Weekday</v>
      </c>
      <c r="O1693" s="13" t="str">
        <f>IF(tblTransactions[[#This Row],[discount_pct]]=0,"0%",IF(tblTransactions[[#This Row],[discount_pct]]&lt;=10%,"1–
10%",IF(tblTransactions[[#This Row],[discount_pct]]&lt;=20%,"11–20%","&gt;20%")))</f>
        <v>0%</v>
      </c>
      <c r="P1693" s="13" t="str">
        <f>_xlfn.XLOOKUP(tblTransactions[[#This Row],[tenant_id]],tblTenants[tenant_id],tblTenants[zone],"NOT FOUND")</f>
        <v>Food Court</v>
      </c>
      <c r="Q1693" s="13" t="str">
        <f>_xlfn.XLOOKUP(tblTransactions[[#This Row],[tenant_id]],tblTenants[tenant_id],tblTenants[category],"NOT FOUND")</f>
        <v>Casual Dining</v>
      </c>
    </row>
    <row r="1694" spans="1:17">
      <c r="A1694" t="s">
        <v>1738</v>
      </c>
      <c r="B1694" s="2">
        <v>45680</v>
      </c>
      <c r="C1694">
        <v>12</v>
      </c>
      <c r="D1694" t="s">
        <v>48</v>
      </c>
      <c r="E1694" t="s">
        <v>32</v>
      </c>
      <c r="F1694" s="7">
        <v>2498.4299999999998</v>
      </c>
      <c r="G1694" s="10">
        <v>0.15</v>
      </c>
      <c r="H1694" s="7">
        <v>2123.67</v>
      </c>
      <c r="I1694">
        <v>3</v>
      </c>
      <c r="J1694" t="s">
        <v>13</v>
      </c>
      <c r="K1694" s="13">
        <f>ROUND(tblTransactions[[#This Row],[gross_sales_inr]]*(1-tblTransactions[[#This Row],[discount_pct]]),2)</f>
        <v>2123.67</v>
      </c>
      <c r="L1694" t="str">
        <f>IF(ABS(tblTransactions[[#This Row],[net_sales_inr]]-tblTransactions[[#This Row],[Recalc_Net_Sales]])&lt;0.02,"OK","CHECK")</f>
        <v>OK</v>
      </c>
      <c r="M1694" s="14">
        <f>DATE(YEAR(tblTransactions[[#This Row],[date]]),MONTH(tblTransactions[[#This Row],[date]]),1)</f>
        <v>45658</v>
      </c>
      <c r="N1694" t="str">
        <f>IF(WEEKDAY(tblTransactions[[#This Row],[date]],2)&gt;5,"Weekend","Weekday")</f>
        <v>Weekday</v>
      </c>
      <c r="O169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94" s="13" t="str">
        <f>_xlfn.XLOOKUP(tblTransactions[[#This Row],[tenant_id]],tblTenants[tenant_id],tblTenants[zone],"NOT FOUND")</f>
        <v>Beauty &amp; Wellness</v>
      </c>
      <c r="Q1694" s="13" t="str">
        <f>_xlfn.XLOOKUP(tblTransactions[[#This Row],[tenant_id]],tblTenants[tenant_id],tblTenants[category],"NOT FOUND")</f>
        <v>Wellness</v>
      </c>
    </row>
    <row r="1695" spans="1:17">
      <c r="A1695" t="s">
        <v>1739</v>
      </c>
      <c r="B1695" s="2">
        <v>45796</v>
      </c>
      <c r="C1695">
        <v>12</v>
      </c>
      <c r="D1695" t="s">
        <v>36</v>
      </c>
      <c r="E1695" t="s">
        <v>12</v>
      </c>
      <c r="F1695" s="7">
        <v>677</v>
      </c>
      <c r="G1695" s="10">
        <v>0</v>
      </c>
      <c r="H1695" s="7">
        <v>677</v>
      </c>
      <c r="I1695">
        <v>2</v>
      </c>
      <c r="J1695" t="s">
        <v>13</v>
      </c>
      <c r="K1695" s="13">
        <f>ROUND(tblTransactions[[#This Row],[gross_sales_inr]]*(1-tblTransactions[[#This Row],[discount_pct]]),2)</f>
        <v>677</v>
      </c>
      <c r="L1695" t="str">
        <f>IF(ABS(tblTransactions[[#This Row],[net_sales_inr]]-tblTransactions[[#This Row],[Recalc_Net_Sales]])&lt;0.02,"OK","CHECK")</f>
        <v>OK</v>
      </c>
      <c r="M1695" s="14">
        <f>DATE(YEAR(tblTransactions[[#This Row],[date]]),MONTH(tblTransactions[[#This Row],[date]]),1)</f>
        <v>45778</v>
      </c>
      <c r="N1695" t="str">
        <f>IF(WEEKDAY(tblTransactions[[#This Row],[date]],2)&gt;5,"Weekend","Weekday")</f>
        <v>Weekday</v>
      </c>
      <c r="O1695" s="13" t="str">
        <f>IF(tblTransactions[[#This Row],[discount_pct]]=0,"0%",IF(tblTransactions[[#This Row],[discount_pct]]&lt;=10%,"1–
10%",IF(tblTransactions[[#This Row],[discount_pct]]&lt;=20%,"11–20%","&gt;20%")))</f>
        <v>0%</v>
      </c>
      <c r="P1695" s="13" t="str">
        <f>_xlfn.XLOOKUP(tblTransactions[[#This Row],[tenant_id]],tblTenants[tenant_id],tblTenants[zone],"NOT FOUND")</f>
        <v>Home &amp; Living</v>
      </c>
      <c r="Q1695" s="13" t="str">
        <f>_xlfn.XLOOKUP(tblTransactions[[#This Row],[tenant_id]],tblTenants[tenant_id],tblTenants[category],"NOT FOUND")</f>
        <v>Electronics</v>
      </c>
    </row>
    <row r="1696" spans="1:17">
      <c r="A1696" t="s">
        <v>1740</v>
      </c>
      <c r="B1696" s="2">
        <v>45765</v>
      </c>
      <c r="C1696">
        <v>21</v>
      </c>
      <c r="D1696" t="s">
        <v>87</v>
      </c>
      <c r="E1696" t="s">
        <v>32</v>
      </c>
      <c r="F1696" s="7">
        <v>1161.08</v>
      </c>
      <c r="G1696" s="10">
        <v>0</v>
      </c>
      <c r="H1696" s="7">
        <v>1161.08</v>
      </c>
      <c r="I1696">
        <v>1</v>
      </c>
      <c r="J1696" t="s">
        <v>13</v>
      </c>
      <c r="K1696" s="13">
        <f>ROUND(tblTransactions[[#This Row],[gross_sales_inr]]*(1-tblTransactions[[#This Row],[discount_pct]]),2)</f>
        <v>1161.08</v>
      </c>
      <c r="L1696" t="str">
        <f>IF(ABS(tblTransactions[[#This Row],[net_sales_inr]]-tblTransactions[[#This Row],[Recalc_Net_Sales]])&lt;0.02,"OK","CHECK")</f>
        <v>OK</v>
      </c>
      <c r="M1696" s="14">
        <f>DATE(YEAR(tblTransactions[[#This Row],[date]]),MONTH(tblTransactions[[#This Row],[date]]),1)</f>
        <v>45748</v>
      </c>
      <c r="N1696" t="str">
        <f>IF(WEEKDAY(tblTransactions[[#This Row],[date]],2)&gt;5,"Weekend","Weekday")</f>
        <v>Weekday</v>
      </c>
      <c r="O1696" s="13" t="str">
        <f>IF(tblTransactions[[#This Row],[discount_pct]]=0,"0%",IF(tblTransactions[[#This Row],[discount_pct]]&lt;=10%,"1–
10%",IF(tblTransactions[[#This Row],[discount_pct]]&lt;=20%,"11–20%","&gt;20%")))</f>
        <v>0%</v>
      </c>
      <c r="P1696" s="13" t="str">
        <f>_xlfn.XLOOKUP(tblTransactions[[#This Row],[tenant_id]],tblTenants[tenant_id],tblTenants[zone],"NOT FOUND")</f>
        <v>Fashion Avenue</v>
      </c>
      <c r="Q1696" s="13" t="str">
        <f>_xlfn.XLOOKUP(tblTransactions[[#This Row],[tenant_id]],tblTenants[tenant_id],tblTenants[category],"NOT FOUND")</f>
        <v>Footwear</v>
      </c>
    </row>
    <row r="1697" spans="1:17">
      <c r="A1697" t="s">
        <v>1741</v>
      </c>
      <c r="B1697" s="2">
        <v>45778</v>
      </c>
      <c r="C1697">
        <v>12</v>
      </c>
      <c r="D1697" t="s">
        <v>57</v>
      </c>
      <c r="E1697" t="s">
        <v>32</v>
      </c>
      <c r="F1697" s="7">
        <v>317.57</v>
      </c>
      <c r="G1697" s="10">
        <v>0.15</v>
      </c>
      <c r="H1697" s="7">
        <v>269.93</v>
      </c>
      <c r="I1697">
        <v>2</v>
      </c>
      <c r="J1697" t="s">
        <v>13</v>
      </c>
      <c r="K1697" s="13">
        <f>ROUND(tblTransactions[[#This Row],[gross_sales_inr]]*(1-tblTransactions[[#This Row],[discount_pct]]),2)</f>
        <v>269.93</v>
      </c>
      <c r="L1697" t="str">
        <f>IF(ABS(tblTransactions[[#This Row],[net_sales_inr]]-tblTransactions[[#This Row],[Recalc_Net_Sales]])&lt;0.02,"OK","CHECK")</f>
        <v>OK</v>
      </c>
      <c r="M1697" s="14">
        <f>DATE(YEAR(tblTransactions[[#This Row],[date]]),MONTH(tblTransactions[[#This Row],[date]]),1)</f>
        <v>45778</v>
      </c>
      <c r="N1697" t="str">
        <f>IF(WEEKDAY(tblTransactions[[#This Row],[date]],2)&gt;5,"Weekend","Weekday")</f>
        <v>Weekday</v>
      </c>
      <c r="O169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697" s="13" t="str">
        <f>_xlfn.XLOOKUP(tblTransactions[[#This Row],[tenant_id]],tblTenants[tenant_id],tblTenants[zone],"NOT FOUND")</f>
        <v>Food Court</v>
      </c>
      <c r="Q1697" s="13" t="str">
        <f>_xlfn.XLOOKUP(tblTransactions[[#This Row],[tenant_id]],tblTenants[tenant_id],tblTenants[category],"NOT FOUND")</f>
        <v>Casual Dining</v>
      </c>
    </row>
    <row r="1698" spans="1:17">
      <c r="A1698" t="s">
        <v>1742</v>
      </c>
      <c r="B1698" s="2">
        <v>45682</v>
      </c>
      <c r="C1698">
        <v>19</v>
      </c>
      <c r="D1698" t="s">
        <v>72</v>
      </c>
      <c r="E1698" t="s">
        <v>12</v>
      </c>
      <c r="F1698" s="7">
        <v>1437.27</v>
      </c>
      <c r="G1698" s="10">
        <v>0.1</v>
      </c>
      <c r="H1698" s="7">
        <v>1293.54</v>
      </c>
      <c r="I1698">
        <v>2</v>
      </c>
      <c r="J1698" t="s">
        <v>13</v>
      </c>
      <c r="K1698" s="13">
        <f>ROUND(tblTransactions[[#This Row],[gross_sales_inr]]*(1-tblTransactions[[#This Row],[discount_pct]]),2)</f>
        <v>1293.54</v>
      </c>
      <c r="L1698" t="str">
        <f>IF(ABS(tblTransactions[[#This Row],[net_sales_inr]]-tblTransactions[[#This Row],[Recalc_Net_Sales]])&lt;0.02,"OK","CHECK")</f>
        <v>OK</v>
      </c>
      <c r="M1698" s="14">
        <f>DATE(YEAR(tblTransactions[[#This Row],[date]]),MONTH(tblTransactions[[#This Row],[date]]),1)</f>
        <v>45658</v>
      </c>
      <c r="N1698" t="str">
        <f>IF(WEEKDAY(tblTransactions[[#This Row],[date]],2)&gt;5,"Weekend","Weekday")</f>
        <v>Weekend</v>
      </c>
      <c r="O169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698" s="13" t="str">
        <f>_xlfn.XLOOKUP(tblTransactions[[#This Row],[tenant_id]],tblTenants[tenant_id],tblTenants[zone],"NOT FOUND")</f>
        <v>Entertainment</v>
      </c>
      <c r="Q1698" s="13" t="str">
        <f>_xlfn.XLOOKUP(tblTransactions[[#This Row],[tenant_id]],tblTenants[tenant_id],tblTenants[category],"NOT FOUND")</f>
        <v>Arcade</v>
      </c>
    </row>
    <row r="1699" spans="1:17">
      <c r="A1699" t="s">
        <v>1743</v>
      </c>
      <c r="B1699" s="2">
        <v>45697</v>
      </c>
      <c r="C1699">
        <v>12</v>
      </c>
      <c r="D1699" t="s">
        <v>48</v>
      </c>
      <c r="E1699" t="s">
        <v>21</v>
      </c>
      <c r="F1699" s="7">
        <v>643.85</v>
      </c>
      <c r="G1699" s="10">
        <v>0</v>
      </c>
      <c r="H1699" s="7">
        <v>643.85</v>
      </c>
      <c r="I1699">
        <v>2</v>
      </c>
      <c r="J1699" t="s">
        <v>13</v>
      </c>
      <c r="K1699" s="13">
        <f>ROUND(tblTransactions[[#This Row],[gross_sales_inr]]*(1-tblTransactions[[#This Row],[discount_pct]]),2)</f>
        <v>643.85</v>
      </c>
      <c r="L1699" t="str">
        <f>IF(ABS(tblTransactions[[#This Row],[net_sales_inr]]-tblTransactions[[#This Row],[Recalc_Net_Sales]])&lt;0.02,"OK","CHECK")</f>
        <v>OK</v>
      </c>
      <c r="M1699" s="14">
        <f>DATE(YEAR(tblTransactions[[#This Row],[date]]),MONTH(tblTransactions[[#This Row],[date]]),1)</f>
        <v>45689</v>
      </c>
      <c r="N1699" t="str">
        <f>IF(WEEKDAY(tblTransactions[[#This Row],[date]],2)&gt;5,"Weekend","Weekday")</f>
        <v>Weekend</v>
      </c>
      <c r="O1699" s="13" t="str">
        <f>IF(tblTransactions[[#This Row],[discount_pct]]=0,"0%",IF(tblTransactions[[#This Row],[discount_pct]]&lt;=10%,"1–
10%",IF(tblTransactions[[#This Row],[discount_pct]]&lt;=20%,"11–20%","&gt;20%")))</f>
        <v>0%</v>
      </c>
      <c r="P1699" s="13" t="str">
        <f>_xlfn.XLOOKUP(tblTransactions[[#This Row],[tenant_id]],tblTenants[tenant_id],tblTenants[zone],"NOT FOUND")</f>
        <v>Beauty &amp; Wellness</v>
      </c>
      <c r="Q1699" s="13" t="str">
        <f>_xlfn.XLOOKUP(tblTransactions[[#This Row],[tenant_id]],tblTenants[tenant_id],tblTenants[category],"NOT FOUND")</f>
        <v>Wellness</v>
      </c>
    </row>
    <row r="1700" spans="1:17">
      <c r="A1700" t="s">
        <v>1744</v>
      </c>
      <c r="B1700" s="2">
        <v>45778</v>
      </c>
      <c r="C1700">
        <v>21</v>
      </c>
      <c r="D1700" t="s">
        <v>57</v>
      </c>
      <c r="E1700" t="s">
        <v>32</v>
      </c>
      <c r="F1700" s="7">
        <v>1027.06</v>
      </c>
      <c r="G1700" s="10">
        <v>0.1</v>
      </c>
      <c r="H1700" s="7">
        <v>924.35</v>
      </c>
      <c r="I1700">
        <v>2</v>
      </c>
      <c r="J1700" t="s">
        <v>13</v>
      </c>
      <c r="K1700" s="13">
        <f>ROUND(tblTransactions[[#This Row],[gross_sales_inr]]*(1-tblTransactions[[#This Row],[discount_pct]]),2)</f>
        <v>924.35</v>
      </c>
      <c r="L1700" t="str">
        <f>IF(ABS(tblTransactions[[#This Row],[net_sales_inr]]-tblTransactions[[#This Row],[Recalc_Net_Sales]])&lt;0.02,"OK","CHECK")</f>
        <v>OK</v>
      </c>
      <c r="M1700" s="14">
        <f>DATE(YEAR(tblTransactions[[#This Row],[date]]),MONTH(tblTransactions[[#This Row],[date]]),1)</f>
        <v>45778</v>
      </c>
      <c r="N1700" t="str">
        <f>IF(WEEKDAY(tblTransactions[[#This Row],[date]],2)&gt;5,"Weekend","Weekday")</f>
        <v>Weekday</v>
      </c>
      <c r="O170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00" s="13" t="str">
        <f>_xlfn.XLOOKUP(tblTransactions[[#This Row],[tenant_id]],tblTenants[tenant_id],tblTenants[zone],"NOT FOUND")</f>
        <v>Food Court</v>
      </c>
      <c r="Q1700" s="13" t="str">
        <f>_xlfn.XLOOKUP(tblTransactions[[#This Row],[tenant_id]],tblTenants[tenant_id],tblTenants[category],"NOT FOUND")</f>
        <v>Casual Dining</v>
      </c>
    </row>
    <row r="1701" spans="1:17">
      <c r="A1701" t="s">
        <v>1745</v>
      </c>
      <c r="B1701" s="2">
        <v>45799</v>
      </c>
      <c r="C1701">
        <v>17</v>
      </c>
      <c r="D1701" t="s">
        <v>122</v>
      </c>
      <c r="E1701" t="s">
        <v>12</v>
      </c>
      <c r="F1701" s="7">
        <v>892.03</v>
      </c>
      <c r="G1701" s="10">
        <v>0</v>
      </c>
      <c r="H1701" s="7">
        <v>892.03</v>
      </c>
      <c r="I1701">
        <v>3</v>
      </c>
      <c r="J1701" t="s">
        <v>13</v>
      </c>
      <c r="K1701" s="13">
        <f>ROUND(tblTransactions[[#This Row],[gross_sales_inr]]*(1-tblTransactions[[#This Row],[discount_pct]]),2)</f>
        <v>892.03</v>
      </c>
      <c r="L1701" t="str">
        <f>IF(ABS(tblTransactions[[#This Row],[net_sales_inr]]-tblTransactions[[#This Row],[Recalc_Net_Sales]])&lt;0.02,"OK","CHECK")</f>
        <v>OK</v>
      </c>
      <c r="M1701" s="14">
        <f>DATE(YEAR(tblTransactions[[#This Row],[date]]),MONTH(tblTransactions[[#This Row],[date]]),1)</f>
        <v>45778</v>
      </c>
      <c r="N1701" t="str">
        <f>IF(WEEKDAY(tblTransactions[[#This Row],[date]],2)&gt;5,"Weekend","Weekday")</f>
        <v>Weekday</v>
      </c>
      <c r="O1701" s="13" t="str">
        <f>IF(tblTransactions[[#This Row],[discount_pct]]=0,"0%",IF(tblTransactions[[#This Row],[discount_pct]]&lt;=10%,"1–
10%",IF(tblTransactions[[#This Row],[discount_pct]]&lt;=20%,"11–20%","&gt;20%")))</f>
        <v>0%</v>
      </c>
      <c r="P1701" s="13" t="str">
        <f>_xlfn.XLOOKUP(tblTransactions[[#This Row],[tenant_id]],tblTenants[tenant_id],tblTenants[zone],"NOT FOUND")</f>
        <v>Beauty &amp; Wellness</v>
      </c>
      <c r="Q1701" s="13" t="str">
        <f>_xlfn.XLOOKUP(tblTransactions[[#This Row],[tenant_id]],tblTenants[tenant_id],tblTenants[category],"NOT FOUND")</f>
        <v>Wellness</v>
      </c>
    </row>
    <row r="1702" spans="1:17">
      <c r="A1702" t="s">
        <v>1746</v>
      </c>
      <c r="B1702" s="2">
        <v>45716</v>
      </c>
      <c r="C1702">
        <v>21</v>
      </c>
      <c r="D1702" t="s">
        <v>31</v>
      </c>
      <c r="E1702" t="s">
        <v>12</v>
      </c>
      <c r="F1702" s="7">
        <v>5084.47</v>
      </c>
      <c r="G1702" s="10">
        <v>0</v>
      </c>
      <c r="H1702" s="7">
        <v>5084.47</v>
      </c>
      <c r="I1702">
        <v>2</v>
      </c>
      <c r="J1702" t="s">
        <v>16</v>
      </c>
      <c r="K1702" s="13">
        <f>ROUND(tblTransactions[[#This Row],[gross_sales_inr]]*(1-tblTransactions[[#This Row],[discount_pct]]),2)</f>
        <v>5084.47</v>
      </c>
      <c r="L1702" t="str">
        <f>IF(ABS(tblTransactions[[#This Row],[net_sales_inr]]-tblTransactions[[#This Row],[Recalc_Net_Sales]])&lt;0.02,"OK","CHECK")</f>
        <v>OK</v>
      </c>
      <c r="M1702" s="14">
        <f>DATE(YEAR(tblTransactions[[#This Row],[date]]),MONTH(tblTransactions[[#This Row],[date]]),1)</f>
        <v>45689</v>
      </c>
      <c r="N1702" t="str">
        <f>IF(WEEKDAY(tblTransactions[[#This Row],[date]],2)&gt;5,"Weekend","Weekday")</f>
        <v>Weekday</v>
      </c>
      <c r="O1702" s="13" t="str">
        <f>IF(tblTransactions[[#This Row],[discount_pct]]=0,"0%",IF(tblTransactions[[#This Row],[discount_pct]]&lt;=10%,"1–
10%",IF(tblTransactions[[#This Row],[discount_pct]]&lt;=20%,"11–20%","&gt;20%")))</f>
        <v>0%</v>
      </c>
      <c r="P1702" s="13" t="str">
        <f>_xlfn.XLOOKUP(tblTransactions[[#This Row],[tenant_id]],tblTenants[tenant_id],tblTenants[zone],"NOT FOUND")</f>
        <v>Entertainment</v>
      </c>
      <c r="Q1702" s="13" t="str">
        <f>_xlfn.XLOOKUP(tblTransactions[[#This Row],[tenant_id]],tblTenants[tenant_id],tblTenants[category],"NOT FOUND")</f>
        <v>Arcade</v>
      </c>
    </row>
    <row r="1703" spans="1:17">
      <c r="A1703" t="s">
        <v>1747</v>
      </c>
      <c r="B1703" s="2">
        <v>45782</v>
      </c>
      <c r="C1703">
        <v>21</v>
      </c>
      <c r="D1703" t="s">
        <v>48</v>
      </c>
      <c r="E1703" t="s">
        <v>12</v>
      </c>
      <c r="F1703" s="7">
        <v>539.80999999999995</v>
      </c>
      <c r="G1703" s="10">
        <v>0.1</v>
      </c>
      <c r="H1703" s="7">
        <v>485.83</v>
      </c>
      <c r="I1703">
        <v>1</v>
      </c>
      <c r="J1703" t="s">
        <v>16</v>
      </c>
      <c r="K1703" s="13">
        <f>ROUND(tblTransactions[[#This Row],[gross_sales_inr]]*(1-tblTransactions[[#This Row],[discount_pct]]),2)</f>
        <v>485.83</v>
      </c>
      <c r="L1703" t="str">
        <f>IF(ABS(tblTransactions[[#This Row],[net_sales_inr]]-tblTransactions[[#This Row],[Recalc_Net_Sales]])&lt;0.02,"OK","CHECK")</f>
        <v>OK</v>
      </c>
      <c r="M1703" s="14">
        <f>DATE(YEAR(tblTransactions[[#This Row],[date]]),MONTH(tblTransactions[[#This Row],[date]]),1)</f>
        <v>45778</v>
      </c>
      <c r="N1703" t="str">
        <f>IF(WEEKDAY(tblTransactions[[#This Row],[date]],2)&gt;5,"Weekend","Weekday")</f>
        <v>Weekday</v>
      </c>
      <c r="O170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03" s="13" t="str">
        <f>_xlfn.XLOOKUP(tblTransactions[[#This Row],[tenant_id]],tblTenants[tenant_id],tblTenants[zone],"NOT FOUND")</f>
        <v>Beauty &amp; Wellness</v>
      </c>
      <c r="Q1703" s="13" t="str">
        <f>_xlfn.XLOOKUP(tblTransactions[[#This Row],[tenant_id]],tblTenants[tenant_id],tblTenants[category],"NOT FOUND")</f>
        <v>Wellness</v>
      </c>
    </row>
    <row r="1704" spans="1:17">
      <c r="A1704" t="s">
        <v>1748</v>
      </c>
      <c r="B1704" s="2">
        <v>45750</v>
      </c>
      <c r="C1704">
        <v>21</v>
      </c>
      <c r="D1704" t="s">
        <v>55</v>
      </c>
      <c r="E1704" t="s">
        <v>12</v>
      </c>
      <c r="F1704" s="7">
        <v>453.24</v>
      </c>
      <c r="G1704" s="10">
        <v>0</v>
      </c>
      <c r="H1704" s="7">
        <v>453.24</v>
      </c>
      <c r="I1704">
        <v>2</v>
      </c>
      <c r="J1704" t="s">
        <v>16</v>
      </c>
      <c r="K1704" s="13">
        <f>ROUND(tblTransactions[[#This Row],[gross_sales_inr]]*(1-tblTransactions[[#This Row],[discount_pct]]),2)</f>
        <v>453.24</v>
      </c>
      <c r="L1704" t="str">
        <f>IF(ABS(tblTransactions[[#This Row],[net_sales_inr]]-tblTransactions[[#This Row],[Recalc_Net_Sales]])&lt;0.02,"OK","CHECK")</f>
        <v>OK</v>
      </c>
      <c r="M1704" s="14">
        <f>DATE(YEAR(tblTransactions[[#This Row],[date]]),MONTH(tblTransactions[[#This Row],[date]]),1)</f>
        <v>45748</v>
      </c>
      <c r="N1704" t="str">
        <f>IF(WEEKDAY(tblTransactions[[#This Row],[date]],2)&gt;5,"Weekend","Weekday")</f>
        <v>Weekday</v>
      </c>
      <c r="O1704" s="13" t="str">
        <f>IF(tblTransactions[[#This Row],[discount_pct]]=0,"0%",IF(tblTransactions[[#This Row],[discount_pct]]&lt;=10%,"1–
10%",IF(tblTransactions[[#This Row],[discount_pct]]&lt;=20%,"11–20%","&gt;20%")))</f>
        <v>0%</v>
      </c>
      <c r="P1704" s="13" t="str">
        <f>_xlfn.XLOOKUP(tblTransactions[[#This Row],[tenant_id]],tblTenants[tenant_id],tblTenants[zone],"NOT FOUND")</f>
        <v>Food Court</v>
      </c>
      <c r="Q1704" s="13" t="str">
        <f>_xlfn.XLOOKUP(tblTransactions[[#This Row],[tenant_id]],tblTenants[tenant_id],tblTenants[category],"NOT FOUND")</f>
        <v>Quick Service</v>
      </c>
    </row>
    <row r="1705" spans="1:17">
      <c r="A1705" t="s">
        <v>1749</v>
      </c>
      <c r="B1705" s="2">
        <v>45720</v>
      </c>
      <c r="C1705">
        <v>11</v>
      </c>
      <c r="D1705" t="s">
        <v>72</v>
      </c>
      <c r="E1705" t="s">
        <v>51</v>
      </c>
      <c r="F1705" s="7">
        <v>933.16</v>
      </c>
      <c r="G1705" s="10">
        <v>0.1</v>
      </c>
      <c r="H1705" s="7">
        <v>839.84</v>
      </c>
      <c r="I1705">
        <v>3</v>
      </c>
      <c r="J1705" t="s">
        <v>16</v>
      </c>
      <c r="K1705" s="13">
        <f>ROUND(tblTransactions[[#This Row],[gross_sales_inr]]*(1-tblTransactions[[#This Row],[discount_pct]]),2)</f>
        <v>839.84</v>
      </c>
      <c r="L1705" t="str">
        <f>IF(ABS(tblTransactions[[#This Row],[net_sales_inr]]-tblTransactions[[#This Row],[Recalc_Net_Sales]])&lt;0.02,"OK","CHECK")</f>
        <v>OK</v>
      </c>
      <c r="M1705" s="14">
        <f>DATE(YEAR(tblTransactions[[#This Row],[date]]),MONTH(tblTransactions[[#This Row],[date]]),1)</f>
        <v>45717</v>
      </c>
      <c r="N1705" t="str">
        <f>IF(WEEKDAY(tblTransactions[[#This Row],[date]],2)&gt;5,"Weekend","Weekday")</f>
        <v>Weekday</v>
      </c>
      <c r="O170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05" s="13" t="str">
        <f>_xlfn.XLOOKUP(tblTransactions[[#This Row],[tenant_id]],tblTenants[tenant_id],tblTenants[zone],"NOT FOUND")</f>
        <v>Entertainment</v>
      </c>
      <c r="Q1705" s="13" t="str">
        <f>_xlfn.XLOOKUP(tblTransactions[[#This Row],[tenant_id]],tblTenants[tenant_id],tblTenants[category],"NOT FOUND")</f>
        <v>Arcade</v>
      </c>
    </row>
    <row r="1706" spans="1:17">
      <c r="A1706" t="s">
        <v>1750</v>
      </c>
      <c r="B1706" s="2">
        <v>45774</v>
      </c>
      <c r="C1706">
        <v>13</v>
      </c>
      <c r="D1706" t="s">
        <v>53</v>
      </c>
      <c r="E1706" t="s">
        <v>32</v>
      </c>
      <c r="F1706" s="7">
        <v>2219.02</v>
      </c>
      <c r="G1706" s="10">
        <v>0.05</v>
      </c>
      <c r="H1706" s="7">
        <v>2108.0700000000002</v>
      </c>
      <c r="I1706">
        <v>6</v>
      </c>
      <c r="J1706" t="s">
        <v>13</v>
      </c>
      <c r="K1706" s="13">
        <f>ROUND(tblTransactions[[#This Row],[gross_sales_inr]]*(1-tblTransactions[[#This Row],[discount_pct]]),2)</f>
        <v>2108.0700000000002</v>
      </c>
      <c r="L1706" t="str">
        <f>IF(ABS(tblTransactions[[#This Row],[net_sales_inr]]-tblTransactions[[#This Row],[Recalc_Net_Sales]])&lt;0.02,"OK","CHECK")</f>
        <v>OK</v>
      </c>
      <c r="M1706" s="14">
        <f>DATE(YEAR(tblTransactions[[#This Row],[date]]),MONTH(tblTransactions[[#This Row],[date]]),1)</f>
        <v>45748</v>
      </c>
      <c r="N1706" t="str">
        <f>IF(WEEKDAY(tblTransactions[[#This Row],[date]],2)&gt;5,"Weekend","Weekday")</f>
        <v>Weekend</v>
      </c>
      <c r="O170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06" s="13" t="str">
        <f>_xlfn.XLOOKUP(tblTransactions[[#This Row],[tenant_id]],tblTenants[tenant_id],tblTenants[zone],"NOT FOUND")</f>
        <v>Beauty &amp; Wellness</v>
      </c>
      <c r="Q1706" s="13" t="str">
        <f>_xlfn.XLOOKUP(tblTransactions[[#This Row],[tenant_id]],tblTenants[tenant_id],tblTenants[category],"NOT FOUND")</f>
        <v>Beauty</v>
      </c>
    </row>
    <row r="1707" spans="1:17">
      <c r="A1707" t="s">
        <v>1751</v>
      </c>
      <c r="B1707" s="2">
        <v>45677</v>
      </c>
      <c r="C1707">
        <v>18</v>
      </c>
      <c r="D1707" t="s">
        <v>34</v>
      </c>
      <c r="E1707" t="s">
        <v>12</v>
      </c>
      <c r="F1707" s="7">
        <v>2174.29</v>
      </c>
      <c r="G1707" s="10">
        <v>0.3</v>
      </c>
      <c r="H1707" s="7">
        <v>1522</v>
      </c>
      <c r="I1707">
        <v>1</v>
      </c>
      <c r="J1707" t="s">
        <v>13</v>
      </c>
      <c r="K1707" s="13">
        <f>ROUND(tblTransactions[[#This Row],[gross_sales_inr]]*(1-tblTransactions[[#This Row],[discount_pct]]),2)</f>
        <v>1522</v>
      </c>
      <c r="L1707" t="str">
        <f>IF(ABS(tblTransactions[[#This Row],[net_sales_inr]]-tblTransactions[[#This Row],[Recalc_Net_Sales]])&lt;0.02,"OK","CHECK")</f>
        <v>OK</v>
      </c>
      <c r="M1707" s="14">
        <f>DATE(YEAR(tblTransactions[[#This Row],[date]]),MONTH(tblTransactions[[#This Row],[date]]),1)</f>
        <v>45658</v>
      </c>
      <c r="N1707" t="str">
        <f>IF(WEEKDAY(tblTransactions[[#This Row],[date]],2)&gt;5,"Weekend","Weekday")</f>
        <v>Weekday</v>
      </c>
      <c r="O170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707" s="13" t="str">
        <f>_xlfn.XLOOKUP(tblTransactions[[#This Row],[tenant_id]],tblTenants[tenant_id],tblTenants[zone],"NOT FOUND")</f>
        <v>Home &amp; Living</v>
      </c>
      <c r="Q1707" s="13" t="str">
        <f>_xlfn.XLOOKUP(tblTransactions[[#This Row],[tenant_id]],tblTenants[tenant_id],tblTenants[category],"NOT FOUND")</f>
        <v>Electronics</v>
      </c>
    </row>
    <row r="1708" spans="1:17">
      <c r="A1708" t="s">
        <v>1752</v>
      </c>
      <c r="B1708" s="2">
        <v>45693</v>
      </c>
      <c r="C1708">
        <v>16</v>
      </c>
      <c r="D1708" t="s">
        <v>48</v>
      </c>
      <c r="E1708" t="s">
        <v>12</v>
      </c>
      <c r="F1708" s="7">
        <v>1012.41</v>
      </c>
      <c r="G1708" s="10">
        <v>0</v>
      </c>
      <c r="H1708" s="7">
        <v>1012.41</v>
      </c>
      <c r="I1708">
        <v>2</v>
      </c>
      <c r="J1708" t="s">
        <v>13</v>
      </c>
      <c r="K1708" s="13">
        <f>ROUND(tblTransactions[[#This Row],[gross_sales_inr]]*(1-tblTransactions[[#This Row],[discount_pct]]),2)</f>
        <v>1012.41</v>
      </c>
      <c r="L1708" t="str">
        <f>IF(ABS(tblTransactions[[#This Row],[net_sales_inr]]-tblTransactions[[#This Row],[Recalc_Net_Sales]])&lt;0.02,"OK","CHECK")</f>
        <v>OK</v>
      </c>
      <c r="M1708" s="14">
        <f>DATE(YEAR(tblTransactions[[#This Row],[date]]),MONTH(tblTransactions[[#This Row],[date]]),1)</f>
        <v>45689</v>
      </c>
      <c r="N1708" t="str">
        <f>IF(WEEKDAY(tblTransactions[[#This Row],[date]],2)&gt;5,"Weekend","Weekday")</f>
        <v>Weekday</v>
      </c>
      <c r="O1708" s="13" t="str">
        <f>IF(tblTransactions[[#This Row],[discount_pct]]=0,"0%",IF(tblTransactions[[#This Row],[discount_pct]]&lt;=10%,"1–
10%",IF(tblTransactions[[#This Row],[discount_pct]]&lt;=20%,"11–20%","&gt;20%")))</f>
        <v>0%</v>
      </c>
      <c r="P1708" s="13" t="str">
        <f>_xlfn.XLOOKUP(tblTransactions[[#This Row],[tenant_id]],tblTenants[tenant_id],tblTenants[zone],"NOT FOUND")</f>
        <v>Beauty &amp; Wellness</v>
      </c>
      <c r="Q1708" s="13" t="str">
        <f>_xlfn.XLOOKUP(tblTransactions[[#This Row],[tenant_id]],tblTenants[tenant_id],tblTenants[category],"NOT FOUND")</f>
        <v>Wellness</v>
      </c>
    </row>
    <row r="1709" spans="1:17">
      <c r="A1709" t="s">
        <v>1753</v>
      </c>
      <c r="B1709" s="2">
        <v>45701</v>
      </c>
      <c r="C1709">
        <v>17</v>
      </c>
      <c r="D1709" t="s">
        <v>23</v>
      </c>
      <c r="E1709" t="s">
        <v>32</v>
      </c>
      <c r="F1709" s="7">
        <v>515.42999999999995</v>
      </c>
      <c r="G1709" s="10">
        <v>0.2</v>
      </c>
      <c r="H1709" s="7">
        <v>412.34</v>
      </c>
      <c r="I1709">
        <v>6</v>
      </c>
      <c r="J1709" t="s">
        <v>16</v>
      </c>
      <c r="K1709" s="13">
        <f>ROUND(tblTransactions[[#This Row],[gross_sales_inr]]*(1-tblTransactions[[#This Row],[discount_pct]]),2)</f>
        <v>412.34</v>
      </c>
      <c r="L1709" t="str">
        <f>IF(ABS(tblTransactions[[#This Row],[net_sales_inr]]-tblTransactions[[#This Row],[Recalc_Net_Sales]])&lt;0.02,"OK","CHECK")</f>
        <v>OK</v>
      </c>
      <c r="M1709" s="14">
        <f>DATE(YEAR(tblTransactions[[#This Row],[date]]),MONTH(tblTransactions[[#This Row],[date]]),1)</f>
        <v>45689</v>
      </c>
      <c r="N1709" t="str">
        <f>IF(WEEKDAY(tblTransactions[[#This Row],[date]],2)&gt;5,"Weekend","Weekday")</f>
        <v>Weekday</v>
      </c>
      <c r="O170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09" s="13" t="str">
        <f>_xlfn.XLOOKUP(tblTransactions[[#This Row],[tenant_id]],tblTenants[tenant_id],tblTenants[zone],"NOT FOUND")</f>
        <v>Entertainment</v>
      </c>
      <c r="Q1709" s="13" t="str">
        <f>_xlfn.XLOOKUP(tblTransactions[[#This Row],[tenant_id]],tblTenants[tenant_id],tblTenants[category],"NOT FOUND")</f>
        <v>Cinema</v>
      </c>
    </row>
    <row r="1710" spans="1:17">
      <c r="A1710" t="s">
        <v>1754</v>
      </c>
      <c r="B1710" s="2">
        <v>45662</v>
      </c>
      <c r="C1710">
        <v>11</v>
      </c>
      <c r="D1710" t="s">
        <v>41</v>
      </c>
      <c r="E1710" t="s">
        <v>32</v>
      </c>
      <c r="F1710" s="7">
        <v>1285.79</v>
      </c>
      <c r="G1710" s="10">
        <v>0.15</v>
      </c>
      <c r="H1710" s="7">
        <v>1092.92</v>
      </c>
      <c r="I1710">
        <v>3</v>
      </c>
      <c r="J1710" t="s">
        <v>16</v>
      </c>
      <c r="K1710" s="13">
        <f>ROUND(tblTransactions[[#This Row],[gross_sales_inr]]*(1-tblTransactions[[#This Row],[discount_pct]]),2)</f>
        <v>1092.92</v>
      </c>
      <c r="L1710" t="str">
        <f>IF(ABS(tblTransactions[[#This Row],[net_sales_inr]]-tblTransactions[[#This Row],[Recalc_Net_Sales]])&lt;0.02,"OK","CHECK")</f>
        <v>OK</v>
      </c>
      <c r="M1710" s="14">
        <f>DATE(YEAR(tblTransactions[[#This Row],[date]]),MONTH(tblTransactions[[#This Row],[date]]),1)</f>
        <v>45658</v>
      </c>
      <c r="N1710" t="str">
        <f>IF(WEEKDAY(tblTransactions[[#This Row],[date]],2)&gt;5,"Weekend","Weekday")</f>
        <v>Weekend</v>
      </c>
      <c r="O171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10" s="13" t="str">
        <f>_xlfn.XLOOKUP(tblTransactions[[#This Row],[tenant_id]],tblTenants[tenant_id],tblTenants[zone],"NOT FOUND")</f>
        <v>Fashion Avenue</v>
      </c>
      <c r="Q1710" s="13" t="str">
        <f>_xlfn.XLOOKUP(tblTransactions[[#This Row],[tenant_id]],tblTenants[tenant_id],tblTenants[category],"NOT FOUND")</f>
        <v>Clothing</v>
      </c>
    </row>
    <row r="1711" spans="1:17">
      <c r="A1711" t="s">
        <v>1755</v>
      </c>
      <c r="B1711" s="2">
        <v>45668</v>
      </c>
      <c r="C1711">
        <v>17</v>
      </c>
      <c r="D1711" t="s">
        <v>63</v>
      </c>
      <c r="E1711" t="s">
        <v>21</v>
      </c>
      <c r="F1711" s="7">
        <v>4501.92</v>
      </c>
      <c r="G1711" s="10">
        <v>0</v>
      </c>
      <c r="H1711" s="7">
        <v>4501.92</v>
      </c>
      <c r="I1711">
        <v>2</v>
      </c>
      <c r="J1711" t="s">
        <v>13</v>
      </c>
      <c r="K1711" s="13">
        <f>ROUND(tblTransactions[[#This Row],[gross_sales_inr]]*(1-tblTransactions[[#This Row],[discount_pct]]),2)</f>
        <v>4501.92</v>
      </c>
      <c r="L1711" t="str">
        <f>IF(ABS(tblTransactions[[#This Row],[net_sales_inr]]-tblTransactions[[#This Row],[Recalc_Net_Sales]])&lt;0.02,"OK","CHECK")</f>
        <v>OK</v>
      </c>
      <c r="M1711" s="14">
        <f>DATE(YEAR(tblTransactions[[#This Row],[date]]),MONTH(tblTransactions[[#This Row],[date]]),1)</f>
        <v>45658</v>
      </c>
      <c r="N1711" t="str">
        <f>IF(WEEKDAY(tblTransactions[[#This Row],[date]],2)&gt;5,"Weekend","Weekday")</f>
        <v>Weekend</v>
      </c>
      <c r="O1711" s="13" t="str">
        <f>IF(tblTransactions[[#This Row],[discount_pct]]=0,"0%",IF(tblTransactions[[#This Row],[discount_pct]]&lt;=10%,"1–
10%",IF(tblTransactions[[#This Row],[discount_pct]]&lt;=20%,"11–20%","&gt;20%")))</f>
        <v>0%</v>
      </c>
      <c r="P1711" s="13" t="str">
        <f>_xlfn.XLOOKUP(tblTransactions[[#This Row],[tenant_id]],tblTenants[tenant_id],tblTenants[zone],"NOT FOUND")</f>
        <v>Entertainment</v>
      </c>
      <c r="Q1711" s="13" t="str">
        <f>_xlfn.XLOOKUP(tblTransactions[[#This Row],[tenant_id]],tblTenants[tenant_id],tblTenants[category],"NOT FOUND")</f>
        <v>Family Entertainment</v>
      </c>
    </row>
    <row r="1712" spans="1:17">
      <c r="A1712" t="s">
        <v>1756</v>
      </c>
      <c r="B1712" s="2">
        <v>45825</v>
      </c>
      <c r="C1712">
        <v>15</v>
      </c>
      <c r="D1712" t="s">
        <v>80</v>
      </c>
      <c r="E1712" t="s">
        <v>12</v>
      </c>
      <c r="F1712" s="7">
        <v>2455.54</v>
      </c>
      <c r="G1712" s="10">
        <v>0</v>
      </c>
      <c r="H1712" s="7">
        <v>2455.54</v>
      </c>
      <c r="I1712">
        <v>3</v>
      </c>
      <c r="J1712" t="s">
        <v>13</v>
      </c>
      <c r="K1712" s="13">
        <f>ROUND(tblTransactions[[#This Row],[gross_sales_inr]]*(1-tblTransactions[[#This Row],[discount_pct]]),2)</f>
        <v>2455.54</v>
      </c>
      <c r="L1712" t="str">
        <f>IF(ABS(tblTransactions[[#This Row],[net_sales_inr]]-tblTransactions[[#This Row],[Recalc_Net_Sales]])&lt;0.02,"OK","CHECK")</f>
        <v>OK</v>
      </c>
      <c r="M1712" s="14">
        <f>DATE(YEAR(tblTransactions[[#This Row],[date]]),MONTH(tblTransactions[[#This Row],[date]]),1)</f>
        <v>45809</v>
      </c>
      <c r="N1712" t="str">
        <f>IF(WEEKDAY(tblTransactions[[#This Row],[date]],2)&gt;5,"Weekend","Weekday")</f>
        <v>Weekday</v>
      </c>
      <c r="O1712" s="13" t="str">
        <f>IF(tblTransactions[[#This Row],[discount_pct]]=0,"0%",IF(tblTransactions[[#This Row],[discount_pct]]&lt;=10%,"1–
10%",IF(tblTransactions[[#This Row],[discount_pct]]&lt;=20%,"11–20%","&gt;20%")))</f>
        <v>0%</v>
      </c>
      <c r="P1712" s="13" t="str">
        <f>_xlfn.XLOOKUP(tblTransactions[[#This Row],[tenant_id]],tblTenants[tenant_id],tblTenants[zone],"NOT FOUND")</f>
        <v>Food Court</v>
      </c>
      <c r="Q1712" s="13" t="str">
        <f>_xlfn.XLOOKUP(tblTransactions[[#This Row],[tenant_id]],tblTenants[tenant_id],tblTenants[category],"NOT FOUND")</f>
        <v>Casual Dining</v>
      </c>
    </row>
    <row r="1713" spans="1:17">
      <c r="A1713" t="s">
        <v>1757</v>
      </c>
      <c r="B1713" s="2">
        <v>45734</v>
      </c>
      <c r="C1713">
        <v>19</v>
      </c>
      <c r="D1713" t="s">
        <v>98</v>
      </c>
      <c r="E1713" t="s">
        <v>21</v>
      </c>
      <c r="F1713" s="7">
        <v>1688.99</v>
      </c>
      <c r="G1713" s="10">
        <v>0</v>
      </c>
      <c r="H1713" s="7">
        <v>1688.99</v>
      </c>
      <c r="I1713">
        <v>4</v>
      </c>
      <c r="J1713" t="s">
        <v>16</v>
      </c>
      <c r="K1713" s="13">
        <f>ROUND(tblTransactions[[#This Row],[gross_sales_inr]]*(1-tblTransactions[[#This Row],[discount_pct]]),2)</f>
        <v>1688.99</v>
      </c>
      <c r="L1713" t="str">
        <f>IF(ABS(tblTransactions[[#This Row],[net_sales_inr]]-tblTransactions[[#This Row],[Recalc_Net_Sales]])&lt;0.02,"OK","CHECK")</f>
        <v>OK</v>
      </c>
      <c r="M1713" s="14">
        <f>DATE(YEAR(tblTransactions[[#This Row],[date]]),MONTH(tblTransactions[[#This Row],[date]]),1)</f>
        <v>45717</v>
      </c>
      <c r="N1713" t="str">
        <f>IF(WEEKDAY(tblTransactions[[#This Row],[date]],2)&gt;5,"Weekend","Weekday")</f>
        <v>Weekday</v>
      </c>
      <c r="O1713" s="13" t="str">
        <f>IF(tblTransactions[[#This Row],[discount_pct]]=0,"0%",IF(tblTransactions[[#This Row],[discount_pct]]&lt;=10%,"1–
10%",IF(tblTransactions[[#This Row],[discount_pct]]&lt;=20%,"11–20%","&gt;20%")))</f>
        <v>0%</v>
      </c>
      <c r="P1713" s="13" t="str">
        <f>_xlfn.XLOOKUP(tblTransactions[[#This Row],[tenant_id]],tblTenants[tenant_id],tblTenants[zone],"NOT FOUND")</f>
        <v>Fashion Avenue</v>
      </c>
      <c r="Q1713" s="13" t="str">
        <f>_xlfn.XLOOKUP(tblTransactions[[#This Row],[tenant_id]],tblTenants[tenant_id],tblTenants[category],"NOT FOUND")</f>
        <v>Accessories</v>
      </c>
    </row>
    <row r="1714" spans="1:17">
      <c r="A1714" t="s">
        <v>1758</v>
      </c>
      <c r="B1714" s="2">
        <v>45739</v>
      </c>
      <c r="C1714">
        <v>16</v>
      </c>
      <c r="D1714" t="s">
        <v>15</v>
      </c>
      <c r="E1714" t="s">
        <v>32</v>
      </c>
      <c r="F1714" s="7">
        <v>2858.65</v>
      </c>
      <c r="G1714" s="10">
        <v>0.15</v>
      </c>
      <c r="H1714" s="7">
        <v>2429.85</v>
      </c>
      <c r="I1714">
        <v>1</v>
      </c>
      <c r="J1714" t="s">
        <v>16</v>
      </c>
      <c r="K1714" s="13">
        <f>ROUND(tblTransactions[[#This Row],[gross_sales_inr]]*(1-tblTransactions[[#This Row],[discount_pct]]),2)</f>
        <v>2429.85</v>
      </c>
      <c r="L1714" t="str">
        <f>IF(ABS(tblTransactions[[#This Row],[net_sales_inr]]-tblTransactions[[#This Row],[Recalc_Net_Sales]])&lt;0.02,"OK","CHECK")</f>
        <v>OK</v>
      </c>
      <c r="M1714" s="14">
        <f>DATE(YEAR(tblTransactions[[#This Row],[date]]),MONTH(tblTransactions[[#This Row],[date]]),1)</f>
        <v>45717</v>
      </c>
      <c r="N1714" t="str">
        <f>IF(WEEKDAY(tblTransactions[[#This Row],[date]],2)&gt;5,"Weekend","Weekday")</f>
        <v>Weekend</v>
      </c>
      <c r="O171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14" s="13" t="str">
        <f>_xlfn.XLOOKUP(tblTransactions[[#This Row],[tenant_id]],tblTenants[tenant_id],tblTenants[zone],"NOT FOUND")</f>
        <v>Fashion Avenue</v>
      </c>
      <c r="Q1714" s="13" t="str">
        <f>_xlfn.XLOOKUP(tblTransactions[[#This Row],[tenant_id]],tblTenants[tenant_id],tblTenants[category],"NOT FOUND")</f>
        <v>Accessories</v>
      </c>
    </row>
    <row r="1715" spans="1:17">
      <c r="A1715" t="s">
        <v>1759</v>
      </c>
      <c r="B1715" s="2">
        <v>45728</v>
      </c>
      <c r="C1715">
        <v>20</v>
      </c>
      <c r="D1715" t="s">
        <v>20</v>
      </c>
      <c r="E1715" t="s">
        <v>12</v>
      </c>
      <c r="F1715" s="7">
        <v>885.99</v>
      </c>
      <c r="G1715" s="10">
        <v>0</v>
      </c>
      <c r="H1715" s="7">
        <v>885.99</v>
      </c>
      <c r="I1715">
        <v>2</v>
      </c>
      <c r="J1715" t="s">
        <v>13</v>
      </c>
      <c r="K1715" s="13">
        <f>ROUND(tblTransactions[[#This Row],[gross_sales_inr]]*(1-tblTransactions[[#This Row],[discount_pct]]),2)</f>
        <v>885.99</v>
      </c>
      <c r="L1715" t="str">
        <f>IF(ABS(tblTransactions[[#This Row],[net_sales_inr]]-tblTransactions[[#This Row],[Recalc_Net_Sales]])&lt;0.02,"OK","CHECK")</f>
        <v>OK</v>
      </c>
      <c r="M1715" s="14">
        <f>DATE(YEAR(tblTransactions[[#This Row],[date]]),MONTH(tblTransactions[[#This Row],[date]]),1)</f>
        <v>45717</v>
      </c>
      <c r="N1715" t="str">
        <f>IF(WEEKDAY(tblTransactions[[#This Row],[date]],2)&gt;5,"Weekend","Weekday")</f>
        <v>Weekday</v>
      </c>
      <c r="O1715" s="13" t="str">
        <f>IF(tblTransactions[[#This Row],[discount_pct]]=0,"0%",IF(tblTransactions[[#This Row],[discount_pct]]&lt;=10%,"1–
10%",IF(tblTransactions[[#This Row],[discount_pct]]&lt;=20%,"11–20%","&gt;20%")))</f>
        <v>0%</v>
      </c>
      <c r="P1715" s="13" t="str">
        <f>_xlfn.XLOOKUP(tblTransactions[[#This Row],[tenant_id]],tblTenants[tenant_id],tblTenants[zone],"NOT FOUND")</f>
        <v>Fashion Avenue</v>
      </c>
      <c r="Q1715" s="13" t="str">
        <f>_xlfn.XLOOKUP(tblTransactions[[#This Row],[tenant_id]],tblTenants[tenant_id],tblTenants[category],"NOT FOUND")</f>
        <v>Accessories</v>
      </c>
    </row>
    <row r="1716" spans="1:17">
      <c r="A1716" t="s">
        <v>1760</v>
      </c>
      <c r="B1716" s="2">
        <v>45684</v>
      </c>
      <c r="C1716">
        <v>16</v>
      </c>
      <c r="D1716" t="s">
        <v>59</v>
      </c>
      <c r="E1716" t="s">
        <v>21</v>
      </c>
      <c r="F1716" s="7">
        <v>6750.17</v>
      </c>
      <c r="G1716" s="10">
        <v>0.2</v>
      </c>
      <c r="H1716" s="7">
        <v>5400.14</v>
      </c>
      <c r="I1716">
        <v>1</v>
      </c>
      <c r="J1716" t="s">
        <v>13</v>
      </c>
      <c r="K1716" s="13">
        <f>ROUND(tblTransactions[[#This Row],[gross_sales_inr]]*(1-tblTransactions[[#This Row],[discount_pct]]),2)</f>
        <v>5400.14</v>
      </c>
      <c r="L1716" t="str">
        <f>IF(ABS(tblTransactions[[#This Row],[net_sales_inr]]-tblTransactions[[#This Row],[Recalc_Net_Sales]])&lt;0.02,"OK","CHECK")</f>
        <v>OK</v>
      </c>
      <c r="M1716" s="14">
        <f>DATE(YEAR(tblTransactions[[#This Row],[date]]),MONTH(tblTransactions[[#This Row],[date]]),1)</f>
        <v>45658</v>
      </c>
      <c r="N1716" t="str">
        <f>IF(WEEKDAY(tblTransactions[[#This Row],[date]],2)&gt;5,"Weekend","Weekday")</f>
        <v>Weekday</v>
      </c>
      <c r="O171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16" s="13" t="str">
        <f>_xlfn.XLOOKUP(tblTransactions[[#This Row],[tenant_id]],tblTenants[tenant_id],tblTenants[zone],"NOT FOUND")</f>
        <v>Fashion Avenue</v>
      </c>
      <c r="Q1716" s="13" t="str">
        <f>_xlfn.XLOOKUP(tblTransactions[[#This Row],[tenant_id]],tblTenants[tenant_id],tblTenants[category],"NOT FOUND")</f>
        <v>Footwear</v>
      </c>
    </row>
    <row r="1717" spans="1:17">
      <c r="A1717" t="s">
        <v>1761</v>
      </c>
      <c r="B1717" s="2">
        <v>45719</v>
      </c>
      <c r="C1717">
        <v>11</v>
      </c>
      <c r="D1717" t="s">
        <v>59</v>
      </c>
      <c r="E1717" t="s">
        <v>12</v>
      </c>
      <c r="F1717" s="7">
        <v>643.74</v>
      </c>
      <c r="G1717" s="10">
        <v>0</v>
      </c>
      <c r="H1717" s="7">
        <v>643.74</v>
      </c>
      <c r="I1717">
        <v>4</v>
      </c>
      <c r="J1717" t="s">
        <v>13</v>
      </c>
      <c r="K1717" s="13">
        <f>ROUND(tblTransactions[[#This Row],[gross_sales_inr]]*(1-tblTransactions[[#This Row],[discount_pct]]),2)</f>
        <v>643.74</v>
      </c>
      <c r="L1717" t="str">
        <f>IF(ABS(tblTransactions[[#This Row],[net_sales_inr]]-tblTransactions[[#This Row],[Recalc_Net_Sales]])&lt;0.02,"OK","CHECK")</f>
        <v>OK</v>
      </c>
      <c r="M1717" s="14">
        <f>DATE(YEAR(tblTransactions[[#This Row],[date]]),MONTH(tblTransactions[[#This Row],[date]]),1)</f>
        <v>45717</v>
      </c>
      <c r="N1717" t="str">
        <f>IF(WEEKDAY(tblTransactions[[#This Row],[date]],2)&gt;5,"Weekend","Weekday")</f>
        <v>Weekday</v>
      </c>
      <c r="O1717" s="13" t="str">
        <f>IF(tblTransactions[[#This Row],[discount_pct]]=0,"0%",IF(tblTransactions[[#This Row],[discount_pct]]&lt;=10%,"1–
10%",IF(tblTransactions[[#This Row],[discount_pct]]&lt;=20%,"11–20%","&gt;20%")))</f>
        <v>0%</v>
      </c>
      <c r="P1717" s="13" t="str">
        <f>_xlfn.XLOOKUP(tblTransactions[[#This Row],[tenant_id]],tblTenants[tenant_id],tblTenants[zone],"NOT FOUND")</f>
        <v>Fashion Avenue</v>
      </c>
      <c r="Q1717" s="13" t="str">
        <f>_xlfn.XLOOKUP(tblTransactions[[#This Row],[tenant_id]],tblTenants[tenant_id],tblTenants[category],"NOT FOUND")</f>
        <v>Footwear</v>
      </c>
    </row>
    <row r="1718" spans="1:17">
      <c r="A1718" t="s">
        <v>1762</v>
      </c>
      <c r="B1718" s="2">
        <v>45679</v>
      </c>
      <c r="C1718">
        <v>19</v>
      </c>
      <c r="D1718" t="s">
        <v>85</v>
      </c>
      <c r="E1718" t="s">
        <v>32</v>
      </c>
      <c r="F1718" s="7">
        <v>651.23</v>
      </c>
      <c r="G1718" s="10">
        <v>0.1</v>
      </c>
      <c r="H1718" s="7">
        <v>586.11</v>
      </c>
      <c r="I1718">
        <v>2</v>
      </c>
      <c r="J1718" t="s">
        <v>13</v>
      </c>
      <c r="K1718" s="13">
        <f>ROUND(tblTransactions[[#This Row],[gross_sales_inr]]*(1-tblTransactions[[#This Row],[discount_pct]]),2)</f>
        <v>586.11</v>
      </c>
      <c r="L1718" t="str">
        <f>IF(ABS(tblTransactions[[#This Row],[net_sales_inr]]-tblTransactions[[#This Row],[Recalc_Net_Sales]])&lt;0.02,"OK","CHECK")</f>
        <v>OK</v>
      </c>
      <c r="M1718" s="14">
        <f>DATE(YEAR(tblTransactions[[#This Row],[date]]),MONTH(tblTransactions[[#This Row],[date]]),1)</f>
        <v>45658</v>
      </c>
      <c r="N1718" t="str">
        <f>IF(WEEKDAY(tblTransactions[[#This Row],[date]],2)&gt;5,"Weekend","Weekday")</f>
        <v>Weekday</v>
      </c>
      <c r="O171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18" s="13" t="str">
        <f>_xlfn.XLOOKUP(tblTransactions[[#This Row],[tenant_id]],tblTenants[tenant_id],tblTenants[zone],"NOT FOUND")</f>
        <v>Home &amp; Living</v>
      </c>
      <c r="Q1718" s="13" t="str">
        <f>_xlfn.XLOOKUP(tblTransactions[[#This Row],[tenant_id]],tblTenants[tenant_id],tblTenants[category],"NOT FOUND")</f>
        <v>Electronics</v>
      </c>
    </row>
    <row r="1719" spans="1:17">
      <c r="A1719" t="s">
        <v>1763</v>
      </c>
      <c r="B1719" s="2">
        <v>45691</v>
      </c>
      <c r="C1719">
        <v>22</v>
      </c>
      <c r="D1719" t="s">
        <v>18</v>
      </c>
      <c r="E1719" t="s">
        <v>32</v>
      </c>
      <c r="F1719" s="7">
        <v>451.75</v>
      </c>
      <c r="G1719" s="10">
        <v>0.1</v>
      </c>
      <c r="H1719" s="7">
        <v>406.57</v>
      </c>
      <c r="I1719">
        <v>2</v>
      </c>
      <c r="J1719" t="s">
        <v>16</v>
      </c>
      <c r="K1719" s="13">
        <f>ROUND(tblTransactions[[#This Row],[gross_sales_inr]]*(1-tblTransactions[[#This Row],[discount_pct]]),2)</f>
        <v>406.58</v>
      </c>
      <c r="L1719" t="str">
        <f>IF(ABS(tblTransactions[[#This Row],[net_sales_inr]]-tblTransactions[[#This Row],[Recalc_Net_Sales]])&lt;0.02,"OK","CHECK")</f>
        <v>OK</v>
      </c>
      <c r="M1719" s="14">
        <f>DATE(YEAR(tblTransactions[[#This Row],[date]]),MONTH(tblTransactions[[#This Row],[date]]),1)</f>
        <v>45689</v>
      </c>
      <c r="N1719" t="str">
        <f>IF(WEEKDAY(tblTransactions[[#This Row],[date]],2)&gt;5,"Weekend","Weekday")</f>
        <v>Weekday</v>
      </c>
      <c r="O171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19" s="13" t="str">
        <f>_xlfn.XLOOKUP(tblTransactions[[#This Row],[tenant_id]],tblTenants[tenant_id],tblTenants[zone],"NOT FOUND")</f>
        <v>Beauty &amp; Wellness</v>
      </c>
      <c r="Q1719" s="13" t="str">
        <f>_xlfn.XLOOKUP(tblTransactions[[#This Row],[tenant_id]],tblTenants[tenant_id],tblTenants[category],"NOT FOUND")</f>
        <v>Beauty</v>
      </c>
    </row>
    <row r="1720" spans="1:17">
      <c r="A1720" t="s">
        <v>1764</v>
      </c>
      <c r="B1720" s="2">
        <v>45748</v>
      </c>
      <c r="C1720">
        <v>22</v>
      </c>
      <c r="D1720" t="s">
        <v>25</v>
      </c>
      <c r="E1720" t="s">
        <v>12</v>
      </c>
      <c r="F1720" s="7">
        <v>1571.85</v>
      </c>
      <c r="G1720" s="10">
        <v>0</v>
      </c>
      <c r="H1720" s="7">
        <v>1571.85</v>
      </c>
      <c r="I1720">
        <v>5</v>
      </c>
      <c r="J1720" t="s">
        <v>16</v>
      </c>
      <c r="K1720" s="13">
        <f>ROUND(tblTransactions[[#This Row],[gross_sales_inr]]*(1-tblTransactions[[#This Row],[discount_pct]]),2)</f>
        <v>1571.85</v>
      </c>
      <c r="L1720" t="str">
        <f>IF(ABS(tblTransactions[[#This Row],[net_sales_inr]]-tblTransactions[[#This Row],[Recalc_Net_Sales]])&lt;0.02,"OK","CHECK")</f>
        <v>OK</v>
      </c>
      <c r="M1720" s="14">
        <f>DATE(YEAR(tblTransactions[[#This Row],[date]]),MONTH(tblTransactions[[#This Row],[date]]),1)</f>
        <v>45748</v>
      </c>
      <c r="N1720" t="str">
        <f>IF(WEEKDAY(tblTransactions[[#This Row],[date]],2)&gt;5,"Weekend","Weekday")</f>
        <v>Weekday</v>
      </c>
      <c r="O1720" s="13" t="str">
        <f>IF(tblTransactions[[#This Row],[discount_pct]]=0,"0%",IF(tblTransactions[[#This Row],[discount_pct]]&lt;=10%,"1–
10%",IF(tblTransactions[[#This Row],[discount_pct]]&lt;=20%,"11–20%","&gt;20%")))</f>
        <v>0%</v>
      </c>
      <c r="P1720" s="13" t="str">
        <f>_xlfn.XLOOKUP(tblTransactions[[#This Row],[tenant_id]],tblTenants[tenant_id],tblTenants[zone],"NOT FOUND")</f>
        <v>Beauty &amp; Wellness</v>
      </c>
      <c r="Q1720" s="13" t="str">
        <f>_xlfn.XLOOKUP(tblTransactions[[#This Row],[tenant_id]],tblTenants[tenant_id],tblTenants[category],"NOT FOUND")</f>
        <v>Beauty</v>
      </c>
    </row>
    <row r="1721" spans="1:17">
      <c r="A1721" t="s">
        <v>1765</v>
      </c>
      <c r="B1721" s="2">
        <v>45750</v>
      </c>
      <c r="C1721">
        <v>12</v>
      </c>
      <c r="D1721" t="s">
        <v>55</v>
      </c>
      <c r="E1721" t="s">
        <v>32</v>
      </c>
      <c r="F1721" s="7">
        <v>580.54999999999995</v>
      </c>
      <c r="G1721" s="10">
        <v>0.15</v>
      </c>
      <c r="H1721" s="7">
        <v>493.47</v>
      </c>
      <c r="I1721">
        <v>1</v>
      </c>
      <c r="J1721" t="s">
        <v>16</v>
      </c>
      <c r="K1721" s="13">
        <f>ROUND(tblTransactions[[#This Row],[gross_sales_inr]]*(1-tblTransactions[[#This Row],[discount_pct]]),2)</f>
        <v>493.47</v>
      </c>
      <c r="L1721" t="str">
        <f>IF(ABS(tblTransactions[[#This Row],[net_sales_inr]]-tblTransactions[[#This Row],[Recalc_Net_Sales]])&lt;0.02,"OK","CHECK")</f>
        <v>OK</v>
      </c>
      <c r="M1721" s="14">
        <f>DATE(YEAR(tblTransactions[[#This Row],[date]]),MONTH(tblTransactions[[#This Row],[date]]),1)</f>
        <v>45748</v>
      </c>
      <c r="N1721" t="str">
        <f>IF(WEEKDAY(tblTransactions[[#This Row],[date]],2)&gt;5,"Weekend","Weekday")</f>
        <v>Weekday</v>
      </c>
      <c r="O172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21" s="13" t="str">
        <f>_xlfn.XLOOKUP(tblTransactions[[#This Row],[tenant_id]],tblTenants[tenant_id],tblTenants[zone],"NOT FOUND")</f>
        <v>Food Court</v>
      </c>
      <c r="Q1721" s="13" t="str">
        <f>_xlfn.XLOOKUP(tblTransactions[[#This Row],[tenant_id]],tblTenants[tenant_id],tblTenants[category],"NOT FOUND")</f>
        <v>Quick Service</v>
      </c>
    </row>
    <row r="1722" spans="1:17">
      <c r="A1722" t="s">
        <v>1766</v>
      </c>
      <c r="B1722" s="2">
        <v>45781</v>
      </c>
      <c r="C1722">
        <v>15</v>
      </c>
      <c r="D1722" t="s">
        <v>63</v>
      </c>
      <c r="E1722" t="s">
        <v>12</v>
      </c>
      <c r="F1722" s="7">
        <v>758.44</v>
      </c>
      <c r="G1722" s="10">
        <v>0</v>
      </c>
      <c r="H1722" s="7">
        <v>758.44</v>
      </c>
      <c r="I1722">
        <v>2</v>
      </c>
      <c r="J1722" t="s">
        <v>16</v>
      </c>
      <c r="K1722" s="13">
        <f>ROUND(tblTransactions[[#This Row],[gross_sales_inr]]*(1-tblTransactions[[#This Row],[discount_pct]]),2)</f>
        <v>758.44</v>
      </c>
      <c r="L1722" t="str">
        <f>IF(ABS(tblTransactions[[#This Row],[net_sales_inr]]-tblTransactions[[#This Row],[Recalc_Net_Sales]])&lt;0.02,"OK","CHECK")</f>
        <v>OK</v>
      </c>
      <c r="M1722" s="14">
        <f>DATE(YEAR(tblTransactions[[#This Row],[date]]),MONTH(tblTransactions[[#This Row],[date]]),1)</f>
        <v>45778</v>
      </c>
      <c r="N1722" t="str">
        <f>IF(WEEKDAY(tblTransactions[[#This Row],[date]],2)&gt;5,"Weekend","Weekday")</f>
        <v>Weekend</v>
      </c>
      <c r="O1722" s="13" t="str">
        <f>IF(tblTransactions[[#This Row],[discount_pct]]=0,"0%",IF(tblTransactions[[#This Row],[discount_pct]]&lt;=10%,"1–
10%",IF(tblTransactions[[#This Row],[discount_pct]]&lt;=20%,"11–20%","&gt;20%")))</f>
        <v>0%</v>
      </c>
      <c r="P1722" s="13" t="str">
        <f>_xlfn.XLOOKUP(tblTransactions[[#This Row],[tenant_id]],tblTenants[tenant_id],tblTenants[zone],"NOT FOUND")</f>
        <v>Entertainment</v>
      </c>
      <c r="Q1722" s="13" t="str">
        <f>_xlfn.XLOOKUP(tblTransactions[[#This Row],[tenant_id]],tblTenants[tenant_id],tblTenants[category],"NOT FOUND")</f>
        <v>Family Entertainment</v>
      </c>
    </row>
    <row r="1723" spans="1:17">
      <c r="A1723" t="s">
        <v>1767</v>
      </c>
      <c r="B1723" s="2">
        <v>45831</v>
      </c>
      <c r="C1723">
        <v>19</v>
      </c>
      <c r="D1723" t="s">
        <v>98</v>
      </c>
      <c r="E1723" t="s">
        <v>32</v>
      </c>
      <c r="F1723" s="7">
        <v>841.69</v>
      </c>
      <c r="G1723" s="10">
        <v>0</v>
      </c>
      <c r="H1723" s="7">
        <v>841.69</v>
      </c>
      <c r="I1723">
        <v>5</v>
      </c>
      <c r="J1723" t="s">
        <v>13</v>
      </c>
      <c r="K1723" s="13">
        <f>ROUND(tblTransactions[[#This Row],[gross_sales_inr]]*(1-tblTransactions[[#This Row],[discount_pct]]),2)</f>
        <v>841.69</v>
      </c>
      <c r="L1723" t="str">
        <f>IF(ABS(tblTransactions[[#This Row],[net_sales_inr]]-tblTransactions[[#This Row],[Recalc_Net_Sales]])&lt;0.02,"OK","CHECK")</f>
        <v>OK</v>
      </c>
      <c r="M1723" s="14">
        <f>DATE(YEAR(tblTransactions[[#This Row],[date]]),MONTH(tblTransactions[[#This Row],[date]]),1)</f>
        <v>45809</v>
      </c>
      <c r="N1723" t="str">
        <f>IF(WEEKDAY(tblTransactions[[#This Row],[date]],2)&gt;5,"Weekend","Weekday")</f>
        <v>Weekday</v>
      </c>
      <c r="O1723" s="13" t="str">
        <f>IF(tblTransactions[[#This Row],[discount_pct]]=0,"0%",IF(tblTransactions[[#This Row],[discount_pct]]&lt;=10%,"1–
10%",IF(tblTransactions[[#This Row],[discount_pct]]&lt;=20%,"11–20%","&gt;20%")))</f>
        <v>0%</v>
      </c>
      <c r="P1723" s="13" t="str">
        <f>_xlfn.XLOOKUP(tblTransactions[[#This Row],[tenant_id]],tblTenants[tenant_id],tblTenants[zone],"NOT FOUND")</f>
        <v>Fashion Avenue</v>
      </c>
      <c r="Q1723" s="13" t="str">
        <f>_xlfn.XLOOKUP(tblTransactions[[#This Row],[tenant_id]],tblTenants[tenant_id],tblTenants[category],"NOT FOUND")</f>
        <v>Accessories</v>
      </c>
    </row>
    <row r="1724" spans="1:17">
      <c r="A1724" t="s">
        <v>1768</v>
      </c>
      <c r="B1724" s="2">
        <v>45742</v>
      </c>
      <c r="C1724">
        <v>19</v>
      </c>
      <c r="D1724" t="s">
        <v>104</v>
      </c>
      <c r="E1724" t="s">
        <v>12</v>
      </c>
      <c r="F1724" s="7">
        <v>1848.96</v>
      </c>
      <c r="G1724" s="10">
        <v>0.2</v>
      </c>
      <c r="H1724" s="7">
        <v>1479.17</v>
      </c>
      <c r="I1724">
        <v>1</v>
      </c>
      <c r="J1724" t="s">
        <v>13</v>
      </c>
      <c r="K1724" s="13">
        <f>ROUND(tblTransactions[[#This Row],[gross_sales_inr]]*(1-tblTransactions[[#This Row],[discount_pct]]),2)</f>
        <v>1479.17</v>
      </c>
      <c r="L1724" t="str">
        <f>IF(ABS(tblTransactions[[#This Row],[net_sales_inr]]-tblTransactions[[#This Row],[Recalc_Net_Sales]])&lt;0.02,"OK","CHECK")</f>
        <v>OK</v>
      </c>
      <c r="M1724" s="14">
        <f>DATE(YEAR(tblTransactions[[#This Row],[date]]),MONTH(tblTransactions[[#This Row],[date]]),1)</f>
        <v>45717</v>
      </c>
      <c r="N1724" t="str">
        <f>IF(WEEKDAY(tblTransactions[[#This Row],[date]],2)&gt;5,"Weekend","Weekday")</f>
        <v>Weekday</v>
      </c>
      <c r="O172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24" s="13" t="str">
        <f>_xlfn.XLOOKUP(tblTransactions[[#This Row],[tenant_id]],tblTenants[tenant_id],tblTenants[zone],"NOT FOUND")</f>
        <v>Entertainment</v>
      </c>
      <c r="Q1724" s="13" t="str">
        <f>_xlfn.XLOOKUP(tblTransactions[[#This Row],[tenant_id]],tblTenants[tenant_id],tblTenants[category],"NOT FOUND")</f>
        <v>Family Entertainment</v>
      </c>
    </row>
    <row r="1725" spans="1:17">
      <c r="A1725" t="s">
        <v>1769</v>
      </c>
      <c r="B1725" s="2">
        <v>45664</v>
      </c>
      <c r="C1725">
        <v>11</v>
      </c>
      <c r="D1725" t="s">
        <v>204</v>
      </c>
      <c r="E1725" t="s">
        <v>12</v>
      </c>
      <c r="F1725" s="7">
        <v>622.15</v>
      </c>
      <c r="G1725" s="10">
        <v>0.1</v>
      </c>
      <c r="H1725" s="7">
        <v>559.92999999999995</v>
      </c>
      <c r="I1725">
        <v>1</v>
      </c>
      <c r="J1725" t="s">
        <v>13</v>
      </c>
      <c r="K1725" s="13">
        <f>ROUND(tblTransactions[[#This Row],[gross_sales_inr]]*(1-tblTransactions[[#This Row],[discount_pct]]),2)</f>
        <v>559.94000000000005</v>
      </c>
      <c r="L1725" t="str">
        <f>IF(ABS(tblTransactions[[#This Row],[net_sales_inr]]-tblTransactions[[#This Row],[Recalc_Net_Sales]])&lt;0.02,"OK","CHECK")</f>
        <v>OK</v>
      </c>
      <c r="M1725" s="14">
        <f>DATE(YEAR(tblTransactions[[#This Row],[date]]),MONTH(tblTransactions[[#This Row],[date]]),1)</f>
        <v>45658</v>
      </c>
      <c r="N1725" t="str">
        <f>IF(WEEKDAY(tblTransactions[[#This Row],[date]],2)&gt;5,"Weekend","Weekday")</f>
        <v>Weekday</v>
      </c>
      <c r="O172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25" s="13" t="str">
        <f>_xlfn.XLOOKUP(tblTransactions[[#This Row],[tenant_id]],tblTenants[tenant_id],tblTenants[zone],"NOT FOUND")</f>
        <v>Home &amp; Living</v>
      </c>
      <c r="Q1725" s="13" t="str">
        <f>_xlfn.XLOOKUP(tblTransactions[[#This Row],[tenant_id]],tblTenants[tenant_id],tblTenants[category],"NOT FOUND")</f>
        <v>Home Decor</v>
      </c>
    </row>
    <row r="1726" spans="1:17">
      <c r="A1726" t="s">
        <v>1770</v>
      </c>
      <c r="B1726" s="2">
        <v>45783</v>
      </c>
      <c r="C1726">
        <v>13</v>
      </c>
      <c r="D1726" t="s">
        <v>43</v>
      </c>
      <c r="E1726" t="s">
        <v>12</v>
      </c>
      <c r="F1726" s="7">
        <v>3430.68</v>
      </c>
      <c r="G1726" s="10">
        <v>0</v>
      </c>
      <c r="H1726" s="7">
        <v>3430.68</v>
      </c>
      <c r="I1726">
        <v>1</v>
      </c>
      <c r="J1726" t="s">
        <v>16</v>
      </c>
      <c r="K1726" s="13">
        <f>ROUND(tblTransactions[[#This Row],[gross_sales_inr]]*(1-tblTransactions[[#This Row],[discount_pct]]),2)</f>
        <v>3430.68</v>
      </c>
      <c r="L1726" t="str">
        <f>IF(ABS(tblTransactions[[#This Row],[net_sales_inr]]-tblTransactions[[#This Row],[Recalc_Net_Sales]])&lt;0.02,"OK","CHECK")</f>
        <v>OK</v>
      </c>
      <c r="M1726" s="14">
        <f>DATE(YEAR(tblTransactions[[#This Row],[date]]),MONTH(tblTransactions[[#This Row],[date]]),1)</f>
        <v>45778</v>
      </c>
      <c r="N1726" t="str">
        <f>IF(WEEKDAY(tblTransactions[[#This Row],[date]],2)&gt;5,"Weekend","Weekday")</f>
        <v>Weekday</v>
      </c>
      <c r="O1726" s="13" t="str">
        <f>IF(tblTransactions[[#This Row],[discount_pct]]=0,"0%",IF(tblTransactions[[#This Row],[discount_pct]]&lt;=10%,"1–
10%",IF(tblTransactions[[#This Row],[discount_pct]]&lt;=20%,"11–20%","&gt;20%")))</f>
        <v>0%</v>
      </c>
      <c r="P1726" s="13" t="str">
        <f>_xlfn.XLOOKUP(tblTransactions[[#This Row],[tenant_id]],tblTenants[tenant_id],tblTenants[zone],"NOT FOUND")</f>
        <v>Food Court</v>
      </c>
      <c r="Q1726" s="13" t="str">
        <f>_xlfn.XLOOKUP(tblTransactions[[#This Row],[tenant_id]],tblTenants[tenant_id],tblTenants[category],"NOT FOUND")</f>
        <v>Casual Dining</v>
      </c>
    </row>
    <row r="1727" spans="1:17">
      <c r="A1727" t="s">
        <v>1771</v>
      </c>
      <c r="B1727" s="2">
        <v>45810</v>
      </c>
      <c r="C1727">
        <v>16</v>
      </c>
      <c r="D1727" t="s">
        <v>61</v>
      </c>
      <c r="E1727" t="s">
        <v>51</v>
      </c>
      <c r="F1727" s="7">
        <v>3228.97</v>
      </c>
      <c r="G1727" s="10">
        <v>0</v>
      </c>
      <c r="H1727" s="7">
        <v>3228.97</v>
      </c>
      <c r="I1727">
        <v>2</v>
      </c>
      <c r="J1727" t="s">
        <v>13</v>
      </c>
      <c r="K1727" s="13">
        <f>ROUND(tblTransactions[[#This Row],[gross_sales_inr]]*(1-tblTransactions[[#This Row],[discount_pct]]),2)</f>
        <v>3228.97</v>
      </c>
      <c r="L1727" t="str">
        <f>IF(ABS(tblTransactions[[#This Row],[net_sales_inr]]-tblTransactions[[#This Row],[Recalc_Net_Sales]])&lt;0.02,"OK","CHECK")</f>
        <v>OK</v>
      </c>
      <c r="M1727" s="14">
        <f>DATE(YEAR(tblTransactions[[#This Row],[date]]),MONTH(tblTransactions[[#This Row],[date]]),1)</f>
        <v>45809</v>
      </c>
      <c r="N1727" t="str">
        <f>IF(WEEKDAY(tblTransactions[[#This Row],[date]],2)&gt;5,"Weekend","Weekday")</f>
        <v>Weekday</v>
      </c>
      <c r="O1727" s="13" t="str">
        <f>IF(tblTransactions[[#This Row],[discount_pct]]=0,"0%",IF(tblTransactions[[#This Row],[discount_pct]]&lt;=10%,"1–
10%",IF(tblTransactions[[#This Row],[discount_pct]]&lt;=20%,"11–20%","&gt;20%")))</f>
        <v>0%</v>
      </c>
      <c r="P1727" s="13" t="str">
        <f>_xlfn.XLOOKUP(tblTransactions[[#This Row],[tenant_id]],tblTenants[tenant_id],tblTenants[zone],"NOT FOUND")</f>
        <v>Food Court</v>
      </c>
      <c r="Q1727" s="13" t="str">
        <f>_xlfn.XLOOKUP(tblTransactions[[#This Row],[tenant_id]],tblTenants[tenant_id],tblTenants[category],"NOT FOUND")</f>
        <v>Quick Service</v>
      </c>
    </row>
    <row r="1728" spans="1:17">
      <c r="A1728" t="s">
        <v>1772</v>
      </c>
      <c r="B1728" s="2">
        <v>45658</v>
      </c>
      <c r="C1728">
        <v>10</v>
      </c>
      <c r="D1728" t="s">
        <v>48</v>
      </c>
      <c r="E1728" t="s">
        <v>12</v>
      </c>
      <c r="F1728" s="7">
        <v>2166.35</v>
      </c>
      <c r="G1728" s="10">
        <v>0.1</v>
      </c>
      <c r="H1728" s="7">
        <v>1949.71</v>
      </c>
      <c r="I1728">
        <v>1</v>
      </c>
      <c r="J1728" t="s">
        <v>16</v>
      </c>
      <c r="K1728" s="13">
        <f>ROUND(tblTransactions[[#This Row],[gross_sales_inr]]*(1-tblTransactions[[#This Row],[discount_pct]]),2)</f>
        <v>1949.72</v>
      </c>
      <c r="L1728" t="str">
        <f>IF(ABS(tblTransactions[[#This Row],[net_sales_inr]]-tblTransactions[[#This Row],[Recalc_Net_Sales]])&lt;0.02,"OK","CHECK")</f>
        <v>OK</v>
      </c>
      <c r="M1728" s="14">
        <f>DATE(YEAR(tblTransactions[[#This Row],[date]]),MONTH(tblTransactions[[#This Row],[date]]),1)</f>
        <v>45658</v>
      </c>
      <c r="N1728" t="str">
        <f>IF(WEEKDAY(tblTransactions[[#This Row],[date]],2)&gt;5,"Weekend","Weekday")</f>
        <v>Weekday</v>
      </c>
      <c r="O172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28" s="13" t="str">
        <f>_xlfn.XLOOKUP(tblTransactions[[#This Row],[tenant_id]],tblTenants[tenant_id],tblTenants[zone],"NOT FOUND")</f>
        <v>Beauty &amp; Wellness</v>
      </c>
      <c r="Q1728" s="13" t="str">
        <f>_xlfn.XLOOKUP(tblTransactions[[#This Row],[tenant_id]],tblTenants[tenant_id],tblTenants[category],"NOT FOUND")</f>
        <v>Wellness</v>
      </c>
    </row>
    <row r="1729" spans="1:17">
      <c r="A1729" t="s">
        <v>1773</v>
      </c>
      <c r="B1729" s="2">
        <v>45706</v>
      </c>
      <c r="C1729">
        <v>19</v>
      </c>
      <c r="D1729" t="s">
        <v>80</v>
      </c>
      <c r="E1729" t="s">
        <v>12</v>
      </c>
      <c r="F1729" s="7">
        <v>1275.29</v>
      </c>
      <c r="G1729" s="10">
        <v>0.3</v>
      </c>
      <c r="H1729" s="7">
        <v>892.7</v>
      </c>
      <c r="I1729">
        <v>2</v>
      </c>
      <c r="J1729" t="s">
        <v>16</v>
      </c>
      <c r="K1729" s="13">
        <f>ROUND(tblTransactions[[#This Row],[gross_sales_inr]]*(1-tblTransactions[[#This Row],[discount_pct]]),2)</f>
        <v>892.7</v>
      </c>
      <c r="L1729" t="str">
        <f>IF(ABS(tblTransactions[[#This Row],[net_sales_inr]]-tblTransactions[[#This Row],[Recalc_Net_Sales]])&lt;0.02,"OK","CHECK")</f>
        <v>OK</v>
      </c>
      <c r="M1729" s="14">
        <f>DATE(YEAR(tblTransactions[[#This Row],[date]]),MONTH(tblTransactions[[#This Row],[date]]),1)</f>
        <v>45689</v>
      </c>
      <c r="N1729" t="str">
        <f>IF(WEEKDAY(tblTransactions[[#This Row],[date]],2)&gt;5,"Weekend","Weekday")</f>
        <v>Weekday</v>
      </c>
      <c r="O1729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729" s="13" t="str">
        <f>_xlfn.XLOOKUP(tblTransactions[[#This Row],[tenant_id]],tblTenants[tenant_id],tblTenants[zone],"NOT FOUND")</f>
        <v>Food Court</v>
      </c>
      <c r="Q1729" s="13" t="str">
        <f>_xlfn.XLOOKUP(tblTransactions[[#This Row],[tenant_id]],tblTenants[tenant_id],tblTenants[category],"NOT FOUND")</f>
        <v>Casual Dining</v>
      </c>
    </row>
    <row r="1730" spans="1:17">
      <c r="A1730" t="s">
        <v>1774</v>
      </c>
      <c r="B1730" s="2">
        <v>45803</v>
      </c>
      <c r="C1730">
        <v>15</v>
      </c>
      <c r="D1730" t="s">
        <v>20</v>
      </c>
      <c r="E1730" t="s">
        <v>12</v>
      </c>
      <c r="F1730" s="7">
        <v>2370.54</v>
      </c>
      <c r="G1730" s="10">
        <v>0.15</v>
      </c>
      <c r="H1730" s="7">
        <v>2014.96</v>
      </c>
      <c r="I1730">
        <v>4</v>
      </c>
      <c r="J1730" t="s">
        <v>16</v>
      </c>
      <c r="K1730" s="13">
        <f>ROUND(tblTransactions[[#This Row],[gross_sales_inr]]*(1-tblTransactions[[#This Row],[discount_pct]]),2)</f>
        <v>2014.96</v>
      </c>
      <c r="L1730" t="str">
        <f>IF(ABS(tblTransactions[[#This Row],[net_sales_inr]]-tblTransactions[[#This Row],[Recalc_Net_Sales]])&lt;0.02,"OK","CHECK")</f>
        <v>OK</v>
      </c>
      <c r="M1730" s="14">
        <f>DATE(YEAR(tblTransactions[[#This Row],[date]]),MONTH(tblTransactions[[#This Row],[date]]),1)</f>
        <v>45778</v>
      </c>
      <c r="N1730" t="str">
        <f>IF(WEEKDAY(tblTransactions[[#This Row],[date]],2)&gt;5,"Weekend","Weekday")</f>
        <v>Weekday</v>
      </c>
      <c r="O173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30" s="13" t="str">
        <f>_xlfn.XLOOKUP(tblTransactions[[#This Row],[tenant_id]],tblTenants[tenant_id],tblTenants[zone],"NOT FOUND")</f>
        <v>Fashion Avenue</v>
      </c>
      <c r="Q1730" s="13" t="str">
        <f>_xlfn.XLOOKUP(tblTransactions[[#This Row],[tenant_id]],tblTenants[tenant_id],tblTenants[category],"NOT FOUND")</f>
        <v>Accessories</v>
      </c>
    </row>
    <row r="1731" spans="1:17">
      <c r="A1731" t="s">
        <v>1775</v>
      </c>
      <c r="B1731" s="2">
        <v>45659</v>
      </c>
      <c r="C1731">
        <v>16</v>
      </c>
      <c r="D1731" t="s">
        <v>20</v>
      </c>
      <c r="E1731" t="s">
        <v>12</v>
      </c>
      <c r="F1731" s="7">
        <v>886.19</v>
      </c>
      <c r="G1731" s="10">
        <v>0</v>
      </c>
      <c r="H1731" s="7">
        <v>886.19</v>
      </c>
      <c r="I1731">
        <v>2</v>
      </c>
      <c r="J1731" t="s">
        <v>13</v>
      </c>
      <c r="K1731" s="13">
        <f>ROUND(tblTransactions[[#This Row],[gross_sales_inr]]*(1-tblTransactions[[#This Row],[discount_pct]]),2)</f>
        <v>886.19</v>
      </c>
      <c r="L1731" t="str">
        <f>IF(ABS(tblTransactions[[#This Row],[net_sales_inr]]-tblTransactions[[#This Row],[Recalc_Net_Sales]])&lt;0.02,"OK","CHECK")</f>
        <v>OK</v>
      </c>
      <c r="M1731" s="14">
        <f>DATE(YEAR(tblTransactions[[#This Row],[date]]),MONTH(tblTransactions[[#This Row],[date]]),1)</f>
        <v>45658</v>
      </c>
      <c r="N1731" t="str">
        <f>IF(WEEKDAY(tblTransactions[[#This Row],[date]],2)&gt;5,"Weekend","Weekday")</f>
        <v>Weekday</v>
      </c>
      <c r="O1731" s="13" t="str">
        <f>IF(tblTransactions[[#This Row],[discount_pct]]=0,"0%",IF(tblTransactions[[#This Row],[discount_pct]]&lt;=10%,"1–
10%",IF(tblTransactions[[#This Row],[discount_pct]]&lt;=20%,"11–20%","&gt;20%")))</f>
        <v>0%</v>
      </c>
      <c r="P1731" s="13" t="str">
        <f>_xlfn.XLOOKUP(tblTransactions[[#This Row],[tenant_id]],tblTenants[tenant_id],tblTenants[zone],"NOT FOUND")</f>
        <v>Fashion Avenue</v>
      </c>
      <c r="Q1731" s="13" t="str">
        <f>_xlfn.XLOOKUP(tblTransactions[[#This Row],[tenant_id]],tblTenants[tenant_id],tblTenants[category],"NOT FOUND")</f>
        <v>Accessories</v>
      </c>
    </row>
    <row r="1732" spans="1:17">
      <c r="A1732" t="s">
        <v>1776</v>
      </c>
      <c r="B1732" s="2">
        <v>45661</v>
      </c>
      <c r="C1732">
        <v>20</v>
      </c>
      <c r="D1732" t="s">
        <v>57</v>
      </c>
      <c r="E1732" t="s">
        <v>32</v>
      </c>
      <c r="F1732" s="7">
        <v>823.08</v>
      </c>
      <c r="G1732" s="10">
        <v>0.1</v>
      </c>
      <c r="H1732" s="7">
        <v>740.77</v>
      </c>
      <c r="I1732">
        <v>2</v>
      </c>
      <c r="J1732" t="s">
        <v>13</v>
      </c>
      <c r="K1732" s="13">
        <f>ROUND(tblTransactions[[#This Row],[gross_sales_inr]]*(1-tblTransactions[[#This Row],[discount_pct]]),2)</f>
        <v>740.77</v>
      </c>
      <c r="L1732" t="str">
        <f>IF(ABS(tblTransactions[[#This Row],[net_sales_inr]]-tblTransactions[[#This Row],[Recalc_Net_Sales]])&lt;0.02,"OK","CHECK")</f>
        <v>OK</v>
      </c>
      <c r="M1732" s="14">
        <f>DATE(YEAR(tblTransactions[[#This Row],[date]]),MONTH(tblTransactions[[#This Row],[date]]),1)</f>
        <v>45658</v>
      </c>
      <c r="N1732" t="str">
        <f>IF(WEEKDAY(tblTransactions[[#This Row],[date]],2)&gt;5,"Weekend","Weekday")</f>
        <v>Weekend</v>
      </c>
      <c r="O173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32" s="13" t="str">
        <f>_xlfn.XLOOKUP(tblTransactions[[#This Row],[tenant_id]],tblTenants[tenant_id],tblTenants[zone],"NOT FOUND")</f>
        <v>Food Court</v>
      </c>
      <c r="Q1732" s="13" t="str">
        <f>_xlfn.XLOOKUP(tblTransactions[[#This Row],[tenant_id]],tblTenants[tenant_id],tblTenants[category],"NOT FOUND")</f>
        <v>Casual Dining</v>
      </c>
    </row>
    <row r="1733" spans="1:17">
      <c r="A1733" t="s">
        <v>1777</v>
      </c>
      <c r="B1733" s="2">
        <v>45721</v>
      </c>
      <c r="C1733">
        <v>12</v>
      </c>
      <c r="D1733" t="s">
        <v>43</v>
      </c>
      <c r="E1733" t="s">
        <v>32</v>
      </c>
      <c r="F1733" s="7">
        <v>595.71</v>
      </c>
      <c r="G1733" s="10">
        <v>0.1</v>
      </c>
      <c r="H1733" s="7">
        <v>536.14</v>
      </c>
      <c r="I1733">
        <v>2</v>
      </c>
      <c r="J1733" t="s">
        <v>13</v>
      </c>
      <c r="K1733" s="13">
        <f>ROUND(tblTransactions[[#This Row],[gross_sales_inr]]*(1-tblTransactions[[#This Row],[discount_pct]]),2)</f>
        <v>536.14</v>
      </c>
      <c r="L1733" t="str">
        <f>IF(ABS(tblTransactions[[#This Row],[net_sales_inr]]-tblTransactions[[#This Row],[Recalc_Net_Sales]])&lt;0.02,"OK","CHECK")</f>
        <v>OK</v>
      </c>
      <c r="M1733" s="14">
        <f>DATE(YEAR(tblTransactions[[#This Row],[date]]),MONTH(tblTransactions[[#This Row],[date]]),1)</f>
        <v>45717</v>
      </c>
      <c r="N1733" t="str">
        <f>IF(WEEKDAY(tblTransactions[[#This Row],[date]],2)&gt;5,"Weekend","Weekday")</f>
        <v>Weekday</v>
      </c>
      <c r="O173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33" s="13" t="str">
        <f>_xlfn.XLOOKUP(tblTransactions[[#This Row],[tenant_id]],tblTenants[tenant_id],tblTenants[zone],"NOT FOUND")</f>
        <v>Food Court</v>
      </c>
      <c r="Q1733" s="13" t="str">
        <f>_xlfn.XLOOKUP(tblTransactions[[#This Row],[tenant_id]],tblTenants[tenant_id],tblTenants[category],"NOT FOUND")</f>
        <v>Casual Dining</v>
      </c>
    </row>
    <row r="1734" spans="1:17">
      <c r="A1734" t="s">
        <v>1778</v>
      </c>
      <c r="B1734" s="2">
        <v>45816</v>
      </c>
      <c r="C1734">
        <v>20</v>
      </c>
      <c r="D1734" t="s">
        <v>15</v>
      </c>
      <c r="E1734" t="s">
        <v>12</v>
      </c>
      <c r="F1734" s="7">
        <v>1628.08</v>
      </c>
      <c r="G1734" s="10">
        <v>0</v>
      </c>
      <c r="H1734" s="7">
        <v>1628.08</v>
      </c>
      <c r="I1734">
        <v>3</v>
      </c>
      <c r="J1734" t="s">
        <v>13</v>
      </c>
      <c r="K1734" s="13">
        <f>ROUND(tblTransactions[[#This Row],[gross_sales_inr]]*(1-tblTransactions[[#This Row],[discount_pct]]),2)</f>
        <v>1628.08</v>
      </c>
      <c r="L1734" t="str">
        <f>IF(ABS(tblTransactions[[#This Row],[net_sales_inr]]-tblTransactions[[#This Row],[Recalc_Net_Sales]])&lt;0.02,"OK","CHECK")</f>
        <v>OK</v>
      </c>
      <c r="M1734" s="14">
        <f>DATE(YEAR(tblTransactions[[#This Row],[date]]),MONTH(tblTransactions[[#This Row],[date]]),1)</f>
        <v>45809</v>
      </c>
      <c r="N1734" t="str">
        <f>IF(WEEKDAY(tblTransactions[[#This Row],[date]],2)&gt;5,"Weekend","Weekday")</f>
        <v>Weekend</v>
      </c>
      <c r="O1734" s="13" t="str">
        <f>IF(tblTransactions[[#This Row],[discount_pct]]=0,"0%",IF(tblTransactions[[#This Row],[discount_pct]]&lt;=10%,"1–
10%",IF(tblTransactions[[#This Row],[discount_pct]]&lt;=20%,"11–20%","&gt;20%")))</f>
        <v>0%</v>
      </c>
      <c r="P1734" s="13" t="str">
        <f>_xlfn.XLOOKUP(tblTransactions[[#This Row],[tenant_id]],tblTenants[tenant_id],tblTenants[zone],"NOT FOUND")</f>
        <v>Fashion Avenue</v>
      </c>
      <c r="Q1734" s="13" t="str">
        <f>_xlfn.XLOOKUP(tblTransactions[[#This Row],[tenant_id]],tblTenants[tenant_id],tblTenants[category],"NOT FOUND")</f>
        <v>Accessories</v>
      </c>
    </row>
    <row r="1735" spans="1:17">
      <c r="A1735" t="s">
        <v>1779</v>
      </c>
      <c r="B1735" s="2">
        <v>45762</v>
      </c>
      <c r="C1735">
        <v>12</v>
      </c>
      <c r="D1735" t="s">
        <v>61</v>
      </c>
      <c r="E1735" t="s">
        <v>32</v>
      </c>
      <c r="F1735" s="7">
        <v>131.87</v>
      </c>
      <c r="G1735" s="10">
        <v>0.05</v>
      </c>
      <c r="H1735" s="7">
        <v>125.28</v>
      </c>
      <c r="I1735">
        <v>3</v>
      </c>
      <c r="J1735" t="s">
        <v>13</v>
      </c>
      <c r="K1735" s="13">
        <f>ROUND(tblTransactions[[#This Row],[gross_sales_inr]]*(1-tblTransactions[[#This Row],[discount_pct]]),2)</f>
        <v>125.28</v>
      </c>
      <c r="L1735" t="str">
        <f>IF(ABS(tblTransactions[[#This Row],[net_sales_inr]]-tblTransactions[[#This Row],[Recalc_Net_Sales]])&lt;0.02,"OK","CHECK")</f>
        <v>OK</v>
      </c>
      <c r="M1735" s="14">
        <f>DATE(YEAR(tblTransactions[[#This Row],[date]]),MONTH(tblTransactions[[#This Row],[date]]),1)</f>
        <v>45748</v>
      </c>
      <c r="N1735" t="str">
        <f>IF(WEEKDAY(tblTransactions[[#This Row],[date]],2)&gt;5,"Weekend","Weekday")</f>
        <v>Weekday</v>
      </c>
      <c r="O173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35" s="13" t="str">
        <f>_xlfn.XLOOKUP(tblTransactions[[#This Row],[tenant_id]],tblTenants[tenant_id],tblTenants[zone],"NOT FOUND")</f>
        <v>Food Court</v>
      </c>
      <c r="Q1735" s="13" t="str">
        <f>_xlfn.XLOOKUP(tblTransactions[[#This Row],[tenant_id]],tblTenants[tenant_id],tblTenants[category],"NOT FOUND")</f>
        <v>Quick Service</v>
      </c>
    </row>
    <row r="1736" spans="1:17">
      <c r="A1736" t="s">
        <v>1780</v>
      </c>
      <c r="B1736" s="2">
        <v>45715</v>
      </c>
      <c r="C1736">
        <v>14</v>
      </c>
      <c r="D1736" t="s">
        <v>63</v>
      </c>
      <c r="E1736" t="s">
        <v>12</v>
      </c>
      <c r="F1736" s="7">
        <v>327</v>
      </c>
      <c r="G1736" s="10">
        <v>0</v>
      </c>
      <c r="H1736" s="7">
        <v>327</v>
      </c>
      <c r="I1736">
        <v>1</v>
      </c>
      <c r="J1736" t="s">
        <v>16</v>
      </c>
      <c r="K1736" s="13">
        <f>ROUND(tblTransactions[[#This Row],[gross_sales_inr]]*(1-tblTransactions[[#This Row],[discount_pct]]),2)</f>
        <v>327</v>
      </c>
      <c r="L1736" t="str">
        <f>IF(ABS(tblTransactions[[#This Row],[net_sales_inr]]-tblTransactions[[#This Row],[Recalc_Net_Sales]])&lt;0.02,"OK","CHECK")</f>
        <v>OK</v>
      </c>
      <c r="M1736" s="14">
        <f>DATE(YEAR(tblTransactions[[#This Row],[date]]),MONTH(tblTransactions[[#This Row],[date]]),1)</f>
        <v>45689</v>
      </c>
      <c r="N1736" t="str">
        <f>IF(WEEKDAY(tblTransactions[[#This Row],[date]],2)&gt;5,"Weekend","Weekday")</f>
        <v>Weekday</v>
      </c>
      <c r="O1736" s="13" t="str">
        <f>IF(tblTransactions[[#This Row],[discount_pct]]=0,"0%",IF(tblTransactions[[#This Row],[discount_pct]]&lt;=10%,"1–
10%",IF(tblTransactions[[#This Row],[discount_pct]]&lt;=20%,"11–20%","&gt;20%")))</f>
        <v>0%</v>
      </c>
      <c r="P1736" s="13" t="str">
        <f>_xlfn.XLOOKUP(tblTransactions[[#This Row],[tenant_id]],tblTenants[tenant_id],tblTenants[zone],"NOT FOUND")</f>
        <v>Entertainment</v>
      </c>
      <c r="Q1736" s="13" t="str">
        <f>_xlfn.XLOOKUP(tblTransactions[[#This Row],[tenant_id]],tblTenants[tenant_id],tblTenants[category],"NOT FOUND")</f>
        <v>Family Entertainment</v>
      </c>
    </row>
    <row r="1737" spans="1:17">
      <c r="A1737" t="s">
        <v>1781</v>
      </c>
      <c r="B1737" s="2">
        <v>45778</v>
      </c>
      <c r="C1737">
        <v>14</v>
      </c>
      <c r="D1737" t="s">
        <v>27</v>
      </c>
      <c r="E1737" t="s">
        <v>12</v>
      </c>
      <c r="F1737" s="7">
        <v>256.55</v>
      </c>
      <c r="G1737" s="10">
        <v>0</v>
      </c>
      <c r="H1737" s="7">
        <v>256.55</v>
      </c>
      <c r="I1737">
        <v>5</v>
      </c>
      <c r="J1737" t="s">
        <v>13</v>
      </c>
      <c r="K1737" s="13">
        <f>ROUND(tblTransactions[[#This Row],[gross_sales_inr]]*(1-tblTransactions[[#This Row],[discount_pct]]),2)</f>
        <v>256.55</v>
      </c>
      <c r="L1737" t="str">
        <f>IF(ABS(tblTransactions[[#This Row],[net_sales_inr]]-tblTransactions[[#This Row],[Recalc_Net_Sales]])&lt;0.02,"OK","CHECK")</f>
        <v>OK</v>
      </c>
      <c r="M1737" s="14">
        <f>DATE(YEAR(tblTransactions[[#This Row],[date]]),MONTH(tblTransactions[[#This Row],[date]]),1)</f>
        <v>45778</v>
      </c>
      <c r="N1737" t="str">
        <f>IF(WEEKDAY(tblTransactions[[#This Row],[date]],2)&gt;5,"Weekend","Weekday")</f>
        <v>Weekday</v>
      </c>
      <c r="O1737" s="13" t="str">
        <f>IF(tblTransactions[[#This Row],[discount_pct]]=0,"0%",IF(tblTransactions[[#This Row],[discount_pct]]&lt;=10%,"1–
10%",IF(tblTransactions[[#This Row],[discount_pct]]&lt;=20%,"11–20%","&gt;20%")))</f>
        <v>0%</v>
      </c>
      <c r="P1737" s="13" t="str">
        <f>_xlfn.XLOOKUP(tblTransactions[[#This Row],[tenant_id]],tblTenants[tenant_id],tblTenants[zone],"NOT FOUND")</f>
        <v>Beauty &amp; Wellness</v>
      </c>
      <c r="Q1737" s="13" t="str">
        <f>_xlfn.XLOOKUP(tblTransactions[[#This Row],[tenant_id]],tblTenants[tenant_id],tblTenants[category],"NOT FOUND")</f>
        <v>Wellness</v>
      </c>
    </row>
    <row r="1738" spans="1:17">
      <c r="A1738" t="s">
        <v>1782</v>
      </c>
      <c r="B1738" s="2">
        <v>45667</v>
      </c>
      <c r="C1738">
        <v>13</v>
      </c>
      <c r="D1738" t="s">
        <v>43</v>
      </c>
      <c r="E1738" t="s">
        <v>12</v>
      </c>
      <c r="F1738" s="7">
        <v>980.08</v>
      </c>
      <c r="G1738" s="10">
        <v>0</v>
      </c>
      <c r="H1738" s="7">
        <v>980.08</v>
      </c>
      <c r="I1738">
        <v>2</v>
      </c>
      <c r="J1738" t="s">
        <v>16</v>
      </c>
      <c r="K1738" s="13">
        <f>ROUND(tblTransactions[[#This Row],[gross_sales_inr]]*(1-tblTransactions[[#This Row],[discount_pct]]),2)</f>
        <v>980.08</v>
      </c>
      <c r="L1738" t="str">
        <f>IF(ABS(tblTransactions[[#This Row],[net_sales_inr]]-tblTransactions[[#This Row],[Recalc_Net_Sales]])&lt;0.02,"OK","CHECK")</f>
        <v>OK</v>
      </c>
      <c r="M1738" s="14">
        <f>DATE(YEAR(tblTransactions[[#This Row],[date]]),MONTH(tblTransactions[[#This Row],[date]]),1)</f>
        <v>45658</v>
      </c>
      <c r="N1738" t="str">
        <f>IF(WEEKDAY(tblTransactions[[#This Row],[date]],2)&gt;5,"Weekend","Weekday")</f>
        <v>Weekday</v>
      </c>
      <c r="O1738" s="13" t="str">
        <f>IF(tblTransactions[[#This Row],[discount_pct]]=0,"0%",IF(tblTransactions[[#This Row],[discount_pct]]&lt;=10%,"1–
10%",IF(tblTransactions[[#This Row],[discount_pct]]&lt;=20%,"11–20%","&gt;20%")))</f>
        <v>0%</v>
      </c>
      <c r="P1738" s="13" t="str">
        <f>_xlfn.XLOOKUP(tblTransactions[[#This Row],[tenant_id]],tblTenants[tenant_id],tblTenants[zone],"NOT FOUND")</f>
        <v>Food Court</v>
      </c>
      <c r="Q1738" s="13" t="str">
        <f>_xlfn.XLOOKUP(tblTransactions[[#This Row],[tenant_id]],tblTenants[tenant_id],tblTenants[category],"NOT FOUND")</f>
        <v>Casual Dining</v>
      </c>
    </row>
    <row r="1739" spans="1:17">
      <c r="A1739" t="s">
        <v>1783</v>
      </c>
      <c r="B1739" s="2">
        <v>45795</v>
      </c>
      <c r="C1739">
        <v>19</v>
      </c>
      <c r="D1739" t="s">
        <v>85</v>
      </c>
      <c r="E1739" t="s">
        <v>32</v>
      </c>
      <c r="F1739" s="7">
        <v>1358.99</v>
      </c>
      <c r="G1739" s="10">
        <v>0.05</v>
      </c>
      <c r="H1739" s="7">
        <v>1291.04</v>
      </c>
      <c r="I1739">
        <v>1</v>
      </c>
      <c r="J1739" t="s">
        <v>13</v>
      </c>
      <c r="K1739" s="13">
        <f>ROUND(tblTransactions[[#This Row],[gross_sales_inr]]*(1-tblTransactions[[#This Row],[discount_pct]]),2)</f>
        <v>1291.04</v>
      </c>
      <c r="L1739" t="str">
        <f>IF(ABS(tblTransactions[[#This Row],[net_sales_inr]]-tblTransactions[[#This Row],[Recalc_Net_Sales]])&lt;0.02,"OK","CHECK")</f>
        <v>OK</v>
      </c>
      <c r="M1739" s="14">
        <f>DATE(YEAR(tblTransactions[[#This Row],[date]]),MONTH(tblTransactions[[#This Row],[date]]),1)</f>
        <v>45778</v>
      </c>
      <c r="N1739" t="str">
        <f>IF(WEEKDAY(tblTransactions[[#This Row],[date]],2)&gt;5,"Weekend","Weekday")</f>
        <v>Weekend</v>
      </c>
      <c r="O173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39" s="13" t="str">
        <f>_xlfn.XLOOKUP(tblTransactions[[#This Row],[tenant_id]],tblTenants[tenant_id],tblTenants[zone],"NOT FOUND")</f>
        <v>Home &amp; Living</v>
      </c>
      <c r="Q1739" s="13" t="str">
        <f>_xlfn.XLOOKUP(tblTransactions[[#This Row],[tenant_id]],tblTenants[tenant_id],tblTenants[category],"NOT FOUND")</f>
        <v>Electronics</v>
      </c>
    </row>
    <row r="1740" spans="1:17">
      <c r="A1740" t="s">
        <v>1784</v>
      </c>
      <c r="B1740" s="2">
        <v>45688</v>
      </c>
      <c r="C1740">
        <v>16</v>
      </c>
      <c r="D1740" t="s">
        <v>59</v>
      </c>
      <c r="E1740" t="s">
        <v>12</v>
      </c>
      <c r="F1740" s="7">
        <v>1338.1</v>
      </c>
      <c r="G1740" s="10">
        <v>0</v>
      </c>
      <c r="H1740" s="7">
        <v>1338.1</v>
      </c>
      <c r="I1740">
        <v>2</v>
      </c>
      <c r="J1740" t="s">
        <v>13</v>
      </c>
      <c r="K1740" s="13">
        <f>ROUND(tblTransactions[[#This Row],[gross_sales_inr]]*(1-tblTransactions[[#This Row],[discount_pct]]),2)</f>
        <v>1338.1</v>
      </c>
      <c r="L1740" t="str">
        <f>IF(ABS(tblTransactions[[#This Row],[net_sales_inr]]-tblTransactions[[#This Row],[Recalc_Net_Sales]])&lt;0.02,"OK","CHECK")</f>
        <v>OK</v>
      </c>
      <c r="M1740" s="14">
        <f>DATE(YEAR(tblTransactions[[#This Row],[date]]),MONTH(tblTransactions[[#This Row],[date]]),1)</f>
        <v>45658</v>
      </c>
      <c r="N1740" t="str">
        <f>IF(WEEKDAY(tblTransactions[[#This Row],[date]],2)&gt;5,"Weekend","Weekday")</f>
        <v>Weekday</v>
      </c>
      <c r="O1740" s="13" t="str">
        <f>IF(tblTransactions[[#This Row],[discount_pct]]=0,"0%",IF(tblTransactions[[#This Row],[discount_pct]]&lt;=10%,"1–
10%",IF(tblTransactions[[#This Row],[discount_pct]]&lt;=20%,"11–20%","&gt;20%")))</f>
        <v>0%</v>
      </c>
      <c r="P1740" s="13" t="str">
        <f>_xlfn.XLOOKUP(tblTransactions[[#This Row],[tenant_id]],tblTenants[tenant_id],tblTenants[zone],"NOT FOUND")</f>
        <v>Fashion Avenue</v>
      </c>
      <c r="Q1740" s="13" t="str">
        <f>_xlfn.XLOOKUP(tblTransactions[[#This Row],[tenant_id]],tblTenants[tenant_id],tblTenants[category],"NOT FOUND")</f>
        <v>Footwear</v>
      </c>
    </row>
    <row r="1741" spans="1:17">
      <c r="A1741" t="s">
        <v>1785</v>
      </c>
      <c r="B1741" s="2">
        <v>45719</v>
      </c>
      <c r="C1741">
        <v>15</v>
      </c>
      <c r="D1741" t="s">
        <v>63</v>
      </c>
      <c r="E1741" t="s">
        <v>12</v>
      </c>
      <c r="F1741" s="7">
        <v>611.59</v>
      </c>
      <c r="G1741" s="10">
        <v>0.15</v>
      </c>
      <c r="H1741" s="7">
        <v>519.85</v>
      </c>
      <c r="I1741">
        <v>3</v>
      </c>
      <c r="J1741" t="s">
        <v>13</v>
      </c>
      <c r="K1741" s="13">
        <f>ROUND(tblTransactions[[#This Row],[gross_sales_inr]]*(1-tblTransactions[[#This Row],[discount_pct]]),2)</f>
        <v>519.85</v>
      </c>
      <c r="L1741" t="str">
        <f>IF(ABS(tblTransactions[[#This Row],[net_sales_inr]]-tblTransactions[[#This Row],[Recalc_Net_Sales]])&lt;0.02,"OK","CHECK")</f>
        <v>OK</v>
      </c>
      <c r="M1741" s="14">
        <f>DATE(YEAR(tblTransactions[[#This Row],[date]]),MONTH(tblTransactions[[#This Row],[date]]),1)</f>
        <v>45717</v>
      </c>
      <c r="N1741" t="str">
        <f>IF(WEEKDAY(tblTransactions[[#This Row],[date]],2)&gt;5,"Weekend","Weekday")</f>
        <v>Weekday</v>
      </c>
      <c r="O174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41" s="13" t="str">
        <f>_xlfn.XLOOKUP(tblTransactions[[#This Row],[tenant_id]],tblTenants[tenant_id],tblTenants[zone],"NOT FOUND")</f>
        <v>Entertainment</v>
      </c>
      <c r="Q1741" s="13" t="str">
        <f>_xlfn.XLOOKUP(tblTransactions[[#This Row],[tenant_id]],tblTenants[tenant_id],tblTenants[category],"NOT FOUND")</f>
        <v>Family Entertainment</v>
      </c>
    </row>
    <row r="1742" spans="1:17">
      <c r="A1742" t="s">
        <v>1786</v>
      </c>
      <c r="B1742" s="2">
        <v>45780</v>
      </c>
      <c r="C1742">
        <v>17</v>
      </c>
      <c r="D1742" t="s">
        <v>43</v>
      </c>
      <c r="E1742" t="s">
        <v>51</v>
      </c>
      <c r="F1742" s="7">
        <v>1912.29</v>
      </c>
      <c r="G1742" s="10">
        <v>0.2</v>
      </c>
      <c r="H1742" s="7">
        <v>1529.83</v>
      </c>
      <c r="I1742">
        <v>1</v>
      </c>
      <c r="J1742" t="s">
        <v>13</v>
      </c>
      <c r="K1742" s="13">
        <f>ROUND(tblTransactions[[#This Row],[gross_sales_inr]]*(1-tblTransactions[[#This Row],[discount_pct]]),2)</f>
        <v>1529.83</v>
      </c>
      <c r="L1742" t="str">
        <f>IF(ABS(tblTransactions[[#This Row],[net_sales_inr]]-tblTransactions[[#This Row],[Recalc_Net_Sales]])&lt;0.02,"OK","CHECK")</f>
        <v>OK</v>
      </c>
      <c r="M1742" s="14">
        <f>DATE(YEAR(tblTransactions[[#This Row],[date]]),MONTH(tblTransactions[[#This Row],[date]]),1)</f>
        <v>45778</v>
      </c>
      <c r="N1742" t="str">
        <f>IF(WEEKDAY(tblTransactions[[#This Row],[date]],2)&gt;5,"Weekend","Weekday")</f>
        <v>Weekend</v>
      </c>
      <c r="O174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42" s="13" t="str">
        <f>_xlfn.XLOOKUP(tblTransactions[[#This Row],[tenant_id]],tblTenants[tenant_id],tblTenants[zone],"NOT FOUND")</f>
        <v>Food Court</v>
      </c>
      <c r="Q1742" s="13" t="str">
        <f>_xlfn.XLOOKUP(tblTransactions[[#This Row],[tenant_id]],tblTenants[tenant_id],tblTenants[category],"NOT FOUND")</f>
        <v>Casual Dining</v>
      </c>
    </row>
    <row r="1743" spans="1:17">
      <c r="A1743" t="s">
        <v>1787</v>
      </c>
      <c r="B1743" s="2">
        <v>45753</v>
      </c>
      <c r="C1743">
        <v>14</v>
      </c>
      <c r="D1743" t="s">
        <v>36</v>
      </c>
      <c r="E1743" t="s">
        <v>12</v>
      </c>
      <c r="F1743" s="7">
        <v>1070.67</v>
      </c>
      <c r="G1743" s="10">
        <v>0.3</v>
      </c>
      <c r="H1743" s="7">
        <v>749.47</v>
      </c>
      <c r="I1743">
        <v>6</v>
      </c>
      <c r="J1743" t="s">
        <v>13</v>
      </c>
      <c r="K1743" s="13">
        <f>ROUND(tblTransactions[[#This Row],[gross_sales_inr]]*(1-tblTransactions[[#This Row],[discount_pct]]),2)</f>
        <v>749.47</v>
      </c>
      <c r="L1743" t="str">
        <f>IF(ABS(tblTransactions[[#This Row],[net_sales_inr]]-tblTransactions[[#This Row],[Recalc_Net_Sales]])&lt;0.02,"OK","CHECK")</f>
        <v>OK</v>
      </c>
      <c r="M1743" s="14">
        <f>DATE(YEAR(tblTransactions[[#This Row],[date]]),MONTH(tblTransactions[[#This Row],[date]]),1)</f>
        <v>45748</v>
      </c>
      <c r="N1743" t="str">
        <f>IF(WEEKDAY(tblTransactions[[#This Row],[date]],2)&gt;5,"Weekend","Weekday")</f>
        <v>Weekend</v>
      </c>
      <c r="O1743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743" s="13" t="str">
        <f>_xlfn.XLOOKUP(tblTransactions[[#This Row],[tenant_id]],tblTenants[tenant_id],tblTenants[zone],"NOT FOUND")</f>
        <v>Home &amp; Living</v>
      </c>
      <c r="Q1743" s="13" t="str">
        <f>_xlfn.XLOOKUP(tblTransactions[[#This Row],[tenant_id]],tblTenants[tenant_id],tblTenants[category],"NOT FOUND")</f>
        <v>Electronics</v>
      </c>
    </row>
    <row r="1744" spans="1:17">
      <c r="A1744" t="s">
        <v>1788</v>
      </c>
      <c r="B1744" s="2">
        <v>45692</v>
      </c>
      <c r="C1744">
        <v>21</v>
      </c>
      <c r="D1744" t="s">
        <v>72</v>
      </c>
      <c r="E1744" t="s">
        <v>32</v>
      </c>
      <c r="F1744" s="7">
        <v>522.86</v>
      </c>
      <c r="G1744" s="10">
        <v>0.1</v>
      </c>
      <c r="H1744" s="7">
        <v>470.57</v>
      </c>
      <c r="I1744">
        <v>2</v>
      </c>
      <c r="J1744" t="s">
        <v>13</v>
      </c>
      <c r="K1744" s="13">
        <f>ROUND(tblTransactions[[#This Row],[gross_sales_inr]]*(1-tblTransactions[[#This Row],[discount_pct]]),2)</f>
        <v>470.57</v>
      </c>
      <c r="L1744" t="str">
        <f>IF(ABS(tblTransactions[[#This Row],[net_sales_inr]]-tblTransactions[[#This Row],[Recalc_Net_Sales]])&lt;0.02,"OK","CHECK")</f>
        <v>OK</v>
      </c>
      <c r="M1744" s="14">
        <f>DATE(YEAR(tblTransactions[[#This Row],[date]]),MONTH(tblTransactions[[#This Row],[date]]),1)</f>
        <v>45689</v>
      </c>
      <c r="N1744" t="str">
        <f>IF(WEEKDAY(tblTransactions[[#This Row],[date]],2)&gt;5,"Weekend","Weekday")</f>
        <v>Weekday</v>
      </c>
      <c r="O174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44" s="13" t="str">
        <f>_xlfn.XLOOKUP(tblTransactions[[#This Row],[tenant_id]],tblTenants[tenant_id],tblTenants[zone],"NOT FOUND")</f>
        <v>Entertainment</v>
      </c>
      <c r="Q1744" s="13" t="str">
        <f>_xlfn.XLOOKUP(tblTransactions[[#This Row],[tenant_id]],tblTenants[tenant_id],tblTenants[category],"NOT FOUND")</f>
        <v>Arcade</v>
      </c>
    </row>
    <row r="1745" spans="1:17">
      <c r="A1745" t="s">
        <v>1789</v>
      </c>
      <c r="B1745" s="2">
        <v>45837</v>
      </c>
      <c r="C1745">
        <v>12</v>
      </c>
      <c r="D1745" t="s">
        <v>36</v>
      </c>
      <c r="E1745" t="s">
        <v>12</v>
      </c>
      <c r="F1745" s="7">
        <v>972.53</v>
      </c>
      <c r="G1745" s="10">
        <v>0</v>
      </c>
      <c r="H1745" s="7">
        <v>972.53</v>
      </c>
      <c r="I1745">
        <v>1</v>
      </c>
      <c r="J1745" t="s">
        <v>13</v>
      </c>
      <c r="K1745" s="13">
        <f>ROUND(tblTransactions[[#This Row],[gross_sales_inr]]*(1-tblTransactions[[#This Row],[discount_pct]]),2)</f>
        <v>972.53</v>
      </c>
      <c r="L1745" t="str">
        <f>IF(ABS(tblTransactions[[#This Row],[net_sales_inr]]-tblTransactions[[#This Row],[Recalc_Net_Sales]])&lt;0.02,"OK","CHECK")</f>
        <v>OK</v>
      </c>
      <c r="M1745" s="14">
        <f>DATE(YEAR(tblTransactions[[#This Row],[date]]),MONTH(tblTransactions[[#This Row],[date]]),1)</f>
        <v>45809</v>
      </c>
      <c r="N1745" t="str">
        <f>IF(WEEKDAY(tblTransactions[[#This Row],[date]],2)&gt;5,"Weekend","Weekday")</f>
        <v>Weekend</v>
      </c>
      <c r="O1745" s="13" t="str">
        <f>IF(tblTransactions[[#This Row],[discount_pct]]=0,"0%",IF(tblTransactions[[#This Row],[discount_pct]]&lt;=10%,"1–
10%",IF(tblTransactions[[#This Row],[discount_pct]]&lt;=20%,"11–20%","&gt;20%")))</f>
        <v>0%</v>
      </c>
      <c r="P1745" s="13" t="str">
        <f>_xlfn.XLOOKUP(tblTransactions[[#This Row],[tenant_id]],tblTenants[tenant_id],tblTenants[zone],"NOT FOUND")</f>
        <v>Home &amp; Living</v>
      </c>
      <c r="Q1745" s="13" t="str">
        <f>_xlfn.XLOOKUP(tblTransactions[[#This Row],[tenant_id]],tblTenants[tenant_id],tblTenants[category],"NOT FOUND")</f>
        <v>Electronics</v>
      </c>
    </row>
    <row r="1746" spans="1:17">
      <c r="A1746" t="s">
        <v>1790</v>
      </c>
      <c r="B1746" s="2">
        <v>45738</v>
      </c>
      <c r="C1746">
        <v>21</v>
      </c>
      <c r="D1746" t="s">
        <v>25</v>
      </c>
      <c r="E1746" t="s">
        <v>21</v>
      </c>
      <c r="F1746" s="7">
        <v>799.78</v>
      </c>
      <c r="G1746" s="10">
        <v>0.2</v>
      </c>
      <c r="H1746" s="7">
        <v>639.82000000000005</v>
      </c>
      <c r="I1746">
        <v>3</v>
      </c>
      <c r="J1746" t="s">
        <v>16</v>
      </c>
      <c r="K1746" s="13">
        <f>ROUND(tblTransactions[[#This Row],[gross_sales_inr]]*(1-tblTransactions[[#This Row],[discount_pct]]),2)</f>
        <v>639.82000000000005</v>
      </c>
      <c r="L1746" t="str">
        <f>IF(ABS(tblTransactions[[#This Row],[net_sales_inr]]-tblTransactions[[#This Row],[Recalc_Net_Sales]])&lt;0.02,"OK","CHECK")</f>
        <v>OK</v>
      </c>
      <c r="M1746" s="14">
        <f>DATE(YEAR(tblTransactions[[#This Row],[date]]),MONTH(tblTransactions[[#This Row],[date]]),1)</f>
        <v>45717</v>
      </c>
      <c r="N1746" t="str">
        <f>IF(WEEKDAY(tblTransactions[[#This Row],[date]],2)&gt;5,"Weekend","Weekday")</f>
        <v>Weekend</v>
      </c>
      <c r="O174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46" s="13" t="str">
        <f>_xlfn.XLOOKUP(tblTransactions[[#This Row],[tenant_id]],tblTenants[tenant_id],tblTenants[zone],"NOT FOUND")</f>
        <v>Beauty &amp; Wellness</v>
      </c>
      <c r="Q1746" s="13" t="str">
        <f>_xlfn.XLOOKUP(tblTransactions[[#This Row],[tenant_id]],tblTenants[tenant_id],tblTenants[category],"NOT FOUND")</f>
        <v>Beauty</v>
      </c>
    </row>
    <row r="1747" spans="1:17">
      <c r="A1747" t="s">
        <v>1791</v>
      </c>
      <c r="B1747" s="2">
        <v>45831</v>
      </c>
      <c r="C1747">
        <v>22</v>
      </c>
      <c r="D1747" t="s">
        <v>41</v>
      </c>
      <c r="E1747" t="s">
        <v>12</v>
      </c>
      <c r="F1747" s="7">
        <v>635.04</v>
      </c>
      <c r="G1747" s="10">
        <v>0</v>
      </c>
      <c r="H1747" s="7">
        <v>635.04</v>
      </c>
      <c r="I1747">
        <v>2</v>
      </c>
      <c r="J1747" t="s">
        <v>13</v>
      </c>
      <c r="K1747" s="13">
        <f>ROUND(tblTransactions[[#This Row],[gross_sales_inr]]*(1-tblTransactions[[#This Row],[discount_pct]]),2)</f>
        <v>635.04</v>
      </c>
      <c r="L1747" t="str">
        <f>IF(ABS(tblTransactions[[#This Row],[net_sales_inr]]-tblTransactions[[#This Row],[Recalc_Net_Sales]])&lt;0.02,"OK","CHECK")</f>
        <v>OK</v>
      </c>
      <c r="M1747" s="14">
        <f>DATE(YEAR(tblTransactions[[#This Row],[date]]),MONTH(tblTransactions[[#This Row],[date]]),1)</f>
        <v>45809</v>
      </c>
      <c r="N1747" t="str">
        <f>IF(WEEKDAY(tblTransactions[[#This Row],[date]],2)&gt;5,"Weekend","Weekday")</f>
        <v>Weekday</v>
      </c>
      <c r="O1747" s="13" t="str">
        <f>IF(tblTransactions[[#This Row],[discount_pct]]=0,"0%",IF(tblTransactions[[#This Row],[discount_pct]]&lt;=10%,"1–
10%",IF(tblTransactions[[#This Row],[discount_pct]]&lt;=20%,"11–20%","&gt;20%")))</f>
        <v>0%</v>
      </c>
      <c r="P1747" s="13" t="str">
        <f>_xlfn.XLOOKUP(tblTransactions[[#This Row],[tenant_id]],tblTenants[tenant_id],tblTenants[zone],"NOT FOUND")</f>
        <v>Fashion Avenue</v>
      </c>
      <c r="Q1747" s="13" t="str">
        <f>_xlfn.XLOOKUP(tblTransactions[[#This Row],[tenant_id]],tblTenants[tenant_id],tblTenants[category],"NOT FOUND")</f>
        <v>Clothing</v>
      </c>
    </row>
    <row r="1748" spans="1:17">
      <c r="A1748" t="s">
        <v>1792</v>
      </c>
      <c r="B1748" s="2">
        <v>45743</v>
      </c>
      <c r="C1748">
        <v>10</v>
      </c>
      <c r="D1748" t="s">
        <v>41</v>
      </c>
      <c r="E1748" t="s">
        <v>12</v>
      </c>
      <c r="F1748" s="7">
        <v>1668.8</v>
      </c>
      <c r="G1748" s="10">
        <v>0</v>
      </c>
      <c r="H1748" s="7">
        <v>1668.8</v>
      </c>
      <c r="I1748">
        <v>2</v>
      </c>
      <c r="J1748" t="s">
        <v>13</v>
      </c>
      <c r="K1748" s="13">
        <f>ROUND(tblTransactions[[#This Row],[gross_sales_inr]]*(1-tblTransactions[[#This Row],[discount_pct]]),2)</f>
        <v>1668.8</v>
      </c>
      <c r="L1748" t="str">
        <f>IF(ABS(tblTransactions[[#This Row],[net_sales_inr]]-tblTransactions[[#This Row],[Recalc_Net_Sales]])&lt;0.02,"OK","CHECK")</f>
        <v>OK</v>
      </c>
      <c r="M1748" s="14">
        <f>DATE(YEAR(tblTransactions[[#This Row],[date]]),MONTH(tblTransactions[[#This Row],[date]]),1)</f>
        <v>45717</v>
      </c>
      <c r="N1748" t="str">
        <f>IF(WEEKDAY(tblTransactions[[#This Row],[date]],2)&gt;5,"Weekend","Weekday")</f>
        <v>Weekday</v>
      </c>
      <c r="O1748" s="13" t="str">
        <f>IF(tblTransactions[[#This Row],[discount_pct]]=0,"0%",IF(tblTransactions[[#This Row],[discount_pct]]&lt;=10%,"1–
10%",IF(tblTransactions[[#This Row],[discount_pct]]&lt;=20%,"11–20%","&gt;20%")))</f>
        <v>0%</v>
      </c>
      <c r="P1748" s="13" t="str">
        <f>_xlfn.XLOOKUP(tblTransactions[[#This Row],[tenant_id]],tblTenants[tenant_id],tblTenants[zone],"NOT FOUND")</f>
        <v>Fashion Avenue</v>
      </c>
      <c r="Q1748" s="13" t="str">
        <f>_xlfn.XLOOKUP(tblTransactions[[#This Row],[tenant_id]],tblTenants[tenant_id],tblTenants[category],"NOT FOUND")</f>
        <v>Clothing</v>
      </c>
    </row>
    <row r="1749" spans="1:17">
      <c r="A1749" t="s">
        <v>1793</v>
      </c>
      <c r="B1749" s="2">
        <v>45711</v>
      </c>
      <c r="C1749">
        <v>10</v>
      </c>
      <c r="D1749" t="s">
        <v>11</v>
      </c>
      <c r="E1749" t="s">
        <v>32</v>
      </c>
      <c r="F1749" s="7">
        <v>613.33000000000004</v>
      </c>
      <c r="G1749" s="10">
        <v>0</v>
      </c>
      <c r="H1749" s="7">
        <v>613.33000000000004</v>
      </c>
      <c r="I1749">
        <v>6</v>
      </c>
      <c r="J1749" t="s">
        <v>13</v>
      </c>
      <c r="K1749" s="13">
        <f>ROUND(tblTransactions[[#This Row],[gross_sales_inr]]*(1-tblTransactions[[#This Row],[discount_pct]]),2)</f>
        <v>613.33000000000004</v>
      </c>
      <c r="L1749" t="str">
        <f>IF(ABS(tblTransactions[[#This Row],[net_sales_inr]]-tblTransactions[[#This Row],[Recalc_Net_Sales]])&lt;0.02,"OK","CHECK")</f>
        <v>OK</v>
      </c>
      <c r="M1749" s="14">
        <f>DATE(YEAR(tblTransactions[[#This Row],[date]]),MONTH(tblTransactions[[#This Row],[date]]),1)</f>
        <v>45689</v>
      </c>
      <c r="N1749" t="str">
        <f>IF(WEEKDAY(tblTransactions[[#This Row],[date]],2)&gt;5,"Weekend","Weekday")</f>
        <v>Weekend</v>
      </c>
      <c r="O1749" s="13" t="str">
        <f>IF(tblTransactions[[#This Row],[discount_pct]]=0,"0%",IF(tblTransactions[[#This Row],[discount_pct]]&lt;=10%,"1–
10%",IF(tblTransactions[[#This Row],[discount_pct]]&lt;=20%,"11–20%","&gt;20%")))</f>
        <v>0%</v>
      </c>
      <c r="P1749" s="13" t="str">
        <f>_xlfn.XLOOKUP(tblTransactions[[#This Row],[tenant_id]],tblTenants[tenant_id],tblTenants[zone],"NOT FOUND")</f>
        <v>Home &amp; Living</v>
      </c>
      <c r="Q1749" s="13" t="str">
        <f>_xlfn.XLOOKUP(tblTransactions[[#This Row],[tenant_id]],tblTenants[tenant_id],tblTenants[category],"NOT FOUND")</f>
        <v>Home Decor</v>
      </c>
    </row>
    <row r="1750" spans="1:17">
      <c r="A1750" t="s">
        <v>1794</v>
      </c>
      <c r="B1750" s="2">
        <v>45682</v>
      </c>
      <c r="C1750">
        <v>22</v>
      </c>
      <c r="D1750" t="s">
        <v>29</v>
      </c>
      <c r="E1750" t="s">
        <v>32</v>
      </c>
      <c r="F1750" s="7">
        <v>830.35</v>
      </c>
      <c r="G1750" s="10">
        <v>0</v>
      </c>
      <c r="H1750" s="7">
        <v>830.35</v>
      </c>
      <c r="I1750">
        <v>1</v>
      </c>
      <c r="J1750" t="s">
        <v>13</v>
      </c>
      <c r="K1750" s="13">
        <f>ROUND(tblTransactions[[#This Row],[gross_sales_inr]]*(1-tblTransactions[[#This Row],[discount_pct]]),2)</f>
        <v>830.35</v>
      </c>
      <c r="L1750" t="str">
        <f>IF(ABS(tblTransactions[[#This Row],[net_sales_inr]]-tblTransactions[[#This Row],[Recalc_Net_Sales]])&lt;0.02,"OK","CHECK")</f>
        <v>OK</v>
      </c>
      <c r="M1750" s="14">
        <f>DATE(YEAR(tblTransactions[[#This Row],[date]]),MONTH(tblTransactions[[#This Row],[date]]),1)</f>
        <v>45658</v>
      </c>
      <c r="N1750" t="str">
        <f>IF(WEEKDAY(tblTransactions[[#This Row],[date]],2)&gt;5,"Weekend","Weekday")</f>
        <v>Weekend</v>
      </c>
      <c r="O1750" s="13" t="str">
        <f>IF(tblTransactions[[#This Row],[discount_pct]]=0,"0%",IF(tblTransactions[[#This Row],[discount_pct]]&lt;=10%,"1–
10%",IF(tblTransactions[[#This Row],[discount_pct]]&lt;=20%,"11–20%","&gt;20%")))</f>
        <v>0%</v>
      </c>
      <c r="P1750" s="13" t="str">
        <f>_xlfn.XLOOKUP(tblTransactions[[#This Row],[tenant_id]],tblTenants[tenant_id],tblTenants[zone],"NOT FOUND")</f>
        <v>Entertainment</v>
      </c>
      <c r="Q1750" s="13" t="str">
        <f>_xlfn.XLOOKUP(tblTransactions[[#This Row],[tenant_id]],tblTenants[tenant_id],tblTenants[category],"NOT FOUND")</f>
        <v>Cinema</v>
      </c>
    </row>
    <row r="1751" spans="1:17">
      <c r="A1751" t="s">
        <v>1795</v>
      </c>
      <c r="B1751" s="2">
        <v>45669</v>
      </c>
      <c r="C1751">
        <v>15</v>
      </c>
      <c r="D1751" t="s">
        <v>104</v>
      </c>
      <c r="E1751" t="s">
        <v>12</v>
      </c>
      <c r="F1751" s="7">
        <v>667.34</v>
      </c>
      <c r="G1751" s="10">
        <v>0.05</v>
      </c>
      <c r="H1751" s="7">
        <v>633.97</v>
      </c>
      <c r="I1751">
        <v>1</v>
      </c>
      <c r="J1751" t="s">
        <v>13</v>
      </c>
      <c r="K1751" s="13">
        <f>ROUND(tblTransactions[[#This Row],[gross_sales_inr]]*(1-tblTransactions[[#This Row],[discount_pct]]),2)</f>
        <v>633.97</v>
      </c>
      <c r="L1751" t="str">
        <f>IF(ABS(tblTransactions[[#This Row],[net_sales_inr]]-tblTransactions[[#This Row],[Recalc_Net_Sales]])&lt;0.02,"OK","CHECK")</f>
        <v>OK</v>
      </c>
      <c r="M1751" s="14">
        <f>DATE(YEAR(tblTransactions[[#This Row],[date]]),MONTH(tblTransactions[[#This Row],[date]]),1)</f>
        <v>45658</v>
      </c>
      <c r="N1751" t="str">
        <f>IF(WEEKDAY(tblTransactions[[#This Row],[date]],2)&gt;5,"Weekend","Weekday")</f>
        <v>Weekend</v>
      </c>
      <c r="O175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51" s="13" t="str">
        <f>_xlfn.XLOOKUP(tblTransactions[[#This Row],[tenant_id]],tblTenants[tenant_id],tblTenants[zone],"NOT FOUND")</f>
        <v>Entertainment</v>
      </c>
      <c r="Q1751" s="13" t="str">
        <f>_xlfn.XLOOKUP(tblTransactions[[#This Row],[tenant_id]],tblTenants[tenant_id],tblTenants[category],"NOT FOUND")</f>
        <v>Family Entertainment</v>
      </c>
    </row>
    <row r="1752" spans="1:17">
      <c r="A1752" t="s">
        <v>1796</v>
      </c>
      <c r="B1752" s="2">
        <v>45662</v>
      </c>
      <c r="C1752">
        <v>13</v>
      </c>
      <c r="D1752" t="s">
        <v>80</v>
      </c>
      <c r="E1752" t="s">
        <v>12</v>
      </c>
      <c r="F1752" s="7">
        <v>578.35</v>
      </c>
      <c r="G1752" s="10">
        <v>0</v>
      </c>
      <c r="H1752" s="7">
        <v>578.35</v>
      </c>
      <c r="I1752">
        <v>1</v>
      </c>
      <c r="J1752" t="s">
        <v>16</v>
      </c>
      <c r="K1752" s="13">
        <f>ROUND(tblTransactions[[#This Row],[gross_sales_inr]]*(1-tblTransactions[[#This Row],[discount_pct]]),2)</f>
        <v>578.35</v>
      </c>
      <c r="L1752" t="str">
        <f>IF(ABS(tblTransactions[[#This Row],[net_sales_inr]]-tblTransactions[[#This Row],[Recalc_Net_Sales]])&lt;0.02,"OK","CHECK")</f>
        <v>OK</v>
      </c>
      <c r="M1752" s="14">
        <f>DATE(YEAR(tblTransactions[[#This Row],[date]]),MONTH(tblTransactions[[#This Row],[date]]),1)</f>
        <v>45658</v>
      </c>
      <c r="N1752" t="str">
        <f>IF(WEEKDAY(tblTransactions[[#This Row],[date]],2)&gt;5,"Weekend","Weekday")</f>
        <v>Weekend</v>
      </c>
      <c r="O1752" s="13" t="str">
        <f>IF(tblTransactions[[#This Row],[discount_pct]]=0,"0%",IF(tblTransactions[[#This Row],[discount_pct]]&lt;=10%,"1–
10%",IF(tblTransactions[[#This Row],[discount_pct]]&lt;=20%,"11–20%","&gt;20%")))</f>
        <v>0%</v>
      </c>
      <c r="P1752" s="13" t="str">
        <f>_xlfn.XLOOKUP(tblTransactions[[#This Row],[tenant_id]],tblTenants[tenant_id],tblTenants[zone],"NOT FOUND")</f>
        <v>Food Court</v>
      </c>
      <c r="Q1752" s="13" t="str">
        <f>_xlfn.XLOOKUP(tblTransactions[[#This Row],[tenant_id]],tblTenants[tenant_id],tblTenants[category],"NOT FOUND")</f>
        <v>Casual Dining</v>
      </c>
    </row>
    <row r="1753" spans="1:17">
      <c r="A1753" t="s">
        <v>1797</v>
      </c>
      <c r="B1753" s="2">
        <v>45675</v>
      </c>
      <c r="C1753">
        <v>21</v>
      </c>
      <c r="D1753" t="s">
        <v>72</v>
      </c>
      <c r="E1753" t="s">
        <v>32</v>
      </c>
      <c r="F1753" s="7">
        <v>2014.48</v>
      </c>
      <c r="G1753" s="10">
        <v>0.15</v>
      </c>
      <c r="H1753" s="7">
        <v>1712.31</v>
      </c>
      <c r="I1753">
        <v>3</v>
      </c>
      <c r="J1753" t="s">
        <v>13</v>
      </c>
      <c r="K1753" s="13">
        <f>ROUND(tblTransactions[[#This Row],[gross_sales_inr]]*(1-tblTransactions[[#This Row],[discount_pct]]),2)</f>
        <v>1712.31</v>
      </c>
      <c r="L1753" t="str">
        <f>IF(ABS(tblTransactions[[#This Row],[net_sales_inr]]-tblTransactions[[#This Row],[Recalc_Net_Sales]])&lt;0.02,"OK","CHECK")</f>
        <v>OK</v>
      </c>
      <c r="M1753" s="14">
        <f>DATE(YEAR(tblTransactions[[#This Row],[date]]),MONTH(tblTransactions[[#This Row],[date]]),1)</f>
        <v>45658</v>
      </c>
      <c r="N1753" t="str">
        <f>IF(WEEKDAY(tblTransactions[[#This Row],[date]],2)&gt;5,"Weekend","Weekday")</f>
        <v>Weekend</v>
      </c>
      <c r="O175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53" s="13" t="str">
        <f>_xlfn.XLOOKUP(tblTransactions[[#This Row],[tenant_id]],tblTenants[tenant_id],tblTenants[zone],"NOT FOUND")</f>
        <v>Entertainment</v>
      </c>
      <c r="Q1753" s="13" t="str">
        <f>_xlfn.XLOOKUP(tblTransactions[[#This Row],[tenant_id]],tblTenants[tenant_id],tblTenants[category],"NOT FOUND")</f>
        <v>Arcade</v>
      </c>
    </row>
    <row r="1754" spans="1:17">
      <c r="A1754" t="s">
        <v>1798</v>
      </c>
      <c r="B1754" s="2">
        <v>45816</v>
      </c>
      <c r="C1754">
        <v>11</v>
      </c>
      <c r="D1754" t="s">
        <v>70</v>
      </c>
      <c r="E1754" t="s">
        <v>32</v>
      </c>
      <c r="F1754" s="7">
        <v>4768.38</v>
      </c>
      <c r="G1754" s="10">
        <v>0.15</v>
      </c>
      <c r="H1754" s="7">
        <v>4053.12</v>
      </c>
      <c r="I1754">
        <v>1</v>
      </c>
      <c r="J1754" t="s">
        <v>16</v>
      </c>
      <c r="K1754" s="13">
        <f>ROUND(tblTransactions[[#This Row],[gross_sales_inr]]*(1-tblTransactions[[#This Row],[discount_pct]]),2)</f>
        <v>4053.12</v>
      </c>
      <c r="L1754" t="str">
        <f>IF(ABS(tblTransactions[[#This Row],[net_sales_inr]]-tblTransactions[[#This Row],[Recalc_Net_Sales]])&lt;0.02,"OK","CHECK")</f>
        <v>OK</v>
      </c>
      <c r="M1754" s="14">
        <f>DATE(YEAR(tblTransactions[[#This Row],[date]]),MONTH(tblTransactions[[#This Row],[date]]),1)</f>
        <v>45809</v>
      </c>
      <c r="N1754" t="str">
        <f>IF(WEEKDAY(tblTransactions[[#This Row],[date]],2)&gt;5,"Weekend","Weekday")</f>
        <v>Weekend</v>
      </c>
      <c r="O175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54" s="13" t="str">
        <f>_xlfn.XLOOKUP(tblTransactions[[#This Row],[tenant_id]],tblTenants[tenant_id],tblTenants[zone],"NOT FOUND")</f>
        <v>Food Court</v>
      </c>
      <c r="Q1754" s="13" t="str">
        <f>_xlfn.XLOOKUP(tblTransactions[[#This Row],[tenant_id]],tblTenants[tenant_id],tblTenants[category],"NOT FOUND")</f>
        <v>Quick Service</v>
      </c>
    </row>
    <row r="1755" spans="1:17">
      <c r="A1755" t="s">
        <v>1799</v>
      </c>
      <c r="B1755" s="2">
        <v>45802</v>
      </c>
      <c r="C1755">
        <v>15</v>
      </c>
      <c r="D1755" t="s">
        <v>34</v>
      </c>
      <c r="E1755" t="s">
        <v>12</v>
      </c>
      <c r="F1755" s="7">
        <v>2893.6</v>
      </c>
      <c r="G1755" s="10">
        <v>0</v>
      </c>
      <c r="H1755" s="7">
        <v>2893.6</v>
      </c>
      <c r="I1755">
        <v>1</v>
      </c>
      <c r="J1755" t="s">
        <v>13</v>
      </c>
      <c r="K1755" s="13">
        <f>ROUND(tblTransactions[[#This Row],[gross_sales_inr]]*(1-tblTransactions[[#This Row],[discount_pct]]),2)</f>
        <v>2893.6</v>
      </c>
      <c r="L1755" t="str">
        <f>IF(ABS(tblTransactions[[#This Row],[net_sales_inr]]-tblTransactions[[#This Row],[Recalc_Net_Sales]])&lt;0.02,"OK","CHECK")</f>
        <v>OK</v>
      </c>
      <c r="M1755" s="14">
        <f>DATE(YEAR(tblTransactions[[#This Row],[date]]),MONTH(tblTransactions[[#This Row],[date]]),1)</f>
        <v>45778</v>
      </c>
      <c r="N1755" t="str">
        <f>IF(WEEKDAY(tblTransactions[[#This Row],[date]],2)&gt;5,"Weekend","Weekday")</f>
        <v>Weekend</v>
      </c>
      <c r="O1755" s="13" t="str">
        <f>IF(tblTransactions[[#This Row],[discount_pct]]=0,"0%",IF(tblTransactions[[#This Row],[discount_pct]]&lt;=10%,"1–
10%",IF(tblTransactions[[#This Row],[discount_pct]]&lt;=20%,"11–20%","&gt;20%")))</f>
        <v>0%</v>
      </c>
      <c r="P1755" s="13" t="str">
        <f>_xlfn.XLOOKUP(tblTransactions[[#This Row],[tenant_id]],tblTenants[tenant_id],tblTenants[zone],"NOT FOUND")</f>
        <v>Home &amp; Living</v>
      </c>
      <c r="Q1755" s="13" t="str">
        <f>_xlfn.XLOOKUP(tblTransactions[[#This Row],[tenant_id]],tblTenants[tenant_id],tblTenants[category],"NOT FOUND")</f>
        <v>Electronics</v>
      </c>
    </row>
    <row r="1756" spans="1:17">
      <c r="A1756" t="s">
        <v>1800</v>
      </c>
      <c r="B1756" s="2">
        <v>45752</v>
      </c>
      <c r="C1756">
        <v>14</v>
      </c>
      <c r="D1756" t="s">
        <v>55</v>
      </c>
      <c r="E1756" t="s">
        <v>32</v>
      </c>
      <c r="F1756" s="7">
        <v>537.55999999999995</v>
      </c>
      <c r="G1756" s="10">
        <v>0</v>
      </c>
      <c r="H1756" s="7">
        <v>537.55999999999995</v>
      </c>
      <c r="I1756">
        <v>3</v>
      </c>
      <c r="J1756" t="s">
        <v>16</v>
      </c>
      <c r="K1756" s="13">
        <f>ROUND(tblTransactions[[#This Row],[gross_sales_inr]]*(1-tblTransactions[[#This Row],[discount_pct]]),2)</f>
        <v>537.55999999999995</v>
      </c>
      <c r="L1756" t="str">
        <f>IF(ABS(tblTransactions[[#This Row],[net_sales_inr]]-tblTransactions[[#This Row],[Recalc_Net_Sales]])&lt;0.02,"OK","CHECK")</f>
        <v>OK</v>
      </c>
      <c r="M1756" s="14">
        <f>DATE(YEAR(tblTransactions[[#This Row],[date]]),MONTH(tblTransactions[[#This Row],[date]]),1)</f>
        <v>45748</v>
      </c>
      <c r="N1756" t="str">
        <f>IF(WEEKDAY(tblTransactions[[#This Row],[date]],2)&gt;5,"Weekend","Weekday")</f>
        <v>Weekend</v>
      </c>
      <c r="O1756" s="13" t="str">
        <f>IF(tblTransactions[[#This Row],[discount_pct]]=0,"0%",IF(tblTransactions[[#This Row],[discount_pct]]&lt;=10%,"1–
10%",IF(tblTransactions[[#This Row],[discount_pct]]&lt;=20%,"11–20%","&gt;20%")))</f>
        <v>0%</v>
      </c>
      <c r="P1756" s="13" t="str">
        <f>_xlfn.XLOOKUP(tblTransactions[[#This Row],[tenant_id]],tblTenants[tenant_id],tblTenants[zone],"NOT FOUND")</f>
        <v>Food Court</v>
      </c>
      <c r="Q1756" s="13" t="str">
        <f>_xlfn.XLOOKUP(tblTransactions[[#This Row],[tenant_id]],tblTenants[tenant_id],tblTenants[category],"NOT FOUND")</f>
        <v>Quick Service</v>
      </c>
    </row>
    <row r="1757" spans="1:17">
      <c r="A1757" t="s">
        <v>1801</v>
      </c>
      <c r="B1757" s="2">
        <v>45712</v>
      </c>
      <c r="C1757">
        <v>16</v>
      </c>
      <c r="D1757" t="s">
        <v>70</v>
      </c>
      <c r="E1757" t="s">
        <v>51</v>
      </c>
      <c r="F1757" s="7">
        <v>1201.04</v>
      </c>
      <c r="G1757" s="10">
        <v>0.1</v>
      </c>
      <c r="H1757" s="7">
        <v>1080.94</v>
      </c>
      <c r="I1757">
        <v>5</v>
      </c>
      <c r="J1757" t="s">
        <v>16</v>
      </c>
      <c r="K1757" s="13">
        <f>ROUND(tblTransactions[[#This Row],[gross_sales_inr]]*(1-tblTransactions[[#This Row],[discount_pct]]),2)</f>
        <v>1080.94</v>
      </c>
      <c r="L1757" t="str">
        <f>IF(ABS(tblTransactions[[#This Row],[net_sales_inr]]-tblTransactions[[#This Row],[Recalc_Net_Sales]])&lt;0.02,"OK","CHECK")</f>
        <v>OK</v>
      </c>
      <c r="M1757" s="14">
        <f>DATE(YEAR(tblTransactions[[#This Row],[date]]),MONTH(tblTransactions[[#This Row],[date]]),1)</f>
        <v>45689</v>
      </c>
      <c r="N1757" t="str">
        <f>IF(WEEKDAY(tblTransactions[[#This Row],[date]],2)&gt;5,"Weekend","Weekday")</f>
        <v>Weekday</v>
      </c>
      <c r="O175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57" s="13" t="str">
        <f>_xlfn.XLOOKUP(tblTransactions[[#This Row],[tenant_id]],tblTenants[tenant_id],tblTenants[zone],"NOT FOUND")</f>
        <v>Food Court</v>
      </c>
      <c r="Q1757" s="13" t="str">
        <f>_xlfn.XLOOKUP(tblTransactions[[#This Row],[tenant_id]],tblTenants[tenant_id],tblTenants[category],"NOT FOUND")</f>
        <v>Quick Service</v>
      </c>
    </row>
    <row r="1758" spans="1:17">
      <c r="A1758" t="s">
        <v>1802</v>
      </c>
      <c r="B1758" s="2">
        <v>45837</v>
      </c>
      <c r="C1758">
        <v>12</v>
      </c>
      <c r="D1758" t="s">
        <v>63</v>
      </c>
      <c r="E1758" t="s">
        <v>12</v>
      </c>
      <c r="F1758" s="7">
        <v>937.38</v>
      </c>
      <c r="G1758" s="10">
        <v>0.2</v>
      </c>
      <c r="H1758" s="7">
        <v>749.9</v>
      </c>
      <c r="I1758">
        <v>1</v>
      </c>
      <c r="J1758" t="s">
        <v>16</v>
      </c>
      <c r="K1758" s="13">
        <f>ROUND(tblTransactions[[#This Row],[gross_sales_inr]]*(1-tblTransactions[[#This Row],[discount_pct]]),2)</f>
        <v>749.9</v>
      </c>
      <c r="L1758" t="str">
        <f>IF(ABS(tblTransactions[[#This Row],[net_sales_inr]]-tblTransactions[[#This Row],[Recalc_Net_Sales]])&lt;0.02,"OK","CHECK")</f>
        <v>OK</v>
      </c>
      <c r="M1758" s="14">
        <f>DATE(YEAR(tblTransactions[[#This Row],[date]]),MONTH(tblTransactions[[#This Row],[date]]),1)</f>
        <v>45809</v>
      </c>
      <c r="N1758" t="str">
        <f>IF(WEEKDAY(tblTransactions[[#This Row],[date]],2)&gt;5,"Weekend","Weekday")</f>
        <v>Weekend</v>
      </c>
      <c r="O175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58" s="13" t="str">
        <f>_xlfn.XLOOKUP(tblTransactions[[#This Row],[tenant_id]],tblTenants[tenant_id],tblTenants[zone],"NOT FOUND")</f>
        <v>Entertainment</v>
      </c>
      <c r="Q1758" s="13" t="str">
        <f>_xlfn.XLOOKUP(tblTransactions[[#This Row],[tenant_id]],tblTenants[tenant_id],tblTenants[category],"NOT FOUND")</f>
        <v>Family Entertainment</v>
      </c>
    </row>
    <row r="1759" spans="1:17">
      <c r="A1759" t="s">
        <v>1803</v>
      </c>
      <c r="B1759" s="2">
        <v>45704</v>
      </c>
      <c r="C1759">
        <v>18</v>
      </c>
      <c r="D1759" t="s">
        <v>27</v>
      </c>
      <c r="E1759" t="s">
        <v>21</v>
      </c>
      <c r="F1759" s="7">
        <v>739.76</v>
      </c>
      <c r="G1759" s="10">
        <v>0</v>
      </c>
      <c r="H1759" s="7">
        <v>739.76</v>
      </c>
      <c r="I1759">
        <v>2</v>
      </c>
      <c r="J1759" t="s">
        <v>13</v>
      </c>
      <c r="K1759" s="13">
        <f>ROUND(tblTransactions[[#This Row],[gross_sales_inr]]*(1-tblTransactions[[#This Row],[discount_pct]]),2)</f>
        <v>739.76</v>
      </c>
      <c r="L1759" t="str">
        <f>IF(ABS(tblTransactions[[#This Row],[net_sales_inr]]-tblTransactions[[#This Row],[Recalc_Net_Sales]])&lt;0.02,"OK","CHECK")</f>
        <v>OK</v>
      </c>
      <c r="M1759" s="14">
        <f>DATE(YEAR(tblTransactions[[#This Row],[date]]),MONTH(tblTransactions[[#This Row],[date]]),1)</f>
        <v>45689</v>
      </c>
      <c r="N1759" t="str">
        <f>IF(WEEKDAY(tblTransactions[[#This Row],[date]],2)&gt;5,"Weekend","Weekday")</f>
        <v>Weekend</v>
      </c>
      <c r="O1759" s="13" t="str">
        <f>IF(tblTransactions[[#This Row],[discount_pct]]=0,"0%",IF(tblTransactions[[#This Row],[discount_pct]]&lt;=10%,"1–
10%",IF(tblTransactions[[#This Row],[discount_pct]]&lt;=20%,"11–20%","&gt;20%")))</f>
        <v>0%</v>
      </c>
      <c r="P1759" s="13" t="str">
        <f>_xlfn.XLOOKUP(tblTransactions[[#This Row],[tenant_id]],tblTenants[tenant_id],tblTenants[zone],"NOT FOUND")</f>
        <v>Beauty &amp; Wellness</v>
      </c>
      <c r="Q1759" s="13" t="str">
        <f>_xlfn.XLOOKUP(tblTransactions[[#This Row],[tenant_id]],tblTenants[tenant_id],tblTenants[category],"NOT FOUND")</f>
        <v>Wellness</v>
      </c>
    </row>
    <row r="1760" spans="1:17">
      <c r="A1760" t="s">
        <v>1804</v>
      </c>
      <c r="B1760" s="2">
        <v>45789</v>
      </c>
      <c r="C1760">
        <v>20</v>
      </c>
      <c r="D1760" t="s">
        <v>45</v>
      </c>
      <c r="E1760" t="s">
        <v>12</v>
      </c>
      <c r="F1760" s="7">
        <v>2344.9</v>
      </c>
      <c r="G1760" s="10">
        <v>0.15</v>
      </c>
      <c r="H1760" s="7">
        <v>1993.16</v>
      </c>
      <c r="I1760">
        <v>5</v>
      </c>
      <c r="J1760" t="s">
        <v>16</v>
      </c>
      <c r="K1760" s="13">
        <f>ROUND(tblTransactions[[#This Row],[gross_sales_inr]]*(1-tblTransactions[[#This Row],[discount_pct]]),2)</f>
        <v>1993.17</v>
      </c>
      <c r="L1760" t="str">
        <f>IF(ABS(tblTransactions[[#This Row],[net_sales_inr]]-tblTransactions[[#This Row],[Recalc_Net_Sales]])&lt;0.02,"OK","CHECK")</f>
        <v>OK</v>
      </c>
      <c r="M1760" s="14">
        <f>DATE(YEAR(tblTransactions[[#This Row],[date]]),MONTH(tblTransactions[[#This Row],[date]]),1)</f>
        <v>45778</v>
      </c>
      <c r="N1760" t="str">
        <f>IF(WEEKDAY(tblTransactions[[#This Row],[date]],2)&gt;5,"Weekend","Weekday")</f>
        <v>Weekday</v>
      </c>
      <c r="O176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60" s="13" t="str">
        <f>_xlfn.XLOOKUP(tblTransactions[[#This Row],[tenant_id]],tblTenants[tenant_id],tblTenants[zone],"NOT FOUND")</f>
        <v>Home &amp; Living</v>
      </c>
      <c r="Q1760" s="13" t="str">
        <f>_xlfn.XLOOKUP(tblTransactions[[#This Row],[tenant_id]],tblTenants[tenant_id],tblTenants[category],"NOT FOUND")</f>
        <v>Home Decor</v>
      </c>
    </row>
    <row r="1761" spans="1:17">
      <c r="A1761" t="s">
        <v>1805</v>
      </c>
      <c r="B1761" s="2">
        <v>45677</v>
      </c>
      <c r="C1761">
        <v>15</v>
      </c>
      <c r="D1761" t="s">
        <v>122</v>
      </c>
      <c r="E1761" t="s">
        <v>12</v>
      </c>
      <c r="F1761" s="7">
        <v>3256.3</v>
      </c>
      <c r="G1761" s="10">
        <v>0</v>
      </c>
      <c r="H1761" s="7">
        <v>3256.3</v>
      </c>
      <c r="I1761">
        <v>2</v>
      </c>
      <c r="J1761" t="s">
        <v>16</v>
      </c>
      <c r="K1761" s="13">
        <f>ROUND(tblTransactions[[#This Row],[gross_sales_inr]]*(1-tblTransactions[[#This Row],[discount_pct]]),2)</f>
        <v>3256.3</v>
      </c>
      <c r="L1761" t="str">
        <f>IF(ABS(tblTransactions[[#This Row],[net_sales_inr]]-tblTransactions[[#This Row],[Recalc_Net_Sales]])&lt;0.02,"OK","CHECK")</f>
        <v>OK</v>
      </c>
      <c r="M1761" s="14">
        <f>DATE(YEAR(tblTransactions[[#This Row],[date]]),MONTH(tblTransactions[[#This Row],[date]]),1)</f>
        <v>45658</v>
      </c>
      <c r="N1761" t="str">
        <f>IF(WEEKDAY(tblTransactions[[#This Row],[date]],2)&gt;5,"Weekend","Weekday")</f>
        <v>Weekday</v>
      </c>
      <c r="O1761" s="13" t="str">
        <f>IF(tblTransactions[[#This Row],[discount_pct]]=0,"0%",IF(tblTransactions[[#This Row],[discount_pct]]&lt;=10%,"1–
10%",IF(tblTransactions[[#This Row],[discount_pct]]&lt;=20%,"11–20%","&gt;20%")))</f>
        <v>0%</v>
      </c>
      <c r="P1761" s="13" t="str">
        <f>_xlfn.XLOOKUP(tblTransactions[[#This Row],[tenant_id]],tblTenants[tenant_id],tblTenants[zone],"NOT FOUND")</f>
        <v>Beauty &amp; Wellness</v>
      </c>
      <c r="Q1761" s="13" t="str">
        <f>_xlfn.XLOOKUP(tblTransactions[[#This Row],[tenant_id]],tblTenants[tenant_id],tblTenants[category],"NOT FOUND")</f>
        <v>Wellness</v>
      </c>
    </row>
    <row r="1762" spans="1:17">
      <c r="A1762" t="s">
        <v>1806</v>
      </c>
      <c r="B1762" s="2">
        <v>45679</v>
      </c>
      <c r="C1762">
        <v>17</v>
      </c>
      <c r="D1762" t="s">
        <v>15</v>
      </c>
      <c r="E1762" t="s">
        <v>32</v>
      </c>
      <c r="F1762" s="7">
        <v>1601.49</v>
      </c>
      <c r="G1762" s="10">
        <v>0.05</v>
      </c>
      <c r="H1762" s="7">
        <v>1521.42</v>
      </c>
      <c r="I1762">
        <v>1</v>
      </c>
      <c r="J1762" t="s">
        <v>16</v>
      </c>
      <c r="K1762" s="13">
        <f>ROUND(tblTransactions[[#This Row],[gross_sales_inr]]*(1-tblTransactions[[#This Row],[discount_pct]]),2)</f>
        <v>1521.42</v>
      </c>
      <c r="L1762" t="str">
        <f>IF(ABS(tblTransactions[[#This Row],[net_sales_inr]]-tblTransactions[[#This Row],[Recalc_Net_Sales]])&lt;0.02,"OK","CHECK")</f>
        <v>OK</v>
      </c>
      <c r="M1762" s="14">
        <f>DATE(YEAR(tblTransactions[[#This Row],[date]]),MONTH(tblTransactions[[#This Row],[date]]),1)</f>
        <v>45658</v>
      </c>
      <c r="N1762" t="str">
        <f>IF(WEEKDAY(tblTransactions[[#This Row],[date]],2)&gt;5,"Weekend","Weekday")</f>
        <v>Weekday</v>
      </c>
      <c r="O176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62" s="13" t="str">
        <f>_xlfn.XLOOKUP(tblTransactions[[#This Row],[tenant_id]],tblTenants[tenant_id],tblTenants[zone],"NOT FOUND")</f>
        <v>Fashion Avenue</v>
      </c>
      <c r="Q1762" s="13" t="str">
        <f>_xlfn.XLOOKUP(tblTransactions[[#This Row],[tenant_id]],tblTenants[tenant_id],tblTenants[category],"NOT FOUND")</f>
        <v>Accessories</v>
      </c>
    </row>
    <row r="1763" spans="1:17">
      <c r="A1763" t="s">
        <v>1807</v>
      </c>
      <c r="B1763" s="2">
        <v>45689</v>
      </c>
      <c r="C1763">
        <v>20</v>
      </c>
      <c r="D1763" t="s">
        <v>72</v>
      </c>
      <c r="E1763" t="s">
        <v>12</v>
      </c>
      <c r="F1763" s="7">
        <v>2652.97</v>
      </c>
      <c r="G1763" s="10">
        <v>0.15</v>
      </c>
      <c r="H1763" s="7">
        <v>2255.02</v>
      </c>
      <c r="I1763">
        <v>1</v>
      </c>
      <c r="J1763" t="s">
        <v>16</v>
      </c>
      <c r="K1763" s="13">
        <f>ROUND(tblTransactions[[#This Row],[gross_sales_inr]]*(1-tblTransactions[[#This Row],[discount_pct]]),2)</f>
        <v>2255.02</v>
      </c>
      <c r="L1763" t="str">
        <f>IF(ABS(tblTransactions[[#This Row],[net_sales_inr]]-tblTransactions[[#This Row],[Recalc_Net_Sales]])&lt;0.02,"OK","CHECK")</f>
        <v>OK</v>
      </c>
      <c r="M1763" s="14">
        <f>DATE(YEAR(tblTransactions[[#This Row],[date]]),MONTH(tblTransactions[[#This Row],[date]]),1)</f>
        <v>45689</v>
      </c>
      <c r="N1763" t="str">
        <f>IF(WEEKDAY(tblTransactions[[#This Row],[date]],2)&gt;5,"Weekend","Weekday")</f>
        <v>Weekend</v>
      </c>
      <c r="O176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63" s="13" t="str">
        <f>_xlfn.XLOOKUP(tblTransactions[[#This Row],[tenant_id]],tblTenants[tenant_id],tblTenants[zone],"NOT FOUND")</f>
        <v>Entertainment</v>
      </c>
      <c r="Q1763" s="13" t="str">
        <f>_xlfn.XLOOKUP(tblTransactions[[#This Row],[tenant_id]],tblTenants[tenant_id],tblTenants[category],"NOT FOUND")</f>
        <v>Arcade</v>
      </c>
    </row>
    <row r="1764" spans="1:17">
      <c r="A1764" t="s">
        <v>1808</v>
      </c>
      <c r="B1764" s="2">
        <v>45675</v>
      </c>
      <c r="C1764">
        <v>13</v>
      </c>
      <c r="D1764" t="s">
        <v>70</v>
      </c>
      <c r="E1764" t="s">
        <v>12</v>
      </c>
      <c r="F1764" s="7">
        <v>1228.76</v>
      </c>
      <c r="G1764" s="10">
        <v>0</v>
      </c>
      <c r="H1764" s="7">
        <v>1228.76</v>
      </c>
      <c r="I1764">
        <v>4</v>
      </c>
      <c r="J1764" t="s">
        <v>13</v>
      </c>
      <c r="K1764" s="13">
        <f>ROUND(tblTransactions[[#This Row],[gross_sales_inr]]*(1-tblTransactions[[#This Row],[discount_pct]]),2)</f>
        <v>1228.76</v>
      </c>
      <c r="L1764" t="str">
        <f>IF(ABS(tblTransactions[[#This Row],[net_sales_inr]]-tblTransactions[[#This Row],[Recalc_Net_Sales]])&lt;0.02,"OK","CHECK")</f>
        <v>OK</v>
      </c>
      <c r="M1764" s="14">
        <f>DATE(YEAR(tblTransactions[[#This Row],[date]]),MONTH(tblTransactions[[#This Row],[date]]),1)</f>
        <v>45658</v>
      </c>
      <c r="N1764" t="str">
        <f>IF(WEEKDAY(tblTransactions[[#This Row],[date]],2)&gt;5,"Weekend","Weekday")</f>
        <v>Weekend</v>
      </c>
      <c r="O1764" s="13" t="str">
        <f>IF(tblTransactions[[#This Row],[discount_pct]]=0,"0%",IF(tblTransactions[[#This Row],[discount_pct]]&lt;=10%,"1–
10%",IF(tblTransactions[[#This Row],[discount_pct]]&lt;=20%,"11–20%","&gt;20%")))</f>
        <v>0%</v>
      </c>
      <c r="P1764" s="13" t="str">
        <f>_xlfn.XLOOKUP(tblTransactions[[#This Row],[tenant_id]],tblTenants[tenant_id],tblTenants[zone],"NOT FOUND")</f>
        <v>Food Court</v>
      </c>
      <c r="Q1764" s="13" t="str">
        <f>_xlfn.XLOOKUP(tblTransactions[[#This Row],[tenant_id]],tblTenants[tenant_id],tblTenants[category],"NOT FOUND")</f>
        <v>Quick Service</v>
      </c>
    </row>
    <row r="1765" spans="1:17">
      <c r="A1765" t="s">
        <v>1809</v>
      </c>
      <c r="B1765" s="2">
        <v>45754</v>
      </c>
      <c r="C1765">
        <v>16</v>
      </c>
      <c r="D1765" t="s">
        <v>48</v>
      </c>
      <c r="E1765" t="s">
        <v>51</v>
      </c>
      <c r="F1765" s="7">
        <v>522.58000000000004</v>
      </c>
      <c r="G1765" s="10">
        <v>0</v>
      </c>
      <c r="H1765" s="7">
        <v>522.58000000000004</v>
      </c>
      <c r="I1765">
        <v>2</v>
      </c>
      <c r="J1765" t="s">
        <v>16</v>
      </c>
      <c r="K1765" s="13">
        <f>ROUND(tblTransactions[[#This Row],[gross_sales_inr]]*(1-tblTransactions[[#This Row],[discount_pct]]),2)</f>
        <v>522.58000000000004</v>
      </c>
      <c r="L1765" t="str">
        <f>IF(ABS(tblTransactions[[#This Row],[net_sales_inr]]-tblTransactions[[#This Row],[Recalc_Net_Sales]])&lt;0.02,"OK","CHECK")</f>
        <v>OK</v>
      </c>
      <c r="M1765" s="14">
        <f>DATE(YEAR(tblTransactions[[#This Row],[date]]),MONTH(tblTransactions[[#This Row],[date]]),1)</f>
        <v>45748</v>
      </c>
      <c r="N1765" t="str">
        <f>IF(WEEKDAY(tblTransactions[[#This Row],[date]],2)&gt;5,"Weekend","Weekday")</f>
        <v>Weekday</v>
      </c>
      <c r="O1765" s="13" t="str">
        <f>IF(tblTransactions[[#This Row],[discount_pct]]=0,"0%",IF(tblTransactions[[#This Row],[discount_pct]]&lt;=10%,"1–
10%",IF(tblTransactions[[#This Row],[discount_pct]]&lt;=20%,"11–20%","&gt;20%")))</f>
        <v>0%</v>
      </c>
      <c r="P1765" s="13" t="str">
        <f>_xlfn.XLOOKUP(tblTransactions[[#This Row],[tenant_id]],tblTenants[tenant_id],tblTenants[zone],"NOT FOUND")</f>
        <v>Beauty &amp; Wellness</v>
      </c>
      <c r="Q1765" s="13" t="str">
        <f>_xlfn.XLOOKUP(tblTransactions[[#This Row],[tenant_id]],tblTenants[tenant_id],tblTenants[category],"NOT FOUND")</f>
        <v>Wellness</v>
      </c>
    </row>
    <row r="1766" spans="1:17">
      <c r="A1766" t="s">
        <v>1810</v>
      </c>
      <c r="B1766" s="2">
        <v>45728</v>
      </c>
      <c r="C1766">
        <v>21</v>
      </c>
      <c r="D1766" t="s">
        <v>53</v>
      </c>
      <c r="E1766" t="s">
        <v>32</v>
      </c>
      <c r="F1766" s="7">
        <v>345.97</v>
      </c>
      <c r="G1766" s="10">
        <v>0</v>
      </c>
      <c r="H1766" s="7">
        <v>345.97</v>
      </c>
      <c r="I1766">
        <v>4</v>
      </c>
      <c r="J1766" t="s">
        <v>13</v>
      </c>
      <c r="K1766" s="13">
        <f>ROUND(tblTransactions[[#This Row],[gross_sales_inr]]*(1-tblTransactions[[#This Row],[discount_pct]]),2)</f>
        <v>345.97</v>
      </c>
      <c r="L1766" t="str">
        <f>IF(ABS(tblTransactions[[#This Row],[net_sales_inr]]-tblTransactions[[#This Row],[Recalc_Net_Sales]])&lt;0.02,"OK","CHECK")</f>
        <v>OK</v>
      </c>
      <c r="M1766" s="14">
        <f>DATE(YEAR(tblTransactions[[#This Row],[date]]),MONTH(tblTransactions[[#This Row],[date]]),1)</f>
        <v>45717</v>
      </c>
      <c r="N1766" t="str">
        <f>IF(WEEKDAY(tblTransactions[[#This Row],[date]],2)&gt;5,"Weekend","Weekday")</f>
        <v>Weekday</v>
      </c>
      <c r="O1766" s="13" t="str">
        <f>IF(tblTransactions[[#This Row],[discount_pct]]=0,"0%",IF(tblTransactions[[#This Row],[discount_pct]]&lt;=10%,"1–
10%",IF(tblTransactions[[#This Row],[discount_pct]]&lt;=20%,"11–20%","&gt;20%")))</f>
        <v>0%</v>
      </c>
      <c r="P1766" s="13" t="str">
        <f>_xlfn.XLOOKUP(tblTransactions[[#This Row],[tenant_id]],tblTenants[tenant_id],tblTenants[zone],"NOT FOUND")</f>
        <v>Beauty &amp; Wellness</v>
      </c>
      <c r="Q1766" s="13" t="str">
        <f>_xlfn.XLOOKUP(tblTransactions[[#This Row],[tenant_id]],tblTenants[tenant_id],tblTenants[category],"NOT FOUND")</f>
        <v>Beauty</v>
      </c>
    </row>
    <row r="1767" spans="1:17">
      <c r="A1767" t="s">
        <v>1811</v>
      </c>
      <c r="B1767" s="2">
        <v>45720</v>
      </c>
      <c r="C1767">
        <v>14</v>
      </c>
      <c r="D1767" t="s">
        <v>25</v>
      </c>
      <c r="E1767" t="s">
        <v>12</v>
      </c>
      <c r="F1767" s="7">
        <v>1326.44</v>
      </c>
      <c r="G1767" s="10">
        <v>0</v>
      </c>
      <c r="H1767" s="7">
        <v>1326.44</v>
      </c>
      <c r="I1767">
        <v>4</v>
      </c>
      <c r="J1767" t="s">
        <v>16</v>
      </c>
      <c r="K1767" s="13">
        <f>ROUND(tblTransactions[[#This Row],[gross_sales_inr]]*(1-tblTransactions[[#This Row],[discount_pct]]),2)</f>
        <v>1326.44</v>
      </c>
      <c r="L1767" t="str">
        <f>IF(ABS(tblTransactions[[#This Row],[net_sales_inr]]-tblTransactions[[#This Row],[Recalc_Net_Sales]])&lt;0.02,"OK","CHECK")</f>
        <v>OK</v>
      </c>
      <c r="M1767" s="14">
        <f>DATE(YEAR(tblTransactions[[#This Row],[date]]),MONTH(tblTransactions[[#This Row],[date]]),1)</f>
        <v>45717</v>
      </c>
      <c r="N1767" t="str">
        <f>IF(WEEKDAY(tblTransactions[[#This Row],[date]],2)&gt;5,"Weekend","Weekday")</f>
        <v>Weekday</v>
      </c>
      <c r="O1767" s="13" t="str">
        <f>IF(tblTransactions[[#This Row],[discount_pct]]=0,"0%",IF(tblTransactions[[#This Row],[discount_pct]]&lt;=10%,"1–
10%",IF(tblTransactions[[#This Row],[discount_pct]]&lt;=20%,"11–20%","&gt;20%")))</f>
        <v>0%</v>
      </c>
      <c r="P1767" s="13" t="str">
        <f>_xlfn.XLOOKUP(tblTransactions[[#This Row],[tenant_id]],tblTenants[tenant_id],tblTenants[zone],"NOT FOUND")</f>
        <v>Beauty &amp; Wellness</v>
      </c>
      <c r="Q1767" s="13" t="str">
        <f>_xlfn.XLOOKUP(tblTransactions[[#This Row],[tenant_id]],tblTenants[tenant_id],tblTenants[category],"NOT FOUND")</f>
        <v>Beauty</v>
      </c>
    </row>
    <row r="1768" spans="1:17">
      <c r="A1768" t="s">
        <v>1812</v>
      </c>
      <c r="B1768" s="2">
        <v>45705</v>
      </c>
      <c r="C1768">
        <v>10</v>
      </c>
      <c r="D1768" t="s">
        <v>55</v>
      </c>
      <c r="E1768" t="s">
        <v>12</v>
      </c>
      <c r="F1768" s="7">
        <v>1038.02</v>
      </c>
      <c r="G1768" s="10">
        <v>0</v>
      </c>
      <c r="H1768" s="7">
        <v>1038.02</v>
      </c>
      <c r="I1768">
        <v>4</v>
      </c>
      <c r="J1768" t="s">
        <v>16</v>
      </c>
      <c r="K1768" s="13">
        <f>ROUND(tblTransactions[[#This Row],[gross_sales_inr]]*(1-tblTransactions[[#This Row],[discount_pct]]),2)</f>
        <v>1038.02</v>
      </c>
      <c r="L1768" t="str">
        <f>IF(ABS(tblTransactions[[#This Row],[net_sales_inr]]-tblTransactions[[#This Row],[Recalc_Net_Sales]])&lt;0.02,"OK","CHECK")</f>
        <v>OK</v>
      </c>
      <c r="M1768" s="14">
        <f>DATE(YEAR(tblTransactions[[#This Row],[date]]),MONTH(tblTransactions[[#This Row],[date]]),1)</f>
        <v>45689</v>
      </c>
      <c r="N1768" t="str">
        <f>IF(WEEKDAY(tblTransactions[[#This Row],[date]],2)&gt;5,"Weekend","Weekday")</f>
        <v>Weekday</v>
      </c>
      <c r="O1768" s="13" t="str">
        <f>IF(tblTransactions[[#This Row],[discount_pct]]=0,"0%",IF(tblTransactions[[#This Row],[discount_pct]]&lt;=10%,"1–
10%",IF(tblTransactions[[#This Row],[discount_pct]]&lt;=20%,"11–20%","&gt;20%")))</f>
        <v>0%</v>
      </c>
      <c r="P1768" s="13" t="str">
        <f>_xlfn.XLOOKUP(tblTransactions[[#This Row],[tenant_id]],tblTenants[tenant_id],tblTenants[zone],"NOT FOUND")</f>
        <v>Food Court</v>
      </c>
      <c r="Q1768" s="13" t="str">
        <f>_xlfn.XLOOKUP(tblTransactions[[#This Row],[tenant_id]],tblTenants[tenant_id],tblTenants[category],"NOT FOUND")</f>
        <v>Quick Service</v>
      </c>
    </row>
    <row r="1769" spans="1:17">
      <c r="A1769" t="s">
        <v>1813</v>
      </c>
      <c r="B1769" s="2">
        <v>45828</v>
      </c>
      <c r="C1769">
        <v>15</v>
      </c>
      <c r="D1769" t="s">
        <v>48</v>
      </c>
      <c r="E1769" t="s">
        <v>32</v>
      </c>
      <c r="F1769" s="7">
        <v>998.06</v>
      </c>
      <c r="G1769" s="10">
        <v>0</v>
      </c>
      <c r="H1769" s="7">
        <v>998.06</v>
      </c>
      <c r="I1769">
        <v>1</v>
      </c>
      <c r="J1769" t="s">
        <v>13</v>
      </c>
      <c r="K1769" s="13">
        <f>ROUND(tblTransactions[[#This Row],[gross_sales_inr]]*(1-tblTransactions[[#This Row],[discount_pct]]),2)</f>
        <v>998.06</v>
      </c>
      <c r="L1769" t="str">
        <f>IF(ABS(tblTransactions[[#This Row],[net_sales_inr]]-tblTransactions[[#This Row],[Recalc_Net_Sales]])&lt;0.02,"OK","CHECK")</f>
        <v>OK</v>
      </c>
      <c r="M1769" s="14">
        <f>DATE(YEAR(tblTransactions[[#This Row],[date]]),MONTH(tblTransactions[[#This Row],[date]]),1)</f>
        <v>45809</v>
      </c>
      <c r="N1769" t="str">
        <f>IF(WEEKDAY(tblTransactions[[#This Row],[date]],2)&gt;5,"Weekend","Weekday")</f>
        <v>Weekday</v>
      </c>
      <c r="O1769" s="13" t="str">
        <f>IF(tblTransactions[[#This Row],[discount_pct]]=0,"0%",IF(tblTransactions[[#This Row],[discount_pct]]&lt;=10%,"1–
10%",IF(tblTransactions[[#This Row],[discount_pct]]&lt;=20%,"11–20%","&gt;20%")))</f>
        <v>0%</v>
      </c>
      <c r="P1769" s="13" t="str">
        <f>_xlfn.XLOOKUP(tblTransactions[[#This Row],[tenant_id]],tblTenants[tenant_id],tblTenants[zone],"NOT FOUND")</f>
        <v>Beauty &amp; Wellness</v>
      </c>
      <c r="Q1769" s="13" t="str">
        <f>_xlfn.XLOOKUP(tblTransactions[[#This Row],[tenant_id]],tblTenants[tenant_id],tblTenants[category],"NOT FOUND")</f>
        <v>Wellness</v>
      </c>
    </row>
    <row r="1770" spans="1:17">
      <c r="A1770" t="s">
        <v>1814</v>
      </c>
      <c r="B1770" s="2">
        <v>45743</v>
      </c>
      <c r="C1770">
        <v>10</v>
      </c>
      <c r="D1770" t="s">
        <v>48</v>
      </c>
      <c r="E1770" t="s">
        <v>12</v>
      </c>
      <c r="F1770" s="7">
        <v>1303.76</v>
      </c>
      <c r="G1770" s="10">
        <v>0.1</v>
      </c>
      <c r="H1770" s="7">
        <v>1173.3800000000001</v>
      </c>
      <c r="I1770">
        <v>2</v>
      </c>
      <c r="J1770" t="s">
        <v>13</v>
      </c>
      <c r="K1770" s="13">
        <f>ROUND(tblTransactions[[#This Row],[gross_sales_inr]]*(1-tblTransactions[[#This Row],[discount_pct]]),2)</f>
        <v>1173.3800000000001</v>
      </c>
      <c r="L1770" t="str">
        <f>IF(ABS(tblTransactions[[#This Row],[net_sales_inr]]-tblTransactions[[#This Row],[Recalc_Net_Sales]])&lt;0.02,"OK","CHECK")</f>
        <v>OK</v>
      </c>
      <c r="M1770" s="14">
        <f>DATE(YEAR(tblTransactions[[#This Row],[date]]),MONTH(tblTransactions[[#This Row],[date]]),1)</f>
        <v>45717</v>
      </c>
      <c r="N1770" t="str">
        <f>IF(WEEKDAY(tblTransactions[[#This Row],[date]],2)&gt;5,"Weekend","Weekday")</f>
        <v>Weekday</v>
      </c>
      <c r="O177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70" s="13" t="str">
        <f>_xlfn.XLOOKUP(tblTransactions[[#This Row],[tenant_id]],tblTenants[tenant_id],tblTenants[zone],"NOT FOUND")</f>
        <v>Beauty &amp; Wellness</v>
      </c>
      <c r="Q1770" s="13" t="str">
        <f>_xlfn.XLOOKUP(tblTransactions[[#This Row],[tenant_id]],tblTenants[tenant_id],tblTenants[category],"NOT FOUND")</f>
        <v>Wellness</v>
      </c>
    </row>
    <row r="1771" spans="1:17">
      <c r="A1771" t="s">
        <v>1815</v>
      </c>
      <c r="B1771" s="2">
        <v>45744</v>
      </c>
      <c r="C1771">
        <v>13</v>
      </c>
      <c r="D1771" t="s">
        <v>15</v>
      </c>
      <c r="E1771" t="s">
        <v>12</v>
      </c>
      <c r="F1771" s="7">
        <v>513.86</v>
      </c>
      <c r="G1771" s="10">
        <v>0</v>
      </c>
      <c r="H1771" s="7">
        <v>513.86</v>
      </c>
      <c r="I1771">
        <v>3</v>
      </c>
      <c r="J1771" t="s">
        <v>16</v>
      </c>
      <c r="K1771" s="13">
        <f>ROUND(tblTransactions[[#This Row],[gross_sales_inr]]*(1-tblTransactions[[#This Row],[discount_pct]]),2)</f>
        <v>513.86</v>
      </c>
      <c r="L1771" t="str">
        <f>IF(ABS(tblTransactions[[#This Row],[net_sales_inr]]-tblTransactions[[#This Row],[Recalc_Net_Sales]])&lt;0.02,"OK","CHECK")</f>
        <v>OK</v>
      </c>
      <c r="M1771" s="14">
        <f>DATE(YEAR(tblTransactions[[#This Row],[date]]),MONTH(tblTransactions[[#This Row],[date]]),1)</f>
        <v>45717</v>
      </c>
      <c r="N1771" t="str">
        <f>IF(WEEKDAY(tblTransactions[[#This Row],[date]],2)&gt;5,"Weekend","Weekday")</f>
        <v>Weekday</v>
      </c>
      <c r="O1771" s="13" t="str">
        <f>IF(tblTransactions[[#This Row],[discount_pct]]=0,"0%",IF(tblTransactions[[#This Row],[discount_pct]]&lt;=10%,"1–
10%",IF(tblTransactions[[#This Row],[discount_pct]]&lt;=20%,"11–20%","&gt;20%")))</f>
        <v>0%</v>
      </c>
      <c r="P1771" s="13" t="str">
        <f>_xlfn.XLOOKUP(tblTransactions[[#This Row],[tenant_id]],tblTenants[tenant_id],tblTenants[zone],"NOT FOUND")</f>
        <v>Fashion Avenue</v>
      </c>
      <c r="Q1771" s="13" t="str">
        <f>_xlfn.XLOOKUP(tblTransactions[[#This Row],[tenant_id]],tblTenants[tenant_id],tblTenants[category],"NOT FOUND")</f>
        <v>Accessories</v>
      </c>
    </row>
    <row r="1772" spans="1:17">
      <c r="A1772" t="s">
        <v>1816</v>
      </c>
      <c r="B1772" s="2">
        <v>45811</v>
      </c>
      <c r="C1772">
        <v>19</v>
      </c>
      <c r="D1772" t="s">
        <v>31</v>
      </c>
      <c r="E1772" t="s">
        <v>12</v>
      </c>
      <c r="F1772" s="7">
        <v>837.22</v>
      </c>
      <c r="G1772" s="10">
        <v>0.1</v>
      </c>
      <c r="H1772" s="7">
        <v>753.5</v>
      </c>
      <c r="I1772">
        <v>2</v>
      </c>
      <c r="J1772" t="s">
        <v>13</v>
      </c>
      <c r="K1772" s="13">
        <f>ROUND(tblTransactions[[#This Row],[gross_sales_inr]]*(1-tblTransactions[[#This Row],[discount_pct]]),2)</f>
        <v>753.5</v>
      </c>
      <c r="L1772" t="str">
        <f>IF(ABS(tblTransactions[[#This Row],[net_sales_inr]]-tblTransactions[[#This Row],[Recalc_Net_Sales]])&lt;0.02,"OK","CHECK")</f>
        <v>OK</v>
      </c>
      <c r="M1772" s="14">
        <f>DATE(YEAR(tblTransactions[[#This Row],[date]]),MONTH(tblTransactions[[#This Row],[date]]),1)</f>
        <v>45809</v>
      </c>
      <c r="N1772" t="str">
        <f>IF(WEEKDAY(tblTransactions[[#This Row],[date]],2)&gt;5,"Weekend","Weekday")</f>
        <v>Weekday</v>
      </c>
      <c r="O177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72" s="13" t="str">
        <f>_xlfn.XLOOKUP(tblTransactions[[#This Row],[tenant_id]],tblTenants[tenant_id],tblTenants[zone],"NOT FOUND")</f>
        <v>Entertainment</v>
      </c>
      <c r="Q1772" s="13" t="str">
        <f>_xlfn.XLOOKUP(tblTransactions[[#This Row],[tenant_id]],tblTenants[tenant_id],tblTenants[category],"NOT FOUND")</f>
        <v>Arcade</v>
      </c>
    </row>
    <row r="1773" spans="1:17">
      <c r="A1773" t="s">
        <v>1817</v>
      </c>
      <c r="B1773" s="2">
        <v>45667</v>
      </c>
      <c r="C1773">
        <v>15</v>
      </c>
      <c r="D1773" t="s">
        <v>61</v>
      </c>
      <c r="E1773" t="s">
        <v>51</v>
      </c>
      <c r="F1773" s="7">
        <v>687.56</v>
      </c>
      <c r="G1773" s="10">
        <v>0.15</v>
      </c>
      <c r="H1773" s="7">
        <v>584.42999999999995</v>
      </c>
      <c r="I1773">
        <v>2</v>
      </c>
      <c r="J1773" t="s">
        <v>16</v>
      </c>
      <c r="K1773" s="13">
        <f>ROUND(tblTransactions[[#This Row],[gross_sales_inr]]*(1-tblTransactions[[#This Row],[discount_pct]]),2)</f>
        <v>584.42999999999995</v>
      </c>
      <c r="L1773" t="str">
        <f>IF(ABS(tblTransactions[[#This Row],[net_sales_inr]]-tblTransactions[[#This Row],[Recalc_Net_Sales]])&lt;0.02,"OK","CHECK")</f>
        <v>OK</v>
      </c>
      <c r="M1773" s="14">
        <f>DATE(YEAR(tblTransactions[[#This Row],[date]]),MONTH(tblTransactions[[#This Row],[date]]),1)</f>
        <v>45658</v>
      </c>
      <c r="N1773" t="str">
        <f>IF(WEEKDAY(tblTransactions[[#This Row],[date]],2)&gt;5,"Weekend","Weekday")</f>
        <v>Weekday</v>
      </c>
      <c r="O177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73" s="13" t="str">
        <f>_xlfn.XLOOKUP(tblTransactions[[#This Row],[tenant_id]],tblTenants[tenant_id],tblTenants[zone],"NOT FOUND")</f>
        <v>Food Court</v>
      </c>
      <c r="Q1773" s="13" t="str">
        <f>_xlfn.XLOOKUP(tblTransactions[[#This Row],[tenant_id]],tblTenants[tenant_id],tblTenants[category],"NOT FOUND")</f>
        <v>Quick Service</v>
      </c>
    </row>
    <row r="1774" spans="1:17">
      <c r="A1774" t="s">
        <v>1818</v>
      </c>
      <c r="B1774" s="2">
        <v>45804</v>
      </c>
      <c r="C1774">
        <v>17</v>
      </c>
      <c r="D1774" t="s">
        <v>31</v>
      </c>
      <c r="E1774" t="s">
        <v>12</v>
      </c>
      <c r="F1774" s="7">
        <v>1079.03</v>
      </c>
      <c r="G1774" s="10">
        <v>0</v>
      </c>
      <c r="H1774" s="7">
        <v>1079.03</v>
      </c>
      <c r="I1774">
        <v>1</v>
      </c>
      <c r="J1774" t="s">
        <v>13</v>
      </c>
      <c r="K1774" s="13">
        <f>ROUND(tblTransactions[[#This Row],[gross_sales_inr]]*(1-tblTransactions[[#This Row],[discount_pct]]),2)</f>
        <v>1079.03</v>
      </c>
      <c r="L1774" t="str">
        <f>IF(ABS(tblTransactions[[#This Row],[net_sales_inr]]-tblTransactions[[#This Row],[Recalc_Net_Sales]])&lt;0.02,"OK","CHECK")</f>
        <v>OK</v>
      </c>
      <c r="M1774" s="14">
        <f>DATE(YEAR(tblTransactions[[#This Row],[date]]),MONTH(tblTransactions[[#This Row],[date]]),1)</f>
        <v>45778</v>
      </c>
      <c r="N1774" t="str">
        <f>IF(WEEKDAY(tblTransactions[[#This Row],[date]],2)&gt;5,"Weekend","Weekday")</f>
        <v>Weekday</v>
      </c>
      <c r="O1774" s="13" t="str">
        <f>IF(tblTransactions[[#This Row],[discount_pct]]=0,"0%",IF(tblTransactions[[#This Row],[discount_pct]]&lt;=10%,"1–
10%",IF(tblTransactions[[#This Row],[discount_pct]]&lt;=20%,"11–20%","&gt;20%")))</f>
        <v>0%</v>
      </c>
      <c r="P1774" s="13" t="str">
        <f>_xlfn.XLOOKUP(tblTransactions[[#This Row],[tenant_id]],tblTenants[tenant_id],tblTenants[zone],"NOT FOUND")</f>
        <v>Entertainment</v>
      </c>
      <c r="Q1774" s="13" t="str">
        <f>_xlfn.XLOOKUP(tblTransactions[[#This Row],[tenant_id]],tblTenants[tenant_id],tblTenants[category],"NOT FOUND")</f>
        <v>Arcade</v>
      </c>
    </row>
    <row r="1775" spans="1:17">
      <c r="A1775" t="s">
        <v>1819</v>
      </c>
      <c r="B1775" s="2">
        <v>45815</v>
      </c>
      <c r="C1775">
        <v>22</v>
      </c>
      <c r="D1775" t="s">
        <v>41</v>
      </c>
      <c r="E1775" t="s">
        <v>21</v>
      </c>
      <c r="F1775" s="7">
        <v>2114.2800000000002</v>
      </c>
      <c r="G1775" s="10">
        <v>0.15</v>
      </c>
      <c r="H1775" s="7">
        <v>1797.14</v>
      </c>
      <c r="I1775">
        <v>2</v>
      </c>
      <c r="J1775" t="s">
        <v>13</v>
      </c>
      <c r="K1775" s="13">
        <f>ROUND(tblTransactions[[#This Row],[gross_sales_inr]]*(1-tblTransactions[[#This Row],[discount_pct]]),2)</f>
        <v>1797.14</v>
      </c>
      <c r="L1775" t="str">
        <f>IF(ABS(tblTransactions[[#This Row],[net_sales_inr]]-tblTransactions[[#This Row],[Recalc_Net_Sales]])&lt;0.02,"OK","CHECK")</f>
        <v>OK</v>
      </c>
      <c r="M1775" s="14">
        <f>DATE(YEAR(tblTransactions[[#This Row],[date]]),MONTH(tblTransactions[[#This Row],[date]]),1)</f>
        <v>45809</v>
      </c>
      <c r="N1775" t="str">
        <f>IF(WEEKDAY(tblTransactions[[#This Row],[date]],2)&gt;5,"Weekend","Weekday")</f>
        <v>Weekend</v>
      </c>
      <c r="O177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75" s="13" t="str">
        <f>_xlfn.XLOOKUP(tblTransactions[[#This Row],[tenant_id]],tblTenants[tenant_id],tblTenants[zone],"NOT FOUND")</f>
        <v>Fashion Avenue</v>
      </c>
      <c r="Q1775" s="13" t="str">
        <f>_xlfn.XLOOKUP(tblTransactions[[#This Row],[tenant_id]],tblTenants[tenant_id],tblTenants[category],"NOT FOUND")</f>
        <v>Clothing</v>
      </c>
    </row>
    <row r="1776" spans="1:17">
      <c r="A1776" t="s">
        <v>1820</v>
      </c>
      <c r="B1776" s="2">
        <v>45772</v>
      </c>
      <c r="C1776">
        <v>15</v>
      </c>
      <c r="D1776" t="s">
        <v>104</v>
      </c>
      <c r="E1776" t="s">
        <v>32</v>
      </c>
      <c r="F1776" s="7">
        <v>1016.39</v>
      </c>
      <c r="G1776" s="10">
        <v>0</v>
      </c>
      <c r="H1776" s="7">
        <v>1016.39</v>
      </c>
      <c r="I1776">
        <v>4</v>
      </c>
      <c r="J1776" t="s">
        <v>16</v>
      </c>
      <c r="K1776" s="13">
        <f>ROUND(tblTransactions[[#This Row],[gross_sales_inr]]*(1-tblTransactions[[#This Row],[discount_pct]]),2)</f>
        <v>1016.39</v>
      </c>
      <c r="L1776" t="str">
        <f>IF(ABS(tblTransactions[[#This Row],[net_sales_inr]]-tblTransactions[[#This Row],[Recalc_Net_Sales]])&lt;0.02,"OK","CHECK")</f>
        <v>OK</v>
      </c>
      <c r="M1776" s="14">
        <f>DATE(YEAR(tblTransactions[[#This Row],[date]]),MONTH(tblTransactions[[#This Row],[date]]),1)</f>
        <v>45748</v>
      </c>
      <c r="N1776" t="str">
        <f>IF(WEEKDAY(tblTransactions[[#This Row],[date]],2)&gt;5,"Weekend","Weekday")</f>
        <v>Weekday</v>
      </c>
      <c r="O1776" s="13" t="str">
        <f>IF(tblTransactions[[#This Row],[discount_pct]]=0,"0%",IF(tblTransactions[[#This Row],[discount_pct]]&lt;=10%,"1–
10%",IF(tblTransactions[[#This Row],[discount_pct]]&lt;=20%,"11–20%","&gt;20%")))</f>
        <v>0%</v>
      </c>
      <c r="P1776" s="13" t="str">
        <f>_xlfn.XLOOKUP(tblTransactions[[#This Row],[tenant_id]],tblTenants[tenant_id],tblTenants[zone],"NOT FOUND")</f>
        <v>Entertainment</v>
      </c>
      <c r="Q1776" s="13" t="str">
        <f>_xlfn.XLOOKUP(tblTransactions[[#This Row],[tenant_id]],tblTenants[tenant_id],tblTenants[category],"NOT FOUND")</f>
        <v>Family Entertainment</v>
      </c>
    </row>
    <row r="1777" spans="1:17">
      <c r="A1777" t="s">
        <v>1821</v>
      </c>
      <c r="B1777" s="2">
        <v>45675</v>
      </c>
      <c r="C1777">
        <v>17</v>
      </c>
      <c r="D1777" t="s">
        <v>25</v>
      </c>
      <c r="E1777" t="s">
        <v>32</v>
      </c>
      <c r="F1777" s="7">
        <v>2599.35</v>
      </c>
      <c r="G1777" s="10">
        <v>0</v>
      </c>
      <c r="H1777" s="7">
        <v>2599.35</v>
      </c>
      <c r="I1777">
        <v>1</v>
      </c>
      <c r="J1777" t="s">
        <v>13</v>
      </c>
      <c r="K1777" s="13">
        <f>ROUND(tblTransactions[[#This Row],[gross_sales_inr]]*(1-tblTransactions[[#This Row],[discount_pct]]),2)</f>
        <v>2599.35</v>
      </c>
      <c r="L1777" t="str">
        <f>IF(ABS(tblTransactions[[#This Row],[net_sales_inr]]-tblTransactions[[#This Row],[Recalc_Net_Sales]])&lt;0.02,"OK","CHECK")</f>
        <v>OK</v>
      </c>
      <c r="M1777" s="14">
        <f>DATE(YEAR(tblTransactions[[#This Row],[date]]),MONTH(tblTransactions[[#This Row],[date]]),1)</f>
        <v>45658</v>
      </c>
      <c r="N1777" t="str">
        <f>IF(WEEKDAY(tblTransactions[[#This Row],[date]],2)&gt;5,"Weekend","Weekday")</f>
        <v>Weekend</v>
      </c>
      <c r="O1777" s="13" t="str">
        <f>IF(tblTransactions[[#This Row],[discount_pct]]=0,"0%",IF(tblTransactions[[#This Row],[discount_pct]]&lt;=10%,"1–
10%",IF(tblTransactions[[#This Row],[discount_pct]]&lt;=20%,"11–20%","&gt;20%")))</f>
        <v>0%</v>
      </c>
      <c r="P1777" s="13" t="str">
        <f>_xlfn.XLOOKUP(tblTransactions[[#This Row],[tenant_id]],tblTenants[tenant_id],tblTenants[zone],"NOT FOUND")</f>
        <v>Beauty &amp; Wellness</v>
      </c>
      <c r="Q1777" s="13" t="str">
        <f>_xlfn.XLOOKUP(tblTransactions[[#This Row],[tenant_id]],tblTenants[tenant_id],tblTenants[category],"NOT FOUND")</f>
        <v>Beauty</v>
      </c>
    </row>
    <row r="1778" spans="1:17">
      <c r="A1778" t="s">
        <v>1822</v>
      </c>
      <c r="B1778" s="2">
        <v>45734</v>
      </c>
      <c r="C1778">
        <v>20</v>
      </c>
      <c r="D1778" t="s">
        <v>36</v>
      </c>
      <c r="E1778" t="s">
        <v>32</v>
      </c>
      <c r="F1778" s="7">
        <v>1696.44</v>
      </c>
      <c r="G1778" s="10">
        <v>0</v>
      </c>
      <c r="H1778" s="7">
        <v>1696.44</v>
      </c>
      <c r="I1778">
        <v>2</v>
      </c>
      <c r="J1778" t="s">
        <v>16</v>
      </c>
      <c r="K1778" s="13">
        <f>ROUND(tblTransactions[[#This Row],[gross_sales_inr]]*(1-tblTransactions[[#This Row],[discount_pct]]),2)</f>
        <v>1696.44</v>
      </c>
      <c r="L1778" t="str">
        <f>IF(ABS(tblTransactions[[#This Row],[net_sales_inr]]-tblTransactions[[#This Row],[Recalc_Net_Sales]])&lt;0.02,"OK","CHECK")</f>
        <v>OK</v>
      </c>
      <c r="M1778" s="14">
        <f>DATE(YEAR(tblTransactions[[#This Row],[date]]),MONTH(tblTransactions[[#This Row],[date]]),1)</f>
        <v>45717</v>
      </c>
      <c r="N1778" t="str">
        <f>IF(WEEKDAY(tblTransactions[[#This Row],[date]],2)&gt;5,"Weekend","Weekday")</f>
        <v>Weekday</v>
      </c>
      <c r="O1778" s="13" t="str">
        <f>IF(tblTransactions[[#This Row],[discount_pct]]=0,"0%",IF(tblTransactions[[#This Row],[discount_pct]]&lt;=10%,"1–
10%",IF(tblTransactions[[#This Row],[discount_pct]]&lt;=20%,"11–20%","&gt;20%")))</f>
        <v>0%</v>
      </c>
      <c r="P1778" s="13" t="str">
        <f>_xlfn.XLOOKUP(tblTransactions[[#This Row],[tenant_id]],tblTenants[tenant_id],tblTenants[zone],"NOT FOUND")</f>
        <v>Home &amp; Living</v>
      </c>
      <c r="Q1778" s="13" t="str">
        <f>_xlfn.XLOOKUP(tblTransactions[[#This Row],[tenant_id]],tblTenants[tenant_id],tblTenants[category],"NOT FOUND")</f>
        <v>Electronics</v>
      </c>
    </row>
    <row r="1779" spans="1:17">
      <c r="A1779" t="s">
        <v>1823</v>
      </c>
      <c r="B1779" s="2">
        <v>45724</v>
      </c>
      <c r="C1779">
        <v>21</v>
      </c>
      <c r="D1779" t="s">
        <v>204</v>
      </c>
      <c r="E1779" t="s">
        <v>12</v>
      </c>
      <c r="F1779" s="7">
        <v>371.17</v>
      </c>
      <c r="G1779" s="10">
        <v>0</v>
      </c>
      <c r="H1779" s="7">
        <v>371.17</v>
      </c>
      <c r="I1779">
        <v>2</v>
      </c>
      <c r="J1779" t="s">
        <v>13</v>
      </c>
      <c r="K1779" s="13">
        <f>ROUND(tblTransactions[[#This Row],[gross_sales_inr]]*(1-tblTransactions[[#This Row],[discount_pct]]),2)</f>
        <v>371.17</v>
      </c>
      <c r="L1779" t="str">
        <f>IF(ABS(tblTransactions[[#This Row],[net_sales_inr]]-tblTransactions[[#This Row],[Recalc_Net_Sales]])&lt;0.02,"OK","CHECK")</f>
        <v>OK</v>
      </c>
      <c r="M1779" s="14">
        <f>DATE(YEAR(tblTransactions[[#This Row],[date]]),MONTH(tblTransactions[[#This Row],[date]]),1)</f>
        <v>45717</v>
      </c>
      <c r="N1779" t="str">
        <f>IF(WEEKDAY(tblTransactions[[#This Row],[date]],2)&gt;5,"Weekend","Weekday")</f>
        <v>Weekend</v>
      </c>
      <c r="O1779" s="13" t="str">
        <f>IF(tblTransactions[[#This Row],[discount_pct]]=0,"0%",IF(tblTransactions[[#This Row],[discount_pct]]&lt;=10%,"1–
10%",IF(tblTransactions[[#This Row],[discount_pct]]&lt;=20%,"11–20%","&gt;20%")))</f>
        <v>0%</v>
      </c>
      <c r="P1779" s="13" t="str">
        <f>_xlfn.XLOOKUP(tblTransactions[[#This Row],[tenant_id]],tblTenants[tenant_id],tblTenants[zone],"NOT FOUND")</f>
        <v>Home &amp; Living</v>
      </c>
      <c r="Q1779" s="13" t="str">
        <f>_xlfn.XLOOKUP(tblTransactions[[#This Row],[tenant_id]],tblTenants[tenant_id],tblTenants[category],"NOT FOUND")</f>
        <v>Home Decor</v>
      </c>
    </row>
    <row r="1780" spans="1:17">
      <c r="A1780" t="s">
        <v>1824</v>
      </c>
      <c r="B1780" s="2">
        <v>45812</v>
      </c>
      <c r="C1780">
        <v>22</v>
      </c>
      <c r="D1780" t="s">
        <v>87</v>
      </c>
      <c r="E1780" t="s">
        <v>12</v>
      </c>
      <c r="F1780" s="7">
        <v>734.99</v>
      </c>
      <c r="G1780" s="10">
        <v>0</v>
      </c>
      <c r="H1780" s="7">
        <v>734.99</v>
      </c>
      <c r="I1780">
        <v>3</v>
      </c>
      <c r="J1780" t="s">
        <v>16</v>
      </c>
      <c r="K1780" s="13">
        <f>ROUND(tblTransactions[[#This Row],[gross_sales_inr]]*(1-tblTransactions[[#This Row],[discount_pct]]),2)</f>
        <v>734.99</v>
      </c>
      <c r="L1780" t="str">
        <f>IF(ABS(tblTransactions[[#This Row],[net_sales_inr]]-tblTransactions[[#This Row],[Recalc_Net_Sales]])&lt;0.02,"OK","CHECK")</f>
        <v>OK</v>
      </c>
      <c r="M1780" s="14">
        <f>DATE(YEAR(tblTransactions[[#This Row],[date]]),MONTH(tblTransactions[[#This Row],[date]]),1)</f>
        <v>45809</v>
      </c>
      <c r="N1780" t="str">
        <f>IF(WEEKDAY(tblTransactions[[#This Row],[date]],2)&gt;5,"Weekend","Weekday")</f>
        <v>Weekday</v>
      </c>
      <c r="O1780" s="13" t="str">
        <f>IF(tblTransactions[[#This Row],[discount_pct]]=0,"0%",IF(tblTransactions[[#This Row],[discount_pct]]&lt;=10%,"1–
10%",IF(tblTransactions[[#This Row],[discount_pct]]&lt;=20%,"11–20%","&gt;20%")))</f>
        <v>0%</v>
      </c>
      <c r="P1780" s="13" t="str">
        <f>_xlfn.XLOOKUP(tblTransactions[[#This Row],[tenant_id]],tblTenants[tenant_id],tblTenants[zone],"NOT FOUND")</f>
        <v>Fashion Avenue</v>
      </c>
      <c r="Q1780" s="13" t="str">
        <f>_xlfn.XLOOKUP(tblTransactions[[#This Row],[tenant_id]],tblTenants[tenant_id],tblTenants[category],"NOT FOUND")</f>
        <v>Footwear</v>
      </c>
    </row>
    <row r="1781" spans="1:17">
      <c r="A1781" t="s">
        <v>1825</v>
      </c>
      <c r="B1781" s="2">
        <v>45705</v>
      </c>
      <c r="C1781">
        <v>17</v>
      </c>
      <c r="D1781" t="s">
        <v>204</v>
      </c>
      <c r="E1781" t="s">
        <v>12</v>
      </c>
      <c r="F1781" s="7">
        <v>541.14</v>
      </c>
      <c r="G1781" s="10">
        <v>0.15</v>
      </c>
      <c r="H1781" s="7">
        <v>459.97</v>
      </c>
      <c r="I1781">
        <v>1</v>
      </c>
      <c r="J1781" t="s">
        <v>13</v>
      </c>
      <c r="K1781" s="13">
        <f>ROUND(tblTransactions[[#This Row],[gross_sales_inr]]*(1-tblTransactions[[#This Row],[discount_pct]]),2)</f>
        <v>459.97</v>
      </c>
      <c r="L1781" t="str">
        <f>IF(ABS(tblTransactions[[#This Row],[net_sales_inr]]-tblTransactions[[#This Row],[Recalc_Net_Sales]])&lt;0.02,"OK","CHECK")</f>
        <v>OK</v>
      </c>
      <c r="M1781" s="14">
        <f>DATE(YEAR(tblTransactions[[#This Row],[date]]),MONTH(tblTransactions[[#This Row],[date]]),1)</f>
        <v>45689</v>
      </c>
      <c r="N1781" t="str">
        <f>IF(WEEKDAY(tblTransactions[[#This Row],[date]],2)&gt;5,"Weekend","Weekday")</f>
        <v>Weekday</v>
      </c>
      <c r="O178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81" s="13" t="str">
        <f>_xlfn.XLOOKUP(tblTransactions[[#This Row],[tenant_id]],tblTenants[tenant_id],tblTenants[zone],"NOT FOUND")</f>
        <v>Home &amp; Living</v>
      </c>
      <c r="Q1781" s="13" t="str">
        <f>_xlfn.XLOOKUP(tblTransactions[[#This Row],[tenant_id]],tblTenants[tenant_id],tblTenants[category],"NOT FOUND")</f>
        <v>Home Decor</v>
      </c>
    </row>
    <row r="1782" spans="1:17">
      <c r="A1782" t="s">
        <v>1826</v>
      </c>
      <c r="B1782" s="2">
        <v>45677</v>
      </c>
      <c r="C1782">
        <v>10</v>
      </c>
      <c r="D1782" t="s">
        <v>29</v>
      </c>
      <c r="E1782" t="s">
        <v>12</v>
      </c>
      <c r="F1782" s="7">
        <v>1858.95</v>
      </c>
      <c r="G1782" s="10">
        <v>0.15</v>
      </c>
      <c r="H1782" s="7">
        <v>1580.11</v>
      </c>
      <c r="I1782">
        <v>5</v>
      </c>
      <c r="J1782" t="s">
        <v>16</v>
      </c>
      <c r="K1782" s="13">
        <f>ROUND(tblTransactions[[#This Row],[gross_sales_inr]]*(1-tblTransactions[[#This Row],[discount_pct]]),2)</f>
        <v>1580.11</v>
      </c>
      <c r="L1782" t="str">
        <f>IF(ABS(tblTransactions[[#This Row],[net_sales_inr]]-tblTransactions[[#This Row],[Recalc_Net_Sales]])&lt;0.02,"OK","CHECK")</f>
        <v>OK</v>
      </c>
      <c r="M1782" s="14">
        <f>DATE(YEAR(tblTransactions[[#This Row],[date]]),MONTH(tblTransactions[[#This Row],[date]]),1)</f>
        <v>45658</v>
      </c>
      <c r="N1782" t="str">
        <f>IF(WEEKDAY(tblTransactions[[#This Row],[date]],2)&gt;5,"Weekend","Weekday")</f>
        <v>Weekday</v>
      </c>
      <c r="O178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82" s="13" t="str">
        <f>_xlfn.XLOOKUP(tblTransactions[[#This Row],[tenant_id]],tblTenants[tenant_id],tblTenants[zone],"NOT FOUND")</f>
        <v>Entertainment</v>
      </c>
      <c r="Q1782" s="13" t="str">
        <f>_xlfn.XLOOKUP(tblTransactions[[#This Row],[tenant_id]],tblTenants[tenant_id],tblTenants[category],"NOT FOUND")</f>
        <v>Cinema</v>
      </c>
    </row>
    <row r="1783" spans="1:17">
      <c r="A1783" t="s">
        <v>1827</v>
      </c>
      <c r="B1783" s="2">
        <v>45820</v>
      </c>
      <c r="C1783">
        <v>22</v>
      </c>
      <c r="D1783" t="s">
        <v>87</v>
      </c>
      <c r="E1783" t="s">
        <v>12</v>
      </c>
      <c r="F1783" s="7">
        <v>1532.26</v>
      </c>
      <c r="G1783" s="10">
        <v>0</v>
      </c>
      <c r="H1783" s="7">
        <v>1532.26</v>
      </c>
      <c r="I1783">
        <v>4</v>
      </c>
      <c r="J1783" t="s">
        <v>13</v>
      </c>
      <c r="K1783" s="13">
        <f>ROUND(tblTransactions[[#This Row],[gross_sales_inr]]*(1-tblTransactions[[#This Row],[discount_pct]]),2)</f>
        <v>1532.26</v>
      </c>
      <c r="L1783" t="str">
        <f>IF(ABS(tblTransactions[[#This Row],[net_sales_inr]]-tblTransactions[[#This Row],[Recalc_Net_Sales]])&lt;0.02,"OK","CHECK")</f>
        <v>OK</v>
      </c>
      <c r="M1783" s="14">
        <f>DATE(YEAR(tblTransactions[[#This Row],[date]]),MONTH(tblTransactions[[#This Row],[date]]),1)</f>
        <v>45809</v>
      </c>
      <c r="N1783" t="str">
        <f>IF(WEEKDAY(tblTransactions[[#This Row],[date]],2)&gt;5,"Weekend","Weekday")</f>
        <v>Weekday</v>
      </c>
      <c r="O1783" s="13" t="str">
        <f>IF(tblTransactions[[#This Row],[discount_pct]]=0,"0%",IF(tblTransactions[[#This Row],[discount_pct]]&lt;=10%,"1–
10%",IF(tblTransactions[[#This Row],[discount_pct]]&lt;=20%,"11–20%","&gt;20%")))</f>
        <v>0%</v>
      </c>
      <c r="P1783" s="13" t="str">
        <f>_xlfn.XLOOKUP(tblTransactions[[#This Row],[tenant_id]],tblTenants[tenant_id],tblTenants[zone],"NOT FOUND")</f>
        <v>Fashion Avenue</v>
      </c>
      <c r="Q1783" s="13" t="str">
        <f>_xlfn.XLOOKUP(tblTransactions[[#This Row],[tenant_id]],tblTenants[tenant_id],tblTenants[category],"NOT FOUND")</f>
        <v>Footwear</v>
      </c>
    </row>
    <row r="1784" spans="1:17">
      <c r="A1784" t="s">
        <v>1828</v>
      </c>
      <c r="B1784" s="2">
        <v>45835</v>
      </c>
      <c r="C1784">
        <v>22</v>
      </c>
      <c r="D1784" t="s">
        <v>36</v>
      </c>
      <c r="E1784" t="s">
        <v>32</v>
      </c>
      <c r="F1784" s="7">
        <v>411.14</v>
      </c>
      <c r="G1784" s="10">
        <v>0</v>
      </c>
      <c r="H1784" s="7">
        <v>411.14</v>
      </c>
      <c r="I1784">
        <v>1</v>
      </c>
      <c r="J1784" t="s">
        <v>13</v>
      </c>
      <c r="K1784" s="13">
        <f>ROUND(tblTransactions[[#This Row],[gross_sales_inr]]*(1-tblTransactions[[#This Row],[discount_pct]]),2)</f>
        <v>411.14</v>
      </c>
      <c r="L1784" t="str">
        <f>IF(ABS(tblTransactions[[#This Row],[net_sales_inr]]-tblTransactions[[#This Row],[Recalc_Net_Sales]])&lt;0.02,"OK","CHECK")</f>
        <v>OK</v>
      </c>
      <c r="M1784" s="14">
        <f>DATE(YEAR(tblTransactions[[#This Row],[date]]),MONTH(tblTransactions[[#This Row],[date]]),1)</f>
        <v>45809</v>
      </c>
      <c r="N1784" t="str">
        <f>IF(WEEKDAY(tblTransactions[[#This Row],[date]],2)&gt;5,"Weekend","Weekday")</f>
        <v>Weekday</v>
      </c>
      <c r="O1784" s="13" t="str">
        <f>IF(tblTransactions[[#This Row],[discount_pct]]=0,"0%",IF(tblTransactions[[#This Row],[discount_pct]]&lt;=10%,"1–
10%",IF(tblTransactions[[#This Row],[discount_pct]]&lt;=20%,"11–20%","&gt;20%")))</f>
        <v>0%</v>
      </c>
      <c r="P1784" s="13" t="str">
        <f>_xlfn.XLOOKUP(tblTransactions[[#This Row],[tenant_id]],tblTenants[tenant_id],tblTenants[zone],"NOT FOUND")</f>
        <v>Home &amp; Living</v>
      </c>
      <c r="Q1784" s="13" t="str">
        <f>_xlfn.XLOOKUP(tblTransactions[[#This Row],[tenant_id]],tblTenants[tenant_id],tblTenants[category],"NOT FOUND")</f>
        <v>Electronics</v>
      </c>
    </row>
    <row r="1785" spans="1:17">
      <c r="A1785" t="s">
        <v>1829</v>
      </c>
      <c r="B1785" s="2">
        <v>45685</v>
      </c>
      <c r="C1785">
        <v>22</v>
      </c>
      <c r="D1785" t="s">
        <v>87</v>
      </c>
      <c r="E1785" t="s">
        <v>51</v>
      </c>
      <c r="F1785" s="7">
        <v>564.54</v>
      </c>
      <c r="G1785" s="10">
        <v>0.05</v>
      </c>
      <c r="H1785" s="7">
        <v>536.30999999999995</v>
      </c>
      <c r="I1785">
        <v>4</v>
      </c>
      <c r="J1785" t="s">
        <v>13</v>
      </c>
      <c r="K1785" s="13">
        <f>ROUND(tblTransactions[[#This Row],[gross_sales_inr]]*(1-tblTransactions[[#This Row],[discount_pct]]),2)</f>
        <v>536.30999999999995</v>
      </c>
      <c r="L1785" t="str">
        <f>IF(ABS(tblTransactions[[#This Row],[net_sales_inr]]-tblTransactions[[#This Row],[Recalc_Net_Sales]])&lt;0.02,"OK","CHECK")</f>
        <v>OK</v>
      </c>
      <c r="M1785" s="14">
        <f>DATE(YEAR(tblTransactions[[#This Row],[date]]),MONTH(tblTransactions[[#This Row],[date]]),1)</f>
        <v>45658</v>
      </c>
      <c r="N1785" t="str">
        <f>IF(WEEKDAY(tblTransactions[[#This Row],[date]],2)&gt;5,"Weekend","Weekday")</f>
        <v>Weekday</v>
      </c>
      <c r="O178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85" s="13" t="str">
        <f>_xlfn.XLOOKUP(tblTransactions[[#This Row],[tenant_id]],tblTenants[tenant_id],tblTenants[zone],"NOT FOUND")</f>
        <v>Fashion Avenue</v>
      </c>
      <c r="Q1785" s="13" t="str">
        <f>_xlfn.XLOOKUP(tblTransactions[[#This Row],[tenant_id]],tblTenants[tenant_id],tblTenants[category],"NOT FOUND")</f>
        <v>Footwear</v>
      </c>
    </row>
    <row r="1786" spans="1:17">
      <c r="A1786" t="s">
        <v>1830</v>
      </c>
      <c r="B1786" s="2">
        <v>45677</v>
      </c>
      <c r="C1786">
        <v>16</v>
      </c>
      <c r="D1786" t="s">
        <v>41</v>
      </c>
      <c r="E1786" t="s">
        <v>32</v>
      </c>
      <c r="F1786" s="7">
        <v>400.51</v>
      </c>
      <c r="G1786" s="10">
        <v>0.15</v>
      </c>
      <c r="H1786" s="7">
        <v>340.43</v>
      </c>
      <c r="I1786">
        <v>3</v>
      </c>
      <c r="J1786" t="s">
        <v>13</v>
      </c>
      <c r="K1786" s="13">
        <f>ROUND(tblTransactions[[#This Row],[gross_sales_inr]]*(1-tblTransactions[[#This Row],[discount_pct]]),2)</f>
        <v>340.43</v>
      </c>
      <c r="L1786" t="str">
        <f>IF(ABS(tblTransactions[[#This Row],[net_sales_inr]]-tblTransactions[[#This Row],[Recalc_Net_Sales]])&lt;0.02,"OK","CHECK")</f>
        <v>OK</v>
      </c>
      <c r="M1786" s="14">
        <f>DATE(YEAR(tblTransactions[[#This Row],[date]]),MONTH(tblTransactions[[#This Row],[date]]),1)</f>
        <v>45658</v>
      </c>
      <c r="N1786" t="str">
        <f>IF(WEEKDAY(tblTransactions[[#This Row],[date]],2)&gt;5,"Weekend","Weekday")</f>
        <v>Weekday</v>
      </c>
      <c r="O178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86" s="13" t="str">
        <f>_xlfn.XLOOKUP(tblTransactions[[#This Row],[tenant_id]],tblTenants[tenant_id],tblTenants[zone],"NOT FOUND")</f>
        <v>Fashion Avenue</v>
      </c>
      <c r="Q1786" s="13" t="str">
        <f>_xlfn.XLOOKUP(tblTransactions[[#This Row],[tenant_id]],tblTenants[tenant_id],tblTenants[category],"NOT FOUND")</f>
        <v>Clothing</v>
      </c>
    </row>
    <row r="1787" spans="1:17">
      <c r="A1787" t="s">
        <v>1831</v>
      </c>
      <c r="B1787" s="2">
        <v>45725</v>
      </c>
      <c r="C1787">
        <v>11</v>
      </c>
      <c r="D1787" t="s">
        <v>204</v>
      </c>
      <c r="E1787" t="s">
        <v>12</v>
      </c>
      <c r="F1787" s="7">
        <v>1005.43</v>
      </c>
      <c r="G1787" s="10">
        <v>0.2</v>
      </c>
      <c r="H1787" s="7">
        <v>804.34</v>
      </c>
      <c r="I1787">
        <v>1</v>
      </c>
      <c r="J1787" t="s">
        <v>13</v>
      </c>
      <c r="K1787" s="13">
        <f>ROUND(tblTransactions[[#This Row],[gross_sales_inr]]*(1-tblTransactions[[#This Row],[discount_pct]]),2)</f>
        <v>804.34</v>
      </c>
      <c r="L1787" t="str">
        <f>IF(ABS(tblTransactions[[#This Row],[net_sales_inr]]-tblTransactions[[#This Row],[Recalc_Net_Sales]])&lt;0.02,"OK","CHECK")</f>
        <v>OK</v>
      </c>
      <c r="M1787" s="14">
        <f>DATE(YEAR(tblTransactions[[#This Row],[date]]),MONTH(tblTransactions[[#This Row],[date]]),1)</f>
        <v>45717</v>
      </c>
      <c r="N1787" t="str">
        <f>IF(WEEKDAY(tblTransactions[[#This Row],[date]],2)&gt;5,"Weekend","Weekday")</f>
        <v>Weekend</v>
      </c>
      <c r="O178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87" s="13" t="str">
        <f>_xlfn.XLOOKUP(tblTransactions[[#This Row],[tenant_id]],tblTenants[tenant_id],tblTenants[zone],"NOT FOUND")</f>
        <v>Home &amp; Living</v>
      </c>
      <c r="Q1787" s="13" t="str">
        <f>_xlfn.XLOOKUP(tblTransactions[[#This Row],[tenant_id]],tblTenants[tenant_id],tblTenants[category],"NOT FOUND")</f>
        <v>Home Decor</v>
      </c>
    </row>
    <row r="1788" spans="1:17">
      <c r="A1788" t="s">
        <v>1832</v>
      </c>
      <c r="B1788" s="2">
        <v>45691</v>
      </c>
      <c r="C1788">
        <v>20</v>
      </c>
      <c r="D1788" t="s">
        <v>15</v>
      </c>
      <c r="E1788" t="s">
        <v>51</v>
      </c>
      <c r="F1788" s="7">
        <v>1187.5999999999999</v>
      </c>
      <c r="G1788" s="10">
        <v>0.15</v>
      </c>
      <c r="H1788" s="7">
        <v>1009.46</v>
      </c>
      <c r="I1788">
        <v>4</v>
      </c>
      <c r="J1788" t="s">
        <v>16</v>
      </c>
      <c r="K1788" s="13">
        <f>ROUND(tblTransactions[[#This Row],[gross_sales_inr]]*(1-tblTransactions[[#This Row],[discount_pct]]),2)</f>
        <v>1009.46</v>
      </c>
      <c r="L1788" t="str">
        <f>IF(ABS(tblTransactions[[#This Row],[net_sales_inr]]-tblTransactions[[#This Row],[Recalc_Net_Sales]])&lt;0.02,"OK","CHECK")</f>
        <v>OK</v>
      </c>
      <c r="M1788" s="14">
        <f>DATE(YEAR(tblTransactions[[#This Row],[date]]),MONTH(tblTransactions[[#This Row],[date]]),1)</f>
        <v>45689</v>
      </c>
      <c r="N1788" t="str">
        <f>IF(WEEKDAY(tblTransactions[[#This Row],[date]],2)&gt;5,"Weekend","Weekday")</f>
        <v>Weekday</v>
      </c>
      <c r="O178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88" s="13" t="str">
        <f>_xlfn.XLOOKUP(tblTransactions[[#This Row],[tenant_id]],tblTenants[tenant_id],tblTenants[zone],"NOT FOUND")</f>
        <v>Fashion Avenue</v>
      </c>
      <c r="Q1788" s="13" t="str">
        <f>_xlfn.XLOOKUP(tblTransactions[[#This Row],[tenant_id]],tblTenants[tenant_id],tblTenants[category],"NOT FOUND")</f>
        <v>Accessories</v>
      </c>
    </row>
    <row r="1789" spans="1:17">
      <c r="A1789" t="s">
        <v>1833</v>
      </c>
      <c r="B1789" s="2">
        <v>45732</v>
      </c>
      <c r="C1789">
        <v>14</v>
      </c>
      <c r="D1789" t="s">
        <v>98</v>
      </c>
      <c r="E1789" t="s">
        <v>32</v>
      </c>
      <c r="F1789" s="7">
        <v>777.51</v>
      </c>
      <c r="G1789" s="10">
        <v>0.1</v>
      </c>
      <c r="H1789" s="7">
        <v>699.76</v>
      </c>
      <c r="I1789">
        <v>2</v>
      </c>
      <c r="J1789" t="s">
        <v>13</v>
      </c>
      <c r="K1789" s="13">
        <f>ROUND(tblTransactions[[#This Row],[gross_sales_inr]]*(1-tblTransactions[[#This Row],[discount_pct]]),2)</f>
        <v>699.76</v>
      </c>
      <c r="L1789" t="str">
        <f>IF(ABS(tblTransactions[[#This Row],[net_sales_inr]]-tblTransactions[[#This Row],[Recalc_Net_Sales]])&lt;0.02,"OK","CHECK")</f>
        <v>OK</v>
      </c>
      <c r="M1789" s="14">
        <f>DATE(YEAR(tblTransactions[[#This Row],[date]]),MONTH(tblTransactions[[#This Row],[date]]),1)</f>
        <v>45717</v>
      </c>
      <c r="N1789" t="str">
        <f>IF(WEEKDAY(tblTransactions[[#This Row],[date]],2)&gt;5,"Weekend","Weekday")</f>
        <v>Weekend</v>
      </c>
      <c r="O178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89" s="13" t="str">
        <f>_xlfn.XLOOKUP(tblTransactions[[#This Row],[tenant_id]],tblTenants[tenant_id],tblTenants[zone],"NOT FOUND")</f>
        <v>Fashion Avenue</v>
      </c>
      <c r="Q1789" s="13" t="str">
        <f>_xlfn.XLOOKUP(tblTransactions[[#This Row],[tenant_id]],tblTenants[tenant_id],tblTenants[category],"NOT FOUND")</f>
        <v>Accessories</v>
      </c>
    </row>
    <row r="1790" spans="1:17">
      <c r="A1790" t="s">
        <v>1834</v>
      </c>
      <c r="B1790" s="2">
        <v>45735</v>
      </c>
      <c r="C1790">
        <v>12</v>
      </c>
      <c r="D1790" t="s">
        <v>122</v>
      </c>
      <c r="E1790" t="s">
        <v>12</v>
      </c>
      <c r="F1790" s="7">
        <v>1348.66</v>
      </c>
      <c r="G1790" s="10">
        <v>0.1</v>
      </c>
      <c r="H1790" s="7">
        <v>1213.79</v>
      </c>
      <c r="I1790">
        <v>3</v>
      </c>
      <c r="J1790" t="s">
        <v>13</v>
      </c>
      <c r="K1790" s="13">
        <f>ROUND(tblTransactions[[#This Row],[gross_sales_inr]]*(1-tblTransactions[[#This Row],[discount_pct]]),2)</f>
        <v>1213.79</v>
      </c>
      <c r="L1790" t="str">
        <f>IF(ABS(tblTransactions[[#This Row],[net_sales_inr]]-tblTransactions[[#This Row],[Recalc_Net_Sales]])&lt;0.02,"OK","CHECK")</f>
        <v>OK</v>
      </c>
      <c r="M1790" s="14">
        <f>DATE(YEAR(tblTransactions[[#This Row],[date]]),MONTH(tblTransactions[[#This Row],[date]]),1)</f>
        <v>45717</v>
      </c>
      <c r="N1790" t="str">
        <f>IF(WEEKDAY(tblTransactions[[#This Row],[date]],2)&gt;5,"Weekend","Weekday")</f>
        <v>Weekday</v>
      </c>
      <c r="O179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90" s="13" t="str">
        <f>_xlfn.XLOOKUP(tblTransactions[[#This Row],[tenant_id]],tblTenants[tenant_id],tblTenants[zone],"NOT FOUND")</f>
        <v>Beauty &amp; Wellness</v>
      </c>
      <c r="Q1790" s="13" t="str">
        <f>_xlfn.XLOOKUP(tblTransactions[[#This Row],[tenant_id]],tblTenants[tenant_id],tblTenants[category],"NOT FOUND")</f>
        <v>Wellness</v>
      </c>
    </row>
    <row r="1791" spans="1:17">
      <c r="A1791" t="s">
        <v>1835</v>
      </c>
      <c r="B1791" s="2">
        <v>45751</v>
      </c>
      <c r="C1791">
        <v>11</v>
      </c>
      <c r="D1791" t="s">
        <v>70</v>
      </c>
      <c r="E1791" t="s">
        <v>12</v>
      </c>
      <c r="F1791" s="7">
        <v>796.09</v>
      </c>
      <c r="G1791" s="10">
        <v>0.05</v>
      </c>
      <c r="H1791" s="7">
        <v>756.29</v>
      </c>
      <c r="I1791">
        <v>4</v>
      </c>
      <c r="J1791" t="s">
        <v>16</v>
      </c>
      <c r="K1791" s="13">
        <f>ROUND(tblTransactions[[#This Row],[gross_sales_inr]]*(1-tblTransactions[[#This Row],[discount_pct]]),2)</f>
        <v>756.29</v>
      </c>
      <c r="L1791" t="str">
        <f>IF(ABS(tblTransactions[[#This Row],[net_sales_inr]]-tblTransactions[[#This Row],[Recalc_Net_Sales]])&lt;0.02,"OK","CHECK")</f>
        <v>OK</v>
      </c>
      <c r="M1791" s="14">
        <f>DATE(YEAR(tblTransactions[[#This Row],[date]]),MONTH(tblTransactions[[#This Row],[date]]),1)</f>
        <v>45748</v>
      </c>
      <c r="N1791" t="str">
        <f>IF(WEEKDAY(tblTransactions[[#This Row],[date]],2)&gt;5,"Weekend","Weekday")</f>
        <v>Weekday</v>
      </c>
      <c r="O179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91" s="13" t="str">
        <f>_xlfn.XLOOKUP(tblTransactions[[#This Row],[tenant_id]],tblTenants[tenant_id],tblTenants[zone],"NOT FOUND")</f>
        <v>Food Court</v>
      </c>
      <c r="Q1791" s="13" t="str">
        <f>_xlfn.XLOOKUP(tblTransactions[[#This Row],[tenant_id]],tblTenants[tenant_id],tblTenants[category],"NOT FOUND")</f>
        <v>Quick Service</v>
      </c>
    </row>
    <row r="1792" spans="1:17">
      <c r="A1792" t="s">
        <v>1836</v>
      </c>
      <c r="B1792" s="2">
        <v>45758</v>
      </c>
      <c r="C1792">
        <v>22</v>
      </c>
      <c r="D1792" t="s">
        <v>11</v>
      </c>
      <c r="E1792" t="s">
        <v>12</v>
      </c>
      <c r="F1792" s="7">
        <v>1890.6</v>
      </c>
      <c r="G1792" s="10">
        <v>0</v>
      </c>
      <c r="H1792" s="7">
        <v>1890.6</v>
      </c>
      <c r="I1792">
        <v>1</v>
      </c>
      <c r="J1792" t="s">
        <v>13</v>
      </c>
      <c r="K1792" s="13">
        <f>ROUND(tblTransactions[[#This Row],[gross_sales_inr]]*(1-tblTransactions[[#This Row],[discount_pct]]),2)</f>
        <v>1890.6</v>
      </c>
      <c r="L1792" t="str">
        <f>IF(ABS(tblTransactions[[#This Row],[net_sales_inr]]-tblTransactions[[#This Row],[Recalc_Net_Sales]])&lt;0.02,"OK","CHECK")</f>
        <v>OK</v>
      </c>
      <c r="M1792" s="14">
        <f>DATE(YEAR(tblTransactions[[#This Row],[date]]),MONTH(tblTransactions[[#This Row],[date]]),1)</f>
        <v>45748</v>
      </c>
      <c r="N1792" t="str">
        <f>IF(WEEKDAY(tblTransactions[[#This Row],[date]],2)&gt;5,"Weekend","Weekday")</f>
        <v>Weekday</v>
      </c>
      <c r="O1792" s="13" t="str">
        <f>IF(tblTransactions[[#This Row],[discount_pct]]=0,"0%",IF(tblTransactions[[#This Row],[discount_pct]]&lt;=10%,"1–
10%",IF(tblTransactions[[#This Row],[discount_pct]]&lt;=20%,"11–20%","&gt;20%")))</f>
        <v>0%</v>
      </c>
      <c r="P1792" s="13" t="str">
        <f>_xlfn.XLOOKUP(tblTransactions[[#This Row],[tenant_id]],tblTenants[tenant_id],tblTenants[zone],"NOT FOUND")</f>
        <v>Home &amp; Living</v>
      </c>
      <c r="Q1792" s="13" t="str">
        <f>_xlfn.XLOOKUP(tblTransactions[[#This Row],[tenant_id]],tblTenants[tenant_id],tblTenants[category],"NOT FOUND")</f>
        <v>Home Decor</v>
      </c>
    </row>
    <row r="1793" spans="1:17">
      <c r="A1793" t="s">
        <v>1837</v>
      </c>
      <c r="B1793" s="2">
        <v>45734</v>
      </c>
      <c r="C1793">
        <v>10</v>
      </c>
      <c r="D1793" t="s">
        <v>29</v>
      </c>
      <c r="E1793" t="s">
        <v>12</v>
      </c>
      <c r="F1793" s="7">
        <v>1479.61</v>
      </c>
      <c r="G1793" s="10">
        <v>0</v>
      </c>
      <c r="H1793" s="7">
        <v>1479.61</v>
      </c>
      <c r="I1793">
        <v>5</v>
      </c>
      <c r="J1793" t="s">
        <v>13</v>
      </c>
      <c r="K1793" s="13">
        <f>ROUND(tblTransactions[[#This Row],[gross_sales_inr]]*(1-tblTransactions[[#This Row],[discount_pct]]),2)</f>
        <v>1479.61</v>
      </c>
      <c r="L1793" t="str">
        <f>IF(ABS(tblTransactions[[#This Row],[net_sales_inr]]-tblTransactions[[#This Row],[Recalc_Net_Sales]])&lt;0.02,"OK","CHECK")</f>
        <v>OK</v>
      </c>
      <c r="M1793" s="14">
        <f>DATE(YEAR(tblTransactions[[#This Row],[date]]),MONTH(tblTransactions[[#This Row],[date]]),1)</f>
        <v>45717</v>
      </c>
      <c r="N1793" t="str">
        <f>IF(WEEKDAY(tblTransactions[[#This Row],[date]],2)&gt;5,"Weekend","Weekday")</f>
        <v>Weekday</v>
      </c>
      <c r="O1793" s="13" t="str">
        <f>IF(tblTransactions[[#This Row],[discount_pct]]=0,"0%",IF(tblTransactions[[#This Row],[discount_pct]]&lt;=10%,"1–
10%",IF(tblTransactions[[#This Row],[discount_pct]]&lt;=20%,"11–20%","&gt;20%")))</f>
        <v>0%</v>
      </c>
      <c r="P1793" s="13" t="str">
        <f>_xlfn.XLOOKUP(tblTransactions[[#This Row],[tenant_id]],tblTenants[tenant_id],tblTenants[zone],"NOT FOUND")</f>
        <v>Entertainment</v>
      </c>
      <c r="Q1793" s="13" t="str">
        <f>_xlfn.XLOOKUP(tblTransactions[[#This Row],[tenant_id]],tblTenants[tenant_id],tblTenants[category],"NOT FOUND")</f>
        <v>Cinema</v>
      </c>
    </row>
    <row r="1794" spans="1:17">
      <c r="A1794" t="s">
        <v>1838</v>
      </c>
      <c r="B1794" s="2">
        <v>45700</v>
      </c>
      <c r="C1794">
        <v>12</v>
      </c>
      <c r="D1794" t="s">
        <v>11</v>
      </c>
      <c r="E1794" t="s">
        <v>12</v>
      </c>
      <c r="F1794" s="7">
        <v>423.13</v>
      </c>
      <c r="G1794" s="10">
        <v>0.2</v>
      </c>
      <c r="H1794" s="7">
        <v>338.5</v>
      </c>
      <c r="I1794">
        <v>6</v>
      </c>
      <c r="J1794" t="s">
        <v>16</v>
      </c>
      <c r="K1794" s="13">
        <f>ROUND(tblTransactions[[#This Row],[gross_sales_inr]]*(1-tblTransactions[[#This Row],[discount_pct]]),2)</f>
        <v>338.5</v>
      </c>
      <c r="L1794" t="str">
        <f>IF(ABS(tblTransactions[[#This Row],[net_sales_inr]]-tblTransactions[[#This Row],[Recalc_Net_Sales]])&lt;0.02,"OK","CHECK")</f>
        <v>OK</v>
      </c>
      <c r="M1794" s="14">
        <f>DATE(YEAR(tblTransactions[[#This Row],[date]]),MONTH(tblTransactions[[#This Row],[date]]),1)</f>
        <v>45689</v>
      </c>
      <c r="N1794" t="str">
        <f>IF(WEEKDAY(tblTransactions[[#This Row],[date]],2)&gt;5,"Weekend","Weekday")</f>
        <v>Weekday</v>
      </c>
      <c r="O179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94" s="13" t="str">
        <f>_xlfn.XLOOKUP(tblTransactions[[#This Row],[tenant_id]],tblTenants[tenant_id],tblTenants[zone],"NOT FOUND")</f>
        <v>Home &amp; Living</v>
      </c>
      <c r="Q1794" s="13" t="str">
        <f>_xlfn.XLOOKUP(tblTransactions[[#This Row],[tenant_id]],tblTenants[tenant_id],tblTenants[category],"NOT FOUND")</f>
        <v>Home Decor</v>
      </c>
    </row>
    <row r="1795" spans="1:17">
      <c r="A1795" t="s">
        <v>1839</v>
      </c>
      <c r="B1795" s="2">
        <v>45681</v>
      </c>
      <c r="C1795">
        <v>19</v>
      </c>
      <c r="D1795" t="s">
        <v>53</v>
      </c>
      <c r="E1795" t="s">
        <v>32</v>
      </c>
      <c r="F1795" s="7">
        <v>264.88</v>
      </c>
      <c r="G1795" s="10">
        <v>0.1</v>
      </c>
      <c r="H1795" s="7">
        <v>238.39</v>
      </c>
      <c r="I1795">
        <v>6</v>
      </c>
      <c r="J1795" t="s">
        <v>16</v>
      </c>
      <c r="K1795" s="13">
        <f>ROUND(tblTransactions[[#This Row],[gross_sales_inr]]*(1-tblTransactions[[#This Row],[discount_pct]]),2)</f>
        <v>238.39</v>
      </c>
      <c r="L1795" t="str">
        <f>IF(ABS(tblTransactions[[#This Row],[net_sales_inr]]-tblTransactions[[#This Row],[Recalc_Net_Sales]])&lt;0.02,"OK","CHECK")</f>
        <v>OK</v>
      </c>
      <c r="M1795" s="14">
        <f>DATE(YEAR(tblTransactions[[#This Row],[date]]),MONTH(tblTransactions[[#This Row],[date]]),1)</f>
        <v>45658</v>
      </c>
      <c r="N1795" t="str">
        <f>IF(WEEKDAY(tblTransactions[[#This Row],[date]],2)&gt;5,"Weekend","Weekday")</f>
        <v>Weekday</v>
      </c>
      <c r="O179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795" s="13" t="str">
        <f>_xlfn.XLOOKUP(tblTransactions[[#This Row],[tenant_id]],tblTenants[tenant_id],tblTenants[zone],"NOT FOUND")</f>
        <v>Beauty &amp; Wellness</v>
      </c>
      <c r="Q1795" s="13" t="str">
        <f>_xlfn.XLOOKUP(tblTransactions[[#This Row],[tenant_id]],tblTenants[tenant_id],tblTenants[category],"NOT FOUND")</f>
        <v>Beauty</v>
      </c>
    </row>
    <row r="1796" spans="1:17">
      <c r="A1796" t="s">
        <v>1840</v>
      </c>
      <c r="B1796" s="2">
        <v>45711</v>
      </c>
      <c r="C1796">
        <v>11</v>
      </c>
      <c r="D1796" t="s">
        <v>11</v>
      </c>
      <c r="E1796" t="s">
        <v>12</v>
      </c>
      <c r="F1796" s="7">
        <v>1783.69</v>
      </c>
      <c r="G1796" s="10">
        <v>0</v>
      </c>
      <c r="H1796" s="7">
        <v>1783.69</v>
      </c>
      <c r="I1796">
        <v>1</v>
      </c>
      <c r="J1796" t="s">
        <v>13</v>
      </c>
      <c r="K1796" s="13">
        <f>ROUND(tblTransactions[[#This Row],[gross_sales_inr]]*(1-tblTransactions[[#This Row],[discount_pct]]),2)</f>
        <v>1783.69</v>
      </c>
      <c r="L1796" t="str">
        <f>IF(ABS(tblTransactions[[#This Row],[net_sales_inr]]-tblTransactions[[#This Row],[Recalc_Net_Sales]])&lt;0.02,"OK","CHECK")</f>
        <v>OK</v>
      </c>
      <c r="M1796" s="14">
        <f>DATE(YEAR(tblTransactions[[#This Row],[date]]),MONTH(tblTransactions[[#This Row],[date]]),1)</f>
        <v>45689</v>
      </c>
      <c r="N1796" t="str">
        <f>IF(WEEKDAY(tblTransactions[[#This Row],[date]],2)&gt;5,"Weekend","Weekday")</f>
        <v>Weekend</v>
      </c>
      <c r="O1796" s="13" t="str">
        <f>IF(tblTransactions[[#This Row],[discount_pct]]=0,"0%",IF(tblTransactions[[#This Row],[discount_pct]]&lt;=10%,"1–
10%",IF(tblTransactions[[#This Row],[discount_pct]]&lt;=20%,"11–20%","&gt;20%")))</f>
        <v>0%</v>
      </c>
      <c r="P1796" s="13" t="str">
        <f>_xlfn.XLOOKUP(tblTransactions[[#This Row],[tenant_id]],tblTenants[tenant_id],tblTenants[zone],"NOT FOUND")</f>
        <v>Home &amp; Living</v>
      </c>
      <c r="Q1796" s="13" t="str">
        <f>_xlfn.XLOOKUP(tblTransactions[[#This Row],[tenant_id]],tblTenants[tenant_id],tblTenants[category],"NOT FOUND")</f>
        <v>Home Decor</v>
      </c>
    </row>
    <row r="1797" spans="1:17">
      <c r="A1797" t="s">
        <v>1841</v>
      </c>
      <c r="B1797" s="2">
        <v>45818</v>
      </c>
      <c r="C1797">
        <v>22</v>
      </c>
      <c r="D1797" t="s">
        <v>36</v>
      </c>
      <c r="E1797" t="s">
        <v>12</v>
      </c>
      <c r="F1797" s="7">
        <v>1390.78</v>
      </c>
      <c r="G1797" s="10">
        <v>0.15</v>
      </c>
      <c r="H1797" s="7">
        <v>1182.1600000000001</v>
      </c>
      <c r="I1797">
        <v>1</v>
      </c>
      <c r="J1797" t="s">
        <v>16</v>
      </c>
      <c r="K1797" s="13">
        <f>ROUND(tblTransactions[[#This Row],[gross_sales_inr]]*(1-tblTransactions[[#This Row],[discount_pct]]),2)</f>
        <v>1182.1600000000001</v>
      </c>
      <c r="L1797" t="str">
        <f>IF(ABS(tblTransactions[[#This Row],[net_sales_inr]]-tblTransactions[[#This Row],[Recalc_Net_Sales]])&lt;0.02,"OK","CHECK")</f>
        <v>OK</v>
      </c>
      <c r="M1797" s="14">
        <f>DATE(YEAR(tblTransactions[[#This Row],[date]]),MONTH(tblTransactions[[#This Row],[date]]),1)</f>
        <v>45809</v>
      </c>
      <c r="N1797" t="str">
        <f>IF(WEEKDAY(tblTransactions[[#This Row],[date]],2)&gt;5,"Weekend","Weekday")</f>
        <v>Weekday</v>
      </c>
      <c r="O179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97" s="13" t="str">
        <f>_xlfn.XLOOKUP(tblTransactions[[#This Row],[tenant_id]],tblTenants[tenant_id],tblTenants[zone],"NOT FOUND")</f>
        <v>Home &amp; Living</v>
      </c>
      <c r="Q1797" s="13" t="str">
        <f>_xlfn.XLOOKUP(tblTransactions[[#This Row],[tenant_id]],tblTenants[tenant_id],tblTenants[category],"NOT FOUND")</f>
        <v>Electronics</v>
      </c>
    </row>
    <row r="1798" spans="1:17">
      <c r="A1798" t="s">
        <v>1842</v>
      </c>
      <c r="B1798" s="2">
        <v>45712</v>
      </c>
      <c r="C1798">
        <v>14</v>
      </c>
      <c r="D1798" t="s">
        <v>87</v>
      </c>
      <c r="E1798" t="s">
        <v>12</v>
      </c>
      <c r="F1798" s="7">
        <v>1053.6400000000001</v>
      </c>
      <c r="G1798" s="10">
        <v>0</v>
      </c>
      <c r="H1798" s="7">
        <v>1053.6400000000001</v>
      </c>
      <c r="I1798">
        <v>1</v>
      </c>
      <c r="J1798" t="s">
        <v>16</v>
      </c>
      <c r="K1798" s="13">
        <f>ROUND(tblTransactions[[#This Row],[gross_sales_inr]]*(1-tblTransactions[[#This Row],[discount_pct]]),2)</f>
        <v>1053.6400000000001</v>
      </c>
      <c r="L1798" t="str">
        <f>IF(ABS(tblTransactions[[#This Row],[net_sales_inr]]-tblTransactions[[#This Row],[Recalc_Net_Sales]])&lt;0.02,"OK","CHECK")</f>
        <v>OK</v>
      </c>
      <c r="M1798" s="14">
        <f>DATE(YEAR(tblTransactions[[#This Row],[date]]),MONTH(tblTransactions[[#This Row],[date]]),1)</f>
        <v>45689</v>
      </c>
      <c r="N1798" t="str">
        <f>IF(WEEKDAY(tblTransactions[[#This Row],[date]],2)&gt;5,"Weekend","Weekday")</f>
        <v>Weekday</v>
      </c>
      <c r="O1798" s="13" t="str">
        <f>IF(tblTransactions[[#This Row],[discount_pct]]=0,"0%",IF(tblTransactions[[#This Row],[discount_pct]]&lt;=10%,"1–
10%",IF(tblTransactions[[#This Row],[discount_pct]]&lt;=20%,"11–20%","&gt;20%")))</f>
        <v>0%</v>
      </c>
      <c r="P1798" s="13" t="str">
        <f>_xlfn.XLOOKUP(tblTransactions[[#This Row],[tenant_id]],tblTenants[tenant_id],tblTenants[zone],"NOT FOUND")</f>
        <v>Fashion Avenue</v>
      </c>
      <c r="Q1798" s="13" t="str">
        <f>_xlfn.XLOOKUP(tblTransactions[[#This Row],[tenant_id]],tblTenants[tenant_id],tblTenants[category],"NOT FOUND")</f>
        <v>Footwear</v>
      </c>
    </row>
    <row r="1799" spans="1:17">
      <c r="A1799" t="s">
        <v>1843</v>
      </c>
      <c r="B1799" s="2">
        <v>45791</v>
      </c>
      <c r="C1799">
        <v>20</v>
      </c>
      <c r="D1799" t="s">
        <v>48</v>
      </c>
      <c r="E1799" t="s">
        <v>12</v>
      </c>
      <c r="F1799" s="7">
        <v>1850.9</v>
      </c>
      <c r="G1799" s="10">
        <v>0.15</v>
      </c>
      <c r="H1799" s="7">
        <v>1573.27</v>
      </c>
      <c r="I1799">
        <v>2</v>
      </c>
      <c r="J1799" t="s">
        <v>13</v>
      </c>
      <c r="K1799" s="13">
        <f>ROUND(tblTransactions[[#This Row],[gross_sales_inr]]*(1-tblTransactions[[#This Row],[discount_pct]]),2)</f>
        <v>1573.27</v>
      </c>
      <c r="L1799" t="str">
        <f>IF(ABS(tblTransactions[[#This Row],[net_sales_inr]]-tblTransactions[[#This Row],[Recalc_Net_Sales]])&lt;0.02,"OK","CHECK")</f>
        <v>OK</v>
      </c>
      <c r="M1799" s="14">
        <f>DATE(YEAR(tblTransactions[[#This Row],[date]]),MONTH(tblTransactions[[#This Row],[date]]),1)</f>
        <v>45778</v>
      </c>
      <c r="N1799" t="str">
        <f>IF(WEEKDAY(tblTransactions[[#This Row],[date]],2)&gt;5,"Weekend","Weekday")</f>
        <v>Weekday</v>
      </c>
      <c r="O179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799" s="13" t="str">
        <f>_xlfn.XLOOKUP(tblTransactions[[#This Row],[tenant_id]],tblTenants[tenant_id],tblTenants[zone],"NOT FOUND")</f>
        <v>Beauty &amp; Wellness</v>
      </c>
      <c r="Q1799" s="13" t="str">
        <f>_xlfn.XLOOKUP(tblTransactions[[#This Row],[tenant_id]],tblTenants[tenant_id],tblTenants[category],"NOT FOUND")</f>
        <v>Wellness</v>
      </c>
    </row>
    <row r="1800" spans="1:17">
      <c r="A1800" t="s">
        <v>1844</v>
      </c>
      <c r="B1800" s="2">
        <v>45746</v>
      </c>
      <c r="C1800">
        <v>20</v>
      </c>
      <c r="D1800" t="s">
        <v>31</v>
      </c>
      <c r="E1800" t="s">
        <v>12</v>
      </c>
      <c r="F1800" s="7">
        <v>553.12</v>
      </c>
      <c r="G1800" s="10">
        <v>0</v>
      </c>
      <c r="H1800" s="7">
        <v>553.12</v>
      </c>
      <c r="I1800">
        <v>5</v>
      </c>
      <c r="J1800" t="s">
        <v>13</v>
      </c>
      <c r="K1800" s="13">
        <f>ROUND(tblTransactions[[#This Row],[gross_sales_inr]]*(1-tblTransactions[[#This Row],[discount_pct]]),2)</f>
        <v>553.12</v>
      </c>
      <c r="L1800" t="str">
        <f>IF(ABS(tblTransactions[[#This Row],[net_sales_inr]]-tblTransactions[[#This Row],[Recalc_Net_Sales]])&lt;0.02,"OK","CHECK")</f>
        <v>OK</v>
      </c>
      <c r="M1800" s="14">
        <f>DATE(YEAR(tblTransactions[[#This Row],[date]]),MONTH(tblTransactions[[#This Row],[date]]),1)</f>
        <v>45717</v>
      </c>
      <c r="N1800" t="str">
        <f>IF(WEEKDAY(tblTransactions[[#This Row],[date]],2)&gt;5,"Weekend","Weekday")</f>
        <v>Weekend</v>
      </c>
      <c r="O1800" s="13" t="str">
        <f>IF(tblTransactions[[#This Row],[discount_pct]]=0,"0%",IF(tblTransactions[[#This Row],[discount_pct]]&lt;=10%,"1–
10%",IF(tblTransactions[[#This Row],[discount_pct]]&lt;=20%,"11–20%","&gt;20%")))</f>
        <v>0%</v>
      </c>
      <c r="P1800" s="13" t="str">
        <f>_xlfn.XLOOKUP(tblTransactions[[#This Row],[tenant_id]],tblTenants[tenant_id],tblTenants[zone],"NOT FOUND")</f>
        <v>Entertainment</v>
      </c>
      <c r="Q1800" s="13" t="str">
        <f>_xlfn.XLOOKUP(tblTransactions[[#This Row],[tenant_id]],tblTenants[tenant_id],tblTenants[category],"NOT FOUND")</f>
        <v>Arcade</v>
      </c>
    </row>
    <row r="1801" spans="1:17">
      <c r="A1801" t="s">
        <v>1845</v>
      </c>
      <c r="B1801" s="2">
        <v>45718</v>
      </c>
      <c r="C1801">
        <v>17</v>
      </c>
      <c r="D1801" t="s">
        <v>85</v>
      </c>
      <c r="E1801" t="s">
        <v>32</v>
      </c>
      <c r="F1801" s="7">
        <v>504.79</v>
      </c>
      <c r="G1801" s="10">
        <v>0.1</v>
      </c>
      <c r="H1801" s="7">
        <v>454.31</v>
      </c>
      <c r="I1801">
        <v>5</v>
      </c>
      <c r="J1801" t="s">
        <v>13</v>
      </c>
      <c r="K1801" s="13">
        <f>ROUND(tblTransactions[[#This Row],[gross_sales_inr]]*(1-tblTransactions[[#This Row],[discount_pct]]),2)</f>
        <v>454.31</v>
      </c>
      <c r="L1801" t="str">
        <f>IF(ABS(tblTransactions[[#This Row],[net_sales_inr]]-tblTransactions[[#This Row],[Recalc_Net_Sales]])&lt;0.02,"OK","CHECK")</f>
        <v>OK</v>
      </c>
      <c r="M1801" s="14">
        <f>DATE(YEAR(tblTransactions[[#This Row],[date]]),MONTH(tblTransactions[[#This Row],[date]]),1)</f>
        <v>45717</v>
      </c>
      <c r="N1801" t="str">
        <f>IF(WEEKDAY(tblTransactions[[#This Row],[date]],2)&gt;5,"Weekend","Weekday")</f>
        <v>Weekend</v>
      </c>
      <c r="O180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01" s="13" t="str">
        <f>_xlfn.XLOOKUP(tblTransactions[[#This Row],[tenant_id]],tblTenants[tenant_id],tblTenants[zone],"NOT FOUND")</f>
        <v>Home &amp; Living</v>
      </c>
      <c r="Q1801" s="13" t="str">
        <f>_xlfn.XLOOKUP(tblTransactions[[#This Row],[tenant_id]],tblTenants[tenant_id],tblTenants[category],"NOT FOUND")</f>
        <v>Electronics</v>
      </c>
    </row>
    <row r="1802" spans="1:17">
      <c r="A1802" t="s">
        <v>1846</v>
      </c>
      <c r="B1802" s="2">
        <v>45835</v>
      </c>
      <c r="C1802">
        <v>16</v>
      </c>
      <c r="D1802" t="s">
        <v>45</v>
      </c>
      <c r="E1802" t="s">
        <v>32</v>
      </c>
      <c r="F1802" s="7">
        <v>1210.3599999999999</v>
      </c>
      <c r="G1802" s="10">
        <v>0.1</v>
      </c>
      <c r="H1802" s="7">
        <v>1089.32</v>
      </c>
      <c r="I1802">
        <v>3</v>
      </c>
      <c r="J1802" t="s">
        <v>13</v>
      </c>
      <c r="K1802" s="13">
        <f>ROUND(tblTransactions[[#This Row],[gross_sales_inr]]*(1-tblTransactions[[#This Row],[discount_pct]]),2)</f>
        <v>1089.32</v>
      </c>
      <c r="L1802" t="str">
        <f>IF(ABS(tblTransactions[[#This Row],[net_sales_inr]]-tblTransactions[[#This Row],[Recalc_Net_Sales]])&lt;0.02,"OK","CHECK")</f>
        <v>OK</v>
      </c>
      <c r="M1802" s="14">
        <f>DATE(YEAR(tblTransactions[[#This Row],[date]]),MONTH(tblTransactions[[#This Row],[date]]),1)</f>
        <v>45809</v>
      </c>
      <c r="N1802" t="str">
        <f>IF(WEEKDAY(tblTransactions[[#This Row],[date]],2)&gt;5,"Weekend","Weekday")</f>
        <v>Weekday</v>
      </c>
      <c r="O180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02" s="13" t="str">
        <f>_xlfn.XLOOKUP(tblTransactions[[#This Row],[tenant_id]],tblTenants[tenant_id],tblTenants[zone],"NOT FOUND")</f>
        <v>Home &amp; Living</v>
      </c>
      <c r="Q1802" s="13" t="str">
        <f>_xlfn.XLOOKUP(tblTransactions[[#This Row],[tenant_id]],tblTenants[tenant_id],tblTenants[category],"NOT FOUND")</f>
        <v>Home Decor</v>
      </c>
    </row>
    <row r="1803" spans="1:17">
      <c r="A1803" t="s">
        <v>1847</v>
      </c>
      <c r="B1803" s="2">
        <v>45824</v>
      </c>
      <c r="C1803">
        <v>22</v>
      </c>
      <c r="D1803" t="s">
        <v>27</v>
      </c>
      <c r="E1803" t="s">
        <v>32</v>
      </c>
      <c r="F1803" s="7">
        <v>233.61</v>
      </c>
      <c r="G1803" s="10">
        <v>0</v>
      </c>
      <c r="H1803" s="7">
        <v>233.61</v>
      </c>
      <c r="I1803">
        <v>6</v>
      </c>
      <c r="J1803" t="s">
        <v>13</v>
      </c>
      <c r="K1803" s="13">
        <f>ROUND(tblTransactions[[#This Row],[gross_sales_inr]]*(1-tblTransactions[[#This Row],[discount_pct]]),2)</f>
        <v>233.61</v>
      </c>
      <c r="L1803" t="str">
        <f>IF(ABS(tblTransactions[[#This Row],[net_sales_inr]]-tblTransactions[[#This Row],[Recalc_Net_Sales]])&lt;0.02,"OK","CHECK")</f>
        <v>OK</v>
      </c>
      <c r="M1803" s="14">
        <f>DATE(YEAR(tblTransactions[[#This Row],[date]]),MONTH(tblTransactions[[#This Row],[date]]),1)</f>
        <v>45809</v>
      </c>
      <c r="N1803" t="str">
        <f>IF(WEEKDAY(tblTransactions[[#This Row],[date]],2)&gt;5,"Weekend","Weekday")</f>
        <v>Weekday</v>
      </c>
      <c r="O1803" s="13" t="str">
        <f>IF(tblTransactions[[#This Row],[discount_pct]]=0,"0%",IF(tblTransactions[[#This Row],[discount_pct]]&lt;=10%,"1–
10%",IF(tblTransactions[[#This Row],[discount_pct]]&lt;=20%,"11–20%","&gt;20%")))</f>
        <v>0%</v>
      </c>
      <c r="P1803" s="13" t="str">
        <f>_xlfn.XLOOKUP(tblTransactions[[#This Row],[tenant_id]],tblTenants[tenant_id],tblTenants[zone],"NOT FOUND")</f>
        <v>Beauty &amp; Wellness</v>
      </c>
      <c r="Q1803" s="13" t="str">
        <f>_xlfn.XLOOKUP(tblTransactions[[#This Row],[tenant_id]],tblTenants[tenant_id],tblTenants[category],"NOT FOUND")</f>
        <v>Wellness</v>
      </c>
    </row>
    <row r="1804" spans="1:17">
      <c r="A1804" t="s">
        <v>1848</v>
      </c>
      <c r="B1804" s="2">
        <v>45768</v>
      </c>
      <c r="C1804">
        <v>11</v>
      </c>
      <c r="D1804" t="s">
        <v>27</v>
      </c>
      <c r="E1804" t="s">
        <v>12</v>
      </c>
      <c r="F1804" s="7">
        <v>505.33</v>
      </c>
      <c r="G1804" s="10">
        <v>0</v>
      </c>
      <c r="H1804" s="7">
        <v>505.33</v>
      </c>
      <c r="I1804">
        <v>1</v>
      </c>
      <c r="J1804" t="s">
        <v>13</v>
      </c>
      <c r="K1804" s="13">
        <f>ROUND(tblTransactions[[#This Row],[gross_sales_inr]]*(1-tblTransactions[[#This Row],[discount_pct]]),2)</f>
        <v>505.33</v>
      </c>
      <c r="L1804" t="str">
        <f>IF(ABS(tblTransactions[[#This Row],[net_sales_inr]]-tblTransactions[[#This Row],[Recalc_Net_Sales]])&lt;0.02,"OK","CHECK")</f>
        <v>OK</v>
      </c>
      <c r="M1804" s="14">
        <f>DATE(YEAR(tblTransactions[[#This Row],[date]]),MONTH(tblTransactions[[#This Row],[date]]),1)</f>
        <v>45748</v>
      </c>
      <c r="N1804" t="str">
        <f>IF(WEEKDAY(tblTransactions[[#This Row],[date]],2)&gt;5,"Weekend","Weekday")</f>
        <v>Weekday</v>
      </c>
      <c r="O1804" s="13" t="str">
        <f>IF(tblTransactions[[#This Row],[discount_pct]]=0,"0%",IF(tblTransactions[[#This Row],[discount_pct]]&lt;=10%,"1–
10%",IF(tblTransactions[[#This Row],[discount_pct]]&lt;=20%,"11–20%","&gt;20%")))</f>
        <v>0%</v>
      </c>
      <c r="P1804" s="13" t="str">
        <f>_xlfn.XLOOKUP(tblTransactions[[#This Row],[tenant_id]],tblTenants[tenant_id],tblTenants[zone],"NOT FOUND")</f>
        <v>Beauty &amp; Wellness</v>
      </c>
      <c r="Q1804" s="13" t="str">
        <f>_xlfn.XLOOKUP(tblTransactions[[#This Row],[tenant_id]],tblTenants[tenant_id],tblTenants[category],"NOT FOUND")</f>
        <v>Wellness</v>
      </c>
    </row>
    <row r="1805" spans="1:17">
      <c r="A1805" t="s">
        <v>1849</v>
      </c>
      <c r="B1805" s="2">
        <v>45689</v>
      </c>
      <c r="C1805">
        <v>14</v>
      </c>
      <c r="D1805" t="s">
        <v>48</v>
      </c>
      <c r="E1805" t="s">
        <v>12</v>
      </c>
      <c r="F1805" s="7">
        <v>1218</v>
      </c>
      <c r="G1805" s="10">
        <v>0.05</v>
      </c>
      <c r="H1805" s="7">
        <v>1157.0999999999999</v>
      </c>
      <c r="I1805">
        <v>2</v>
      </c>
      <c r="J1805" t="s">
        <v>16</v>
      </c>
      <c r="K1805" s="13">
        <f>ROUND(tblTransactions[[#This Row],[gross_sales_inr]]*(1-tblTransactions[[#This Row],[discount_pct]]),2)</f>
        <v>1157.0999999999999</v>
      </c>
      <c r="L1805" t="str">
        <f>IF(ABS(tblTransactions[[#This Row],[net_sales_inr]]-tblTransactions[[#This Row],[Recalc_Net_Sales]])&lt;0.02,"OK","CHECK")</f>
        <v>OK</v>
      </c>
      <c r="M1805" s="14">
        <f>DATE(YEAR(tblTransactions[[#This Row],[date]]),MONTH(tblTransactions[[#This Row],[date]]),1)</f>
        <v>45689</v>
      </c>
      <c r="N1805" t="str">
        <f>IF(WEEKDAY(tblTransactions[[#This Row],[date]],2)&gt;5,"Weekend","Weekday")</f>
        <v>Weekend</v>
      </c>
      <c r="O180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05" s="13" t="str">
        <f>_xlfn.XLOOKUP(tblTransactions[[#This Row],[tenant_id]],tblTenants[tenant_id],tblTenants[zone],"NOT FOUND")</f>
        <v>Beauty &amp; Wellness</v>
      </c>
      <c r="Q1805" s="13" t="str">
        <f>_xlfn.XLOOKUP(tblTransactions[[#This Row],[tenant_id]],tblTenants[tenant_id],tblTenants[category],"NOT FOUND")</f>
        <v>Wellness</v>
      </c>
    </row>
    <row r="1806" spans="1:17">
      <c r="A1806" t="s">
        <v>1850</v>
      </c>
      <c r="B1806" s="2">
        <v>45818</v>
      </c>
      <c r="C1806">
        <v>17</v>
      </c>
      <c r="D1806" t="s">
        <v>41</v>
      </c>
      <c r="E1806" t="s">
        <v>12</v>
      </c>
      <c r="F1806" s="7">
        <v>2321.34</v>
      </c>
      <c r="G1806" s="10">
        <v>0</v>
      </c>
      <c r="H1806" s="7">
        <v>2321.34</v>
      </c>
      <c r="I1806">
        <v>2</v>
      </c>
      <c r="J1806" t="s">
        <v>16</v>
      </c>
      <c r="K1806" s="13">
        <f>ROUND(tblTransactions[[#This Row],[gross_sales_inr]]*(1-tblTransactions[[#This Row],[discount_pct]]),2)</f>
        <v>2321.34</v>
      </c>
      <c r="L1806" t="str">
        <f>IF(ABS(tblTransactions[[#This Row],[net_sales_inr]]-tblTransactions[[#This Row],[Recalc_Net_Sales]])&lt;0.02,"OK","CHECK")</f>
        <v>OK</v>
      </c>
      <c r="M1806" s="14">
        <f>DATE(YEAR(tblTransactions[[#This Row],[date]]),MONTH(tblTransactions[[#This Row],[date]]),1)</f>
        <v>45809</v>
      </c>
      <c r="N1806" t="str">
        <f>IF(WEEKDAY(tblTransactions[[#This Row],[date]],2)&gt;5,"Weekend","Weekday")</f>
        <v>Weekday</v>
      </c>
      <c r="O1806" s="13" t="str">
        <f>IF(tblTransactions[[#This Row],[discount_pct]]=0,"0%",IF(tblTransactions[[#This Row],[discount_pct]]&lt;=10%,"1–
10%",IF(tblTransactions[[#This Row],[discount_pct]]&lt;=20%,"11–20%","&gt;20%")))</f>
        <v>0%</v>
      </c>
      <c r="P1806" s="13" t="str">
        <f>_xlfn.XLOOKUP(tblTransactions[[#This Row],[tenant_id]],tblTenants[tenant_id],tblTenants[zone],"NOT FOUND")</f>
        <v>Fashion Avenue</v>
      </c>
      <c r="Q1806" s="13" t="str">
        <f>_xlfn.XLOOKUP(tblTransactions[[#This Row],[tenant_id]],tblTenants[tenant_id],tblTenants[category],"NOT FOUND")</f>
        <v>Clothing</v>
      </c>
    </row>
    <row r="1807" spans="1:17">
      <c r="A1807" t="s">
        <v>1851</v>
      </c>
      <c r="B1807" s="2">
        <v>45697</v>
      </c>
      <c r="C1807">
        <v>14</v>
      </c>
      <c r="D1807" t="s">
        <v>25</v>
      </c>
      <c r="E1807" t="s">
        <v>21</v>
      </c>
      <c r="F1807" s="7">
        <v>315.52</v>
      </c>
      <c r="G1807" s="10">
        <v>0</v>
      </c>
      <c r="H1807" s="7">
        <v>315.52</v>
      </c>
      <c r="I1807">
        <v>1</v>
      </c>
      <c r="J1807" t="s">
        <v>16</v>
      </c>
      <c r="K1807" s="13">
        <f>ROUND(tblTransactions[[#This Row],[gross_sales_inr]]*(1-tblTransactions[[#This Row],[discount_pct]]),2)</f>
        <v>315.52</v>
      </c>
      <c r="L1807" t="str">
        <f>IF(ABS(tblTransactions[[#This Row],[net_sales_inr]]-tblTransactions[[#This Row],[Recalc_Net_Sales]])&lt;0.02,"OK","CHECK")</f>
        <v>OK</v>
      </c>
      <c r="M1807" s="14">
        <f>DATE(YEAR(tblTransactions[[#This Row],[date]]),MONTH(tblTransactions[[#This Row],[date]]),1)</f>
        <v>45689</v>
      </c>
      <c r="N1807" t="str">
        <f>IF(WEEKDAY(tblTransactions[[#This Row],[date]],2)&gt;5,"Weekend","Weekday")</f>
        <v>Weekend</v>
      </c>
      <c r="O1807" s="13" t="str">
        <f>IF(tblTransactions[[#This Row],[discount_pct]]=0,"0%",IF(tblTransactions[[#This Row],[discount_pct]]&lt;=10%,"1–
10%",IF(tblTransactions[[#This Row],[discount_pct]]&lt;=20%,"11–20%","&gt;20%")))</f>
        <v>0%</v>
      </c>
      <c r="P1807" s="13" t="str">
        <f>_xlfn.XLOOKUP(tblTransactions[[#This Row],[tenant_id]],tblTenants[tenant_id],tblTenants[zone],"NOT FOUND")</f>
        <v>Beauty &amp; Wellness</v>
      </c>
      <c r="Q1807" s="13" t="str">
        <f>_xlfn.XLOOKUP(tblTransactions[[#This Row],[tenant_id]],tblTenants[tenant_id],tblTenants[category],"NOT FOUND")</f>
        <v>Beauty</v>
      </c>
    </row>
    <row r="1808" spans="1:17">
      <c r="A1808" t="s">
        <v>1852</v>
      </c>
      <c r="B1808" s="2">
        <v>45766</v>
      </c>
      <c r="C1808">
        <v>14</v>
      </c>
      <c r="D1808" t="s">
        <v>20</v>
      </c>
      <c r="E1808" t="s">
        <v>12</v>
      </c>
      <c r="F1808" s="7">
        <v>263.67</v>
      </c>
      <c r="G1808" s="10">
        <v>0.15</v>
      </c>
      <c r="H1808" s="7">
        <v>224.12</v>
      </c>
      <c r="I1808">
        <v>5</v>
      </c>
      <c r="J1808" t="s">
        <v>16</v>
      </c>
      <c r="K1808" s="13">
        <f>ROUND(tblTransactions[[#This Row],[gross_sales_inr]]*(1-tblTransactions[[#This Row],[discount_pct]]),2)</f>
        <v>224.12</v>
      </c>
      <c r="L1808" t="str">
        <f>IF(ABS(tblTransactions[[#This Row],[net_sales_inr]]-tblTransactions[[#This Row],[Recalc_Net_Sales]])&lt;0.02,"OK","CHECK")</f>
        <v>OK</v>
      </c>
      <c r="M1808" s="14">
        <f>DATE(YEAR(tblTransactions[[#This Row],[date]]),MONTH(tblTransactions[[#This Row],[date]]),1)</f>
        <v>45748</v>
      </c>
      <c r="N1808" t="str">
        <f>IF(WEEKDAY(tblTransactions[[#This Row],[date]],2)&gt;5,"Weekend","Weekday")</f>
        <v>Weekend</v>
      </c>
      <c r="O180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08" s="13" t="str">
        <f>_xlfn.XLOOKUP(tblTransactions[[#This Row],[tenant_id]],tblTenants[tenant_id],tblTenants[zone],"NOT FOUND")</f>
        <v>Fashion Avenue</v>
      </c>
      <c r="Q1808" s="13" t="str">
        <f>_xlfn.XLOOKUP(tblTransactions[[#This Row],[tenant_id]],tblTenants[tenant_id],tblTenants[category],"NOT FOUND")</f>
        <v>Accessories</v>
      </c>
    </row>
    <row r="1809" spans="1:17">
      <c r="A1809" t="s">
        <v>1853</v>
      </c>
      <c r="B1809" s="2">
        <v>45669</v>
      </c>
      <c r="C1809">
        <v>12</v>
      </c>
      <c r="D1809" t="s">
        <v>63</v>
      </c>
      <c r="E1809" t="s">
        <v>12</v>
      </c>
      <c r="F1809" s="7">
        <v>2019.58</v>
      </c>
      <c r="G1809" s="10">
        <v>0.3</v>
      </c>
      <c r="H1809" s="7">
        <v>1413.71</v>
      </c>
      <c r="I1809">
        <v>3</v>
      </c>
      <c r="J1809" t="s">
        <v>16</v>
      </c>
      <c r="K1809" s="13">
        <f>ROUND(tblTransactions[[#This Row],[gross_sales_inr]]*(1-tblTransactions[[#This Row],[discount_pct]]),2)</f>
        <v>1413.71</v>
      </c>
      <c r="L1809" t="str">
        <f>IF(ABS(tblTransactions[[#This Row],[net_sales_inr]]-tblTransactions[[#This Row],[Recalc_Net_Sales]])&lt;0.02,"OK","CHECK")</f>
        <v>OK</v>
      </c>
      <c r="M1809" s="14">
        <f>DATE(YEAR(tblTransactions[[#This Row],[date]]),MONTH(tblTransactions[[#This Row],[date]]),1)</f>
        <v>45658</v>
      </c>
      <c r="N1809" t="str">
        <f>IF(WEEKDAY(tblTransactions[[#This Row],[date]],2)&gt;5,"Weekend","Weekday")</f>
        <v>Weekend</v>
      </c>
      <c r="O1809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809" s="13" t="str">
        <f>_xlfn.XLOOKUP(tblTransactions[[#This Row],[tenant_id]],tblTenants[tenant_id],tblTenants[zone],"NOT FOUND")</f>
        <v>Entertainment</v>
      </c>
      <c r="Q1809" s="13" t="str">
        <f>_xlfn.XLOOKUP(tblTransactions[[#This Row],[tenant_id]],tblTenants[tenant_id],tblTenants[category],"NOT FOUND")</f>
        <v>Family Entertainment</v>
      </c>
    </row>
    <row r="1810" spans="1:17">
      <c r="A1810" t="s">
        <v>1854</v>
      </c>
      <c r="B1810" s="2">
        <v>45679</v>
      </c>
      <c r="C1810">
        <v>11</v>
      </c>
      <c r="D1810" t="s">
        <v>25</v>
      </c>
      <c r="E1810" t="s">
        <v>32</v>
      </c>
      <c r="F1810" s="7">
        <v>966.68</v>
      </c>
      <c r="G1810" s="10">
        <v>0.1</v>
      </c>
      <c r="H1810" s="7">
        <v>870.01</v>
      </c>
      <c r="I1810">
        <v>1</v>
      </c>
      <c r="J1810" t="s">
        <v>13</v>
      </c>
      <c r="K1810" s="13">
        <f>ROUND(tblTransactions[[#This Row],[gross_sales_inr]]*(1-tblTransactions[[#This Row],[discount_pct]]),2)</f>
        <v>870.01</v>
      </c>
      <c r="L1810" t="str">
        <f>IF(ABS(tblTransactions[[#This Row],[net_sales_inr]]-tblTransactions[[#This Row],[Recalc_Net_Sales]])&lt;0.02,"OK","CHECK")</f>
        <v>OK</v>
      </c>
      <c r="M1810" s="14">
        <f>DATE(YEAR(tblTransactions[[#This Row],[date]]),MONTH(tblTransactions[[#This Row],[date]]),1)</f>
        <v>45658</v>
      </c>
      <c r="N1810" t="str">
        <f>IF(WEEKDAY(tblTransactions[[#This Row],[date]],2)&gt;5,"Weekend","Weekday")</f>
        <v>Weekday</v>
      </c>
      <c r="O181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10" s="13" t="str">
        <f>_xlfn.XLOOKUP(tblTransactions[[#This Row],[tenant_id]],tblTenants[tenant_id],tblTenants[zone],"NOT FOUND")</f>
        <v>Beauty &amp; Wellness</v>
      </c>
      <c r="Q1810" s="13" t="str">
        <f>_xlfn.XLOOKUP(tblTransactions[[#This Row],[tenant_id]],tblTenants[tenant_id],tblTenants[category],"NOT FOUND")</f>
        <v>Beauty</v>
      </c>
    </row>
    <row r="1811" spans="1:17">
      <c r="A1811" t="s">
        <v>1855</v>
      </c>
      <c r="B1811" s="2">
        <v>45673</v>
      </c>
      <c r="C1811">
        <v>19</v>
      </c>
      <c r="D1811" t="s">
        <v>25</v>
      </c>
      <c r="E1811" t="s">
        <v>12</v>
      </c>
      <c r="F1811" s="7">
        <v>330.86</v>
      </c>
      <c r="G1811" s="10">
        <v>0.3</v>
      </c>
      <c r="H1811" s="7">
        <v>231.6</v>
      </c>
      <c r="I1811">
        <v>3</v>
      </c>
      <c r="J1811" t="s">
        <v>16</v>
      </c>
      <c r="K1811" s="13">
        <f>ROUND(tblTransactions[[#This Row],[gross_sales_inr]]*(1-tblTransactions[[#This Row],[discount_pct]]),2)</f>
        <v>231.6</v>
      </c>
      <c r="L1811" t="str">
        <f>IF(ABS(tblTransactions[[#This Row],[net_sales_inr]]-tblTransactions[[#This Row],[Recalc_Net_Sales]])&lt;0.02,"OK","CHECK")</f>
        <v>OK</v>
      </c>
      <c r="M1811" s="14">
        <f>DATE(YEAR(tblTransactions[[#This Row],[date]]),MONTH(tblTransactions[[#This Row],[date]]),1)</f>
        <v>45658</v>
      </c>
      <c r="N1811" t="str">
        <f>IF(WEEKDAY(tblTransactions[[#This Row],[date]],2)&gt;5,"Weekend","Weekday")</f>
        <v>Weekday</v>
      </c>
      <c r="O1811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811" s="13" t="str">
        <f>_xlfn.XLOOKUP(tblTransactions[[#This Row],[tenant_id]],tblTenants[tenant_id],tblTenants[zone],"NOT FOUND")</f>
        <v>Beauty &amp; Wellness</v>
      </c>
      <c r="Q1811" s="13" t="str">
        <f>_xlfn.XLOOKUP(tblTransactions[[#This Row],[tenant_id]],tblTenants[tenant_id],tblTenants[category],"NOT FOUND")</f>
        <v>Beauty</v>
      </c>
    </row>
    <row r="1812" spans="1:17">
      <c r="A1812" t="s">
        <v>1856</v>
      </c>
      <c r="B1812" s="2">
        <v>45673</v>
      </c>
      <c r="C1812">
        <v>15</v>
      </c>
      <c r="D1812" t="s">
        <v>72</v>
      </c>
      <c r="E1812" t="s">
        <v>32</v>
      </c>
      <c r="F1812" s="7">
        <v>401.28</v>
      </c>
      <c r="G1812" s="10">
        <v>0</v>
      </c>
      <c r="H1812" s="7">
        <v>401.28</v>
      </c>
      <c r="I1812">
        <v>4</v>
      </c>
      <c r="J1812" t="s">
        <v>13</v>
      </c>
      <c r="K1812" s="13">
        <f>ROUND(tblTransactions[[#This Row],[gross_sales_inr]]*(1-tblTransactions[[#This Row],[discount_pct]]),2)</f>
        <v>401.28</v>
      </c>
      <c r="L1812" t="str">
        <f>IF(ABS(tblTransactions[[#This Row],[net_sales_inr]]-tblTransactions[[#This Row],[Recalc_Net_Sales]])&lt;0.02,"OK","CHECK")</f>
        <v>OK</v>
      </c>
      <c r="M1812" s="14">
        <f>DATE(YEAR(tblTransactions[[#This Row],[date]]),MONTH(tblTransactions[[#This Row],[date]]),1)</f>
        <v>45658</v>
      </c>
      <c r="N1812" t="str">
        <f>IF(WEEKDAY(tblTransactions[[#This Row],[date]],2)&gt;5,"Weekend","Weekday")</f>
        <v>Weekday</v>
      </c>
      <c r="O1812" s="13" t="str">
        <f>IF(tblTransactions[[#This Row],[discount_pct]]=0,"0%",IF(tblTransactions[[#This Row],[discount_pct]]&lt;=10%,"1–
10%",IF(tblTransactions[[#This Row],[discount_pct]]&lt;=20%,"11–20%","&gt;20%")))</f>
        <v>0%</v>
      </c>
      <c r="P1812" s="13" t="str">
        <f>_xlfn.XLOOKUP(tblTransactions[[#This Row],[tenant_id]],tblTenants[tenant_id],tblTenants[zone],"NOT FOUND")</f>
        <v>Entertainment</v>
      </c>
      <c r="Q1812" s="13" t="str">
        <f>_xlfn.XLOOKUP(tblTransactions[[#This Row],[tenant_id]],tblTenants[tenant_id],tblTenants[category],"NOT FOUND")</f>
        <v>Arcade</v>
      </c>
    </row>
    <row r="1813" spans="1:17">
      <c r="A1813" t="s">
        <v>1857</v>
      </c>
      <c r="B1813" s="2">
        <v>45736</v>
      </c>
      <c r="C1813">
        <v>16</v>
      </c>
      <c r="D1813" t="s">
        <v>15</v>
      </c>
      <c r="E1813" t="s">
        <v>32</v>
      </c>
      <c r="F1813" s="7">
        <v>283.17</v>
      </c>
      <c r="G1813" s="10">
        <v>0.2</v>
      </c>
      <c r="H1813" s="7">
        <v>226.54</v>
      </c>
      <c r="I1813">
        <v>2</v>
      </c>
      <c r="J1813" t="s">
        <v>13</v>
      </c>
      <c r="K1813" s="13">
        <f>ROUND(tblTransactions[[#This Row],[gross_sales_inr]]*(1-tblTransactions[[#This Row],[discount_pct]]),2)</f>
        <v>226.54</v>
      </c>
      <c r="L1813" t="str">
        <f>IF(ABS(tblTransactions[[#This Row],[net_sales_inr]]-tblTransactions[[#This Row],[Recalc_Net_Sales]])&lt;0.02,"OK","CHECK")</f>
        <v>OK</v>
      </c>
      <c r="M1813" s="14">
        <f>DATE(YEAR(tblTransactions[[#This Row],[date]]),MONTH(tblTransactions[[#This Row],[date]]),1)</f>
        <v>45717</v>
      </c>
      <c r="N1813" t="str">
        <f>IF(WEEKDAY(tblTransactions[[#This Row],[date]],2)&gt;5,"Weekend","Weekday")</f>
        <v>Weekday</v>
      </c>
      <c r="O181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13" s="13" t="str">
        <f>_xlfn.XLOOKUP(tblTransactions[[#This Row],[tenant_id]],tblTenants[tenant_id],tblTenants[zone],"NOT FOUND")</f>
        <v>Fashion Avenue</v>
      </c>
      <c r="Q1813" s="13" t="str">
        <f>_xlfn.XLOOKUP(tblTransactions[[#This Row],[tenant_id]],tblTenants[tenant_id],tblTenants[category],"NOT FOUND")</f>
        <v>Accessories</v>
      </c>
    </row>
    <row r="1814" spans="1:17">
      <c r="A1814" t="s">
        <v>1858</v>
      </c>
      <c r="B1814" s="2">
        <v>45749</v>
      </c>
      <c r="C1814">
        <v>20</v>
      </c>
      <c r="D1814" t="s">
        <v>11</v>
      </c>
      <c r="E1814" t="s">
        <v>21</v>
      </c>
      <c r="F1814" s="7">
        <v>4581.1099999999997</v>
      </c>
      <c r="G1814" s="10">
        <v>0.1</v>
      </c>
      <c r="H1814" s="7">
        <v>4123</v>
      </c>
      <c r="I1814">
        <v>2</v>
      </c>
      <c r="J1814" t="s">
        <v>16</v>
      </c>
      <c r="K1814" s="13">
        <f>ROUND(tblTransactions[[#This Row],[gross_sales_inr]]*(1-tblTransactions[[#This Row],[discount_pct]]),2)</f>
        <v>4123</v>
      </c>
      <c r="L1814" t="str">
        <f>IF(ABS(tblTransactions[[#This Row],[net_sales_inr]]-tblTransactions[[#This Row],[Recalc_Net_Sales]])&lt;0.02,"OK","CHECK")</f>
        <v>OK</v>
      </c>
      <c r="M1814" s="14">
        <f>DATE(YEAR(tblTransactions[[#This Row],[date]]),MONTH(tblTransactions[[#This Row],[date]]),1)</f>
        <v>45748</v>
      </c>
      <c r="N1814" t="str">
        <f>IF(WEEKDAY(tblTransactions[[#This Row],[date]],2)&gt;5,"Weekend","Weekday")</f>
        <v>Weekday</v>
      </c>
      <c r="O181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14" s="13" t="str">
        <f>_xlfn.XLOOKUP(tblTransactions[[#This Row],[tenant_id]],tblTenants[tenant_id],tblTenants[zone],"NOT FOUND")</f>
        <v>Home &amp; Living</v>
      </c>
      <c r="Q1814" s="13" t="str">
        <f>_xlfn.XLOOKUP(tblTransactions[[#This Row],[tenant_id]],tblTenants[tenant_id],tblTenants[category],"NOT FOUND")</f>
        <v>Home Decor</v>
      </c>
    </row>
    <row r="1815" spans="1:17">
      <c r="A1815" t="s">
        <v>1859</v>
      </c>
      <c r="B1815" s="2">
        <v>45815</v>
      </c>
      <c r="C1815">
        <v>17</v>
      </c>
      <c r="D1815" t="s">
        <v>15</v>
      </c>
      <c r="E1815" t="s">
        <v>21</v>
      </c>
      <c r="F1815" s="7">
        <v>2654.12</v>
      </c>
      <c r="G1815" s="10">
        <v>0.05</v>
      </c>
      <c r="H1815" s="7">
        <v>2521.41</v>
      </c>
      <c r="I1815">
        <v>1</v>
      </c>
      <c r="J1815" t="s">
        <v>16</v>
      </c>
      <c r="K1815" s="13">
        <f>ROUND(tblTransactions[[#This Row],[gross_sales_inr]]*(1-tblTransactions[[#This Row],[discount_pct]]),2)</f>
        <v>2521.41</v>
      </c>
      <c r="L1815" t="str">
        <f>IF(ABS(tblTransactions[[#This Row],[net_sales_inr]]-tblTransactions[[#This Row],[Recalc_Net_Sales]])&lt;0.02,"OK","CHECK")</f>
        <v>OK</v>
      </c>
      <c r="M1815" s="14">
        <f>DATE(YEAR(tblTransactions[[#This Row],[date]]),MONTH(tblTransactions[[#This Row],[date]]),1)</f>
        <v>45809</v>
      </c>
      <c r="N1815" t="str">
        <f>IF(WEEKDAY(tblTransactions[[#This Row],[date]],2)&gt;5,"Weekend","Weekday")</f>
        <v>Weekend</v>
      </c>
      <c r="O181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15" s="13" t="str">
        <f>_xlfn.XLOOKUP(tblTransactions[[#This Row],[tenant_id]],tblTenants[tenant_id],tblTenants[zone],"NOT FOUND")</f>
        <v>Fashion Avenue</v>
      </c>
      <c r="Q1815" s="13" t="str">
        <f>_xlfn.XLOOKUP(tblTransactions[[#This Row],[tenant_id]],tblTenants[tenant_id],tblTenants[category],"NOT FOUND")</f>
        <v>Accessories</v>
      </c>
    </row>
    <row r="1816" spans="1:17">
      <c r="A1816" t="s">
        <v>1860</v>
      </c>
      <c r="B1816" s="2">
        <v>45687</v>
      </c>
      <c r="C1816">
        <v>20</v>
      </c>
      <c r="D1816" t="s">
        <v>87</v>
      </c>
      <c r="E1816" t="s">
        <v>12</v>
      </c>
      <c r="F1816" s="7">
        <v>1268.55</v>
      </c>
      <c r="G1816" s="10">
        <v>0</v>
      </c>
      <c r="H1816" s="7">
        <v>1268.55</v>
      </c>
      <c r="I1816">
        <v>2</v>
      </c>
      <c r="J1816" t="s">
        <v>13</v>
      </c>
      <c r="K1816" s="13">
        <f>ROUND(tblTransactions[[#This Row],[gross_sales_inr]]*(1-tblTransactions[[#This Row],[discount_pct]]),2)</f>
        <v>1268.55</v>
      </c>
      <c r="L1816" t="str">
        <f>IF(ABS(tblTransactions[[#This Row],[net_sales_inr]]-tblTransactions[[#This Row],[Recalc_Net_Sales]])&lt;0.02,"OK","CHECK")</f>
        <v>OK</v>
      </c>
      <c r="M1816" s="14">
        <f>DATE(YEAR(tblTransactions[[#This Row],[date]]),MONTH(tblTransactions[[#This Row],[date]]),1)</f>
        <v>45658</v>
      </c>
      <c r="N1816" t="str">
        <f>IF(WEEKDAY(tblTransactions[[#This Row],[date]],2)&gt;5,"Weekend","Weekday")</f>
        <v>Weekday</v>
      </c>
      <c r="O1816" s="13" t="str">
        <f>IF(tblTransactions[[#This Row],[discount_pct]]=0,"0%",IF(tblTransactions[[#This Row],[discount_pct]]&lt;=10%,"1–
10%",IF(tblTransactions[[#This Row],[discount_pct]]&lt;=20%,"11–20%","&gt;20%")))</f>
        <v>0%</v>
      </c>
      <c r="P1816" s="13" t="str">
        <f>_xlfn.XLOOKUP(tblTransactions[[#This Row],[tenant_id]],tblTenants[tenant_id],tblTenants[zone],"NOT FOUND")</f>
        <v>Fashion Avenue</v>
      </c>
      <c r="Q1816" s="13" t="str">
        <f>_xlfn.XLOOKUP(tblTransactions[[#This Row],[tenant_id]],tblTenants[tenant_id],tblTenants[category],"NOT FOUND")</f>
        <v>Footwear</v>
      </c>
    </row>
    <row r="1817" spans="1:17">
      <c r="A1817" t="s">
        <v>1861</v>
      </c>
      <c r="B1817" s="2">
        <v>45692</v>
      </c>
      <c r="C1817">
        <v>13</v>
      </c>
      <c r="D1817" t="s">
        <v>85</v>
      </c>
      <c r="E1817" t="s">
        <v>32</v>
      </c>
      <c r="F1817" s="7">
        <v>1195.42</v>
      </c>
      <c r="G1817" s="10">
        <v>0.1</v>
      </c>
      <c r="H1817" s="7">
        <v>1075.8800000000001</v>
      </c>
      <c r="I1817">
        <v>3</v>
      </c>
      <c r="J1817" t="s">
        <v>16</v>
      </c>
      <c r="K1817" s="13">
        <f>ROUND(tblTransactions[[#This Row],[gross_sales_inr]]*(1-tblTransactions[[#This Row],[discount_pct]]),2)</f>
        <v>1075.8800000000001</v>
      </c>
      <c r="L1817" t="str">
        <f>IF(ABS(tblTransactions[[#This Row],[net_sales_inr]]-tblTransactions[[#This Row],[Recalc_Net_Sales]])&lt;0.02,"OK","CHECK")</f>
        <v>OK</v>
      </c>
      <c r="M1817" s="14">
        <f>DATE(YEAR(tblTransactions[[#This Row],[date]]),MONTH(tblTransactions[[#This Row],[date]]),1)</f>
        <v>45689</v>
      </c>
      <c r="N1817" t="str">
        <f>IF(WEEKDAY(tblTransactions[[#This Row],[date]],2)&gt;5,"Weekend","Weekday")</f>
        <v>Weekday</v>
      </c>
      <c r="O181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17" s="13" t="str">
        <f>_xlfn.XLOOKUP(tblTransactions[[#This Row],[tenant_id]],tblTenants[tenant_id],tblTenants[zone],"NOT FOUND")</f>
        <v>Home &amp; Living</v>
      </c>
      <c r="Q1817" s="13" t="str">
        <f>_xlfn.XLOOKUP(tblTransactions[[#This Row],[tenant_id]],tblTenants[tenant_id],tblTenants[category],"NOT FOUND")</f>
        <v>Electronics</v>
      </c>
    </row>
    <row r="1818" spans="1:17">
      <c r="A1818" t="s">
        <v>1862</v>
      </c>
      <c r="B1818" s="2">
        <v>45815</v>
      </c>
      <c r="C1818">
        <v>21</v>
      </c>
      <c r="D1818" t="s">
        <v>59</v>
      </c>
      <c r="E1818" t="s">
        <v>32</v>
      </c>
      <c r="F1818" s="7">
        <v>4711.59</v>
      </c>
      <c r="G1818" s="10">
        <v>0.3</v>
      </c>
      <c r="H1818" s="7">
        <v>3298.11</v>
      </c>
      <c r="I1818">
        <v>2</v>
      </c>
      <c r="J1818" t="s">
        <v>13</v>
      </c>
      <c r="K1818" s="13">
        <f>ROUND(tblTransactions[[#This Row],[gross_sales_inr]]*(1-tblTransactions[[#This Row],[discount_pct]]),2)</f>
        <v>3298.11</v>
      </c>
      <c r="L1818" t="str">
        <f>IF(ABS(tblTransactions[[#This Row],[net_sales_inr]]-tblTransactions[[#This Row],[Recalc_Net_Sales]])&lt;0.02,"OK","CHECK")</f>
        <v>OK</v>
      </c>
      <c r="M1818" s="14">
        <f>DATE(YEAR(tblTransactions[[#This Row],[date]]),MONTH(tblTransactions[[#This Row],[date]]),1)</f>
        <v>45809</v>
      </c>
      <c r="N1818" t="str">
        <f>IF(WEEKDAY(tblTransactions[[#This Row],[date]],2)&gt;5,"Weekend","Weekday")</f>
        <v>Weekend</v>
      </c>
      <c r="O1818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818" s="13" t="str">
        <f>_xlfn.XLOOKUP(tblTransactions[[#This Row],[tenant_id]],tblTenants[tenant_id],tblTenants[zone],"NOT FOUND")</f>
        <v>Fashion Avenue</v>
      </c>
      <c r="Q1818" s="13" t="str">
        <f>_xlfn.XLOOKUP(tblTransactions[[#This Row],[tenant_id]],tblTenants[tenant_id],tblTenants[category],"NOT FOUND")</f>
        <v>Footwear</v>
      </c>
    </row>
    <row r="1819" spans="1:17">
      <c r="A1819" t="s">
        <v>1863</v>
      </c>
      <c r="B1819" s="2">
        <v>45729</v>
      </c>
      <c r="C1819">
        <v>14</v>
      </c>
      <c r="D1819" t="s">
        <v>63</v>
      </c>
      <c r="E1819" t="s">
        <v>12</v>
      </c>
      <c r="F1819" s="7">
        <v>580.04999999999995</v>
      </c>
      <c r="G1819" s="10">
        <v>0.15</v>
      </c>
      <c r="H1819" s="7">
        <v>493.04</v>
      </c>
      <c r="I1819">
        <v>3</v>
      </c>
      <c r="J1819" t="s">
        <v>13</v>
      </c>
      <c r="K1819" s="13">
        <f>ROUND(tblTransactions[[#This Row],[gross_sales_inr]]*(1-tblTransactions[[#This Row],[discount_pct]]),2)</f>
        <v>493.04</v>
      </c>
      <c r="L1819" t="str">
        <f>IF(ABS(tblTransactions[[#This Row],[net_sales_inr]]-tblTransactions[[#This Row],[Recalc_Net_Sales]])&lt;0.02,"OK","CHECK")</f>
        <v>OK</v>
      </c>
      <c r="M1819" s="14">
        <f>DATE(YEAR(tblTransactions[[#This Row],[date]]),MONTH(tblTransactions[[#This Row],[date]]),1)</f>
        <v>45717</v>
      </c>
      <c r="N1819" t="str">
        <f>IF(WEEKDAY(tblTransactions[[#This Row],[date]],2)&gt;5,"Weekend","Weekday")</f>
        <v>Weekday</v>
      </c>
      <c r="O181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19" s="13" t="str">
        <f>_xlfn.XLOOKUP(tblTransactions[[#This Row],[tenant_id]],tblTenants[tenant_id],tblTenants[zone],"NOT FOUND")</f>
        <v>Entertainment</v>
      </c>
      <c r="Q1819" s="13" t="str">
        <f>_xlfn.XLOOKUP(tblTransactions[[#This Row],[tenant_id]],tblTenants[tenant_id],tblTenants[category],"NOT FOUND")</f>
        <v>Family Entertainment</v>
      </c>
    </row>
    <row r="1820" spans="1:17">
      <c r="A1820" t="s">
        <v>1864</v>
      </c>
      <c r="B1820" s="2">
        <v>45704</v>
      </c>
      <c r="C1820">
        <v>13</v>
      </c>
      <c r="D1820" t="s">
        <v>53</v>
      </c>
      <c r="E1820" t="s">
        <v>32</v>
      </c>
      <c r="F1820" s="7">
        <v>1596.27</v>
      </c>
      <c r="G1820" s="10">
        <v>0</v>
      </c>
      <c r="H1820" s="7">
        <v>1596.27</v>
      </c>
      <c r="I1820">
        <v>2</v>
      </c>
      <c r="J1820" t="s">
        <v>16</v>
      </c>
      <c r="K1820" s="13">
        <f>ROUND(tblTransactions[[#This Row],[gross_sales_inr]]*(1-tblTransactions[[#This Row],[discount_pct]]),2)</f>
        <v>1596.27</v>
      </c>
      <c r="L1820" t="str">
        <f>IF(ABS(tblTransactions[[#This Row],[net_sales_inr]]-tblTransactions[[#This Row],[Recalc_Net_Sales]])&lt;0.02,"OK","CHECK")</f>
        <v>OK</v>
      </c>
      <c r="M1820" s="14">
        <f>DATE(YEAR(tblTransactions[[#This Row],[date]]),MONTH(tblTransactions[[#This Row],[date]]),1)</f>
        <v>45689</v>
      </c>
      <c r="N1820" t="str">
        <f>IF(WEEKDAY(tblTransactions[[#This Row],[date]],2)&gt;5,"Weekend","Weekday")</f>
        <v>Weekend</v>
      </c>
      <c r="O1820" s="13" t="str">
        <f>IF(tblTransactions[[#This Row],[discount_pct]]=0,"0%",IF(tblTransactions[[#This Row],[discount_pct]]&lt;=10%,"1–
10%",IF(tblTransactions[[#This Row],[discount_pct]]&lt;=20%,"11–20%","&gt;20%")))</f>
        <v>0%</v>
      </c>
      <c r="P1820" s="13" t="str">
        <f>_xlfn.XLOOKUP(tblTransactions[[#This Row],[tenant_id]],tblTenants[tenant_id],tblTenants[zone],"NOT FOUND")</f>
        <v>Beauty &amp; Wellness</v>
      </c>
      <c r="Q1820" s="13" t="str">
        <f>_xlfn.XLOOKUP(tblTransactions[[#This Row],[tenant_id]],tblTenants[tenant_id],tblTenants[category],"NOT FOUND")</f>
        <v>Beauty</v>
      </c>
    </row>
    <row r="1821" spans="1:17">
      <c r="A1821" t="s">
        <v>1865</v>
      </c>
      <c r="B1821" s="2">
        <v>45809</v>
      </c>
      <c r="C1821">
        <v>11</v>
      </c>
      <c r="D1821" t="s">
        <v>31</v>
      </c>
      <c r="E1821" t="s">
        <v>21</v>
      </c>
      <c r="F1821" s="7">
        <v>1071.46</v>
      </c>
      <c r="G1821" s="10">
        <v>0</v>
      </c>
      <c r="H1821" s="7">
        <v>1071.46</v>
      </c>
      <c r="I1821">
        <v>1</v>
      </c>
      <c r="J1821" t="s">
        <v>13</v>
      </c>
      <c r="K1821" s="13">
        <f>ROUND(tblTransactions[[#This Row],[gross_sales_inr]]*(1-tblTransactions[[#This Row],[discount_pct]]),2)</f>
        <v>1071.46</v>
      </c>
      <c r="L1821" t="str">
        <f>IF(ABS(tblTransactions[[#This Row],[net_sales_inr]]-tblTransactions[[#This Row],[Recalc_Net_Sales]])&lt;0.02,"OK","CHECK")</f>
        <v>OK</v>
      </c>
      <c r="M1821" s="14">
        <f>DATE(YEAR(tblTransactions[[#This Row],[date]]),MONTH(tblTransactions[[#This Row],[date]]),1)</f>
        <v>45809</v>
      </c>
      <c r="N1821" t="str">
        <f>IF(WEEKDAY(tblTransactions[[#This Row],[date]],2)&gt;5,"Weekend","Weekday")</f>
        <v>Weekend</v>
      </c>
      <c r="O1821" s="13" t="str">
        <f>IF(tblTransactions[[#This Row],[discount_pct]]=0,"0%",IF(tblTransactions[[#This Row],[discount_pct]]&lt;=10%,"1–
10%",IF(tblTransactions[[#This Row],[discount_pct]]&lt;=20%,"11–20%","&gt;20%")))</f>
        <v>0%</v>
      </c>
      <c r="P1821" s="13" t="str">
        <f>_xlfn.XLOOKUP(tblTransactions[[#This Row],[tenant_id]],tblTenants[tenant_id],tblTenants[zone],"NOT FOUND")</f>
        <v>Entertainment</v>
      </c>
      <c r="Q1821" s="13" t="str">
        <f>_xlfn.XLOOKUP(tblTransactions[[#This Row],[tenant_id]],tblTenants[tenant_id],tblTenants[category],"NOT FOUND")</f>
        <v>Arcade</v>
      </c>
    </row>
    <row r="1822" spans="1:17">
      <c r="A1822" t="s">
        <v>1866</v>
      </c>
      <c r="B1822" s="2">
        <v>45709</v>
      </c>
      <c r="C1822">
        <v>19</v>
      </c>
      <c r="D1822" t="s">
        <v>31</v>
      </c>
      <c r="E1822" t="s">
        <v>12</v>
      </c>
      <c r="F1822" s="7">
        <v>1025.4100000000001</v>
      </c>
      <c r="G1822" s="10">
        <v>0</v>
      </c>
      <c r="H1822" s="7">
        <v>1025.4100000000001</v>
      </c>
      <c r="I1822">
        <v>3</v>
      </c>
      <c r="J1822" t="s">
        <v>16</v>
      </c>
      <c r="K1822" s="13">
        <f>ROUND(tblTransactions[[#This Row],[gross_sales_inr]]*(1-tblTransactions[[#This Row],[discount_pct]]),2)</f>
        <v>1025.4100000000001</v>
      </c>
      <c r="L1822" t="str">
        <f>IF(ABS(tblTransactions[[#This Row],[net_sales_inr]]-tblTransactions[[#This Row],[Recalc_Net_Sales]])&lt;0.02,"OK","CHECK")</f>
        <v>OK</v>
      </c>
      <c r="M1822" s="14">
        <f>DATE(YEAR(tblTransactions[[#This Row],[date]]),MONTH(tblTransactions[[#This Row],[date]]),1)</f>
        <v>45689</v>
      </c>
      <c r="N1822" t="str">
        <f>IF(WEEKDAY(tblTransactions[[#This Row],[date]],2)&gt;5,"Weekend","Weekday")</f>
        <v>Weekday</v>
      </c>
      <c r="O1822" s="13" t="str">
        <f>IF(tblTransactions[[#This Row],[discount_pct]]=0,"0%",IF(tblTransactions[[#This Row],[discount_pct]]&lt;=10%,"1–
10%",IF(tblTransactions[[#This Row],[discount_pct]]&lt;=20%,"11–20%","&gt;20%")))</f>
        <v>0%</v>
      </c>
      <c r="P1822" s="13" t="str">
        <f>_xlfn.XLOOKUP(tblTransactions[[#This Row],[tenant_id]],tblTenants[tenant_id],tblTenants[zone],"NOT FOUND")</f>
        <v>Entertainment</v>
      </c>
      <c r="Q1822" s="13" t="str">
        <f>_xlfn.XLOOKUP(tblTransactions[[#This Row],[tenant_id]],tblTenants[tenant_id],tblTenants[category],"NOT FOUND")</f>
        <v>Arcade</v>
      </c>
    </row>
    <row r="1823" spans="1:17">
      <c r="A1823" t="s">
        <v>1867</v>
      </c>
      <c r="B1823" s="2">
        <v>45728</v>
      </c>
      <c r="C1823">
        <v>20</v>
      </c>
      <c r="D1823" t="s">
        <v>80</v>
      </c>
      <c r="E1823" t="s">
        <v>32</v>
      </c>
      <c r="F1823" s="7">
        <v>574.04</v>
      </c>
      <c r="G1823" s="10">
        <v>0.1</v>
      </c>
      <c r="H1823" s="7">
        <v>516.64</v>
      </c>
      <c r="I1823">
        <v>1</v>
      </c>
      <c r="J1823" t="s">
        <v>16</v>
      </c>
      <c r="K1823" s="13">
        <f>ROUND(tblTransactions[[#This Row],[gross_sales_inr]]*(1-tblTransactions[[#This Row],[discount_pct]]),2)</f>
        <v>516.64</v>
      </c>
      <c r="L1823" t="str">
        <f>IF(ABS(tblTransactions[[#This Row],[net_sales_inr]]-tblTransactions[[#This Row],[Recalc_Net_Sales]])&lt;0.02,"OK","CHECK")</f>
        <v>OK</v>
      </c>
      <c r="M1823" s="14">
        <f>DATE(YEAR(tblTransactions[[#This Row],[date]]),MONTH(tblTransactions[[#This Row],[date]]),1)</f>
        <v>45717</v>
      </c>
      <c r="N1823" t="str">
        <f>IF(WEEKDAY(tblTransactions[[#This Row],[date]],2)&gt;5,"Weekend","Weekday")</f>
        <v>Weekday</v>
      </c>
      <c r="O182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23" s="13" t="str">
        <f>_xlfn.XLOOKUP(tblTransactions[[#This Row],[tenant_id]],tblTenants[tenant_id],tblTenants[zone],"NOT FOUND")</f>
        <v>Food Court</v>
      </c>
      <c r="Q1823" s="13" t="str">
        <f>_xlfn.XLOOKUP(tblTransactions[[#This Row],[tenant_id]],tblTenants[tenant_id],tblTenants[category],"NOT FOUND")</f>
        <v>Casual Dining</v>
      </c>
    </row>
    <row r="1824" spans="1:17">
      <c r="A1824" t="s">
        <v>1868</v>
      </c>
      <c r="B1824" s="2">
        <v>45741</v>
      </c>
      <c r="C1824">
        <v>15</v>
      </c>
      <c r="D1824" t="s">
        <v>27</v>
      </c>
      <c r="E1824" t="s">
        <v>32</v>
      </c>
      <c r="F1824" s="7">
        <v>474.87</v>
      </c>
      <c r="G1824" s="10">
        <v>0.3</v>
      </c>
      <c r="H1824" s="7">
        <v>332.41</v>
      </c>
      <c r="I1824">
        <v>3</v>
      </c>
      <c r="J1824" t="s">
        <v>13</v>
      </c>
      <c r="K1824" s="13">
        <f>ROUND(tblTransactions[[#This Row],[gross_sales_inr]]*(1-tblTransactions[[#This Row],[discount_pct]]),2)</f>
        <v>332.41</v>
      </c>
      <c r="L1824" t="str">
        <f>IF(ABS(tblTransactions[[#This Row],[net_sales_inr]]-tblTransactions[[#This Row],[Recalc_Net_Sales]])&lt;0.02,"OK","CHECK")</f>
        <v>OK</v>
      </c>
      <c r="M1824" s="14">
        <f>DATE(YEAR(tblTransactions[[#This Row],[date]]),MONTH(tblTransactions[[#This Row],[date]]),1)</f>
        <v>45717</v>
      </c>
      <c r="N1824" t="str">
        <f>IF(WEEKDAY(tblTransactions[[#This Row],[date]],2)&gt;5,"Weekend","Weekday")</f>
        <v>Weekday</v>
      </c>
      <c r="O182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824" s="13" t="str">
        <f>_xlfn.XLOOKUP(tblTransactions[[#This Row],[tenant_id]],tblTenants[tenant_id],tblTenants[zone],"NOT FOUND")</f>
        <v>Beauty &amp; Wellness</v>
      </c>
      <c r="Q1824" s="13" t="str">
        <f>_xlfn.XLOOKUP(tblTransactions[[#This Row],[tenant_id]],tblTenants[tenant_id],tblTenants[category],"NOT FOUND")</f>
        <v>Wellness</v>
      </c>
    </row>
    <row r="1825" spans="1:17">
      <c r="A1825" t="s">
        <v>1869</v>
      </c>
      <c r="B1825" s="2">
        <v>45674</v>
      </c>
      <c r="C1825">
        <v>16</v>
      </c>
      <c r="D1825" t="s">
        <v>45</v>
      </c>
      <c r="E1825" t="s">
        <v>21</v>
      </c>
      <c r="F1825" s="7">
        <v>1191.24</v>
      </c>
      <c r="G1825" s="10">
        <v>0.05</v>
      </c>
      <c r="H1825" s="7">
        <v>1131.68</v>
      </c>
      <c r="I1825">
        <v>1</v>
      </c>
      <c r="J1825" t="s">
        <v>13</v>
      </c>
      <c r="K1825" s="13">
        <f>ROUND(tblTransactions[[#This Row],[gross_sales_inr]]*(1-tblTransactions[[#This Row],[discount_pct]]),2)</f>
        <v>1131.68</v>
      </c>
      <c r="L1825" t="str">
        <f>IF(ABS(tblTransactions[[#This Row],[net_sales_inr]]-tblTransactions[[#This Row],[Recalc_Net_Sales]])&lt;0.02,"OK","CHECK")</f>
        <v>OK</v>
      </c>
      <c r="M1825" s="14">
        <f>DATE(YEAR(tblTransactions[[#This Row],[date]]),MONTH(tblTransactions[[#This Row],[date]]),1)</f>
        <v>45658</v>
      </c>
      <c r="N1825" t="str">
        <f>IF(WEEKDAY(tblTransactions[[#This Row],[date]],2)&gt;5,"Weekend","Weekday")</f>
        <v>Weekday</v>
      </c>
      <c r="O182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25" s="13" t="str">
        <f>_xlfn.XLOOKUP(tblTransactions[[#This Row],[tenant_id]],tblTenants[tenant_id],tblTenants[zone],"NOT FOUND")</f>
        <v>Home &amp; Living</v>
      </c>
      <c r="Q1825" s="13" t="str">
        <f>_xlfn.XLOOKUP(tblTransactions[[#This Row],[tenant_id]],tblTenants[tenant_id],tblTenants[category],"NOT FOUND")</f>
        <v>Home Decor</v>
      </c>
    </row>
    <row r="1826" spans="1:17">
      <c r="A1826" t="s">
        <v>1870</v>
      </c>
      <c r="B1826" s="2">
        <v>45700</v>
      </c>
      <c r="C1826">
        <v>10</v>
      </c>
      <c r="D1826" t="s">
        <v>53</v>
      </c>
      <c r="E1826" t="s">
        <v>12</v>
      </c>
      <c r="F1826" s="7">
        <v>1329.65</v>
      </c>
      <c r="G1826" s="10">
        <v>0</v>
      </c>
      <c r="H1826" s="7">
        <v>1329.65</v>
      </c>
      <c r="I1826">
        <v>3</v>
      </c>
      <c r="J1826" t="s">
        <v>16</v>
      </c>
      <c r="K1826" s="13">
        <f>ROUND(tblTransactions[[#This Row],[gross_sales_inr]]*(1-tblTransactions[[#This Row],[discount_pct]]),2)</f>
        <v>1329.65</v>
      </c>
      <c r="L1826" t="str">
        <f>IF(ABS(tblTransactions[[#This Row],[net_sales_inr]]-tblTransactions[[#This Row],[Recalc_Net_Sales]])&lt;0.02,"OK","CHECK")</f>
        <v>OK</v>
      </c>
      <c r="M1826" s="14">
        <f>DATE(YEAR(tblTransactions[[#This Row],[date]]),MONTH(tblTransactions[[#This Row],[date]]),1)</f>
        <v>45689</v>
      </c>
      <c r="N1826" t="str">
        <f>IF(WEEKDAY(tblTransactions[[#This Row],[date]],2)&gt;5,"Weekend","Weekday")</f>
        <v>Weekday</v>
      </c>
      <c r="O1826" s="13" t="str">
        <f>IF(tblTransactions[[#This Row],[discount_pct]]=0,"0%",IF(tblTransactions[[#This Row],[discount_pct]]&lt;=10%,"1–
10%",IF(tblTransactions[[#This Row],[discount_pct]]&lt;=20%,"11–20%","&gt;20%")))</f>
        <v>0%</v>
      </c>
      <c r="P1826" s="13" t="str">
        <f>_xlfn.XLOOKUP(tblTransactions[[#This Row],[tenant_id]],tblTenants[tenant_id],tblTenants[zone],"NOT FOUND")</f>
        <v>Beauty &amp; Wellness</v>
      </c>
      <c r="Q1826" s="13" t="str">
        <f>_xlfn.XLOOKUP(tblTransactions[[#This Row],[tenant_id]],tblTenants[tenant_id],tblTenants[category],"NOT FOUND")</f>
        <v>Beauty</v>
      </c>
    </row>
    <row r="1827" spans="1:17">
      <c r="A1827" t="s">
        <v>1871</v>
      </c>
      <c r="B1827" s="2">
        <v>45810</v>
      </c>
      <c r="C1827">
        <v>18</v>
      </c>
      <c r="D1827" t="s">
        <v>25</v>
      </c>
      <c r="E1827" t="s">
        <v>12</v>
      </c>
      <c r="F1827" s="7">
        <v>1049.81</v>
      </c>
      <c r="G1827" s="10">
        <v>0</v>
      </c>
      <c r="H1827" s="7">
        <v>1049.81</v>
      </c>
      <c r="I1827">
        <v>1</v>
      </c>
      <c r="J1827" t="s">
        <v>13</v>
      </c>
      <c r="K1827" s="13">
        <f>ROUND(tblTransactions[[#This Row],[gross_sales_inr]]*(1-tblTransactions[[#This Row],[discount_pct]]),2)</f>
        <v>1049.81</v>
      </c>
      <c r="L1827" t="str">
        <f>IF(ABS(tblTransactions[[#This Row],[net_sales_inr]]-tblTransactions[[#This Row],[Recalc_Net_Sales]])&lt;0.02,"OK","CHECK")</f>
        <v>OK</v>
      </c>
      <c r="M1827" s="14">
        <f>DATE(YEAR(tblTransactions[[#This Row],[date]]),MONTH(tblTransactions[[#This Row],[date]]),1)</f>
        <v>45809</v>
      </c>
      <c r="N1827" t="str">
        <f>IF(WEEKDAY(tblTransactions[[#This Row],[date]],2)&gt;5,"Weekend","Weekday")</f>
        <v>Weekday</v>
      </c>
      <c r="O1827" s="13" t="str">
        <f>IF(tblTransactions[[#This Row],[discount_pct]]=0,"0%",IF(tblTransactions[[#This Row],[discount_pct]]&lt;=10%,"1–
10%",IF(tblTransactions[[#This Row],[discount_pct]]&lt;=20%,"11–20%","&gt;20%")))</f>
        <v>0%</v>
      </c>
      <c r="P1827" s="13" t="str">
        <f>_xlfn.XLOOKUP(tblTransactions[[#This Row],[tenant_id]],tblTenants[tenant_id],tblTenants[zone],"NOT FOUND")</f>
        <v>Beauty &amp; Wellness</v>
      </c>
      <c r="Q1827" s="13" t="str">
        <f>_xlfn.XLOOKUP(tblTransactions[[#This Row],[tenant_id]],tblTenants[tenant_id],tblTenants[category],"NOT FOUND")</f>
        <v>Beauty</v>
      </c>
    </row>
    <row r="1828" spans="1:17">
      <c r="A1828" t="s">
        <v>1872</v>
      </c>
      <c r="B1828" s="2">
        <v>45803</v>
      </c>
      <c r="C1828">
        <v>22</v>
      </c>
      <c r="D1828" t="s">
        <v>87</v>
      </c>
      <c r="E1828" t="s">
        <v>12</v>
      </c>
      <c r="F1828" s="7">
        <v>1513.8</v>
      </c>
      <c r="G1828" s="10">
        <v>0.15</v>
      </c>
      <c r="H1828" s="7">
        <v>1286.73</v>
      </c>
      <c r="I1828">
        <v>2</v>
      </c>
      <c r="J1828" t="s">
        <v>13</v>
      </c>
      <c r="K1828" s="13">
        <f>ROUND(tblTransactions[[#This Row],[gross_sales_inr]]*(1-tblTransactions[[#This Row],[discount_pct]]),2)</f>
        <v>1286.73</v>
      </c>
      <c r="L1828" t="str">
        <f>IF(ABS(tblTransactions[[#This Row],[net_sales_inr]]-tblTransactions[[#This Row],[Recalc_Net_Sales]])&lt;0.02,"OK","CHECK")</f>
        <v>OK</v>
      </c>
      <c r="M1828" s="14">
        <f>DATE(YEAR(tblTransactions[[#This Row],[date]]),MONTH(tblTransactions[[#This Row],[date]]),1)</f>
        <v>45778</v>
      </c>
      <c r="N1828" t="str">
        <f>IF(WEEKDAY(tblTransactions[[#This Row],[date]],2)&gt;5,"Weekend","Weekday")</f>
        <v>Weekday</v>
      </c>
      <c r="O182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28" s="13" t="str">
        <f>_xlfn.XLOOKUP(tblTransactions[[#This Row],[tenant_id]],tblTenants[tenant_id],tblTenants[zone],"NOT FOUND")</f>
        <v>Fashion Avenue</v>
      </c>
      <c r="Q1828" s="13" t="str">
        <f>_xlfn.XLOOKUP(tblTransactions[[#This Row],[tenant_id]],tblTenants[tenant_id],tblTenants[category],"NOT FOUND")</f>
        <v>Footwear</v>
      </c>
    </row>
    <row r="1829" spans="1:17">
      <c r="A1829" t="s">
        <v>1873</v>
      </c>
      <c r="B1829" s="2">
        <v>45803</v>
      </c>
      <c r="C1829">
        <v>11</v>
      </c>
      <c r="D1829" t="s">
        <v>70</v>
      </c>
      <c r="E1829" t="s">
        <v>32</v>
      </c>
      <c r="F1829" s="7">
        <v>219.62</v>
      </c>
      <c r="G1829" s="10">
        <v>0.1</v>
      </c>
      <c r="H1829" s="7">
        <v>197.66</v>
      </c>
      <c r="I1829">
        <v>3</v>
      </c>
      <c r="J1829" t="s">
        <v>16</v>
      </c>
      <c r="K1829" s="13">
        <f>ROUND(tblTransactions[[#This Row],[gross_sales_inr]]*(1-tblTransactions[[#This Row],[discount_pct]]),2)</f>
        <v>197.66</v>
      </c>
      <c r="L1829" t="str">
        <f>IF(ABS(tblTransactions[[#This Row],[net_sales_inr]]-tblTransactions[[#This Row],[Recalc_Net_Sales]])&lt;0.02,"OK","CHECK")</f>
        <v>OK</v>
      </c>
      <c r="M1829" s="14">
        <f>DATE(YEAR(tblTransactions[[#This Row],[date]]),MONTH(tblTransactions[[#This Row],[date]]),1)</f>
        <v>45778</v>
      </c>
      <c r="N1829" t="str">
        <f>IF(WEEKDAY(tblTransactions[[#This Row],[date]],2)&gt;5,"Weekend","Weekday")</f>
        <v>Weekday</v>
      </c>
      <c r="O182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29" s="13" t="str">
        <f>_xlfn.XLOOKUP(tblTransactions[[#This Row],[tenant_id]],tblTenants[tenant_id],tblTenants[zone],"NOT FOUND")</f>
        <v>Food Court</v>
      </c>
      <c r="Q1829" s="13" t="str">
        <f>_xlfn.XLOOKUP(tblTransactions[[#This Row],[tenant_id]],tblTenants[tenant_id],tblTenants[category],"NOT FOUND")</f>
        <v>Quick Service</v>
      </c>
    </row>
    <row r="1830" spans="1:17">
      <c r="A1830" t="s">
        <v>1874</v>
      </c>
      <c r="B1830" s="2">
        <v>45727</v>
      </c>
      <c r="C1830">
        <v>14</v>
      </c>
      <c r="D1830" t="s">
        <v>63</v>
      </c>
      <c r="E1830" t="s">
        <v>32</v>
      </c>
      <c r="F1830" s="7">
        <v>2196.61</v>
      </c>
      <c r="G1830" s="10">
        <v>0.2</v>
      </c>
      <c r="H1830" s="7">
        <v>1757.29</v>
      </c>
      <c r="I1830">
        <v>2</v>
      </c>
      <c r="J1830" t="s">
        <v>16</v>
      </c>
      <c r="K1830" s="13">
        <f>ROUND(tblTransactions[[#This Row],[gross_sales_inr]]*(1-tblTransactions[[#This Row],[discount_pct]]),2)</f>
        <v>1757.29</v>
      </c>
      <c r="L1830" t="str">
        <f>IF(ABS(tblTransactions[[#This Row],[net_sales_inr]]-tblTransactions[[#This Row],[Recalc_Net_Sales]])&lt;0.02,"OK","CHECK")</f>
        <v>OK</v>
      </c>
      <c r="M1830" s="14">
        <f>DATE(YEAR(tblTransactions[[#This Row],[date]]),MONTH(tblTransactions[[#This Row],[date]]),1)</f>
        <v>45717</v>
      </c>
      <c r="N1830" t="str">
        <f>IF(WEEKDAY(tblTransactions[[#This Row],[date]],2)&gt;5,"Weekend","Weekday")</f>
        <v>Weekday</v>
      </c>
      <c r="O183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30" s="13" t="str">
        <f>_xlfn.XLOOKUP(tblTransactions[[#This Row],[tenant_id]],tblTenants[tenant_id],tblTenants[zone],"NOT FOUND")</f>
        <v>Entertainment</v>
      </c>
      <c r="Q1830" s="13" t="str">
        <f>_xlfn.XLOOKUP(tblTransactions[[#This Row],[tenant_id]],tblTenants[tenant_id],tblTenants[category],"NOT FOUND")</f>
        <v>Family Entertainment</v>
      </c>
    </row>
    <row r="1831" spans="1:17">
      <c r="A1831" t="s">
        <v>1875</v>
      </c>
      <c r="B1831" s="2">
        <v>45702</v>
      </c>
      <c r="C1831">
        <v>14</v>
      </c>
      <c r="D1831" t="s">
        <v>80</v>
      </c>
      <c r="E1831" t="s">
        <v>21</v>
      </c>
      <c r="F1831" s="7">
        <v>1336.39</v>
      </c>
      <c r="G1831" s="10">
        <v>0.1</v>
      </c>
      <c r="H1831" s="7">
        <v>1202.75</v>
      </c>
      <c r="I1831">
        <v>1</v>
      </c>
      <c r="J1831" t="s">
        <v>13</v>
      </c>
      <c r="K1831" s="13">
        <f>ROUND(tblTransactions[[#This Row],[gross_sales_inr]]*(1-tblTransactions[[#This Row],[discount_pct]]),2)</f>
        <v>1202.75</v>
      </c>
      <c r="L1831" t="str">
        <f>IF(ABS(tblTransactions[[#This Row],[net_sales_inr]]-tblTransactions[[#This Row],[Recalc_Net_Sales]])&lt;0.02,"OK","CHECK")</f>
        <v>OK</v>
      </c>
      <c r="M1831" s="14">
        <f>DATE(YEAR(tblTransactions[[#This Row],[date]]),MONTH(tblTransactions[[#This Row],[date]]),1)</f>
        <v>45689</v>
      </c>
      <c r="N1831" t="str">
        <f>IF(WEEKDAY(tblTransactions[[#This Row],[date]],2)&gt;5,"Weekend","Weekday")</f>
        <v>Weekday</v>
      </c>
      <c r="O183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31" s="13" t="str">
        <f>_xlfn.XLOOKUP(tblTransactions[[#This Row],[tenant_id]],tblTenants[tenant_id],tblTenants[zone],"NOT FOUND")</f>
        <v>Food Court</v>
      </c>
      <c r="Q1831" s="13" t="str">
        <f>_xlfn.XLOOKUP(tblTransactions[[#This Row],[tenant_id]],tblTenants[tenant_id],tblTenants[category],"NOT FOUND")</f>
        <v>Casual Dining</v>
      </c>
    </row>
    <row r="1832" spans="1:17">
      <c r="A1832" t="s">
        <v>1876</v>
      </c>
      <c r="B1832" s="2">
        <v>45694</v>
      </c>
      <c r="C1832">
        <v>11</v>
      </c>
      <c r="D1832" t="s">
        <v>87</v>
      </c>
      <c r="E1832" t="s">
        <v>12</v>
      </c>
      <c r="F1832" s="7">
        <v>674.3</v>
      </c>
      <c r="G1832" s="10">
        <v>0.15</v>
      </c>
      <c r="H1832" s="7">
        <v>573.15</v>
      </c>
      <c r="I1832">
        <v>1</v>
      </c>
      <c r="J1832" t="s">
        <v>16</v>
      </c>
      <c r="K1832" s="13">
        <f>ROUND(tblTransactions[[#This Row],[gross_sales_inr]]*(1-tblTransactions[[#This Row],[discount_pct]]),2)</f>
        <v>573.16</v>
      </c>
      <c r="L1832" t="str">
        <f>IF(ABS(tblTransactions[[#This Row],[net_sales_inr]]-tblTransactions[[#This Row],[Recalc_Net_Sales]])&lt;0.02,"OK","CHECK")</f>
        <v>OK</v>
      </c>
      <c r="M1832" s="14">
        <f>DATE(YEAR(tblTransactions[[#This Row],[date]]),MONTH(tblTransactions[[#This Row],[date]]),1)</f>
        <v>45689</v>
      </c>
      <c r="N1832" t="str">
        <f>IF(WEEKDAY(tblTransactions[[#This Row],[date]],2)&gt;5,"Weekend","Weekday")</f>
        <v>Weekday</v>
      </c>
      <c r="O183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32" s="13" t="str">
        <f>_xlfn.XLOOKUP(tblTransactions[[#This Row],[tenant_id]],tblTenants[tenant_id],tblTenants[zone],"NOT FOUND")</f>
        <v>Fashion Avenue</v>
      </c>
      <c r="Q1832" s="13" t="str">
        <f>_xlfn.XLOOKUP(tblTransactions[[#This Row],[tenant_id]],tblTenants[tenant_id],tblTenants[category],"NOT FOUND")</f>
        <v>Footwear</v>
      </c>
    </row>
    <row r="1833" spans="1:17">
      <c r="A1833" t="s">
        <v>1877</v>
      </c>
      <c r="B1833" s="2">
        <v>45738</v>
      </c>
      <c r="C1833">
        <v>17</v>
      </c>
      <c r="D1833" t="s">
        <v>59</v>
      </c>
      <c r="E1833" t="s">
        <v>21</v>
      </c>
      <c r="F1833" s="7">
        <v>2125.5</v>
      </c>
      <c r="G1833" s="10">
        <v>0</v>
      </c>
      <c r="H1833" s="7">
        <v>2125.5</v>
      </c>
      <c r="I1833">
        <v>2</v>
      </c>
      <c r="J1833" t="s">
        <v>13</v>
      </c>
      <c r="K1833" s="13">
        <f>ROUND(tblTransactions[[#This Row],[gross_sales_inr]]*(1-tblTransactions[[#This Row],[discount_pct]]),2)</f>
        <v>2125.5</v>
      </c>
      <c r="L1833" t="str">
        <f>IF(ABS(tblTransactions[[#This Row],[net_sales_inr]]-tblTransactions[[#This Row],[Recalc_Net_Sales]])&lt;0.02,"OK","CHECK")</f>
        <v>OK</v>
      </c>
      <c r="M1833" s="14">
        <f>DATE(YEAR(tblTransactions[[#This Row],[date]]),MONTH(tblTransactions[[#This Row],[date]]),1)</f>
        <v>45717</v>
      </c>
      <c r="N1833" t="str">
        <f>IF(WEEKDAY(tblTransactions[[#This Row],[date]],2)&gt;5,"Weekend","Weekday")</f>
        <v>Weekend</v>
      </c>
      <c r="O1833" s="13" t="str">
        <f>IF(tblTransactions[[#This Row],[discount_pct]]=0,"0%",IF(tblTransactions[[#This Row],[discount_pct]]&lt;=10%,"1–
10%",IF(tblTransactions[[#This Row],[discount_pct]]&lt;=20%,"11–20%","&gt;20%")))</f>
        <v>0%</v>
      </c>
      <c r="P1833" s="13" t="str">
        <f>_xlfn.XLOOKUP(tblTransactions[[#This Row],[tenant_id]],tblTenants[tenant_id],tblTenants[zone],"NOT FOUND")</f>
        <v>Fashion Avenue</v>
      </c>
      <c r="Q1833" s="13" t="str">
        <f>_xlfn.XLOOKUP(tblTransactions[[#This Row],[tenant_id]],tblTenants[tenant_id],tblTenants[category],"NOT FOUND")</f>
        <v>Footwear</v>
      </c>
    </row>
    <row r="1834" spans="1:17">
      <c r="A1834" t="s">
        <v>1878</v>
      </c>
      <c r="B1834" s="2">
        <v>45741</v>
      </c>
      <c r="C1834">
        <v>11</v>
      </c>
      <c r="D1834" t="s">
        <v>70</v>
      </c>
      <c r="E1834" t="s">
        <v>12</v>
      </c>
      <c r="F1834" s="7">
        <v>905.47</v>
      </c>
      <c r="G1834" s="10">
        <v>0.05</v>
      </c>
      <c r="H1834" s="7">
        <v>860.2</v>
      </c>
      <c r="I1834">
        <v>1</v>
      </c>
      <c r="J1834" t="s">
        <v>13</v>
      </c>
      <c r="K1834" s="13">
        <f>ROUND(tblTransactions[[#This Row],[gross_sales_inr]]*(1-tblTransactions[[#This Row],[discount_pct]]),2)</f>
        <v>860.2</v>
      </c>
      <c r="L1834" t="str">
        <f>IF(ABS(tblTransactions[[#This Row],[net_sales_inr]]-tblTransactions[[#This Row],[Recalc_Net_Sales]])&lt;0.02,"OK","CHECK")</f>
        <v>OK</v>
      </c>
      <c r="M1834" s="14">
        <f>DATE(YEAR(tblTransactions[[#This Row],[date]]),MONTH(tblTransactions[[#This Row],[date]]),1)</f>
        <v>45717</v>
      </c>
      <c r="N1834" t="str">
        <f>IF(WEEKDAY(tblTransactions[[#This Row],[date]],2)&gt;5,"Weekend","Weekday")</f>
        <v>Weekday</v>
      </c>
      <c r="O183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34" s="13" t="str">
        <f>_xlfn.XLOOKUP(tblTransactions[[#This Row],[tenant_id]],tblTenants[tenant_id],tblTenants[zone],"NOT FOUND")</f>
        <v>Food Court</v>
      </c>
      <c r="Q1834" s="13" t="str">
        <f>_xlfn.XLOOKUP(tblTransactions[[#This Row],[tenant_id]],tblTenants[tenant_id],tblTenants[category],"NOT FOUND")</f>
        <v>Quick Service</v>
      </c>
    </row>
    <row r="1835" spans="1:17">
      <c r="A1835" t="s">
        <v>1879</v>
      </c>
      <c r="B1835" s="2">
        <v>45707</v>
      </c>
      <c r="C1835">
        <v>14</v>
      </c>
      <c r="D1835" t="s">
        <v>23</v>
      </c>
      <c r="E1835" t="s">
        <v>12</v>
      </c>
      <c r="F1835" s="7">
        <v>1707.38</v>
      </c>
      <c r="G1835" s="10">
        <v>0</v>
      </c>
      <c r="H1835" s="7">
        <v>1707.38</v>
      </c>
      <c r="I1835">
        <v>2</v>
      </c>
      <c r="J1835" t="s">
        <v>13</v>
      </c>
      <c r="K1835" s="13">
        <f>ROUND(tblTransactions[[#This Row],[gross_sales_inr]]*(1-tblTransactions[[#This Row],[discount_pct]]),2)</f>
        <v>1707.38</v>
      </c>
      <c r="L1835" t="str">
        <f>IF(ABS(tblTransactions[[#This Row],[net_sales_inr]]-tblTransactions[[#This Row],[Recalc_Net_Sales]])&lt;0.02,"OK","CHECK")</f>
        <v>OK</v>
      </c>
      <c r="M1835" s="14">
        <f>DATE(YEAR(tblTransactions[[#This Row],[date]]),MONTH(tblTransactions[[#This Row],[date]]),1)</f>
        <v>45689</v>
      </c>
      <c r="N1835" t="str">
        <f>IF(WEEKDAY(tblTransactions[[#This Row],[date]],2)&gt;5,"Weekend","Weekday")</f>
        <v>Weekday</v>
      </c>
      <c r="O1835" s="13" t="str">
        <f>IF(tblTransactions[[#This Row],[discount_pct]]=0,"0%",IF(tblTransactions[[#This Row],[discount_pct]]&lt;=10%,"1–
10%",IF(tblTransactions[[#This Row],[discount_pct]]&lt;=20%,"11–20%","&gt;20%")))</f>
        <v>0%</v>
      </c>
      <c r="P1835" s="13" t="str">
        <f>_xlfn.XLOOKUP(tblTransactions[[#This Row],[tenant_id]],tblTenants[tenant_id],tblTenants[zone],"NOT FOUND")</f>
        <v>Entertainment</v>
      </c>
      <c r="Q1835" s="13" t="str">
        <f>_xlfn.XLOOKUP(tblTransactions[[#This Row],[tenant_id]],tblTenants[tenant_id],tblTenants[category],"NOT FOUND")</f>
        <v>Cinema</v>
      </c>
    </row>
    <row r="1836" spans="1:17">
      <c r="A1836" t="s">
        <v>1880</v>
      </c>
      <c r="B1836" s="2">
        <v>45660</v>
      </c>
      <c r="C1836">
        <v>14</v>
      </c>
      <c r="D1836" t="s">
        <v>29</v>
      </c>
      <c r="E1836" t="s">
        <v>12</v>
      </c>
      <c r="F1836" s="7">
        <v>262.3</v>
      </c>
      <c r="G1836" s="10">
        <v>0.2</v>
      </c>
      <c r="H1836" s="7">
        <v>209.84</v>
      </c>
      <c r="I1836">
        <v>5</v>
      </c>
      <c r="J1836" t="s">
        <v>13</v>
      </c>
      <c r="K1836" s="13">
        <f>ROUND(tblTransactions[[#This Row],[gross_sales_inr]]*(1-tblTransactions[[#This Row],[discount_pct]]),2)</f>
        <v>209.84</v>
      </c>
      <c r="L1836" t="str">
        <f>IF(ABS(tblTransactions[[#This Row],[net_sales_inr]]-tblTransactions[[#This Row],[Recalc_Net_Sales]])&lt;0.02,"OK","CHECK")</f>
        <v>OK</v>
      </c>
      <c r="M1836" s="14">
        <f>DATE(YEAR(tblTransactions[[#This Row],[date]]),MONTH(tblTransactions[[#This Row],[date]]),1)</f>
        <v>45658</v>
      </c>
      <c r="N1836" t="str">
        <f>IF(WEEKDAY(tblTransactions[[#This Row],[date]],2)&gt;5,"Weekend","Weekday")</f>
        <v>Weekday</v>
      </c>
      <c r="O183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36" s="13" t="str">
        <f>_xlfn.XLOOKUP(tblTransactions[[#This Row],[tenant_id]],tblTenants[tenant_id],tblTenants[zone],"NOT FOUND")</f>
        <v>Entertainment</v>
      </c>
      <c r="Q1836" s="13" t="str">
        <f>_xlfn.XLOOKUP(tblTransactions[[#This Row],[tenant_id]],tblTenants[tenant_id],tblTenants[category],"NOT FOUND")</f>
        <v>Cinema</v>
      </c>
    </row>
    <row r="1837" spans="1:17">
      <c r="A1837" t="s">
        <v>1881</v>
      </c>
      <c r="B1837" s="2">
        <v>45783</v>
      </c>
      <c r="C1837">
        <v>21</v>
      </c>
      <c r="D1837" t="s">
        <v>104</v>
      </c>
      <c r="E1837" t="s">
        <v>32</v>
      </c>
      <c r="F1837" s="7">
        <v>1886.23</v>
      </c>
      <c r="G1837" s="10">
        <v>0</v>
      </c>
      <c r="H1837" s="7">
        <v>1886.23</v>
      </c>
      <c r="I1837">
        <v>2</v>
      </c>
      <c r="J1837" t="s">
        <v>16</v>
      </c>
      <c r="K1837" s="13">
        <f>ROUND(tblTransactions[[#This Row],[gross_sales_inr]]*(1-tblTransactions[[#This Row],[discount_pct]]),2)</f>
        <v>1886.23</v>
      </c>
      <c r="L1837" t="str">
        <f>IF(ABS(tblTransactions[[#This Row],[net_sales_inr]]-tblTransactions[[#This Row],[Recalc_Net_Sales]])&lt;0.02,"OK","CHECK")</f>
        <v>OK</v>
      </c>
      <c r="M1837" s="14">
        <f>DATE(YEAR(tblTransactions[[#This Row],[date]]),MONTH(tblTransactions[[#This Row],[date]]),1)</f>
        <v>45778</v>
      </c>
      <c r="N1837" t="str">
        <f>IF(WEEKDAY(tblTransactions[[#This Row],[date]],2)&gt;5,"Weekend","Weekday")</f>
        <v>Weekday</v>
      </c>
      <c r="O1837" s="13" t="str">
        <f>IF(tblTransactions[[#This Row],[discount_pct]]=0,"0%",IF(tblTransactions[[#This Row],[discount_pct]]&lt;=10%,"1–
10%",IF(tblTransactions[[#This Row],[discount_pct]]&lt;=20%,"11–20%","&gt;20%")))</f>
        <v>0%</v>
      </c>
      <c r="P1837" s="13" t="str">
        <f>_xlfn.XLOOKUP(tblTransactions[[#This Row],[tenant_id]],tblTenants[tenant_id],tblTenants[zone],"NOT FOUND")</f>
        <v>Entertainment</v>
      </c>
      <c r="Q1837" s="13" t="str">
        <f>_xlfn.XLOOKUP(tblTransactions[[#This Row],[tenant_id]],tblTenants[tenant_id],tblTenants[category],"NOT FOUND")</f>
        <v>Family Entertainment</v>
      </c>
    </row>
    <row r="1838" spans="1:17">
      <c r="A1838" t="s">
        <v>1882</v>
      </c>
      <c r="B1838" s="2">
        <v>45803</v>
      </c>
      <c r="C1838">
        <v>10</v>
      </c>
      <c r="D1838" t="s">
        <v>55</v>
      </c>
      <c r="E1838" t="s">
        <v>32</v>
      </c>
      <c r="F1838" s="7">
        <v>675.6</v>
      </c>
      <c r="G1838" s="10">
        <v>0</v>
      </c>
      <c r="H1838" s="7">
        <v>675.6</v>
      </c>
      <c r="I1838">
        <v>2</v>
      </c>
      <c r="J1838" t="s">
        <v>16</v>
      </c>
      <c r="K1838" s="13">
        <f>ROUND(tblTransactions[[#This Row],[gross_sales_inr]]*(1-tblTransactions[[#This Row],[discount_pct]]),2)</f>
        <v>675.6</v>
      </c>
      <c r="L1838" t="str">
        <f>IF(ABS(tblTransactions[[#This Row],[net_sales_inr]]-tblTransactions[[#This Row],[Recalc_Net_Sales]])&lt;0.02,"OK","CHECK")</f>
        <v>OK</v>
      </c>
      <c r="M1838" s="14">
        <f>DATE(YEAR(tblTransactions[[#This Row],[date]]),MONTH(tblTransactions[[#This Row],[date]]),1)</f>
        <v>45778</v>
      </c>
      <c r="N1838" t="str">
        <f>IF(WEEKDAY(tblTransactions[[#This Row],[date]],2)&gt;5,"Weekend","Weekday")</f>
        <v>Weekday</v>
      </c>
      <c r="O1838" s="13" t="str">
        <f>IF(tblTransactions[[#This Row],[discount_pct]]=0,"0%",IF(tblTransactions[[#This Row],[discount_pct]]&lt;=10%,"1–
10%",IF(tblTransactions[[#This Row],[discount_pct]]&lt;=20%,"11–20%","&gt;20%")))</f>
        <v>0%</v>
      </c>
      <c r="P1838" s="13" t="str">
        <f>_xlfn.XLOOKUP(tblTransactions[[#This Row],[tenant_id]],tblTenants[tenant_id],tblTenants[zone],"NOT FOUND")</f>
        <v>Food Court</v>
      </c>
      <c r="Q1838" s="13" t="str">
        <f>_xlfn.XLOOKUP(tblTransactions[[#This Row],[tenant_id]],tblTenants[tenant_id],tblTenants[category],"NOT FOUND")</f>
        <v>Quick Service</v>
      </c>
    </row>
    <row r="1839" spans="1:17">
      <c r="A1839" t="s">
        <v>1883</v>
      </c>
      <c r="B1839" s="2">
        <v>45782</v>
      </c>
      <c r="C1839">
        <v>22</v>
      </c>
      <c r="D1839" t="s">
        <v>23</v>
      </c>
      <c r="E1839" t="s">
        <v>12</v>
      </c>
      <c r="F1839" s="7">
        <v>652.28</v>
      </c>
      <c r="G1839" s="10">
        <v>0</v>
      </c>
      <c r="H1839" s="7">
        <v>652.28</v>
      </c>
      <c r="I1839">
        <v>2</v>
      </c>
      <c r="J1839" t="s">
        <v>13</v>
      </c>
      <c r="K1839" s="13">
        <f>ROUND(tblTransactions[[#This Row],[gross_sales_inr]]*(1-tblTransactions[[#This Row],[discount_pct]]),2)</f>
        <v>652.28</v>
      </c>
      <c r="L1839" t="str">
        <f>IF(ABS(tblTransactions[[#This Row],[net_sales_inr]]-tblTransactions[[#This Row],[Recalc_Net_Sales]])&lt;0.02,"OK","CHECK")</f>
        <v>OK</v>
      </c>
      <c r="M1839" s="14">
        <f>DATE(YEAR(tblTransactions[[#This Row],[date]]),MONTH(tblTransactions[[#This Row],[date]]),1)</f>
        <v>45778</v>
      </c>
      <c r="N1839" t="str">
        <f>IF(WEEKDAY(tblTransactions[[#This Row],[date]],2)&gt;5,"Weekend","Weekday")</f>
        <v>Weekday</v>
      </c>
      <c r="O1839" s="13" t="str">
        <f>IF(tblTransactions[[#This Row],[discount_pct]]=0,"0%",IF(tblTransactions[[#This Row],[discount_pct]]&lt;=10%,"1–
10%",IF(tblTransactions[[#This Row],[discount_pct]]&lt;=20%,"11–20%","&gt;20%")))</f>
        <v>0%</v>
      </c>
      <c r="P1839" s="13" t="str">
        <f>_xlfn.XLOOKUP(tblTransactions[[#This Row],[tenant_id]],tblTenants[tenant_id],tblTenants[zone],"NOT FOUND")</f>
        <v>Entertainment</v>
      </c>
      <c r="Q1839" s="13" t="str">
        <f>_xlfn.XLOOKUP(tblTransactions[[#This Row],[tenant_id]],tblTenants[tenant_id],tblTenants[category],"NOT FOUND")</f>
        <v>Cinema</v>
      </c>
    </row>
    <row r="1840" spans="1:17">
      <c r="A1840" t="s">
        <v>1884</v>
      </c>
      <c r="B1840" s="2">
        <v>45729</v>
      </c>
      <c r="C1840">
        <v>22</v>
      </c>
      <c r="D1840" t="s">
        <v>41</v>
      </c>
      <c r="E1840" t="s">
        <v>32</v>
      </c>
      <c r="F1840" s="7">
        <v>273.62</v>
      </c>
      <c r="G1840" s="10">
        <v>0</v>
      </c>
      <c r="H1840" s="7">
        <v>273.62</v>
      </c>
      <c r="I1840">
        <v>1</v>
      </c>
      <c r="J1840" t="s">
        <v>13</v>
      </c>
      <c r="K1840" s="13">
        <f>ROUND(tblTransactions[[#This Row],[gross_sales_inr]]*(1-tblTransactions[[#This Row],[discount_pct]]),2)</f>
        <v>273.62</v>
      </c>
      <c r="L1840" t="str">
        <f>IF(ABS(tblTransactions[[#This Row],[net_sales_inr]]-tblTransactions[[#This Row],[Recalc_Net_Sales]])&lt;0.02,"OK","CHECK")</f>
        <v>OK</v>
      </c>
      <c r="M1840" s="14">
        <f>DATE(YEAR(tblTransactions[[#This Row],[date]]),MONTH(tblTransactions[[#This Row],[date]]),1)</f>
        <v>45717</v>
      </c>
      <c r="N1840" t="str">
        <f>IF(WEEKDAY(tblTransactions[[#This Row],[date]],2)&gt;5,"Weekend","Weekday")</f>
        <v>Weekday</v>
      </c>
      <c r="O1840" s="13" t="str">
        <f>IF(tblTransactions[[#This Row],[discount_pct]]=0,"0%",IF(tblTransactions[[#This Row],[discount_pct]]&lt;=10%,"1–
10%",IF(tblTransactions[[#This Row],[discount_pct]]&lt;=20%,"11–20%","&gt;20%")))</f>
        <v>0%</v>
      </c>
      <c r="P1840" s="13" t="str">
        <f>_xlfn.XLOOKUP(tblTransactions[[#This Row],[tenant_id]],tblTenants[tenant_id],tblTenants[zone],"NOT FOUND")</f>
        <v>Fashion Avenue</v>
      </c>
      <c r="Q1840" s="13" t="str">
        <f>_xlfn.XLOOKUP(tblTransactions[[#This Row],[tenant_id]],tblTenants[tenant_id],tblTenants[category],"NOT FOUND")</f>
        <v>Clothing</v>
      </c>
    </row>
    <row r="1841" spans="1:17">
      <c r="A1841" t="s">
        <v>1885</v>
      </c>
      <c r="B1841" s="2">
        <v>45837</v>
      </c>
      <c r="C1841">
        <v>14</v>
      </c>
      <c r="D1841" t="s">
        <v>57</v>
      </c>
      <c r="E1841" t="s">
        <v>32</v>
      </c>
      <c r="F1841" s="7">
        <v>645.17999999999995</v>
      </c>
      <c r="G1841" s="10">
        <v>0.15</v>
      </c>
      <c r="H1841" s="7">
        <v>548.4</v>
      </c>
      <c r="I1841">
        <v>2</v>
      </c>
      <c r="J1841" t="s">
        <v>13</v>
      </c>
      <c r="K1841" s="13">
        <f>ROUND(tblTransactions[[#This Row],[gross_sales_inr]]*(1-tblTransactions[[#This Row],[discount_pct]]),2)</f>
        <v>548.4</v>
      </c>
      <c r="L1841" t="str">
        <f>IF(ABS(tblTransactions[[#This Row],[net_sales_inr]]-tblTransactions[[#This Row],[Recalc_Net_Sales]])&lt;0.02,"OK","CHECK")</f>
        <v>OK</v>
      </c>
      <c r="M1841" s="14">
        <f>DATE(YEAR(tblTransactions[[#This Row],[date]]),MONTH(tblTransactions[[#This Row],[date]]),1)</f>
        <v>45809</v>
      </c>
      <c r="N1841" t="str">
        <f>IF(WEEKDAY(tblTransactions[[#This Row],[date]],2)&gt;5,"Weekend","Weekday")</f>
        <v>Weekend</v>
      </c>
      <c r="O184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41" s="13" t="str">
        <f>_xlfn.XLOOKUP(tblTransactions[[#This Row],[tenant_id]],tblTenants[tenant_id],tblTenants[zone],"NOT FOUND")</f>
        <v>Food Court</v>
      </c>
      <c r="Q1841" s="13" t="str">
        <f>_xlfn.XLOOKUP(tblTransactions[[#This Row],[tenant_id]],tblTenants[tenant_id],tblTenants[category],"NOT FOUND")</f>
        <v>Casual Dining</v>
      </c>
    </row>
    <row r="1842" spans="1:17">
      <c r="A1842" t="s">
        <v>1886</v>
      </c>
      <c r="B1842" s="2">
        <v>45797</v>
      </c>
      <c r="C1842">
        <v>17</v>
      </c>
      <c r="D1842" t="s">
        <v>15</v>
      </c>
      <c r="E1842" t="s">
        <v>32</v>
      </c>
      <c r="F1842" s="7">
        <v>1016.2</v>
      </c>
      <c r="G1842" s="10">
        <v>0</v>
      </c>
      <c r="H1842" s="7">
        <v>1016.2</v>
      </c>
      <c r="I1842">
        <v>2</v>
      </c>
      <c r="J1842" t="s">
        <v>13</v>
      </c>
      <c r="K1842" s="13">
        <f>ROUND(tblTransactions[[#This Row],[gross_sales_inr]]*(1-tblTransactions[[#This Row],[discount_pct]]),2)</f>
        <v>1016.2</v>
      </c>
      <c r="L1842" t="str">
        <f>IF(ABS(tblTransactions[[#This Row],[net_sales_inr]]-tblTransactions[[#This Row],[Recalc_Net_Sales]])&lt;0.02,"OK","CHECK")</f>
        <v>OK</v>
      </c>
      <c r="M1842" s="14">
        <f>DATE(YEAR(tblTransactions[[#This Row],[date]]),MONTH(tblTransactions[[#This Row],[date]]),1)</f>
        <v>45778</v>
      </c>
      <c r="N1842" t="str">
        <f>IF(WEEKDAY(tblTransactions[[#This Row],[date]],2)&gt;5,"Weekend","Weekday")</f>
        <v>Weekday</v>
      </c>
      <c r="O1842" s="13" t="str">
        <f>IF(tblTransactions[[#This Row],[discount_pct]]=0,"0%",IF(tblTransactions[[#This Row],[discount_pct]]&lt;=10%,"1–
10%",IF(tblTransactions[[#This Row],[discount_pct]]&lt;=20%,"11–20%","&gt;20%")))</f>
        <v>0%</v>
      </c>
      <c r="P1842" s="13" t="str">
        <f>_xlfn.XLOOKUP(tblTransactions[[#This Row],[tenant_id]],tblTenants[tenant_id],tblTenants[zone],"NOT FOUND")</f>
        <v>Fashion Avenue</v>
      </c>
      <c r="Q1842" s="13" t="str">
        <f>_xlfn.XLOOKUP(tblTransactions[[#This Row],[tenant_id]],tblTenants[tenant_id],tblTenants[category],"NOT FOUND")</f>
        <v>Accessories</v>
      </c>
    </row>
    <row r="1843" spans="1:17">
      <c r="A1843" t="s">
        <v>1887</v>
      </c>
      <c r="B1843" s="2">
        <v>45716</v>
      </c>
      <c r="C1843">
        <v>17</v>
      </c>
      <c r="D1843" t="s">
        <v>85</v>
      </c>
      <c r="E1843" t="s">
        <v>32</v>
      </c>
      <c r="F1843" s="7">
        <v>1349.23</v>
      </c>
      <c r="G1843" s="10">
        <v>0.05</v>
      </c>
      <c r="H1843" s="7">
        <v>1281.77</v>
      </c>
      <c r="I1843">
        <v>2</v>
      </c>
      <c r="J1843" t="s">
        <v>13</v>
      </c>
      <c r="K1843" s="13">
        <f>ROUND(tblTransactions[[#This Row],[gross_sales_inr]]*(1-tblTransactions[[#This Row],[discount_pct]]),2)</f>
        <v>1281.77</v>
      </c>
      <c r="L1843" t="str">
        <f>IF(ABS(tblTransactions[[#This Row],[net_sales_inr]]-tblTransactions[[#This Row],[Recalc_Net_Sales]])&lt;0.02,"OK","CHECK")</f>
        <v>OK</v>
      </c>
      <c r="M1843" s="14">
        <f>DATE(YEAR(tblTransactions[[#This Row],[date]]),MONTH(tblTransactions[[#This Row],[date]]),1)</f>
        <v>45689</v>
      </c>
      <c r="N1843" t="str">
        <f>IF(WEEKDAY(tblTransactions[[#This Row],[date]],2)&gt;5,"Weekend","Weekday")</f>
        <v>Weekday</v>
      </c>
      <c r="O184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43" s="13" t="str">
        <f>_xlfn.XLOOKUP(tblTransactions[[#This Row],[tenant_id]],tblTenants[tenant_id],tblTenants[zone],"NOT FOUND")</f>
        <v>Home &amp; Living</v>
      </c>
      <c r="Q1843" s="13" t="str">
        <f>_xlfn.XLOOKUP(tblTransactions[[#This Row],[tenant_id]],tblTenants[tenant_id],tblTenants[category],"NOT FOUND")</f>
        <v>Electronics</v>
      </c>
    </row>
    <row r="1844" spans="1:17">
      <c r="A1844" t="s">
        <v>1888</v>
      </c>
      <c r="B1844" s="2">
        <v>45745</v>
      </c>
      <c r="C1844">
        <v>20</v>
      </c>
      <c r="D1844" t="s">
        <v>27</v>
      </c>
      <c r="E1844" t="s">
        <v>12</v>
      </c>
      <c r="F1844" s="7">
        <v>3034.25</v>
      </c>
      <c r="G1844" s="10">
        <v>0.2</v>
      </c>
      <c r="H1844" s="7">
        <v>2427.4</v>
      </c>
      <c r="I1844">
        <v>3</v>
      </c>
      <c r="J1844" t="s">
        <v>16</v>
      </c>
      <c r="K1844" s="13">
        <f>ROUND(tblTransactions[[#This Row],[gross_sales_inr]]*(1-tblTransactions[[#This Row],[discount_pct]]),2)</f>
        <v>2427.4</v>
      </c>
      <c r="L1844" t="str">
        <f>IF(ABS(tblTransactions[[#This Row],[net_sales_inr]]-tblTransactions[[#This Row],[Recalc_Net_Sales]])&lt;0.02,"OK","CHECK")</f>
        <v>OK</v>
      </c>
      <c r="M1844" s="14">
        <f>DATE(YEAR(tblTransactions[[#This Row],[date]]),MONTH(tblTransactions[[#This Row],[date]]),1)</f>
        <v>45717</v>
      </c>
      <c r="N1844" t="str">
        <f>IF(WEEKDAY(tblTransactions[[#This Row],[date]],2)&gt;5,"Weekend","Weekday")</f>
        <v>Weekend</v>
      </c>
      <c r="O184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44" s="13" t="str">
        <f>_xlfn.XLOOKUP(tblTransactions[[#This Row],[tenant_id]],tblTenants[tenant_id],tblTenants[zone],"NOT FOUND")</f>
        <v>Beauty &amp; Wellness</v>
      </c>
      <c r="Q1844" s="13" t="str">
        <f>_xlfn.XLOOKUP(tblTransactions[[#This Row],[tenant_id]],tblTenants[tenant_id],tblTenants[category],"NOT FOUND")</f>
        <v>Wellness</v>
      </c>
    </row>
    <row r="1845" spans="1:17">
      <c r="A1845" t="s">
        <v>1889</v>
      </c>
      <c r="B1845" s="2">
        <v>45796</v>
      </c>
      <c r="C1845">
        <v>10</v>
      </c>
      <c r="D1845" t="s">
        <v>41</v>
      </c>
      <c r="E1845" t="s">
        <v>12</v>
      </c>
      <c r="F1845" s="7">
        <v>1602.28</v>
      </c>
      <c r="G1845" s="10">
        <v>0.15</v>
      </c>
      <c r="H1845" s="7">
        <v>1361.94</v>
      </c>
      <c r="I1845">
        <v>5</v>
      </c>
      <c r="J1845" t="s">
        <v>13</v>
      </c>
      <c r="K1845" s="13">
        <f>ROUND(tblTransactions[[#This Row],[gross_sales_inr]]*(1-tblTransactions[[#This Row],[discount_pct]]),2)</f>
        <v>1361.94</v>
      </c>
      <c r="L1845" t="str">
        <f>IF(ABS(tblTransactions[[#This Row],[net_sales_inr]]-tblTransactions[[#This Row],[Recalc_Net_Sales]])&lt;0.02,"OK","CHECK")</f>
        <v>OK</v>
      </c>
      <c r="M1845" s="14">
        <f>DATE(YEAR(tblTransactions[[#This Row],[date]]),MONTH(tblTransactions[[#This Row],[date]]),1)</f>
        <v>45778</v>
      </c>
      <c r="N1845" t="str">
        <f>IF(WEEKDAY(tblTransactions[[#This Row],[date]],2)&gt;5,"Weekend","Weekday")</f>
        <v>Weekday</v>
      </c>
      <c r="O184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45" s="13" t="str">
        <f>_xlfn.XLOOKUP(tblTransactions[[#This Row],[tenant_id]],tblTenants[tenant_id],tblTenants[zone],"NOT FOUND")</f>
        <v>Fashion Avenue</v>
      </c>
      <c r="Q1845" s="13" t="str">
        <f>_xlfn.XLOOKUP(tblTransactions[[#This Row],[tenant_id]],tblTenants[tenant_id],tblTenants[category],"NOT FOUND")</f>
        <v>Clothing</v>
      </c>
    </row>
    <row r="1846" spans="1:17">
      <c r="A1846" t="s">
        <v>1890</v>
      </c>
      <c r="B1846" s="2">
        <v>45696</v>
      </c>
      <c r="C1846">
        <v>16</v>
      </c>
      <c r="D1846" t="s">
        <v>72</v>
      </c>
      <c r="E1846" t="s">
        <v>51</v>
      </c>
      <c r="F1846" s="7">
        <v>1471.54</v>
      </c>
      <c r="G1846" s="10">
        <v>0.2</v>
      </c>
      <c r="H1846" s="7">
        <v>1177.23</v>
      </c>
      <c r="I1846">
        <v>3</v>
      </c>
      <c r="J1846" t="s">
        <v>16</v>
      </c>
      <c r="K1846" s="13">
        <f>ROUND(tblTransactions[[#This Row],[gross_sales_inr]]*(1-tblTransactions[[#This Row],[discount_pct]]),2)</f>
        <v>1177.23</v>
      </c>
      <c r="L1846" t="str">
        <f>IF(ABS(tblTransactions[[#This Row],[net_sales_inr]]-tblTransactions[[#This Row],[Recalc_Net_Sales]])&lt;0.02,"OK","CHECK")</f>
        <v>OK</v>
      </c>
      <c r="M1846" s="14">
        <f>DATE(YEAR(tblTransactions[[#This Row],[date]]),MONTH(tblTransactions[[#This Row],[date]]),1)</f>
        <v>45689</v>
      </c>
      <c r="N1846" t="str">
        <f>IF(WEEKDAY(tblTransactions[[#This Row],[date]],2)&gt;5,"Weekend","Weekday")</f>
        <v>Weekend</v>
      </c>
      <c r="O184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46" s="13" t="str">
        <f>_xlfn.XLOOKUP(tblTransactions[[#This Row],[tenant_id]],tblTenants[tenant_id],tblTenants[zone],"NOT FOUND")</f>
        <v>Entertainment</v>
      </c>
      <c r="Q1846" s="13" t="str">
        <f>_xlfn.XLOOKUP(tblTransactions[[#This Row],[tenant_id]],tblTenants[tenant_id],tblTenants[category],"NOT FOUND")</f>
        <v>Arcade</v>
      </c>
    </row>
    <row r="1847" spans="1:17">
      <c r="A1847" t="s">
        <v>1891</v>
      </c>
      <c r="B1847" s="2">
        <v>45808</v>
      </c>
      <c r="C1847">
        <v>15</v>
      </c>
      <c r="D1847" t="s">
        <v>43</v>
      </c>
      <c r="E1847" t="s">
        <v>51</v>
      </c>
      <c r="F1847" s="7">
        <v>1082.5</v>
      </c>
      <c r="G1847" s="10">
        <v>0</v>
      </c>
      <c r="H1847" s="7">
        <v>1082.5</v>
      </c>
      <c r="I1847">
        <v>1</v>
      </c>
      <c r="J1847" t="s">
        <v>13</v>
      </c>
      <c r="K1847" s="13">
        <f>ROUND(tblTransactions[[#This Row],[gross_sales_inr]]*(1-tblTransactions[[#This Row],[discount_pct]]),2)</f>
        <v>1082.5</v>
      </c>
      <c r="L1847" t="str">
        <f>IF(ABS(tblTransactions[[#This Row],[net_sales_inr]]-tblTransactions[[#This Row],[Recalc_Net_Sales]])&lt;0.02,"OK","CHECK")</f>
        <v>OK</v>
      </c>
      <c r="M1847" s="14">
        <f>DATE(YEAR(tblTransactions[[#This Row],[date]]),MONTH(tblTransactions[[#This Row],[date]]),1)</f>
        <v>45778</v>
      </c>
      <c r="N1847" t="str">
        <f>IF(WEEKDAY(tblTransactions[[#This Row],[date]],2)&gt;5,"Weekend","Weekday")</f>
        <v>Weekend</v>
      </c>
      <c r="O1847" s="13" t="str">
        <f>IF(tblTransactions[[#This Row],[discount_pct]]=0,"0%",IF(tblTransactions[[#This Row],[discount_pct]]&lt;=10%,"1–
10%",IF(tblTransactions[[#This Row],[discount_pct]]&lt;=20%,"11–20%","&gt;20%")))</f>
        <v>0%</v>
      </c>
      <c r="P1847" s="13" t="str">
        <f>_xlfn.XLOOKUP(tblTransactions[[#This Row],[tenant_id]],tblTenants[tenant_id],tblTenants[zone],"NOT FOUND")</f>
        <v>Food Court</v>
      </c>
      <c r="Q1847" s="13" t="str">
        <f>_xlfn.XLOOKUP(tblTransactions[[#This Row],[tenant_id]],tblTenants[tenant_id],tblTenants[category],"NOT FOUND")</f>
        <v>Casual Dining</v>
      </c>
    </row>
    <row r="1848" spans="1:17">
      <c r="A1848" t="s">
        <v>1892</v>
      </c>
      <c r="B1848" s="2">
        <v>45725</v>
      </c>
      <c r="C1848">
        <v>19</v>
      </c>
      <c r="D1848" t="s">
        <v>122</v>
      </c>
      <c r="E1848" t="s">
        <v>32</v>
      </c>
      <c r="F1848" s="7">
        <v>814.16</v>
      </c>
      <c r="G1848" s="10">
        <v>0.3</v>
      </c>
      <c r="H1848" s="7">
        <v>569.91</v>
      </c>
      <c r="I1848">
        <v>1</v>
      </c>
      <c r="J1848" t="s">
        <v>13</v>
      </c>
      <c r="K1848" s="13">
        <f>ROUND(tblTransactions[[#This Row],[gross_sales_inr]]*(1-tblTransactions[[#This Row],[discount_pct]]),2)</f>
        <v>569.91</v>
      </c>
      <c r="L1848" t="str">
        <f>IF(ABS(tblTransactions[[#This Row],[net_sales_inr]]-tblTransactions[[#This Row],[Recalc_Net_Sales]])&lt;0.02,"OK","CHECK")</f>
        <v>OK</v>
      </c>
      <c r="M1848" s="14">
        <f>DATE(YEAR(tblTransactions[[#This Row],[date]]),MONTH(tblTransactions[[#This Row],[date]]),1)</f>
        <v>45717</v>
      </c>
      <c r="N1848" t="str">
        <f>IF(WEEKDAY(tblTransactions[[#This Row],[date]],2)&gt;5,"Weekend","Weekday")</f>
        <v>Weekend</v>
      </c>
      <c r="O1848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848" s="13" t="str">
        <f>_xlfn.XLOOKUP(tblTransactions[[#This Row],[tenant_id]],tblTenants[tenant_id],tblTenants[zone],"NOT FOUND")</f>
        <v>Beauty &amp; Wellness</v>
      </c>
      <c r="Q1848" s="13" t="str">
        <f>_xlfn.XLOOKUP(tblTransactions[[#This Row],[tenant_id]],tblTenants[tenant_id],tblTenants[category],"NOT FOUND")</f>
        <v>Wellness</v>
      </c>
    </row>
    <row r="1849" spans="1:17">
      <c r="A1849" t="s">
        <v>1893</v>
      </c>
      <c r="B1849" s="2">
        <v>45733</v>
      </c>
      <c r="C1849">
        <v>20</v>
      </c>
      <c r="D1849" t="s">
        <v>18</v>
      </c>
      <c r="E1849" t="s">
        <v>12</v>
      </c>
      <c r="F1849" s="7">
        <v>1064.07</v>
      </c>
      <c r="G1849" s="10">
        <v>0</v>
      </c>
      <c r="H1849" s="7">
        <v>1064.07</v>
      </c>
      <c r="I1849">
        <v>1</v>
      </c>
      <c r="J1849" t="s">
        <v>13</v>
      </c>
      <c r="K1849" s="13">
        <f>ROUND(tblTransactions[[#This Row],[gross_sales_inr]]*(1-tblTransactions[[#This Row],[discount_pct]]),2)</f>
        <v>1064.07</v>
      </c>
      <c r="L1849" t="str">
        <f>IF(ABS(tblTransactions[[#This Row],[net_sales_inr]]-tblTransactions[[#This Row],[Recalc_Net_Sales]])&lt;0.02,"OK","CHECK")</f>
        <v>OK</v>
      </c>
      <c r="M1849" s="14">
        <f>DATE(YEAR(tblTransactions[[#This Row],[date]]),MONTH(tblTransactions[[#This Row],[date]]),1)</f>
        <v>45717</v>
      </c>
      <c r="N1849" t="str">
        <f>IF(WEEKDAY(tblTransactions[[#This Row],[date]],2)&gt;5,"Weekend","Weekday")</f>
        <v>Weekday</v>
      </c>
      <c r="O1849" s="13" t="str">
        <f>IF(tblTransactions[[#This Row],[discount_pct]]=0,"0%",IF(tblTransactions[[#This Row],[discount_pct]]&lt;=10%,"1–
10%",IF(tblTransactions[[#This Row],[discount_pct]]&lt;=20%,"11–20%","&gt;20%")))</f>
        <v>0%</v>
      </c>
      <c r="P1849" s="13" t="str">
        <f>_xlfn.XLOOKUP(tblTransactions[[#This Row],[tenant_id]],tblTenants[tenant_id],tblTenants[zone],"NOT FOUND")</f>
        <v>Beauty &amp; Wellness</v>
      </c>
      <c r="Q1849" s="13" t="str">
        <f>_xlfn.XLOOKUP(tblTransactions[[#This Row],[tenant_id]],tblTenants[tenant_id],tblTenants[category],"NOT FOUND")</f>
        <v>Beauty</v>
      </c>
    </row>
    <row r="1850" spans="1:17">
      <c r="A1850" t="s">
        <v>1894</v>
      </c>
      <c r="B1850" s="2">
        <v>45686</v>
      </c>
      <c r="C1850">
        <v>14</v>
      </c>
      <c r="D1850" t="s">
        <v>31</v>
      </c>
      <c r="E1850" t="s">
        <v>32</v>
      </c>
      <c r="F1850" s="7">
        <v>1946.11</v>
      </c>
      <c r="G1850" s="10">
        <v>0.3</v>
      </c>
      <c r="H1850" s="7">
        <v>1362.28</v>
      </c>
      <c r="I1850">
        <v>1</v>
      </c>
      <c r="J1850" t="s">
        <v>13</v>
      </c>
      <c r="K1850" s="13">
        <f>ROUND(tblTransactions[[#This Row],[gross_sales_inr]]*(1-tblTransactions[[#This Row],[discount_pct]]),2)</f>
        <v>1362.28</v>
      </c>
      <c r="L1850" t="str">
        <f>IF(ABS(tblTransactions[[#This Row],[net_sales_inr]]-tblTransactions[[#This Row],[Recalc_Net_Sales]])&lt;0.02,"OK","CHECK")</f>
        <v>OK</v>
      </c>
      <c r="M1850" s="14">
        <f>DATE(YEAR(tblTransactions[[#This Row],[date]]),MONTH(tblTransactions[[#This Row],[date]]),1)</f>
        <v>45658</v>
      </c>
      <c r="N1850" t="str">
        <f>IF(WEEKDAY(tblTransactions[[#This Row],[date]],2)&gt;5,"Weekend","Weekday")</f>
        <v>Weekday</v>
      </c>
      <c r="O185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850" s="13" t="str">
        <f>_xlfn.XLOOKUP(tblTransactions[[#This Row],[tenant_id]],tblTenants[tenant_id],tblTenants[zone],"NOT FOUND")</f>
        <v>Entertainment</v>
      </c>
      <c r="Q1850" s="13" t="str">
        <f>_xlfn.XLOOKUP(tblTransactions[[#This Row],[tenant_id]],tblTenants[tenant_id],tblTenants[category],"NOT FOUND")</f>
        <v>Arcade</v>
      </c>
    </row>
    <row r="1851" spans="1:17">
      <c r="A1851" t="s">
        <v>1895</v>
      </c>
      <c r="B1851" s="2">
        <v>45821</v>
      </c>
      <c r="C1851">
        <v>19</v>
      </c>
      <c r="D1851" t="s">
        <v>27</v>
      </c>
      <c r="E1851" t="s">
        <v>12</v>
      </c>
      <c r="F1851" s="7">
        <v>497.83</v>
      </c>
      <c r="G1851" s="10">
        <v>0</v>
      </c>
      <c r="H1851" s="7">
        <v>497.83</v>
      </c>
      <c r="I1851">
        <v>6</v>
      </c>
      <c r="J1851" t="s">
        <v>13</v>
      </c>
      <c r="K1851" s="13">
        <f>ROUND(tblTransactions[[#This Row],[gross_sales_inr]]*(1-tblTransactions[[#This Row],[discount_pct]]),2)</f>
        <v>497.83</v>
      </c>
      <c r="L1851" t="str">
        <f>IF(ABS(tblTransactions[[#This Row],[net_sales_inr]]-tblTransactions[[#This Row],[Recalc_Net_Sales]])&lt;0.02,"OK","CHECK")</f>
        <v>OK</v>
      </c>
      <c r="M1851" s="14">
        <f>DATE(YEAR(tblTransactions[[#This Row],[date]]),MONTH(tblTransactions[[#This Row],[date]]),1)</f>
        <v>45809</v>
      </c>
      <c r="N1851" t="str">
        <f>IF(WEEKDAY(tblTransactions[[#This Row],[date]],2)&gt;5,"Weekend","Weekday")</f>
        <v>Weekday</v>
      </c>
      <c r="O1851" s="13" t="str">
        <f>IF(tblTransactions[[#This Row],[discount_pct]]=0,"0%",IF(tblTransactions[[#This Row],[discount_pct]]&lt;=10%,"1–
10%",IF(tblTransactions[[#This Row],[discount_pct]]&lt;=20%,"11–20%","&gt;20%")))</f>
        <v>0%</v>
      </c>
      <c r="P1851" s="13" t="str">
        <f>_xlfn.XLOOKUP(tblTransactions[[#This Row],[tenant_id]],tblTenants[tenant_id],tblTenants[zone],"NOT FOUND")</f>
        <v>Beauty &amp; Wellness</v>
      </c>
      <c r="Q1851" s="13" t="str">
        <f>_xlfn.XLOOKUP(tblTransactions[[#This Row],[tenant_id]],tblTenants[tenant_id],tblTenants[category],"NOT FOUND")</f>
        <v>Wellness</v>
      </c>
    </row>
    <row r="1852" spans="1:17">
      <c r="A1852" t="s">
        <v>1896</v>
      </c>
      <c r="B1852" s="2">
        <v>45773</v>
      </c>
      <c r="C1852">
        <v>10</v>
      </c>
      <c r="D1852" t="s">
        <v>43</v>
      </c>
      <c r="E1852" t="s">
        <v>12</v>
      </c>
      <c r="F1852" s="7">
        <v>482.41</v>
      </c>
      <c r="G1852" s="10">
        <v>0</v>
      </c>
      <c r="H1852" s="7">
        <v>482.41</v>
      </c>
      <c r="I1852">
        <v>2</v>
      </c>
      <c r="J1852" t="s">
        <v>16</v>
      </c>
      <c r="K1852" s="13">
        <f>ROUND(tblTransactions[[#This Row],[gross_sales_inr]]*(1-tblTransactions[[#This Row],[discount_pct]]),2)</f>
        <v>482.41</v>
      </c>
      <c r="L1852" t="str">
        <f>IF(ABS(tblTransactions[[#This Row],[net_sales_inr]]-tblTransactions[[#This Row],[Recalc_Net_Sales]])&lt;0.02,"OK","CHECK")</f>
        <v>OK</v>
      </c>
      <c r="M1852" s="14">
        <f>DATE(YEAR(tblTransactions[[#This Row],[date]]),MONTH(tblTransactions[[#This Row],[date]]),1)</f>
        <v>45748</v>
      </c>
      <c r="N1852" t="str">
        <f>IF(WEEKDAY(tblTransactions[[#This Row],[date]],2)&gt;5,"Weekend","Weekday")</f>
        <v>Weekend</v>
      </c>
      <c r="O1852" s="13" t="str">
        <f>IF(tblTransactions[[#This Row],[discount_pct]]=0,"0%",IF(tblTransactions[[#This Row],[discount_pct]]&lt;=10%,"1–
10%",IF(tblTransactions[[#This Row],[discount_pct]]&lt;=20%,"11–20%","&gt;20%")))</f>
        <v>0%</v>
      </c>
      <c r="P1852" s="13" t="str">
        <f>_xlfn.XLOOKUP(tblTransactions[[#This Row],[tenant_id]],tblTenants[tenant_id],tblTenants[zone],"NOT FOUND")</f>
        <v>Food Court</v>
      </c>
      <c r="Q1852" s="13" t="str">
        <f>_xlfn.XLOOKUP(tblTransactions[[#This Row],[tenant_id]],tblTenants[tenant_id],tblTenants[category],"NOT FOUND")</f>
        <v>Casual Dining</v>
      </c>
    </row>
    <row r="1853" spans="1:17">
      <c r="A1853" t="s">
        <v>1897</v>
      </c>
      <c r="B1853" s="2">
        <v>45758</v>
      </c>
      <c r="C1853">
        <v>13</v>
      </c>
      <c r="D1853" t="s">
        <v>11</v>
      </c>
      <c r="E1853" t="s">
        <v>12</v>
      </c>
      <c r="F1853" s="7">
        <v>735.81</v>
      </c>
      <c r="G1853" s="10">
        <v>0</v>
      </c>
      <c r="H1853" s="7">
        <v>735.81</v>
      </c>
      <c r="I1853">
        <v>2</v>
      </c>
      <c r="J1853" t="s">
        <v>13</v>
      </c>
      <c r="K1853" s="13">
        <f>ROUND(tblTransactions[[#This Row],[gross_sales_inr]]*(1-tblTransactions[[#This Row],[discount_pct]]),2)</f>
        <v>735.81</v>
      </c>
      <c r="L1853" t="str">
        <f>IF(ABS(tblTransactions[[#This Row],[net_sales_inr]]-tblTransactions[[#This Row],[Recalc_Net_Sales]])&lt;0.02,"OK","CHECK")</f>
        <v>OK</v>
      </c>
      <c r="M1853" s="14">
        <f>DATE(YEAR(tblTransactions[[#This Row],[date]]),MONTH(tblTransactions[[#This Row],[date]]),1)</f>
        <v>45748</v>
      </c>
      <c r="N1853" t="str">
        <f>IF(WEEKDAY(tblTransactions[[#This Row],[date]],2)&gt;5,"Weekend","Weekday")</f>
        <v>Weekday</v>
      </c>
      <c r="O1853" s="13" t="str">
        <f>IF(tblTransactions[[#This Row],[discount_pct]]=0,"0%",IF(tblTransactions[[#This Row],[discount_pct]]&lt;=10%,"1–
10%",IF(tblTransactions[[#This Row],[discount_pct]]&lt;=20%,"11–20%","&gt;20%")))</f>
        <v>0%</v>
      </c>
      <c r="P1853" s="13" t="str">
        <f>_xlfn.XLOOKUP(tblTransactions[[#This Row],[tenant_id]],tblTenants[tenant_id],tblTenants[zone],"NOT FOUND")</f>
        <v>Home &amp; Living</v>
      </c>
      <c r="Q1853" s="13" t="str">
        <f>_xlfn.XLOOKUP(tblTransactions[[#This Row],[tenant_id]],tblTenants[tenant_id],tblTenants[category],"NOT FOUND")</f>
        <v>Home Decor</v>
      </c>
    </row>
    <row r="1854" spans="1:17">
      <c r="A1854" t="s">
        <v>1898</v>
      </c>
      <c r="B1854" s="2">
        <v>45714</v>
      </c>
      <c r="C1854">
        <v>20</v>
      </c>
      <c r="D1854" t="s">
        <v>15</v>
      </c>
      <c r="E1854" t="s">
        <v>21</v>
      </c>
      <c r="F1854" s="7">
        <v>500.49</v>
      </c>
      <c r="G1854" s="10">
        <v>0</v>
      </c>
      <c r="H1854" s="7">
        <v>500.49</v>
      </c>
      <c r="I1854">
        <v>6</v>
      </c>
      <c r="J1854" t="s">
        <v>13</v>
      </c>
      <c r="K1854" s="13">
        <f>ROUND(tblTransactions[[#This Row],[gross_sales_inr]]*(1-tblTransactions[[#This Row],[discount_pct]]),2)</f>
        <v>500.49</v>
      </c>
      <c r="L1854" t="str">
        <f>IF(ABS(tblTransactions[[#This Row],[net_sales_inr]]-tblTransactions[[#This Row],[Recalc_Net_Sales]])&lt;0.02,"OK","CHECK")</f>
        <v>OK</v>
      </c>
      <c r="M1854" s="14">
        <f>DATE(YEAR(tblTransactions[[#This Row],[date]]),MONTH(tblTransactions[[#This Row],[date]]),1)</f>
        <v>45689</v>
      </c>
      <c r="N1854" t="str">
        <f>IF(WEEKDAY(tblTransactions[[#This Row],[date]],2)&gt;5,"Weekend","Weekday")</f>
        <v>Weekday</v>
      </c>
      <c r="O1854" s="13" t="str">
        <f>IF(tblTransactions[[#This Row],[discount_pct]]=0,"0%",IF(tblTransactions[[#This Row],[discount_pct]]&lt;=10%,"1–
10%",IF(tblTransactions[[#This Row],[discount_pct]]&lt;=20%,"11–20%","&gt;20%")))</f>
        <v>0%</v>
      </c>
      <c r="P1854" s="13" t="str">
        <f>_xlfn.XLOOKUP(tblTransactions[[#This Row],[tenant_id]],tblTenants[tenant_id],tblTenants[zone],"NOT FOUND")</f>
        <v>Fashion Avenue</v>
      </c>
      <c r="Q1854" s="13" t="str">
        <f>_xlfn.XLOOKUP(tblTransactions[[#This Row],[tenant_id]],tblTenants[tenant_id],tblTenants[category],"NOT FOUND")</f>
        <v>Accessories</v>
      </c>
    </row>
    <row r="1855" spans="1:17">
      <c r="A1855" t="s">
        <v>1899</v>
      </c>
      <c r="B1855" s="2">
        <v>45807</v>
      </c>
      <c r="C1855">
        <v>18</v>
      </c>
      <c r="D1855" t="s">
        <v>55</v>
      </c>
      <c r="E1855" t="s">
        <v>32</v>
      </c>
      <c r="F1855" s="7">
        <v>847.61</v>
      </c>
      <c r="G1855" s="10">
        <v>0</v>
      </c>
      <c r="H1855" s="7">
        <v>847.61</v>
      </c>
      <c r="I1855">
        <v>5</v>
      </c>
      <c r="J1855" t="s">
        <v>13</v>
      </c>
      <c r="K1855" s="13">
        <f>ROUND(tblTransactions[[#This Row],[gross_sales_inr]]*(1-tblTransactions[[#This Row],[discount_pct]]),2)</f>
        <v>847.61</v>
      </c>
      <c r="L1855" t="str">
        <f>IF(ABS(tblTransactions[[#This Row],[net_sales_inr]]-tblTransactions[[#This Row],[Recalc_Net_Sales]])&lt;0.02,"OK","CHECK")</f>
        <v>OK</v>
      </c>
      <c r="M1855" s="14">
        <f>DATE(YEAR(tblTransactions[[#This Row],[date]]),MONTH(tblTransactions[[#This Row],[date]]),1)</f>
        <v>45778</v>
      </c>
      <c r="N1855" t="str">
        <f>IF(WEEKDAY(tblTransactions[[#This Row],[date]],2)&gt;5,"Weekend","Weekday")</f>
        <v>Weekday</v>
      </c>
      <c r="O1855" s="13" t="str">
        <f>IF(tblTransactions[[#This Row],[discount_pct]]=0,"0%",IF(tblTransactions[[#This Row],[discount_pct]]&lt;=10%,"1–
10%",IF(tblTransactions[[#This Row],[discount_pct]]&lt;=20%,"11–20%","&gt;20%")))</f>
        <v>0%</v>
      </c>
      <c r="P1855" s="13" t="str">
        <f>_xlfn.XLOOKUP(tblTransactions[[#This Row],[tenant_id]],tblTenants[tenant_id],tblTenants[zone],"NOT FOUND")</f>
        <v>Food Court</v>
      </c>
      <c r="Q1855" s="13" t="str">
        <f>_xlfn.XLOOKUP(tblTransactions[[#This Row],[tenant_id]],tblTenants[tenant_id],tblTenants[category],"NOT FOUND")</f>
        <v>Quick Service</v>
      </c>
    </row>
    <row r="1856" spans="1:17">
      <c r="A1856" t="s">
        <v>1900</v>
      </c>
      <c r="B1856" s="2">
        <v>45761</v>
      </c>
      <c r="C1856">
        <v>16</v>
      </c>
      <c r="D1856" t="s">
        <v>104</v>
      </c>
      <c r="E1856" t="s">
        <v>21</v>
      </c>
      <c r="F1856" s="7">
        <v>966.92</v>
      </c>
      <c r="G1856" s="10">
        <v>0</v>
      </c>
      <c r="H1856" s="7">
        <v>966.92</v>
      </c>
      <c r="I1856">
        <v>3</v>
      </c>
      <c r="J1856" t="s">
        <v>16</v>
      </c>
      <c r="K1856" s="13">
        <f>ROUND(tblTransactions[[#This Row],[gross_sales_inr]]*(1-tblTransactions[[#This Row],[discount_pct]]),2)</f>
        <v>966.92</v>
      </c>
      <c r="L1856" t="str">
        <f>IF(ABS(tblTransactions[[#This Row],[net_sales_inr]]-tblTransactions[[#This Row],[Recalc_Net_Sales]])&lt;0.02,"OK","CHECK")</f>
        <v>OK</v>
      </c>
      <c r="M1856" s="14">
        <f>DATE(YEAR(tblTransactions[[#This Row],[date]]),MONTH(tblTransactions[[#This Row],[date]]),1)</f>
        <v>45748</v>
      </c>
      <c r="N1856" t="str">
        <f>IF(WEEKDAY(tblTransactions[[#This Row],[date]],2)&gt;5,"Weekend","Weekday")</f>
        <v>Weekday</v>
      </c>
      <c r="O1856" s="13" t="str">
        <f>IF(tblTransactions[[#This Row],[discount_pct]]=0,"0%",IF(tblTransactions[[#This Row],[discount_pct]]&lt;=10%,"1–
10%",IF(tblTransactions[[#This Row],[discount_pct]]&lt;=20%,"11–20%","&gt;20%")))</f>
        <v>0%</v>
      </c>
      <c r="P1856" s="13" t="str">
        <f>_xlfn.XLOOKUP(tblTransactions[[#This Row],[tenant_id]],tblTenants[tenant_id],tblTenants[zone],"NOT FOUND")</f>
        <v>Entertainment</v>
      </c>
      <c r="Q1856" s="13" t="str">
        <f>_xlfn.XLOOKUP(tblTransactions[[#This Row],[tenant_id]],tblTenants[tenant_id],tblTenants[category],"NOT FOUND")</f>
        <v>Family Entertainment</v>
      </c>
    </row>
    <row r="1857" spans="1:17">
      <c r="A1857" t="s">
        <v>1901</v>
      </c>
      <c r="B1857" s="2">
        <v>45724</v>
      </c>
      <c r="C1857">
        <v>19</v>
      </c>
      <c r="D1857" t="s">
        <v>43</v>
      </c>
      <c r="E1857" t="s">
        <v>12</v>
      </c>
      <c r="F1857" s="7">
        <v>1055.6400000000001</v>
      </c>
      <c r="G1857" s="10">
        <v>0.1</v>
      </c>
      <c r="H1857" s="7">
        <v>950.08</v>
      </c>
      <c r="I1857">
        <v>2</v>
      </c>
      <c r="J1857" t="s">
        <v>13</v>
      </c>
      <c r="K1857" s="13">
        <f>ROUND(tblTransactions[[#This Row],[gross_sales_inr]]*(1-tblTransactions[[#This Row],[discount_pct]]),2)</f>
        <v>950.08</v>
      </c>
      <c r="L1857" t="str">
        <f>IF(ABS(tblTransactions[[#This Row],[net_sales_inr]]-tblTransactions[[#This Row],[Recalc_Net_Sales]])&lt;0.02,"OK","CHECK")</f>
        <v>OK</v>
      </c>
      <c r="M1857" s="14">
        <f>DATE(YEAR(tblTransactions[[#This Row],[date]]),MONTH(tblTransactions[[#This Row],[date]]),1)</f>
        <v>45717</v>
      </c>
      <c r="N1857" t="str">
        <f>IF(WEEKDAY(tblTransactions[[#This Row],[date]],2)&gt;5,"Weekend","Weekday")</f>
        <v>Weekend</v>
      </c>
      <c r="O185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57" s="13" t="str">
        <f>_xlfn.XLOOKUP(tblTransactions[[#This Row],[tenant_id]],tblTenants[tenant_id],tblTenants[zone],"NOT FOUND")</f>
        <v>Food Court</v>
      </c>
      <c r="Q1857" s="13" t="str">
        <f>_xlfn.XLOOKUP(tblTransactions[[#This Row],[tenant_id]],tblTenants[tenant_id],tblTenants[category],"NOT FOUND")</f>
        <v>Casual Dining</v>
      </c>
    </row>
    <row r="1858" spans="1:17">
      <c r="A1858" t="s">
        <v>1902</v>
      </c>
      <c r="B1858" s="2">
        <v>45751</v>
      </c>
      <c r="C1858">
        <v>14</v>
      </c>
      <c r="D1858" t="s">
        <v>80</v>
      </c>
      <c r="E1858" t="s">
        <v>12</v>
      </c>
      <c r="F1858" s="7">
        <v>929.23</v>
      </c>
      <c r="G1858" s="10">
        <v>0</v>
      </c>
      <c r="H1858" s="7">
        <v>929.23</v>
      </c>
      <c r="I1858">
        <v>2</v>
      </c>
      <c r="J1858" t="s">
        <v>13</v>
      </c>
      <c r="K1858" s="13">
        <f>ROUND(tblTransactions[[#This Row],[gross_sales_inr]]*(1-tblTransactions[[#This Row],[discount_pct]]),2)</f>
        <v>929.23</v>
      </c>
      <c r="L1858" t="str">
        <f>IF(ABS(tblTransactions[[#This Row],[net_sales_inr]]-tblTransactions[[#This Row],[Recalc_Net_Sales]])&lt;0.02,"OK","CHECK")</f>
        <v>OK</v>
      </c>
      <c r="M1858" s="14">
        <f>DATE(YEAR(tblTransactions[[#This Row],[date]]),MONTH(tblTransactions[[#This Row],[date]]),1)</f>
        <v>45748</v>
      </c>
      <c r="N1858" t="str">
        <f>IF(WEEKDAY(tblTransactions[[#This Row],[date]],2)&gt;5,"Weekend","Weekday")</f>
        <v>Weekday</v>
      </c>
      <c r="O1858" s="13" t="str">
        <f>IF(tblTransactions[[#This Row],[discount_pct]]=0,"0%",IF(tblTransactions[[#This Row],[discount_pct]]&lt;=10%,"1–
10%",IF(tblTransactions[[#This Row],[discount_pct]]&lt;=20%,"11–20%","&gt;20%")))</f>
        <v>0%</v>
      </c>
      <c r="P1858" s="13" t="str">
        <f>_xlfn.XLOOKUP(tblTransactions[[#This Row],[tenant_id]],tblTenants[tenant_id],tblTenants[zone],"NOT FOUND")</f>
        <v>Food Court</v>
      </c>
      <c r="Q1858" s="13" t="str">
        <f>_xlfn.XLOOKUP(tblTransactions[[#This Row],[tenant_id]],tblTenants[tenant_id],tblTenants[category],"NOT FOUND")</f>
        <v>Casual Dining</v>
      </c>
    </row>
    <row r="1859" spans="1:17">
      <c r="A1859" t="s">
        <v>1903</v>
      </c>
      <c r="B1859" s="2">
        <v>45782</v>
      </c>
      <c r="C1859">
        <v>18</v>
      </c>
      <c r="D1859" t="s">
        <v>11</v>
      </c>
      <c r="E1859" t="s">
        <v>21</v>
      </c>
      <c r="F1859" s="7">
        <v>498.33</v>
      </c>
      <c r="G1859" s="10">
        <v>0</v>
      </c>
      <c r="H1859" s="7">
        <v>498.33</v>
      </c>
      <c r="I1859">
        <v>1</v>
      </c>
      <c r="J1859" t="s">
        <v>13</v>
      </c>
      <c r="K1859" s="13">
        <f>ROUND(tblTransactions[[#This Row],[gross_sales_inr]]*(1-tblTransactions[[#This Row],[discount_pct]]),2)</f>
        <v>498.33</v>
      </c>
      <c r="L1859" t="str">
        <f>IF(ABS(tblTransactions[[#This Row],[net_sales_inr]]-tblTransactions[[#This Row],[Recalc_Net_Sales]])&lt;0.02,"OK","CHECK")</f>
        <v>OK</v>
      </c>
      <c r="M1859" s="14">
        <f>DATE(YEAR(tblTransactions[[#This Row],[date]]),MONTH(tblTransactions[[#This Row],[date]]),1)</f>
        <v>45778</v>
      </c>
      <c r="N1859" t="str">
        <f>IF(WEEKDAY(tblTransactions[[#This Row],[date]],2)&gt;5,"Weekend","Weekday")</f>
        <v>Weekday</v>
      </c>
      <c r="O1859" s="13" t="str">
        <f>IF(tblTransactions[[#This Row],[discount_pct]]=0,"0%",IF(tblTransactions[[#This Row],[discount_pct]]&lt;=10%,"1–
10%",IF(tblTransactions[[#This Row],[discount_pct]]&lt;=20%,"11–20%","&gt;20%")))</f>
        <v>0%</v>
      </c>
      <c r="P1859" s="13" t="str">
        <f>_xlfn.XLOOKUP(tblTransactions[[#This Row],[tenant_id]],tblTenants[tenant_id],tblTenants[zone],"NOT FOUND")</f>
        <v>Home &amp; Living</v>
      </c>
      <c r="Q1859" s="13" t="str">
        <f>_xlfn.XLOOKUP(tblTransactions[[#This Row],[tenant_id]],tblTenants[tenant_id],tblTenants[category],"NOT FOUND")</f>
        <v>Home Decor</v>
      </c>
    </row>
    <row r="1860" spans="1:17">
      <c r="A1860" t="s">
        <v>1904</v>
      </c>
      <c r="B1860" s="2">
        <v>45750</v>
      </c>
      <c r="C1860">
        <v>22</v>
      </c>
      <c r="D1860" t="s">
        <v>18</v>
      </c>
      <c r="E1860" t="s">
        <v>12</v>
      </c>
      <c r="F1860" s="7">
        <v>1826.61</v>
      </c>
      <c r="G1860" s="10">
        <v>0.2</v>
      </c>
      <c r="H1860" s="7">
        <v>1461.29</v>
      </c>
      <c r="I1860">
        <v>6</v>
      </c>
      <c r="J1860" t="s">
        <v>13</v>
      </c>
      <c r="K1860" s="13">
        <f>ROUND(tblTransactions[[#This Row],[gross_sales_inr]]*(1-tblTransactions[[#This Row],[discount_pct]]),2)</f>
        <v>1461.29</v>
      </c>
      <c r="L1860" t="str">
        <f>IF(ABS(tblTransactions[[#This Row],[net_sales_inr]]-tblTransactions[[#This Row],[Recalc_Net_Sales]])&lt;0.02,"OK","CHECK")</f>
        <v>OK</v>
      </c>
      <c r="M1860" s="14">
        <f>DATE(YEAR(tblTransactions[[#This Row],[date]]),MONTH(tblTransactions[[#This Row],[date]]),1)</f>
        <v>45748</v>
      </c>
      <c r="N1860" t="str">
        <f>IF(WEEKDAY(tblTransactions[[#This Row],[date]],2)&gt;5,"Weekend","Weekday")</f>
        <v>Weekday</v>
      </c>
      <c r="O186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60" s="13" t="str">
        <f>_xlfn.XLOOKUP(tblTransactions[[#This Row],[tenant_id]],tblTenants[tenant_id],tblTenants[zone],"NOT FOUND")</f>
        <v>Beauty &amp; Wellness</v>
      </c>
      <c r="Q1860" s="13" t="str">
        <f>_xlfn.XLOOKUP(tblTransactions[[#This Row],[tenant_id]],tblTenants[tenant_id],tblTenants[category],"NOT FOUND")</f>
        <v>Beauty</v>
      </c>
    </row>
    <row r="1861" spans="1:17">
      <c r="A1861" t="s">
        <v>1905</v>
      </c>
      <c r="B1861" s="2">
        <v>45804</v>
      </c>
      <c r="C1861">
        <v>15</v>
      </c>
      <c r="D1861" t="s">
        <v>45</v>
      </c>
      <c r="E1861" t="s">
        <v>21</v>
      </c>
      <c r="F1861" s="7">
        <v>1239.82</v>
      </c>
      <c r="G1861" s="10">
        <v>0</v>
      </c>
      <c r="H1861" s="7">
        <v>1239.82</v>
      </c>
      <c r="I1861">
        <v>5</v>
      </c>
      <c r="J1861" t="s">
        <v>13</v>
      </c>
      <c r="K1861" s="13">
        <f>ROUND(tblTransactions[[#This Row],[gross_sales_inr]]*(1-tblTransactions[[#This Row],[discount_pct]]),2)</f>
        <v>1239.82</v>
      </c>
      <c r="L1861" t="str">
        <f>IF(ABS(tblTransactions[[#This Row],[net_sales_inr]]-tblTransactions[[#This Row],[Recalc_Net_Sales]])&lt;0.02,"OK","CHECK")</f>
        <v>OK</v>
      </c>
      <c r="M1861" s="14">
        <f>DATE(YEAR(tblTransactions[[#This Row],[date]]),MONTH(tblTransactions[[#This Row],[date]]),1)</f>
        <v>45778</v>
      </c>
      <c r="N1861" t="str">
        <f>IF(WEEKDAY(tblTransactions[[#This Row],[date]],2)&gt;5,"Weekend","Weekday")</f>
        <v>Weekday</v>
      </c>
      <c r="O1861" s="13" t="str">
        <f>IF(tblTransactions[[#This Row],[discount_pct]]=0,"0%",IF(tblTransactions[[#This Row],[discount_pct]]&lt;=10%,"1–
10%",IF(tblTransactions[[#This Row],[discount_pct]]&lt;=20%,"11–20%","&gt;20%")))</f>
        <v>0%</v>
      </c>
      <c r="P1861" s="13" t="str">
        <f>_xlfn.XLOOKUP(tblTransactions[[#This Row],[tenant_id]],tblTenants[tenant_id],tblTenants[zone],"NOT FOUND")</f>
        <v>Home &amp; Living</v>
      </c>
      <c r="Q1861" s="13" t="str">
        <f>_xlfn.XLOOKUP(tblTransactions[[#This Row],[tenant_id]],tblTenants[tenant_id],tblTenants[category],"NOT FOUND")</f>
        <v>Home Decor</v>
      </c>
    </row>
    <row r="1862" spans="1:17">
      <c r="A1862" t="s">
        <v>1906</v>
      </c>
      <c r="B1862" s="2">
        <v>45680</v>
      </c>
      <c r="C1862">
        <v>14</v>
      </c>
      <c r="D1862" t="s">
        <v>55</v>
      </c>
      <c r="E1862" t="s">
        <v>12</v>
      </c>
      <c r="F1862" s="7">
        <v>2144.16</v>
      </c>
      <c r="G1862" s="10">
        <v>0.05</v>
      </c>
      <c r="H1862" s="7">
        <v>2036.95</v>
      </c>
      <c r="I1862">
        <v>1</v>
      </c>
      <c r="J1862" t="s">
        <v>16</v>
      </c>
      <c r="K1862" s="13">
        <f>ROUND(tblTransactions[[#This Row],[gross_sales_inr]]*(1-tblTransactions[[#This Row],[discount_pct]]),2)</f>
        <v>2036.95</v>
      </c>
      <c r="L1862" t="str">
        <f>IF(ABS(tblTransactions[[#This Row],[net_sales_inr]]-tblTransactions[[#This Row],[Recalc_Net_Sales]])&lt;0.02,"OK","CHECK")</f>
        <v>OK</v>
      </c>
      <c r="M1862" s="14">
        <f>DATE(YEAR(tblTransactions[[#This Row],[date]]),MONTH(tblTransactions[[#This Row],[date]]),1)</f>
        <v>45658</v>
      </c>
      <c r="N1862" t="str">
        <f>IF(WEEKDAY(tblTransactions[[#This Row],[date]],2)&gt;5,"Weekend","Weekday")</f>
        <v>Weekday</v>
      </c>
      <c r="O186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62" s="13" t="str">
        <f>_xlfn.XLOOKUP(tblTransactions[[#This Row],[tenant_id]],tblTenants[tenant_id],tblTenants[zone],"NOT FOUND")</f>
        <v>Food Court</v>
      </c>
      <c r="Q1862" s="13" t="str">
        <f>_xlfn.XLOOKUP(tblTransactions[[#This Row],[tenant_id]],tblTenants[tenant_id],tblTenants[category],"NOT FOUND")</f>
        <v>Quick Service</v>
      </c>
    </row>
    <row r="1863" spans="1:17">
      <c r="A1863" t="s">
        <v>1907</v>
      </c>
      <c r="B1863" s="2">
        <v>45725</v>
      </c>
      <c r="C1863">
        <v>12</v>
      </c>
      <c r="D1863" t="s">
        <v>72</v>
      </c>
      <c r="E1863" t="s">
        <v>12</v>
      </c>
      <c r="F1863" s="7">
        <v>1118.1500000000001</v>
      </c>
      <c r="G1863" s="10">
        <v>0</v>
      </c>
      <c r="H1863" s="7">
        <v>1118.1500000000001</v>
      </c>
      <c r="I1863">
        <v>3</v>
      </c>
      <c r="J1863" t="s">
        <v>13</v>
      </c>
      <c r="K1863" s="13">
        <f>ROUND(tblTransactions[[#This Row],[gross_sales_inr]]*(1-tblTransactions[[#This Row],[discount_pct]]),2)</f>
        <v>1118.1500000000001</v>
      </c>
      <c r="L1863" t="str">
        <f>IF(ABS(tblTransactions[[#This Row],[net_sales_inr]]-tblTransactions[[#This Row],[Recalc_Net_Sales]])&lt;0.02,"OK","CHECK")</f>
        <v>OK</v>
      </c>
      <c r="M1863" s="14">
        <f>DATE(YEAR(tblTransactions[[#This Row],[date]]),MONTH(tblTransactions[[#This Row],[date]]),1)</f>
        <v>45717</v>
      </c>
      <c r="N1863" t="str">
        <f>IF(WEEKDAY(tblTransactions[[#This Row],[date]],2)&gt;5,"Weekend","Weekday")</f>
        <v>Weekend</v>
      </c>
      <c r="O1863" s="13" t="str">
        <f>IF(tblTransactions[[#This Row],[discount_pct]]=0,"0%",IF(tblTransactions[[#This Row],[discount_pct]]&lt;=10%,"1–
10%",IF(tblTransactions[[#This Row],[discount_pct]]&lt;=20%,"11–20%","&gt;20%")))</f>
        <v>0%</v>
      </c>
      <c r="P1863" s="13" t="str">
        <f>_xlfn.XLOOKUP(tblTransactions[[#This Row],[tenant_id]],tblTenants[tenant_id],tblTenants[zone],"NOT FOUND")</f>
        <v>Entertainment</v>
      </c>
      <c r="Q1863" s="13" t="str">
        <f>_xlfn.XLOOKUP(tblTransactions[[#This Row],[tenant_id]],tblTenants[tenant_id],tblTenants[category],"NOT FOUND")</f>
        <v>Arcade</v>
      </c>
    </row>
    <row r="1864" spans="1:17">
      <c r="A1864" t="s">
        <v>1908</v>
      </c>
      <c r="B1864" s="2">
        <v>45741</v>
      </c>
      <c r="C1864">
        <v>16</v>
      </c>
      <c r="D1864" t="s">
        <v>63</v>
      </c>
      <c r="E1864" t="s">
        <v>32</v>
      </c>
      <c r="F1864" s="7">
        <v>1079.42</v>
      </c>
      <c r="G1864" s="10">
        <v>0.15</v>
      </c>
      <c r="H1864" s="7">
        <v>917.51</v>
      </c>
      <c r="I1864">
        <v>2</v>
      </c>
      <c r="J1864" t="s">
        <v>13</v>
      </c>
      <c r="K1864" s="13">
        <f>ROUND(tblTransactions[[#This Row],[gross_sales_inr]]*(1-tblTransactions[[#This Row],[discount_pct]]),2)</f>
        <v>917.51</v>
      </c>
      <c r="L1864" t="str">
        <f>IF(ABS(tblTransactions[[#This Row],[net_sales_inr]]-tblTransactions[[#This Row],[Recalc_Net_Sales]])&lt;0.02,"OK","CHECK")</f>
        <v>OK</v>
      </c>
      <c r="M1864" s="14">
        <f>DATE(YEAR(tblTransactions[[#This Row],[date]]),MONTH(tblTransactions[[#This Row],[date]]),1)</f>
        <v>45717</v>
      </c>
      <c r="N1864" t="str">
        <f>IF(WEEKDAY(tblTransactions[[#This Row],[date]],2)&gt;5,"Weekend","Weekday")</f>
        <v>Weekday</v>
      </c>
      <c r="O186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64" s="13" t="str">
        <f>_xlfn.XLOOKUP(tblTransactions[[#This Row],[tenant_id]],tblTenants[tenant_id],tblTenants[zone],"NOT FOUND")</f>
        <v>Entertainment</v>
      </c>
      <c r="Q1864" s="13" t="str">
        <f>_xlfn.XLOOKUP(tblTransactions[[#This Row],[tenant_id]],tblTenants[tenant_id],tblTenants[category],"NOT FOUND")</f>
        <v>Family Entertainment</v>
      </c>
    </row>
    <row r="1865" spans="1:17">
      <c r="A1865" t="s">
        <v>1909</v>
      </c>
      <c r="B1865" s="2">
        <v>45787</v>
      </c>
      <c r="C1865">
        <v>15</v>
      </c>
      <c r="D1865" t="s">
        <v>45</v>
      </c>
      <c r="E1865" t="s">
        <v>12</v>
      </c>
      <c r="F1865" s="7">
        <v>1240.81</v>
      </c>
      <c r="G1865" s="10">
        <v>0</v>
      </c>
      <c r="H1865" s="7">
        <v>1240.81</v>
      </c>
      <c r="I1865">
        <v>2</v>
      </c>
      <c r="J1865" t="s">
        <v>13</v>
      </c>
      <c r="K1865" s="13">
        <f>ROUND(tblTransactions[[#This Row],[gross_sales_inr]]*(1-tblTransactions[[#This Row],[discount_pct]]),2)</f>
        <v>1240.81</v>
      </c>
      <c r="L1865" t="str">
        <f>IF(ABS(tblTransactions[[#This Row],[net_sales_inr]]-tblTransactions[[#This Row],[Recalc_Net_Sales]])&lt;0.02,"OK","CHECK")</f>
        <v>OK</v>
      </c>
      <c r="M1865" s="14">
        <f>DATE(YEAR(tblTransactions[[#This Row],[date]]),MONTH(tblTransactions[[#This Row],[date]]),1)</f>
        <v>45778</v>
      </c>
      <c r="N1865" t="str">
        <f>IF(WEEKDAY(tblTransactions[[#This Row],[date]],2)&gt;5,"Weekend","Weekday")</f>
        <v>Weekend</v>
      </c>
      <c r="O1865" s="13" t="str">
        <f>IF(tblTransactions[[#This Row],[discount_pct]]=0,"0%",IF(tblTransactions[[#This Row],[discount_pct]]&lt;=10%,"1–
10%",IF(tblTransactions[[#This Row],[discount_pct]]&lt;=20%,"11–20%","&gt;20%")))</f>
        <v>0%</v>
      </c>
      <c r="P1865" s="13" t="str">
        <f>_xlfn.XLOOKUP(tblTransactions[[#This Row],[tenant_id]],tblTenants[tenant_id],tblTenants[zone],"NOT FOUND")</f>
        <v>Home &amp; Living</v>
      </c>
      <c r="Q1865" s="13" t="str">
        <f>_xlfn.XLOOKUP(tblTransactions[[#This Row],[tenant_id]],tblTenants[tenant_id],tblTenants[category],"NOT FOUND")</f>
        <v>Home Decor</v>
      </c>
    </row>
    <row r="1866" spans="1:17">
      <c r="A1866" t="s">
        <v>1910</v>
      </c>
      <c r="B1866" s="2">
        <v>45760</v>
      </c>
      <c r="C1866">
        <v>17</v>
      </c>
      <c r="D1866" t="s">
        <v>122</v>
      </c>
      <c r="E1866" t="s">
        <v>32</v>
      </c>
      <c r="F1866" s="7">
        <v>602.84</v>
      </c>
      <c r="G1866" s="10">
        <v>0</v>
      </c>
      <c r="H1866" s="7">
        <v>602.84</v>
      </c>
      <c r="I1866">
        <v>2</v>
      </c>
      <c r="J1866" t="s">
        <v>16</v>
      </c>
      <c r="K1866" s="13">
        <f>ROUND(tblTransactions[[#This Row],[gross_sales_inr]]*(1-tblTransactions[[#This Row],[discount_pct]]),2)</f>
        <v>602.84</v>
      </c>
      <c r="L1866" t="str">
        <f>IF(ABS(tblTransactions[[#This Row],[net_sales_inr]]-tblTransactions[[#This Row],[Recalc_Net_Sales]])&lt;0.02,"OK","CHECK")</f>
        <v>OK</v>
      </c>
      <c r="M1866" s="14">
        <f>DATE(YEAR(tblTransactions[[#This Row],[date]]),MONTH(tblTransactions[[#This Row],[date]]),1)</f>
        <v>45748</v>
      </c>
      <c r="N1866" t="str">
        <f>IF(WEEKDAY(tblTransactions[[#This Row],[date]],2)&gt;5,"Weekend","Weekday")</f>
        <v>Weekend</v>
      </c>
      <c r="O1866" s="13" t="str">
        <f>IF(tblTransactions[[#This Row],[discount_pct]]=0,"0%",IF(tblTransactions[[#This Row],[discount_pct]]&lt;=10%,"1–
10%",IF(tblTransactions[[#This Row],[discount_pct]]&lt;=20%,"11–20%","&gt;20%")))</f>
        <v>0%</v>
      </c>
      <c r="P1866" s="13" t="str">
        <f>_xlfn.XLOOKUP(tblTransactions[[#This Row],[tenant_id]],tblTenants[tenant_id],tblTenants[zone],"NOT FOUND")</f>
        <v>Beauty &amp; Wellness</v>
      </c>
      <c r="Q1866" s="13" t="str">
        <f>_xlfn.XLOOKUP(tblTransactions[[#This Row],[tenant_id]],tblTenants[tenant_id],tblTenants[category],"NOT FOUND")</f>
        <v>Wellness</v>
      </c>
    </row>
    <row r="1867" spans="1:17">
      <c r="A1867" t="s">
        <v>1911</v>
      </c>
      <c r="B1867" s="2">
        <v>45725</v>
      </c>
      <c r="C1867">
        <v>11</v>
      </c>
      <c r="D1867" t="s">
        <v>61</v>
      </c>
      <c r="E1867" t="s">
        <v>32</v>
      </c>
      <c r="F1867" s="7">
        <v>2470.12</v>
      </c>
      <c r="G1867" s="10">
        <v>0</v>
      </c>
      <c r="H1867" s="7">
        <v>2470.12</v>
      </c>
      <c r="I1867">
        <v>2</v>
      </c>
      <c r="J1867" t="s">
        <v>13</v>
      </c>
      <c r="K1867" s="13">
        <f>ROUND(tblTransactions[[#This Row],[gross_sales_inr]]*(1-tblTransactions[[#This Row],[discount_pct]]),2)</f>
        <v>2470.12</v>
      </c>
      <c r="L1867" t="str">
        <f>IF(ABS(tblTransactions[[#This Row],[net_sales_inr]]-tblTransactions[[#This Row],[Recalc_Net_Sales]])&lt;0.02,"OK","CHECK")</f>
        <v>OK</v>
      </c>
      <c r="M1867" s="14">
        <f>DATE(YEAR(tblTransactions[[#This Row],[date]]),MONTH(tblTransactions[[#This Row],[date]]),1)</f>
        <v>45717</v>
      </c>
      <c r="N1867" t="str">
        <f>IF(WEEKDAY(tblTransactions[[#This Row],[date]],2)&gt;5,"Weekend","Weekday")</f>
        <v>Weekend</v>
      </c>
      <c r="O1867" s="13" t="str">
        <f>IF(tblTransactions[[#This Row],[discount_pct]]=0,"0%",IF(tblTransactions[[#This Row],[discount_pct]]&lt;=10%,"1–
10%",IF(tblTransactions[[#This Row],[discount_pct]]&lt;=20%,"11–20%","&gt;20%")))</f>
        <v>0%</v>
      </c>
      <c r="P1867" s="13" t="str">
        <f>_xlfn.XLOOKUP(tblTransactions[[#This Row],[tenant_id]],tblTenants[tenant_id],tblTenants[zone],"NOT FOUND")</f>
        <v>Food Court</v>
      </c>
      <c r="Q1867" s="13" t="str">
        <f>_xlfn.XLOOKUP(tblTransactions[[#This Row],[tenant_id]],tblTenants[tenant_id],tblTenants[category],"NOT FOUND")</f>
        <v>Quick Service</v>
      </c>
    </row>
    <row r="1868" spans="1:17">
      <c r="A1868" t="s">
        <v>1912</v>
      </c>
      <c r="B1868" s="2">
        <v>45836</v>
      </c>
      <c r="C1868">
        <v>13</v>
      </c>
      <c r="D1868" t="s">
        <v>25</v>
      </c>
      <c r="E1868" t="s">
        <v>12</v>
      </c>
      <c r="F1868" s="7">
        <v>1258.75</v>
      </c>
      <c r="G1868" s="10">
        <v>0</v>
      </c>
      <c r="H1868" s="7">
        <v>1258.75</v>
      </c>
      <c r="I1868">
        <v>5</v>
      </c>
      <c r="J1868" t="s">
        <v>13</v>
      </c>
      <c r="K1868" s="13">
        <f>ROUND(tblTransactions[[#This Row],[gross_sales_inr]]*(1-tblTransactions[[#This Row],[discount_pct]]),2)</f>
        <v>1258.75</v>
      </c>
      <c r="L1868" t="str">
        <f>IF(ABS(tblTransactions[[#This Row],[net_sales_inr]]-tblTransactions[[#This Row],[Recalc_Net_Sales]])&lt;0.02,"OK","CHECK")</f>
        <v>OK</v>
      </c>
      <c r="M1868" s="14">
        <f>DATE(YEAR(tblTransactions[[#This Row],[date]]),MONTH(tblTransactions[[#This Row],[date]]),1)</f>
        <v>45809</v>
      </c>
      <c r="N1868" t="str">
        <f>IF(WEEKDAY(tblTransactions[[#This Row],[date]],2)&gt;5,"Weekend","Weekday")</f>
        <v>Weekend</v>
      </c>
      <c r="O1868" s="13" t="str">
        <f>IF(tblTransactions[[#This Row],[discount_pct]]=0,"0%",IF(tblTransactions[[#This Row],[discount_pct]]&lt;=10%,"1–
10%",IF(tblTransactions[[#This Row],[discount_pct]]&lt;=20%,"11–20%","&gt;20%")))</f>
        <v>0%</v>
      </c>
      <c r="P1868" s="13" t="str">
        <f>_xlfn.XLOOKUP(tblTransactions[[#This Row],[tenant_id]],tblTenants[tenant_id],tblTenants[zone],"NOT FOUND")</f>
        <v>Beauty &amp; Wellness</v>
      </c>
      <c r="Q1868" s="13" t="str">
        <f>_xlfn.XLOOKUP(tblTransactions[[#This Row],[tenant_id]],tblTenants[tenant_id],tblTenants[category],"NOT FOUND")</f>
        <v>Beauty</v>
      </c>
    </row>
    <row r="1869" spans="1:17">
      <c r="A1869" t="s">
        <v>1913</v>
      </c>
      <c r="B1869" s="2">
        <v>45800</v>
      </c>
      <c r="C1869">
        <v>11</v>
      </c>
      <c r="D1869" t="s">
        <v>53</v>
      </c>
      <c r="E1869" t="s">
        <v>51</v>
      </c>
      <c r="F1869" s="7">
        <v>1566.05</v>
      </c>
      <c r="G1869" s="10">
        <v>0.2</v>
      </c>
      <c r="H1869" s="7">
        <v>1252.8399999999999</v>
      </c>
      <c r="I1869">
        <v>4</v>
      </c>
      <c r="J1869" t="s">
        <v>16</v>
      </c>
      <c r="K1869" s="13">
        <f>ROUND(tblTransactions[[#This Row],[gross_sales_inr]]*(1-tblTransactions[[#This Row],[discount_pct]]),2)</f>
        <v>1252.8399999999999</v>
      </c>
      <c r="L1869" t="str">
        <f>IF(ABS(tblTransactions[[#This Row],[net_sales_inr]]-tblTransactions[[#This Row],[Recalc_Net_Sales]])&lt;0.02,"OK","CHECK")</f>
        <v>OK</v>
      </c>
      <c r="M1869" s="14">
        <f>DATE(YEAR(tblTransactions[[#This Row],[date]]),MONTH(tblTransactions[[#This Row],[date]]),1)</f>
        <v>45778</v>
      </c>
      <c r="N1869" t="str">
        <f>IF(WEEKDAY(tblTransactions[[#This Row],[date]],2)&gt;5,"Weekend","Weekday")</f>
        <v>Weekday</v>
      </c>
      <c r="O186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69" s="13" t="str">
        <f>_xlfn.XLOOKUP(tblTransactions[[#This Row],[tenant_id]],tblTenants[tenant_id],tblTenants[zone],"NOT FOUND")</f>
        <v>Beauty &amp; Wellness</v>
      </c>
      <c r="Q1869" s="13" t="str">
        <f>_xlfn.XLOOKUP(tblTransactions[[#This Row],[tenant_id]],tblTenants[tenant_id],tblTenants[category],"NOT FOUND")</f>
        <v>Beauty</v>
      </c>
    </row>
    <row r="1870" spans="1:17">
      <c r="A1870" t="s">
        <v>1914</v>
      </c>
      <c r="B1870" s="2">
        <v>45707</v>
      </c>
      <c r="C1870">
        <v>11</v>
      </c>
      <c r="D1870" t="s">
        <v>45</v>
      </c>
      <c r="E1870" t="s">
        <v>51</v>
      </c>
      <c r="F1870" s="7">
        <v>1796.69</v>
      </c>
      <c r="G1870" s="10">
        <v>0</v>
      </c>
      <c r="H1870" s="7">
        <v>1796.69</v>
      </c>
      <c r="I1870">
        <v>2</v>
      </c>
      <c r="J1870" t="s">
        <v>13</v>
      </c>
      <c r="K1870" s="13">
        <f>ROUND(tblTransactions[[#This Row],[gross_sales_inr]]*(1-tblTransactions[[#This Row],[discount_pct]]),2)</f>
        <v>1796.69</v>
      </c>
      <c r="L1870" t="str">
        <f>IF(ABS(tblTransactions[[#This Row],[net_sales_inr]]-tblTransactions[[#This Row],[Recalc_Net_Sales]])&lt;0.02,"OK","CHECK")</f>
        <v>OK</v>
      </c>
      <c r="M1870" s="14">
        <f>DATE(YEAR(tblTransactions[[#This Row],[date]]),MONTH(tblTransactions[[#This Row],[date]]),1)</f>
        <v>45689</v>
      </c>
      <c r="N1870" t="str">
        <f>IF(WEEKDAY(tblTransactions[[#This Row],[date]],2)&gt;5,"Weekend","Weekday")</f>
        <v>Weekday</v>
      </c>
      <c r="O1870" s="13" t="str">
        <f>IF(tblTransactions[[#This Row],[discount_pct]]=0,"0%",IF(tblTransactions[[#This Row],[discount_pct]]&lt;=10%,"1–
10%",IF(tblTransactions[[#This Row],[discount_pct]]&lt;=20%,"11–20%","&gt;20%")))</f>
        <v>0%</v>
      </c>
      <c r="P1870" s="13" t="str">
        <f>_xlfn.XLOOKUP(tblTransactions[[#This Row],[tenant_id]],tblTenants[tenant_id],tblTenants[zone],"NOT FOUND")</f>
        <v>Home &amp; Living</v>
      </c>
      <c r="Q1870" s="13" t="str">
        <f>_xlfn.XLOOKUP(tblTransactions[[#This Row],[tenant_id]],tblTenants[tenant_id],tblTenants[category],"NOT FOUND")</f>
        <v>Home Decor</v>
      </c>
    </row>
    <row r="1871" spans="1:17">
      <c r="A1871" t="s">
        <v>1915</v>
      </c>
      <c r="B1871" s="2">
        <v>45783</v>
      </c>
      <c r="C1871">
        <v>12</v>
      </c>
      <c r="D1871" t="s">
        <v>34</v>
      </c>
      <c r="E1871" t="s">
        <v>21</v>
      </c>
      <c r="F1871" s="7">
        <v>1428.36</v>
      </c>
      <c r="G1871" s="10">
        <v>0</v>
      </c>
      <c r="H1871" s="7">
        <v>1428.36</v>
      </c>
      <c r="I1871">
        <v>1</v>
      </c>
      <c r="J1871" t="s">
        <v>13</v>
      </c>
      <c r="K1871" s="13">
        <f>ROUND(tblTransactions[[#This Row],[gross_sales_inr]]*(1-tblTransactions[[#This Row],[discount_pct]]),2)</f>
        <v>1428.36</v>
      </c>
      <c r="L1871" t="str">
        <f>IF(ABS(tblTransactions[[#This Row],[net_sales_inr]]-tblTransactions[[#This Row],[Recalc_Net_Sales]])&lt;0.02,"OK","CHECK")</f>
        <v>OK</v>
      </c>
      <c r="M1871" s="14">
        <f>DATE(YEAR(tblTransactions[[#This Row],[date]]),MONTH(tblTransactions[[#This Row],[date]]),1)</f>
        <v>45778</v>
      </c>
      <c r="N1871" t="str">
        <f>IF(WEEKDAY(tblTransactions[[#This Row],[date]],2)&gt;5,"Weekend","Weekday")</f>
        <v>Weekday</v>
      </c>
      <c r="O1871" s="13" t="str">
        <f>IF(tblTransactions[[#This Row],[discount_pct]]=0,"0%",IF(tblTransactions[[#This Row],[discount_pct]]&lt;=10%,"1–
10%",IF(tblTransactions[[#This Row],[discount_pct]]&lt;=20%,"11–20%","&gt;20%")))</f>
        <v>0%</v>
      </c>
      <c r="P1871" s="13" t="str">
        <f>_xlfn.XLOOKUP(tblTransactions[[#This Row],[tenant_id]],tblTenants[tenant_id],tblTenants[zone],"NOT FOUND")</f>
        <v>Home &amp; Living</v>
      </c>
      <c r="Q1871" s="13" t="str">
        <f>_xlfn.XLOOKUP(tblTransactions[[#This Row],[tenant_id]],tblTenants[tenant_id],tblTenants[category],"NOT FOUND")</f>
        <v>Electronics</v>
      </c>
    </row>
    <row r="1872" spans="1:17">
      <c r="A1872" t="s">
        <v>1916</v>
      </c>
      <c r="B1872" s="2">
        <v>45712</v>
      </c>
      <c r="C1872">
        <v>13</v>
      </c>
      <c r="D1872" t="s">
        <v>36</v>
      </c>
      <c r="E1872" t="s">
        <v>32</v>
      </c>
      <c r="F1872" s="7">
        <v>593.45000000000005</v>
      </c>
      <c r="G1872" s="10">
        <v>0</v>
      </c>
      <c r="H1872" s="7">
        <v>593.45000000000005</v>
      </c>
      <c r="I1872">
        <v>3</v>
      </c>
      <c r="J1872" t="s">
        <v>13</v>
      </c>
      <c r="K1872" s="13">
        <f>ROUND(tblTransactions[[#This Row],[gross_sales_inr]]*(1-tblTransactions[[#This Row],[discount_pct]]),2)</f>
        <v>593.45000000000005</v>
      </c>
      <c r="L1872" t="str">
        <f>IF(ABS(tblTransactions[[#This Row],[net_sales_inr]]-tblTransactions[[#This Row],[Recalc_Net_Sales]])&lt;0.02,"OK","CHECK")</f>
        <v>OK</v>
      </c>
      <c r="M1872" s="14">
        <f>DATE(YEAR(tblTransactions[[#This Row],[date]]),MONTH(tblTransactions[[#This Row],[date]]),1)</f>
        <v>45689</v>
      </c>
      <c r="N1872" t="str">
        <f>IF(WEEKDAY(tblTransactions[[#This Row],[date]],2)&gt;5,"Weekend","Weekday")</f>
        <v>Weekday</v>
      </c>
      <c r="O1872" s="13" t="str">
        <f>IF(tblTransactions[[#This Row],[discount_pct]]=0,"0%",IF(tblTransactions[[#This Row],[discount_pct]]&lt;=10%,"1–
10%",IF(tblTransactions[[#This Row],[discount_pct]]&lt;=20%,"11–20%","&gt;20%")))</f>
        <v>0%</v>
      </c>
      <c r="P1872" s="13" t="str">
        <f>_xlfn.XLOOKUP(tblTransactions[[#This Row],[tenant_id]],tblTenants[tenant_id],tblTenants[zone],"NOT FOUND")</f>
        <v>Home &amp; Living</v>
      </c>
      <c r="Q1872" s="13" t="str">
        <f>_xlfn.XLOOKUP(tblTransactions[[#This Row],[tenant_id]],tblTenants[tenant_id],tblTenants[category],"NOT FOUND")</f>
        <v>Electronics</v>
      </c>
    </row>
    <row r="1873" spans="1:17">
      <c r="A1873" t="s">
        <v>1917</v>
      </c>
      <c r="B1873" s="2">
        <v>45730</v>
      </c>
      <c r="C1873">
        <v>14</v>
      </c>
      <c r="D1873" t="s">
        <v>18</v>
      </c>
      <c r="E1873" t="s">
        <v>12</v>
      </c>
      <c r="F1873" s="7">
        <v>321.22000000000003</v>
      </c>
      <c r="G1873" s="10">
        <v>0.2</v>
      </c>
      <c r="H1873" s="7">
        <v>256.98</v>
      </c>
      <c r="I1873">
        <v>4</v>
      </c>
      <c r="J1873" t="s">
        <v>13</v>
      </c>
      <c r="K1873" s="13">
        <f>ROUND(tblTransactions[[#This Row],[gross_sales_inr]]*(1-tblTransactions[[#This Row],[discount_pct]]),2)</f>
        <v>256.98</v>
      </c>
      <c r="L1873" t="str">
        <f>IF(ABS(tblTransactions[[#This Row],[net_sales_inr]]-tblTransactions[[#This Row],[Recalc_Net_Sales]])&lt;0.02,"OK","CHECK")</f>
        <v>OK</v>
      </c>
      <c r="M1873" s="14">
        <f>DATE(YEAR(tblTransactions[[#This Row],[date]]),MONTH(tblTransactions[[#This Row],[date]]),1)</f>
        <v>45717</v>
      </c>
      <c r="N1873" t="str">
        <f>IF(WEEKDAY(tblTransactions[[#This Row],[date]],2)&gt;5,"Weekend","Weekday")</f>
        <v>Weekday</v>
      </c>
      <c r="O187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73" s="13" t="str">
        <f>_xlfn.XLOOKUP(tblTransactions[[#This Row],[tenant_id]],tblTenants[tenant_id],tblTenants[zone],"NOT FOUND")</f>
        <v>Beauty &amp; Wellness</v>
      </c>
      <c r="Q1873" s="13" t="str">
        <f>_xlfn.XLOOKUP(tblTransactions[[#This Row],[tenant_id]],tblTenants[tenant_id],tblTenants[category],"NOT FOUND")</f>
        <v>Beauty</v>
      </c>
    </row>
    <row r="1874" spans="1:17">
      <c r="A1874" t="s">
        <v>1918</v>
      </c>
      <c r="B1874" s="2">
        <v>45700</v>
      </c>
      <c r="C1874">
        <v>18</v>
      </c>
      <c r="D1874" t="s">
        <v>87</v>
      </c>
      <c r="E1874" t="s">
        <v>32</v>
      </c>
      <c r="F1874" s="7">
        <v>1804.6</v>
      </c>
      <c r="G1874" s="10">
        <v>0.1</v>
      </c>
      <c r="H1874" s="7">
        <v>1624.14</v>
      </c>
      <c r="I1874">
        <v>6</v>
      </c>
      <c r="J1874" t="s">
        <v>16</v>
      </c>
      <c r="K1874" s="13">
        <f>ROUND(tblTransactions[[#This Row],[gross_sales_inr]]*(1-tblTransactions[[#This Row],[discount_pct]]),2)</f>
        <v>1624.14</v>
      </c>
      <c r="L1874" t="str">
        <f>IF(ABS(tblTransactions[[#This Row],[net_sales_inr]]-tblTransactions[[#This Row],[Recalc_Net_Sales]])&lt;0.02,"OK","CHECK")</f>
        <v>OK</v>
      </c>
      <c r="M1874" s="14">
        <f>DATE(YEAR(tblTransactions[[#This Row],[date]]),MONTH(tblTransactions[[#This Row],[date]]),1)</f>
        <v>45689</v>
      </c>
      <c r="N1874" t="str">
        <f>IF(WEEKDAY(tblTransactions[[#This Row],[date]],2)&gt;5,"Weekend","Weekday")</f>
        <v>Weekday</v>
      </c>
      <c r="O187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74" s="13" t="str">
        <f>_xlfn.XLOOKUP(tblTransactions[[#This Row],[tenant_id]],tblTenants[tenant_id],tblTenants[zone],"NOT FOUND")</f>
        <v>Fashion Avenue</v>
      </c>
      <c r="Q1874" s="13" t="str">
        <f>_xlfn.XLOOKUP(tblTransactions[[#This Row],[tenant_id]],tblTenants[tenant_id],tblTenants[category],"NOT FOUND")</f>
        <v>Footwear</v>
      </c>
    </row>
    <row r="1875" spans="1:17">
      <c r="A1875" t="s">
        <v>1919</v>
      </c>
      <c r="B1875" s="2">
        <v>45744</v>
      </c>
      <c r="C1875">
        <v>20</v>
      </c>
      <c r="D1875" t="s">
        <v>87</v>
      </c>
      <c r="E1875" t="s">
        <v>32</v>
      </c>
      <c r="F1875" s="7">
        <v>898.45</v>
      </c>
      <c r="G1875" s="10">
        <v>0</v>
      </c>
      <c r="H1875" s="7">
        <v>898.45</v>
      </c>
      <c r="I1875">
        <v>4</v>
      </c>
      <c r="J1875" t="s">
        <v>13</v>
      </c>
      <c r="K1875" s="13">
        <f>ROUND(tblTransactions[[#This Row],[gross_sales_inr]]*(1-tblTransactions[[#This Row],[discount_pct]]),2)</f>
        <v>898.45</v>
      </c>
      <c r="L1875" t="str">
        <f>IF(ABS(tblTransactions[[#This Row],[net_sales_inr]]-tblTransactions[[#This Row],[Recalc_Net_Sales]])&lt;0.02,"OK","CHECK")</f>
        <v>OK</v>
      </c>
      <c r="M1875" s="14">
        <f>DATE(YEAR(tblTransactions[[#This Row],[date]]),MONTH(tblTransactions[[#This Row],[date]]),1)</f>
        <v>45717</v>
      </c>
      <c r="N1875" t="str">
        <f>IF(WEEKDAY(tblTransactions[[#This Row],[date]],2)&gt;5,"Weekend","Weekday")</f>
        <v>Weekday</v>
      </c>
      <c r="O1875" s="13" t="str">
        <f>IF(tblTransactions[[#This Row],[discount_pct]]=0,"0%",IF(tblTransactions[[#This Row],[discount_pct]]&lt;=10%,"1–
10%",IF(tblTransactions[[#This Row],[discount_pct]]&lt;=20%,"11–20%","&gt;20%")))</f>
        <v>0%</v>
      </c>
      <c r="P1875" s="13" t="str">
        <f>_xlfn.XLOOKUP(tblTransactions[[#This Row],[tenant_id]],tblTenants[tenant_id],tblTenants[zone],"NOT FOUND")</f>
        <v>Fashion Avenue</v>
      </c>
      <c r="Q1875" s="13" t="str">
        <f>_xlfn.XLOOKUP(tblTransactions[[#This Row],[tenant_id]],tblTenants[tenant_id],tblTenants[category],"NOT FOUND")</f>
        <v>Footwear</v>
      </c>
    </row>
    <row r="1876" spans="1:17">
      <c r="A1876" t="s">
        <v>1920</v>
      </c>
      <c r="B1876" s="2">
        <v>45812</v>
      </c>
      <c r="C1876">
        <v>20</v>
      </c>
      <c r="D1876" t="s">
        <v>87</v>
      </c>
      <c r="E1876" t="s">
        <v>21</v>
      </c>
      <c r="F1876" s="7">
        <v>1633.18</v>
      </c>
      <c r="G1876" s="10">
        <v>0.2</v>
      </c>
      <c r="H1876" s="7">
        <v>1306.54</v>
      </c>
      <c r="I1876">
        <v>1</v>
      </c>
      <c r="J1876" t="s">
        <v>13</v>
      </c>
      <c r="K1876" s="13">
        <f>ROUND(tblTransactions[[#This Row],[gross_sales_inr]]*(1-tblTransactions[[#This Row],[discount_pct]]),2)</f>
        <v>1306.54</v>
      </c>
      <c r="L1876" t="str">
        <f>IF(ABS(tblTransactions[[#This Row],[net_sales_inr]]-tblTransactions[[#This Row],[Recalc_Net_Sales]])&lt;0.02,"OK","CHECK")</f>
        <v>OK</v>
      </c>
      <c r="M1876" s="14">
        <f>DATE(YEAR(tblTransactions[[#This Row],[date]]),MONTH(tblTransactions[[#This Row],[date]]),1)</f>
        <v>45809</v>
      </c>
      <c r="N1876" t="str">
        <f>IF(WEEKDAY(tblTransactions[[#This Row],[date]],2)&gt;5,"Weekend","Weekday")</f>
        <v>Weekday</v>
      </c>
      <c r="O187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76" s="13" t="str">
        <f>_xlfn.XLOOKUP(tblTransactions[[#This Row],[tenant_id]],tblTenants[tenant_id],tblTenants[zone],"NOT FOUND")</f>
        <v>Fashion Avenue</v>
      </c>
      <c r="Q1876" s="13" t="str">
        <f>_xlfn.XLOOKUP(tblTransactions[[#This Row],[tenant_id]],tblTenants[tenant_id],tblTenants[category],"NOT FOUND")</f>
        <v>Footwear</v>
      </c>
    </row>
    <row r="1877" spans="1:17">
      <c r="A1877" t="s">
        <v>1921</v>
      </c>
      <c r="B1877" s="2">
        <v>45774</v>
      </c>
      <c r="C1877">
        <v>21</v>
      </c>
      <c r="D1877" t="s">
        <v>36</v>
      </c>
      <c r="E1877" t="s">
        <v>32</v>
      </c>
      <c r="F1877" s="7">
        <v>523.92999999999995</v>
      </c>
      <c r="G1877" s="10">
        <v>0</v>
      </c>
      <c r="H1877" s="7">
        <v>523.92999999999995</v>
      </c>
      <c r="I1877">
        <v>3</v>
      </c>
      <c r="J1877" t="s">
        <v>13</v>
      </c>
      <c r="K1877" s="13">
        <f>ROUND(tblTransactions[[#This Row],[gross_sales_inr]]*(1-tblTransactions[[#This Row],[discount_pct]]),2)</f>
        <v>523.92999999999995</v>
      </c>
      <c r="L1877" t="str">
        <f>IF(ABS(tblTransactions[[#This Row],[net_sales_inr]]-tblTransactions[[#This Row],[Recalc_Net_Sales]])&lt;0.02,"OK","CHECK")</f>
        <v>OK</v>
      </c>
      <c r="M1877" s="14">
        <f>DATE(YEAR(tblTransactions[[#This Row],[date]]),MONTH(tblTransactions[[#This Row],[date]]),1)</f>
        <v>45748</v>
      </c>
      <c r="N1877" t="str">
        <f>IF(WEEKDAY(tblTransactions[[#This Row],[date]],2)&gt;5,"Weekend","Weekday")</f>
        <v>Weekend</v>
      </c>
      <c r="O1877" s="13" t="str">
        <f>IF(tblTransactions[[#This Row],[discount_pct]]=0,"0%",IF(tblTransactions[[#This Row],[discount_pct]]&lt;=10%,"1–
10%",IF(tblTransactions[[#This Row],[discount_pct]]&lt;=20%,"11–20%","&gt;20%")))</f>
        <v>0%</v>
      </c>
      <c r="P1877" s="13" t="str">
        <f>_xlfn.XLOOKUP(tblTransactions[[#This Row],[tenant_id]],tblTenants[tenant_id],tblTenants[zone],"NOT FOUND")</f>
        <v>Home &amp; Living</v>
      </c>
      <c r="Q1877" s="13" t="str">
        <f>_xlfn.XLOOKUP(tblTransactions[[#This Row],[tenant_id]],tblTenants[tenant_id],tblTenants[category],"NOT FOUND")</f>
        <v>Electronics</v>
      </c>
    </row>
    <row r="1878" spans="1:17">
      <c r="A1878" t="s">
        <v>1922</v>
      </c>
      <c r="B1878" s="2">
        <v>45734</v>
      </c>
      <c r="C1878">
        <v>16</v>
      </c>
      <c r="D1878" t="s">
        <v>63</v>
      </c>
      <c r="E1878" t="s">
        <v>21</v>
      </c>
      <c r="F1878" s="7">
        <v>627.59</v>
      </c>
      <c r="G1878" s="10">
        <v>0.05</v>
      </c>
      <c r="H1878" s="7">
        <v>596.21</v>
      </c>
      <c r="I1878">
        <v>3</v>
      </c>
      <c r="J1878" t="s">
        <v>16</v>
      </c>
      <c r="K1878" s="13">
        <f>ROUND(tblTransactions[[#This Row],[gross_sales_inr]]*(1-tblTransactions[[#This Row],[discount_pct]]),2)</f>
        <v>596.21</v>
      </c>
      <c r="L1878" t="str">
        <f>IF(ABS(tblTransactions[[#This Row],[net_sales_inr]]-tblTransactions[[#This Row],[Recalc_Net_Sales]])&lt;0.02,"OK","CHECK")</f>
        <v>OK</v>
      </c>
      <c r="M1878" s="14">
        <f>DATE(YEAR(tblTransactions[[#This Row],[date]]),MONTH(tblTransactions[[#This Row],[date]]),1)</f>
        <v>45717</v>
      </c>
      <c r="N1878" t="str">
        <f>IF(WEEKDAY(tblTransactions[[#This Row],[date]],2)&gt;5,"Weekend","Weekday")</f>
        <v>Weekday</v>
      </c>
      <c r="O187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78" s="13" t="str">
        <f>_xlfn.XLOOKUP(tblTransactions[[#This Row],[tenant_id]],tblTenants[tenant_id],tblTenants[zone],"NOT FOUND")</f>
        <v>Entertainment</v>
      </c>
      <c r="Q1878" s="13" t="str">
        <f>_xlfn.XLOOKUP(tblTransactions[[#This Row],[tenant_id]],tblTenants[tenant_id],tblTenants[category],"NOT FOUND")</f>
        <v>Family Entertainment</v>
      </c>
    </row>
    <row r="1879" spans="1:17">
      <c r="A1879" t="s">
        <v>1923</v>
      </c>
      <c r="B1879" s="2">
        <v>45770</v>
      </c>
      <c r="C1879">
        <v>14</v>
      </c>
      <c r="D1879" t="s">
        <v>25</v>
      </c>
      <c r="E1879" t="s">
        <v>32</v>
      </c>
      <c r="F1879" s="7">
        <v>505.31</v>
      </c>
      <c r="G1879" s="10">
        <v>0.15</v>
      </c>
      <c r="H1879" s="7">
        <v>429.51</v>
      </c>
      <c r="I1879">
        <v>4</v>
      </c>
      <c r="J1879" t="s">
        <v>13</v>
      </c>
      <c r="K1879" s="13">
        <f>ROUND(tblTransactions[[#This Row],[gross_sales_inr]]*(1-tblTransactions[[#This Row],[discount_pct]]),2)</f>
        <v>429.51</v>
      </c>
      <c r="L1879" t="str">
        <f>IF(ABS(tblTransactions[[#This Row],[net_sales_inr]]-tblTransactions[[#This Row],[Recalc_Net_Sales]])&lt;0.02,"OK","CHECK")</f>
        <v>OK</v>
      </c>
      <c r="M1879" s="14">
        <f>DATE(YEAR(tblTransactions[[#This Row],[date]]),MONTH(tblTransactions[[#This Row],[date]]),1)</f>
        <v>45748</v>
      </c>
      <c r="N1879" t="str">
        <f>IF(WEEKDAY(tblTransactions[[#This Row],[date]],2)&gt;5,"Weekend","Weekday")</f>
        <v>Weekday</v>
      </c>
      <c r="O187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79" s="13" t="str">
        <f>_xlfn.XLOOKUP(tblTransactions[[#This Row],[tenant_id]],tblTenants[tenant_id],tblTenants[zone],"NOT FOUND")</f>
        <v>Beauty &amp; Wellness</v>
      </c>
      <c r="Q1879" s="13" t="str">
        <f>_xlfn.XLOOKUP(tblTransactions[[#This Row],[tenant_id]],tblTenants[tenant_id],tblTenants[category],"NOT FOUND")</f>
        <v>Beauty</v>
      </c>
    </row>
    <row r="1880" spans="1:17">
      <c r="A1880" t="s">
        <v>1924</v>
      </c>
      <c r="B1880" s="2">
        <v>45687</v>
      </c>
      <c r="C1880">
        <v>22</v>
      </c>
      <c r="D1880" t="s">
        <v>31</v>
      </c>
      <c r="E1880" t="s">
        <v>32</v>
      </c>
      <c r="F1880" s="7">
        <v>3720.81</v>
      </c>
      <c r="G1880" s="10">
        <v>0.1</v>
      </c>
      <c r="H1880" s="7">
        <v>3348.73</v>
      </c>
      <c r="I1880">
        <v>2</v>
      </c>
      <c r="J1880" t="s">
        <v>13</v>
      </c>
      <c r="K1880" s="13">
        <f>ROUND(tblTransactions[[#This Row],[gross_sales_inr]]*(1-tblTransactions[[#This Row],[discount_pct]]),2)</f>
        <v>3348.73</v>
      </c>
      <c r="L1880" t="str">
        <f>IF(ABS(tblTransactions[[#This Row],[net_sales_inr]]-tblTransactions[[#This Row],[Recalc_Net_Sales]])&lt;0.02,"OK","CHECK")</f>
        <v>OK</v>
      </c>
      <c r="M1880" s="14">
        <f>DATE(YEAR(tblTransactions[[#This Row],[date]]),MONTH(tblTransactions[[#This Row],[date]]),1)</f>
        <v>45658</v>
      </c>
      <c r="N1880" t="str">
        <f>IF(WEEKDAY(tblTransactions[[#This Row],[date]],2)&gt;5,"Weekend","Weekday")</f>
        <v>Weekday</v>
      </c>
      <c r="O188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80" s="13" t="str">
        <f>_xlfn.XLOOKUP(tblTransactions[[#This Row],[tenant_id]],tblTenants[tenant_id],tblTenants[zone],"NOT FOUND")</f>
        <v>Entertainment</v>
      </c>
      <c r="Q1880" s="13" t="str">
        <f>_xlfn.XLOOKUP(tblTransactions[[#This Row],[tenant_id]],tblTenants[tenant_id],tblTenants[category],"NOT FOUND")</f>
        <v>Arcade</v>
      </c>
    </row>
    <row r="1881" spans="1:17">
      <c r="A1881" t="s">
        <v>1925</v>
      </c>
      <c r="B1881" s="2">
        <v>45698</v>
      </c>
      <c r="C1881">
        <v>15</v>
      </c>
      <c r="D1881" t="s">
        <v>70</v>
      </c>
      <c r="E1881" t="s">
        <v>21</v>
      </c>
      <c r="F1881" s="7">
        <v>1064.6600000000001</v>
      </c>
      <c r="G1881" s="10">
        <v>0.05</v>
      </c>
      <c r="H1881" s="7">
        <v>1011.43</v>
      </c>
      <c r="I1881">
        <v>2</v>
      </c>
      <c r="J1881" t="s">
        <v>16</v>
      </c>
      <c r="K1881" s="13">
        <f>ROUND(tblTransactions[[#This Row],[gross_sales_inr]]*(1-tblTransactions[[#This Row],[discount_pct]]),2)</f>
        <v>1011.43</v>
      </c>
      <c r="L1881" t="str">
        <f>IF(ABS(tblTransactions[[#This Row],[net_sales_inr]]-tblTransactions[[#This Row],[Recalc_Net_Sales]])&lt;0.02,"OK","CHECK")</f>
        <v>OK</v>
      </c>
      <c r="M1881" s="14">
        <f>DATE(YEAR(tblTransactions[[#This Row],[date]]),MONTH(tblTransactions[[#This Row],[date]]),1)</f>
        <v>45689</v>
      </c>
      <c r="N1881" t="str">
        <f>IF(WEEKDAY(tblTransactions[[#This Row],[date]],2)&gt;5,"Weekend","Weekday")</f>
        <v>Weekday</v>
      </c>
      <c r="O188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81" s="13" t="str">
        <f>_xlfn.XLOOKUP(tblTransactions[[#This Row],[tenant_id]],tblTenants[tenant_id],tblTenants[zone],"NOT FOUND")</f>
        <v>Food Court</v>
      </c>
      <c r="Q1881" s="13" t="str">
        <f>_xlfn.XLOOKUP(tblTransactions[[#This Row],[tenant_id]],tblTenants[tenant_id],tblTenants[category],"NOT FOUND")</f>
        <v>Quick Service</v>
      </c>
    </row>
    <row r="1882" spans="1:17">
      <c r="A1882" t="s">
        <v>1926</v>
      </c>
      <c r="B1882" s="2">
        <v>45686</v>
      </c>
      <c r="C1882">
        <v>12</v>
      </c>
      <c r="D1882" t="s">
        <v>72</v>
      </c>
      <c r="E1882" t="s">
        <v>32</v>
      </c>
      <c r="F1882" s="7">
        <v>776.46</v>
      </c>
      <c r="G1882" s="10">
        <v>0</v>
      </c>
      <c r="H1882" s="7">
        <v>776.46</v>
      </c>
      <c r="I1882">
        <v>4</v>
      </c>
      <c r="J1882" t="s">
        <v>16</v>
      </c>
      <c r="K1882" s="13">
        <f>ROUND(tblTransactions[[#This Row],[gross_sales_inr]]*(1-tblTransactions[[#This Row],[discount_pct]]),2)</f>
        <v>776.46</v>
      </c>
      <c r="L1882" t="str">
        <f>IF(ABS(tblTransactions[[#This Row],[net_sales_inr]]-tblTransactions[[#This Row],[Recalc_Net_Sales]])&lt;0.02,"OK","CHECK")</f>
        <v>OK</v>
      </c>
      <c r="M1882" s="14">
        <f>DATE(YEAR(tblTransactions[[#This Row],[date]]),MONTH(tblTransactions[[#This Row],[date]]),1)</f>
        <v>45658</v>
      </c>
      <c r="N1882" t="str">
        <f>IF(WEEKDAY(tblTransactions[[#This Row],[date]],2)&gt;5,"Weekend","Weekday")</f>
        <v>Weekday</v>
      </c>
      <c r="O1882" s="13" t="str">
        <f>IF(tblTransactions[[#This Row],[discount_pct]]=0,"0%",IF(tblTransactions[[#This Row],[discount_pct]]&lt;=10%,"1–
10%",IF(tblTransactions[[#This Row],[discount_pct]]&lt;=20%,"11–20%","&gt;20%")))</f>
        <v>0%</v>
      </c>
      <c r="P1882" s="13" t="str">
        <f>_xlfn.XLOOKUP(tblTransactions[[#This Row],[tenant_id]],tblTenants[tenant_id],tblTenants[zone],"NOT FOUND")</f>
        <v>Entertainment</v>
      </c>
      <c r="Q1882" s="13" t="str">
        <f>_xlfn.XLOOKUP(tblTransactions[[#This Row],[tenant_id]],tblTenants[tenant_id],tblTenants[category],"NOT FOUND")</f>
        <v>Arcade</v>
      </c>
    </row>
    <row r="1883" spans="1:17">
      <c r="A1883" t="s">
        <v>1927</v>
      </c>
      <c r="B1883" s="2">
        <v>45736</v>
      </c>
      <c r="C1883">
        <v>20</v>
      </c>
      <c r="D1883" t="s">
        <v>48</v>
      </c>
      <c r="E1883" t="s">
        <v>21</v>
      </c>
      <c r="F1883" s="7">
        <v>1202.47</v>
      </c>
      <c r="G1883" s="10">
        <v>0.2</v>
      </c>
      <c r="H1883" s="7">
        <v>961.98</v>
      </c>
      <c r="I1883">
        <v>4</v>
      </c>
      <c r="J1883" t="s">
        <v>16</v>
      </c>
      <c r="K1883" s="13">
        <f>ROUND(tblTransactions[[#This Row],[gross_sales_inr]]*(1-tblTransactions[[#This Row],[discount_pct]]),2)</f>
        <v>961.98</v>
      </c>
      <c r="L1883" t="str">
        <f>IF(ABS(tblTransactions[[#This Row],[net_sales_inr]]-tblTransactions[[#This Row],[Recalc_Net_Sales]])&lt;0.02,"OK","CHECK")</f>
        <v>OK</v>
      </c>
      <c r="M1883" s="14">
        <f>DATE(YEAR(tblTransactions[[#This Row],[date]]),MONTH(tblTransactions[[#This Row],[date]]),1)</f>
        <v>45717</v>
      </c>
      <c r="N1883" t="str">
        <f>IF(WEEKDAY(tblTransactions[[#This Row],[date]],2)&gt;5,"Weekend","Weekday")</f>
        <v>Weekday</v>
      </c>
      <c r="O188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83" s="13" t="str">
        <f>_xlfn.XLOOKUP(tblTransactions[[#This Row],[tenant_id]],tblTenants[tenant_id],tblTenants[zone],"NOT FOUND")</f>
        <v>Beauty &amp; Wellness</v>
      </c>
      <c r="Q1883" s="13" t="str">
        <f>_xlfn.XLOOKUP(tblTransactions[[#This Row],[tenant_id]],tblTenants[tenant_id],tblTenants[category],"NOT FOUND")</f>
        <v>Wellness</v>
      </c>
    </row>
    <row r="1884" spans="1:17">
      <c r="A1884" t="s">
        <v>1928</v>
      </c>
      <c r="B1884" s="2">
        <v>45700</v>
      </c>
      <c r="C1884">
        <v>17</v>
      </c>
      <c r="D1884" t="s">
        <v>27</v>
      </c>
      <c r="E1884" t="s">
        <v>21</v>
      </c>
      <c r="F1884" s="7">
        <v>1407.3</v>
      </c>
      <c r="G1884" s="10">
        <v>0.1</v>
      </c>
      <c r="H1884" s="7">
        <v>1266.57</v>
      </c>
      <c r="I1884">
        <v>4</v>
      </c>
      <c r="J1884" t="s">
        <v>13</v>
      </c>
      <c r="K1884" s="13">
        <f>ROUND(tblTransactions[[#This Row],[gross_sales_inr]]*(1-tblTransactions[[#This Row],[discount_pct]]),2)</f>
        <v>1266.57</v>
      </c>
      <c r="L1884" t="str">
        <f>IF(ABS(tblTransactions[[#This Row],[net_sales_inr]]-tblTransactions[[#This Row],[Recalc_Net_Sales]])&lt;0.02,"OK","CHECK")</f>
        <v>OK</v>
      </c>
      <c r="M1884" s="14">
        <f>DATE(YEAR(tblTransactions[[#This Row],[date]]),MONTH(tblTransactions[[#This Row],[date]]),1)</f>
        <v>45689</v>
      </c>
      <c r="N1884" t="str">
        <f>IF(WEEKDAY(tblTransactions[[#This Row],[date]],2)&gt;5,"Weekend","Weekday")</f>
        <v>Weekday</v>
      </c>
      <c r="O188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84" s="13" t="str">
        <f>_xlfn.XLOOKUP(tblTransactions[[#This Row],[tenant_id]],tblTenants[tenant_id],tblTenants[zone],"NOT FOUND")</f>
        <v>Beauty &amp; Wellness</v>
      </c>
      <c r="Q1884" s="13" t="str">
        <f>_xlfn.XLOOKUP(tblTransactions[[#This Row],[tenant_id]],tblTenants[tenant_id],tblTenants[category],"NOT FOUND")</f>
        <v>Wellness</v>
      </c>
    </row>
    <row r="1885" spans="1:17">
      <c r="A1885" t="s">
        <v>1929</v>
      </c>
      <c r="B1885" s="2">
        <v>45754</v>
      </c>
      <c r="C1885">
        <v>21</v>
      </c>
      <c r="D1885" t="s">
        <v>98</v>
      </c>
      <c r="E1885" t="s">
        <v>51</v>
      </c>
      <c r="F1885" s="7">
        <v>1684.74</v>
      </c>
      <c r="G1885" s="10">
        <v>0.15</v>
      </c>
      <c r="H1885" s="7">
        <v>1432.03</v>
      </c>
      <c r="I1885">
        <v>1</v>
      </c>
      <c r="J1885" t="s">
        <v>16</v>
      </c>
      <c r="K1885" s="13">
        <f>ROUND(tblTransactions[[#This Row],[gross_sales_inr]]*(1-tblTransactions[[#This Row],[discount_pct]]),2)</f>
        <v>1432.03</v>
      </c>
      <c r="L1885" t="str">
        <f>IF(ABS(tblTransactions[[#This Row],[net_sales_inr]]-tblTransactions[[#This Row],[Recalc_Net_Sales]])&lt;0.02,"OK","CHECK")</f>
        <v>OK</v>
      </c>
      <c r="M1885" s="14">
        <f>DATE(YEAR(tblTransactions[[#This Row],[date]]),MONTH(tblTransactions[[#This Row],[date]]),1)</f>
        <v>45748</v>
      </c>
      <c r="N1885" t="str">
        <f>IF(WEEKDAY(tblTransactions[[#This Row],[date]],2)&gt;5,"Weekend","Weekday")</f>
        <v>Weekday</v>
      </c>
      <c r="O188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85" s="13" t="str">
        <f>_xlfn.XLOOKUP(tblTransactions[[#This Row],[tenant_id]],tblTenants[tenant_id],tblTenants[zone],"NOT FOUND")</f>
        <v>Fashion Avenue</v>
      </c>
      <c r="Q1885" s="13" t="str">
        <f>_xlfn.XLOOKUP(tblTransactions[[#This Row],[tenant_id]],tblTenants[tenant_id],tblTenants[category],"NOT FOUND")</f>
        <v>Accessories</v>
      </c>
    </row>
    <row r="1886" spans="1:17">
      <c r="A1886" t="s">
        <v>1930</v>
      </c>
      <c r="B1886" s="2">
        <v>45700</v>
      </c>
      <c r="C1886">
        <v>22</v>
      </c>
      <c r="D1886" t="s">
        <v>45</v>
      </c>
      <c r="E1886" t="s">
        <v>12</v>
      </c>
      <c r="F1886" s="7">
        <v>735.28</v>
      </c>
      <c r="G1886" s="10">
        <v>0</v>
      </c>
      <c r="H1886" s="7">
        <v>735.28</v>
      </c>
      <c r="I1886">
        <v>2</v>
      </c>
      <c r="J1886" t="s">
        <v>13</v>
      </c>
      <c r="K1886" s="13">
        <f>ROUND(tblTransactions[[#This Row],[gross_sales_inr]]*(1-tblTransactions[[#This Row],[discount_pct]]),2)</f>
        <v>735.28</v>
      </c>
      <c r="L1886" t="str">
        <f>IF(ABS(tblTransactions[[#This Row],[net_sales_inr]]-tblTransactions[[#This Row],[Recalc_Net_Sales]])&lt;0.02,"OK","CHECK")</f>
        <v>OK</v>
      </c>
      <c r="M1886" s="14">
        <f>DATE(YEAR(tblTransactions[[#This Row],[date]]),MONTH(tblTransactions[[#This Row],[date]]),1)</f>
        <v>45689</v>
      </c>
      <c r="N1886" t="str">
        <f>IF(WEEKDAY(tblTransactions[[#This Row],[date]],2)&gt;5,"Weekend","Weekday")</f>
        <v>Weekday</v>
      </c>
      <c r="O1886" s="13" t="str">
        <f>IF(tblTransactions[[#This Row],[discount_pct]]=0,"0%",IF(tblTransactions[[#This Row],[discount_pct]]&lt;=10%,"1–
10%",IF(tblTransactions[[#This Row],[discount_pct]]&lt;=20%,"11–20%","&gt;20%")))</f>
        <v>0%</v>
      </c>
      <c r="P1886" s="13" t="str">
        <f>_xlfn.XLOOKUP(tblTransactions[[#This Row],[tenant_id]],tblTenants[tenant_id],tblTenants[zone],"NOT FOUND")</f>
        <v>Home &amp; Living</v>
      </c>
      <c r="Q1886" s="13" t="str">
        <f>_xlfn.XLOOKUP(tblTransactions[[#This Row],[tenant_id]],tblTenants[tenant_id],tblTenants[category],"NOT FOUND")</f>
        <v>Home Decor</v>
      </c>
    </row>
    <row r="1887" spans="1:17">
      <c r="A1887" t="s">
        <v>1931</v>
      </c>
      <c r="B1887" s="2">
        <v>45706</v>
      </c>
      <c r="C1887">
        <v>18</v>
      </c>
      <c r="D1887" t="s">
        <v>204</v>
      </c>
      <c r="E1887" t="s">
        <v>12</v>
      </c>
      <c r="F1887" s="7">
        <v>2252.5500000000002</v>
      </c>
      <c r="G1887" s="10">
        <v>0</v>
      </c>
      <c r="H1887" s="7">
        <v>2252.5500000000002</v>
      </c>
      <c r="I1887">
        <v>1</v>
      </c>
      <c r="J1887" t="s">
        <v>13</v>
      </c>
      <c r="K1887" s="13">
        <f>ROUND(tblTransactions[[#This Row],[gross_sales_inr]]*(1-tblTransactions[[#This Row],[discount_pct]]),2)</f>
        <v>2252.5500000000002</v>
      </c>
      <c r="L1887" t="str">
        <f>IF(ABS(tblTransactions[[#This Row],[net_sales_inr]]-tblTransactions[[#This Row],[Recalc_Net_Sales]])&lt;0.02,"OK","CHECK")</f>
        <v>OK</v>
      </c>
      <c r="M1887" s="14">
        <f>DATE(YEAR(tblTransactions[[#This Row],[date]]),MONTH(tblTransactions[[#This Row],[date]]),1)</f>
        <v>45689</v>
      </c>
      <c r="N1887" t="str">
        <f>IF(WEEKDAY(tblTransactions[[#This Row],[date]],2)&gt;5,"Weekend","Weekday")</f>
        <v>Weekday</v>
      </c>
      <c r="O1887" s="13" t="str">
        <f>IF(tblTransactions[[#This Row],[discount_pct]]=0,"0%",IF(tblTransactions[[#This Row],[discount_pct]]&lt;=10%,"1–
10%",IF(tblTransactions[[#This Row],[discount_pct]]&lt;=20%,"11–20%","&gt;20%")))</f>
        <v>0%</v>
      </c>
      <c r="P1887" s="13" t="str">
        <f>_xlfn.XLOOKUP(tblTransactions[[#This Row],[tenant_id]],tblTenants[tenant_id],tblTenants[zone],"NOT FOUND")</f>
        <v>Home &amp; Living</v>
      </c>
      <c r="Q1887" s="13" t="str">
        <f>_xlfn.XLOOKUP(tblTransactions[[#This Row],[tenant_id]],tblTenants[tenant_id],tblTenants[category],"NOT FOUND")</f>
        <v>Home Decor</v>
      </c>
    </row>
    <row r="1888" spans="1:17">
      <c r="A1888" t="s">
        <v>1932</v>
      </c>
      <c r="B1888" s="2">
        <v>45699</v>
      </c>
      <c r="C1888">
        <v>19</v>
      </c>
      <c r="D1888" t="s">
        <v>85</v>
      </c>
      <c r="E1888" t="s">
        <v>12</v>
      </c>
      <c r="F1888" s="7">
        <v>775.32</v>
      </c>
      <c r="G1888" s="10">
        <v>0.3</v>
      </c>
      <c r="H1888" s="7">
        <v>542.72</v>
      </c>
      <c r="I1888">
        <v>4</v>
      </c>
      <c r="J1888" t="s">
        <v>16</v>
      </c>
      <c r="K1888" s="13">
        <f>ROUND(tblTransactions[[#This Row],[gross_sales_inr]]*(1-tblTransactions[[#This Row],[discount_pct]]),2)</f>
        <v>542.72</v>
      </c>
      <c r="L1888" t="str">
        <f>IF(ABS(tblTransactions[[#This Row],[net_sales_inr]]-tblTransactions[[#This Row],[Recalc_Net_Sales]])&lt;0.02,"OK","CHECK")</f>
        <v>OK</v>
      </c>
      <c r="M1888" s="14">
        <f>DATE(YEAR(tblTransactions[[#This Row],[date]]),MONTH(tblTransactions[[#This Row],[date]]),1)</f>
        <v>45689</v>
      </c>
      <c r="N1888" t="str">
        <f>IF(WEEKDAY(tblTransactions[[#This Row],[date]],2)&gt;5,"Weekend","Weekday")</f>
        <v>Weekday</v>
      </c>
      <c r="O1888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888" s="13" t="str">
        <f>_xlfn.XLOOKUP(tblTransactions[[#This Row],[tenant_id]],tblTenants[tenant_id],tblTenants[zone],"NOT FOUND")</f>
        <v>Home &amp; Living</v>
      </c>
      <c r="Q1888" s="13" t="str">
        <f>_xlfn.XLOOKUP(tblTransactions[[#This Row],[tenant_id]],tblTenants[tenant_id],tblTenants[category],"NOT FOUND")</f>
        <v>Electronics</v>
      </c>
    </row>
    <row r="1889" spans="1:17">
      <c r="A1889" t="s">
        <v>1933</v>
      </c>
      <c r="B1889" s="2">
        <v>45660</v>
      </c>
      <c r="C1889">
        <v>21</v>
      </c>
      <c r="D1889" t="s">
        <v>18</v>
      </c>
      <c r="E1889" t="s">
        <v>12</v>
      </c>
      <c r="F1889" s="7">
        <v>1729.3</v>
      </c>
      <c r="G1889" s="10">
        <v>0.15</v>
      </c>
      <c r="H1889" s="7">
        <v>1469.9</v>
      </c>
      <c r="I1889">
        <v>1</v>
      </c>
      <c r="J1889" t="s">
        <v>13</v>
      </c>
      <c r="K1889" s="13">
        <f>ROUND(tblTransactions[[#This Row],[gross_sales_inr]]*(1-tblTransactions[[#This Row],[discount_pct]]),2)</f>
        <v>1469.91</v>
      </c>
      <c r="L1889" t="str">
        <f>IF(ABS(tblTransactions[[#This Row],[net_sales_inr]]-tblTransactions[[#This Row],[Recalc_Net_Sales]])&lt;0.02,"OK","CHECK")</f>
        <v>OK</v>
      </c>
      <c r="M1889" s="14">
        <f>DATE(YEAR(tblTransactions[[#This Row],[date]]),MONTH(tblTransactions[[#This Row],[date]]),1)</f>
        <v>45658</v>
      </c>
      <c r="N1889" t="str">
        <f>IF(WEEKDAY(tblTransactions[[#This Row],[date]],2)&gt;5,"Weekend","Weekday")</f>
        <v>Weekday</v>
      </c>
      <c r="O188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89" s="13" t="str">
        <f>_xlfn.XLOOKUP(tblTransactions[[#This Row],[tenant_id]],tblTenants[tenant_id],tblTenants[zone],"NOT FOUND")</f>
        <v>Beauty &amp; Wellness</v>
      </c>
      <c r="Q1889" s="13" t="str">
        <f>_xlfn.XLOOKUP(tblTransactions[[#This Row],[tenant_id]],tblTenants[tenant_id],tblTenants[category],"NOT FOUND")</f>
        <v>Beauty</v>
      </c>
    </row>
    <row r="1890" spans="1:17">
      <c r="A1890" t="s">
        <v>1934</v>
      </c>
      <c r="B1890" s="2">
        <v>45755</v>
      </c>
      <c r="C1890">
        <v>22</v>
      </c>
      <c r="D1890" t="s">
        <v>85</v>
      </c>
      <c r="E1890" t="s">
        <v>12</v>
      </c>
      <c r="F1890" s="7">
        <v>414.11</v>
      </c>
      <c r="G1890" s="10">
        <v>0.1</v>
      </c>
      <c r="H1890" s="7">
        <v>372.7</v>
      </c>
      <c r="I1890">
        <v>1</v>
      </c>
      <c r="J1890" t="s">
        <v>13</v>
      </c>
      <c r="K1890" s="13">
        <f>ROUND(tblTransactions[[#This Row],[gross_sales_inr]]*(1-tblTransactions[[#This Row],[discount_pct]]),2)</f>
        <v>372.7</v>
      </c>
      <c r="L1890" t="str">
        <f>IF(ABS(tblTransactions[[#This Row],[net_sales_inr]]-tblTransactions[[#This Row],[Recalc_Net_Sales]])&lt;0.02,"OK","CHECK")</f>
        <v>OK</v>
      </c>
      <c r="M1890" s="14">
        <f>DATE(YEAR(tblTransactions[[#This Row],[date]]),MONTH(tblTransactions[[#This Row],[date]]),1)</f>
        <v>45748</v>
      </c>
      <c r="N1890" t="str">
        <f>IF(WEEKDAY(tblTransactions[[#This Row],[date]],2)&gt;5,"Weekend","Weekday")</f>
        <v>Weekday</v>
      </c>
      <c r="O189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90" s="13" t="str">
        <f>_xlfn.XLOOKUP(tblTransactions[[#This Row],[tenant_id]],tblTenants[tenant_id],tblTenants[zone],"NOT FOUND")</f>
        <v>Home &amp; Living</v>
      </c>
      <c r="Q1890" s="13" t="str">
        <f>_xlfn.XLOOKUP(tblTransactions[[#This Row],[tenant_id]],tblTenants[tenant_id],tblTenants[category],"NOT FOUND")</f>
        <v>Electronics</v>
      </c>
    </row>
    <row r="1891" spans="1:17">
      <c r="A1891" t="s">
        <v>1935</v>
      </c>
      <c r="B1891" s="2">
        <v>45659</v>
      </c>
      <c r="C1891">
        <v>13</v>
      </c>
      <c r="D1891" t="s">
        <v>85</v>
      </c>
      <c r="E1891" t="s">
        <v>32</v>
      </c>
      <c r="F1891" s="7">
        <v>1510.78</v>
      </c>
      <c r="G1891" s="10">
        <v>0.1</v>
      </c>
      <c r="H1891" s="7">
        <v>1359.7</v>
      </c>
      <c r="I1891">
        <v>2</v>
      </c>
      <c r="J1891" t="s">
        <v>16</v>
      </c>
      <c r="K1891" s="13">
        <f>ROUND(tblTransactions[[#This Row],[gross_sales_inr]]*(1-tblTransactions[[#This Row],[discount_pct]]),2)</f>
        <v>1359.7</v>
      </c>
      <c r="L1891" t="str">
        <f>IF(ABS(tblTransactions[[#This Row],[net_sales_inr]]-tblTransactions[[#This Row],[Recalc_Net_Sales]])&lt;0.02,"OK","CHECK")</f>
        <v>OK</v>
      </c>
      <c r="M1891" s="14">
        <f>DATE(YEAR(tblTransactions[[#This Row],[date]]),MONTH(tblTransactions[[#This Row],[date]]),1)</f>
        <v>45658</v>
      </c>
      <c r="N1891" t="str">
        <f>IF(WEEKDAY(tblTransactions[[#This Row],[date]],2)&gt;5,"Weekend","Weekday")</f>
        <v>Weekday</v>
      </c>
      <c r="O189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91" s="13" t="str">
        <f>_xlfn.XLOOKUP(tblTransactions[[#This Row],[tenant_id]],tblTenants[tenant_id],tblTenants[zone],"NOT FOUND")</f>
        <v>Home &amp; Living</v>
      </c>
      <c r="Q1891" s="13" t="str">
        <f>_xlfn.XLOOKUP(tblTransactions[[#This Row],[tenant_id]],tblTenants[tenant_id],tblTenants[category],"NOT FOUND")</f>
        <v>Electronics</v>
      </c>
    </row>
    <row r="1892" spans="1:17">
      <c r="A1892" t="s">
        <v>1936</v>
      </c>
      <c r="B1892" s="2">
        <v>45665</v>
      </c>
      <c r="C1892">
        <v>10</v>
      </c>
      <c r="D1892" t="s">
        <v>34</v>
      </c>
      <c r="E1892" t="s">
        <v>51</v>
      </c>
      <c r="F1892" s="7">
        <v>3256.67</v>
      </c>
      <c r="G1892" s="10">
        <v>0</v>
      </c>
      <c r="H1892" s="7">
        <v>3256.67</v>
      </c>
      <c r="I1892">
        <v>1</v>
      </c>
      <c r="J1892" t="s">
        <v>13</v>
      </c>
      <c r="K1892" s="13">
        <f>ROUND(tblTransactions[[#This Row],[gross_sales_inr]]*(1-tblTransactions[[#This Row],[discount_pct]]),2)</f>
        <v>3256.67</v>
      </c>
      <c r="L1892" t="str">
        <f>IF(ABS(tblTransactions[[#This Row],[net_sales_inr]]-tblTransactions[[#This Row],[Recalc_Net_Sales]])&lt;0.02,"OK","CHECK")</f>
        <v>OK</v>
      </c>
      <c r="M1892" s="14">
        <f>DATE(YEAR(tblTransactions[[#This Row],[date]]),MONTH(tblTransactions[[#This Row],[date]]),1)</f>
        <v>45658</v>
      </c>
      <c r="N1892" t="str">
        <f>IF(WEEKDAY(tblTransactions[[#This Row],[date]],2)&gt;5,"Weekend","Weekday")</f>
        <v>Weekday</v>
      </c>
      <c r="O1892" s="13" t="str">
        <f>IF(tblTransactions[[#This Row],[discount_pct]]=0,"0%",IF(tblTransactions[[#This Row],[discount_pct]]&lt;=10%,"1–
10%",IF(tblTransactions[[#This Row],[discount_pct]]&lt;=20%,"11–20%","&gt;20%")))</f>
        <v>0%</v>
      </c>
      <c r="P1892" s="13" t="str">
        <f>_xlfn.XLOOKUP(tblTransactions[[#This Row],[tenant_id]],tblTenants[tenant_id],tblTenants[zone],"NOT FOUND")</f>
        <v>Home &amp; Living</v>
      </c>
      <c r="Q1892" s="13" t="str">
        <f>_xlfn.XLOOKUP(tblTransactions[[#This Row],[tenant_id]],tblTenants[tenant_id],tblTenants[category],"NOT FOUND")</f>
        <v>Electronics</v>
      </c>
    </row>
    <row r="1893" spans="1:17">
      <c r="A1893" t="s">
        <v>1937</v>
      </c>
      <c r="B1893" s="2">
        <v>45821</v>
      </c>
      <c r="C1893">
        <v>15</v>
      </c>
      <c r="D1893" t="s">
        <v>15</v>
      </c>
      <c r="E1893" t="s">
        <v>32</v>
      </c>
      <c r="F1893" s="7">
        <v>636.54</v>
      </c>
      <c r="G1893" s="10">
        <v>0.05</v>
      </c>
      <c r="H1893" s="7">
        <v>604.71</v>
      </c>
      <c r="I1893">
        <v>1</v>
      </c>
      <c r="J1893" t="s">
        <v>16</v>
      </c>
      <c r="K1893" s="13">
        <f>ROUND(tblTransactions[[#This Row],[gross_sales_inr]]*(1-tblTransactions[[#This Row],[discount_pct]]),2)</f>
        <v>604.71</v>
      </c>
      <c r="L1893" t="str">
        <f>IF(ABS(tblTransactions[[#This Row],[net_sales_inr]]-tblTransactions[[#This Row],[Recalc_Net_Sales]])&lt;0.02,"OK","CHECK")</f>
        <v>OK</v>
      </c>
      <c r="M1893" s="14">
        <f>DATE(YEAR(tblTransactions[[#This Row],[date]]),MONTH(tblTransactions[[#This Row],[date]]),1)</f>
        <v>45809</v>
      </c>
      <c r="N1893" t="str">
        <f>IF(WEEKDAY(tblTransactions[[#This Row],[date]],2)&gt;5,"Weekend","Weekday")</f>
        <v>Weekday</v>
      </c>
      <c r="O189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93" s="13" t="str">
        <f>_xlfn.XLOOKUP(tblTransactions[[#This Row],[tenant_id]],tblTenants[tenant_id],tblTenants[zone],"NOT FOUND")</f>
        <v>Fashion Avenue</v>
      </c>
      <c r="Q1893" s="13" t="str">
        <f>_xlfn.XLOOKUP(tblTransactions[[#This Row],[tenant_id]],tblTenants[tenant_id],tblTenants[category],"NOT FOUND")</f>
        <v>Accessories</v>
      </c>
    </row>
    <row r="1894" spans="1:17">
      <c r="A1894" t="s">
        <v>1938</v>
      </c>
      <c r="B1894" s="2">
        <v>45730</v>
      </c>
      <c r="C1894">
        <v>13</v>
      </c>
      <c r="D1894" t="s">
        <v>15</v>
      </c>
      <c r="E1894" t="s">
        <v>32</v>
      </c>
      <c r="F1894" s="7">
        <v>2321.9899999999998</v>
      </c>
      <c r="G1894" s="10">
        <v>0.15</v>
      </c>
      <c r="H1894" s="7">
        <v>1973.69</v>
      </c>
      <c r="I1894">
        <v>2</v>
      </c>
      <c r="J1894" t="s">
        <v>13</v>
      </c>
      <c r="K1894" s="13">
        <f>ROUND(tblTransactions[[#This Row],[gross_sales_inr]]*(1-tblTransactions[[#This Row],[discount_pct]]),2)</f>
        <v>1973.69</v>
      </c>
      <c r="L1894" t="str">
        <f>IF(ABS(tblTransactions[[#This Row],[net_sales_inr]]-tblTransactions[[#This Row],[Recalc_Net_Sales]])&lt;0.02,"OK","CHECK")</f>
        <v>OK</v>
      </c>
      <c r="M1894" s="14">
        <f>DATE(YEAR(tblTransactions[[#This Row],[date]]),MONTH(tblTransactions[[#This Row],[date]]),1)</f>
        <v>45717</v>
      </c>
      <c r="N1894" t="str">
        <f>IF(WEEKDAY(tblTransactions[[#This Row],[date]],2)&gt;5,"Weekend","Weekday")</f>
        <v>Weekday</v>
      </c>
      <c r="O189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894" s="13" t="str">
        <f>_xlfn.XLOOKUP(tblTransactions[[#This Row],[tenant_id]],tblTenants[tenant_id],tblTenants[zone],"NOT FOUND")</f>
        <v>Fashion Avenue</v>
      </c>
      <c r="Q1894" s="13" t="str">
        <f>_xlfn.XLOOKUP(tblTransactions[[#This Row],[tenant_id]],tblTenants[tenant_id],tblTenants[category],"NOT FOUND")</f>
        <v>Accessories</v>
      </c>
    </row>
    <row r="1895" spans="1:17">
      <c r="A1895" t="s">
        <v>1939</v>
      </c>
      <c r="B1895" s="2">
        <v>45810</v>
      </c>
      <c r="C1895">
        <v>20</v>
      </c>
      <c r="D1895" t="s">
        <v>85</v>
      </c>
      <c r="E1895" t="s">
        <v>12</v>
      </c>
      <c r="F1895" s="7">
        <v>859.46</v>
      </c>
      <c r="G1895" s="10">
        <v>0.3</v>
      </c>
      <c r="H1895" s="7">
        <v>601.62</v>
      </c>
      <c r="I1895">
        <v>3</v>
      </c>
      <c r="J1895" t="s">
        <v>13</v>
      </c>
      <c r="K1895" s="13">
        <f>ROUND(tblTransactions[[#This Row],[gross_sales_inr]]*(1-tblTransactions[[#This Row],[discount_pct]]),2)</f>
        <v>601.62</v>
      </c>
      <c r="L1895" t="str">
        <f>IF(ABS(tblTransactions[[#This Row],[net_sales_inr]]-tblTransactions[[#This Row],[Recalc_Net_Sales]])&lt;0.02,"OK","CHECK")</f>
        <v>OK</v>
      </c>
      <c r="M1895" s="14">
        <f>DATE(YEAR(tblTransactions[[#This Row],[date]]),MONTH(tblTransactions[[#This Row],[date]]),1)</f>
        <v>45809</v>
      </c>
      <c r="N1895" t="str">
        <f>IF(WEEKDAY(tblTransactions[[#This Row],[date]],2)&gt;5,"Weekend","Weekday")</f>
        <v>Weekday</v>
      </c>
      <c r="O1895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895" s="13" t="str">
        <f>_xlfn.XLOOKUP(tblTransactions[[#This Row],[tenant_id]],tblTenants[tenant_id],tblTenants[zone],"NOT FOUND")</f>
        <v>Home &amp; Living</v>
      </c>
      <c r="Q1895" s="13" t="str">
        <f>_xlfn.XLOOKUP(tblTransactions[[#This Row],[tenant_id]],tblTenants[tenant_id],tblTenants[category],"NOT FOUND")</f>
        <v>Electronics</v>
      </c>
    </row>
    <row r="1896" spans="1:17">
      <c r="A1896" t="s">
        <v>1940</v>
      </c>
      <c r="B1896" s="2">
        <v>45766</v>
      </c>
      <c r="C1896">
        <v>22</v>
      </c>
      <c r="D1896" t="s">
        <v>98</v>
      </c>
      <c r="E1896" t="s">
        <v>12</v>
      </c>
      <c r="F1896" s="7">
        <v>1008.95</v>
      </c>
      <c r="G1896" s="10">
        <v>0</v>
      </c>
      <c r="H1896" s="7">
        <v>1008.95</v>
      </c>
      <c r="I1896">
        <v>3</v>
      </c>
      <c r="J1896" t="s">
        <v>13</v>
      </c>
      <c r="K1896" s="13">
        <f>ROUND(tblTransactions[[#This Row],[gross_sales_inr]]*(1-tblTransactions[[#This Row],[discount_pct]]),2)</f>
        <v>1008.95</v>
      </c>
      <c r="L1896" t="str">
        <f>IF(ABS(tblTransactions[[#This Row],[net_sales_inr]]-tblTransactions[[#This Row],[Recalc_Net_Sales]])&lt;0.02,"OK","CHECK")</f>
        <v>OK</v>
      </c>
      <c r="M1896" s="14">
        <f>DATE(YEAR(tblTransactions[[#This Row],[date]]),MONTH(tblTransactions[[#This Row],[date]]),1)</f>
        <v>45748</v>
      </c>
      <c r="N1896" t="str">
        <f>IF(WEEKDAY(tblTransactions[[#This Row],[date]],2)&gt;5,"Weekend","Weekday")</f>
        <v>Weekend</v>
      </c>
      <c r="O1896" s="13" t="str">
        <f>IF(tblTransactions[[#This Row],[discount_pct]]=0,"0%",IF(tblTransactions[[#This Row],[discount_pct]]&lt;=10%,"1–
10%",IF(tblTransactions[[#This Row],[discount_pct]]&lt;=20%,"11–20%","&gt;20%")))</f>
        <v>0%</v>
      </c>
      <c r="P1896" s="13" t="str">
        <f>_xlfn.XLOOKUP(tblTransactions[[#This Row],[tenant_id]],tblTenants[tenant_id],tblTenants[zone],"NOT FOUND")</f>
        <v>Fashion Avenue</v>
      </c>
      <c r="Q1896" s="13" t="str">
        <f>_xlfn.XLOOKUP(tblTransactions[[#This Row],[tenant_id]],tblTenants[tenant_id],tblTenants[category],"NOT FOUND")</f>
        <v>Accessories</v>
      </c>
    </row>
    <row r="1897" spans="1:17">
      <c r="A1897" t="s">
        <v>1941</v>
      </c>
      <c r="B1897" s="2">
        <v>45739</v>
      </c>
      <c r="C1897">
        <v>16</v>
      </c>
      <c r="D1897" t="s">
        <v>53</v>
      </c>
      <c r="E1897" t="s">
        <v>12</v>
      </c>
      <c r="F1897" s="7">
        <v>1411.1</v>
      </c>
      <c r="G1897" s="10">
        <v>0.1</v>
      </c>
      <c r="H1897" s="7">
        <v>1269.99</v>
      </c>
      <c r="I1897">
        <v>2</v>
      </c>
      <c r="J1897" t="s">
        <v>16</v>
      </c>
      <c r="K1897" s="13">
        <f>ROUND(tblTransactions[[#This Row],[gross_sales_inr]]*(1-tblTransactions[[#This Row],[discount_pct]]),2)</f>
        <v>1269.99</v>
      </c>
      <c r="L1897" t="str">
        <f>IF(ABS(tblTransactions[[#This Row],[net_sales_inr]]-tblTransactions[[#This Row],[Recalc_Net_Sales]])&lt;0.02,"OK","CHECK")</f>
        <v>OK</v>
      </c>
      <c r="M1897" s="14">
        <f>DATE(YEAR(tblTransactions[[#This Row],[date]]),MONTH(tblTransactions[[#This Row],[date]]),1)</f>
        <v>45717</v>
      </c>
      <c r="N1897" t="str">
        <f>IF(WEEKDAY(tblTransactions[[#This Row],[date]],2)&gt;5,"Weekend","Weekday")</f>
        <v>Weekend</v>
      </c>
      <c r="O189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97" s="13" t="str">
        <f>_xlfn.XLOOKUP(tblTransactions[[#This Row],[tenant_id]],tblTenants[tenant_id],tblTenants[zone],"NOT FOUND")</f>
        <v>Beauty &amp; Wellness</v>
      </c>
      <c r="Q1897" s="13" t="str">
        <f>_xlfn.XLOOKUP(tblTransactions[[#This Row],[tenant_id]],tblTenants[tenant_id],tblTenants[category],"NOT FOUND")</f>
        <v>Beauty</v>
      </c>
    </row>
    <row r="1898" spans="1:17">
      <c r="A1898" t="s">
        <v>1942</v>
      </c>
      <c r="B1898" s="2">
        <v>45733</v>
      </c>
      <c r="C1898">
        <v>13</v>
      </c>
      <c r="D1898" t="s">
        <v>70</v>
      </c>
      <c r="E1898" t="s">
        <v>12</v>
      </c>
      <c r="F1898" s="7">
        <v>760.02</v>
      </c>
      <c r="G1898" s="10">
        <v>0.1</v>
      </c>
      <c r="H1898" s="7">
        <v>684.02</v>
      </c>
      <c r="I1898">
        <v>4</v>
      </c>
      <c r="J1898" t="s">
        <v>16</v>
      </c>
      <c r="K1898" s="13">
        <f>ROUND(tblTransactions[[#This Row],[gross_sales_inr]]*(1-tblTransactions[[#This Row],[discount_pct]]),2)</f>
        <v>684.02</v>
      </c>
      <c r="L1898" t="str">
        <f>IF(ABS(tblTransactions[[#This Row],[net_sales_inr]]-tblTransactions[[#This Row],[Recalc_Net_Sales]])&lt;0.02,"OK","CHECK")</f>
        <v>OK</v>
      </c>
      <c r="M1898" s="14">
        <f>DATE(YEAR(tblTransactions[[#This Row],[date]]),MONTH(tblTransactions[[#This Row],[date]]),1)</f>
        <v>45717</v>
      </c>
      <c r="N1898" t="str">
        <f>IF(WEEKDAY(tblTransactions[[#This Row],[date]],2)&gt;5,"Weekend","Weekday")</f>
        <v>Weekday</v>
      </c>
      <c r="O189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98" s="13" t="str">
        <f>_xlfn.XLOOKUP(tblTransactions[[#This Row],[tenant_id]],tblTenants[tenant_id],tblTenants[zone],"NOT FOUND")</f>
        <v>Food Court</v>
      </c>
      <c r="Q1898" s="13" t="str">
        <f>_xlfn.XLOOKUP(tblTransactions[[#This Row],[tenant_id]],tblTenants[tenant_id],tblTenants[category],"NOT FOUND")</f>
        <v>Quick Service</v>
      </c>
    </row>
    <row r="1899" spans="1:17">
      <c r="A1899" t="s">
        <v>1943</v>
      </c>
      <c r="B1899" s="2">
        <v>45815</v>
      </c>
      <c r="C1899">
        <v>14</v>
      </c>
      <c r="D1899" t="s">
        <v>98</v>
      </c>
      <c r="E1899" t="s">
        <v>51</v>
      </c>
      <c r="F1899" s="7">
        <v>4057.96</v>
      </c>
      <c r="G1899" s="10">
        <v>0.1</v>
      </c>
      <c r="H1899" s="7">
        <v>3652.16</v>
      </c>
      <c r="I1899">
        <v>3</v>
      </c>
      <c r="J1899" t="s">
        <v>13</v>
      </c>
      <c r="K1899" s="13">
        <f>ROUND(tblTransactions[[#This Row],[gross_sales_inr]]*(1-tblTransactions[[#This Row],[discount_pct]]),2)</f>
        <v>3652.16</v>
      </c>
      <c r="L1899" t="str">
        <f>IF(ABS(tblTransactions[[#This Row],[net_sales_inr]]-tblTransactions[[#This Row],[Recalc_Net_Sales]])&lt;0.02,"OK","CHECK")</f>
        <v>OK</v>
      </c>
      <c r="M1899" s="14">
        <f>DATE(YEAR(tblTransactions[[#This Row],[date]]),MONTH(tblTransactions[[#This Row],[date]]),1)</f>
        <v>45809</v>
      </c>
      <c r="N1899" t="str">
        <f>IF(WEEKDAY(tblTransactions[[#This Row],[date]],2)&gt;5,"Weekend","Weekday")</f>
        <v>Weekend</v>
      </c>
      <c r="O189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899" s="13" t="str">
        <f>_xlfn.XLOOKUP(tblTransactions[[#This Row],[tenant_id]],tblTenants[tenant_id],tblTenants[zone],"NOT FOUND")</f>
        <v>Fashion Avenue</v>
      </c>
      <c r="Q1899" s="13" t="str">
        <f>_xlfn.XLOOKUP(tblTransactions[[#This Row],[tenant_id]],tblTenants[tenant_id],tblTenants[category],"NOT FOUND")</f>
        <v>Accessories</v>
      </c>
    </row>
    <row r="1900" spans="1:17">
      <c r="A1900" t="s">
        <v>1944</v>
      </c>
      <c r="B1900" s="2">
        <v>45763</v>
      </c>
      <c r="C1900">
        <v>20</v>
      </c>
      <c r="D1900" t="s">
        <v>36</v>
      </c>
      <c r="E1900" t="s">
        <v>51</v>
      </c>
      <c r="F1900" s="7">
        <v>539.13</v>
      </c>
      <c r="G1900" s="10">
        <v>0.05</v>
      </c>
      <c r="H1900" s="7">
        <v>512.16999999999996</v>
      </c>
      <c r="I1900">
        <v>2</v>
      </c>
      <c r="J1900" t="s">
        <v>16</v>
      </c>
      <c r="K1900" s="13">
        <f>ROUND(tblTransactions[[#This Row],[gross_sales_inr]]*(1-tblTransactions[[#This Row],[discount_pct]]),2)</f>
        <v>512.16999999999996</v>
      </c>
      <c r="L1900" t="str">
        <f>IF(ABS(tblTransactions[[#This Row],[net_sales_inr]]-tblTransactions[[#This Row],[Recalc_Net_Sales]])&lt;0.02,"OK","CHECK")</f>
        <v>OK</v>
      </c>
      <c r="M1900" s="14">
        <f>DATE(YEAR(tblTransactions[[#This Row],[date]]),MONTH(tblTransactions[[#This Row],[date]]),1)</f>
        <v>45748</v>
      </c>
      <c r="N1900" t="str">
        <f>IF(WEEKDAY(tblTransactions[[#This Row],[date]],2)&gt;5,"Weekend","Weekday")</f>
        <v>Weekday</v>
      </c>
      <c r="O190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00" s="13" t="str">
        <f>_xlfn.XLOOKUP(tblTransactions[[#This Row],[tenant_id]],tblTenants[tenant_id],tblTenants[zone],"NOT FOUND")</f>
        <v>Home &amp; Living</v>
      </c>
      <c r="Q1900" s="13" t="str">
        <f>_xlfn.XLOOKUP(tblTransactions[[#This Row],[tenant_id]],tblTenants[tenant_id],tblTenants[category],"NOT FOUND")</f>
        <v>Electronics</v>
      </c>
    </row>
    <row r="1901" spans="1:17">
      <c r="A1901" t="s">
        <v>1945</v>
      </c>
      <c r="B1901" s="2">
        <v>45706</v>
      </c>
      <c r="C1901">
        <v>10</v>
      </c>
      <c r="D1901" t="s">
        <v>15</v>
      </c>
      <c r="E1901" t="s">
        <v>32</v>
      </c>
      <c r="F1901" s="7">
        <v>1243.6300000000001</v>
      </c>
      <c r="G1901" s="10">
        <v>0.15</v>
      </c>
      <c r="H1901" s="7">
        <v>1057.0899999999999</v>
      </c>
      <c r="I1901">
        <v>5</v>
      </c>
      <c r="J1901" t="s">
        <v>16</v>
      </c>
      <c r="K1901" s="13">
        <f>ROUND(tblTransactions[[#This Row],[gross_sales_inr]]*(1-tblTransactions[[#This Row],[discount_pct]]),2)</f>
        <v>1057.0899999999999</v>
      </c>
      <c r="L1901" t="str">
        <f>IF(ABS(tblTransactions[[#This Row],[net_sales_inr]]-tblTransactions[[#This Row],[Recalc_Net_Sales]])&lt;0.02,"OK","CHECK")</f>
        <v>OK</v>
      </c>
      <c r="M1901" s="14">
        <f>DATE(YEAR(tblTransactions[[#This Row],[date]]),MONTH(tblTransactions[[#This Row],[date]]),1)</f>
        <v>45689</v>
      </c>
      <c r="N1901" t="str">
        <f>IF(WEEKDAY(tblTransactions[[#This Row],[date]],2)&gt;5,"Weekend","Weekday")</f>
        <v>Weekday</v>
      </c>
      <c r="O190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01" s="13" t="str">
        <f>_xlfn.XLOOKUP(tblTransactions[[#This Row],[tenant_id]],tblTenants[tenant_id],tblTenants[zone],"NOT FOUND")</f>
        <v>Fashion Avenue</v>
      </c>
      <c r="Q1901" s="13" t="str">
        <f>_xlfn.XLOOKUP(tblTransactions[[#This Row],[tenant_id]],tblTenants[tenant_id],tblTenants[category],"NOT FOUND")</f>
        <v>Accessories</v>
      </c>
    </row>
    <row r="1902" spans="1:17">
      <c r="A1902" t="s">
        <v>1946</v>
      </c>
      <c r="B1902" s="2">
        <v>45709</v>
      </c>
      <c r="C1902">
        <v>18</v>
      </c>
      <c r="D1902" t="s">
        <v>11</v>
      </c>
      <c r="E1902" t="s">
        <v>32</v>
      </c>
      <c r="F1902" s="7">
        <v>489.99</v>
      </c>
      <c r="G1902" s="10">
        <v>0.1</v>
      </c>
      <c r="H1902" s="7">
        <v>440.99</v>
      </c>
      <c r="I1902">
        <v>3</v>
      </c>
      <c r="J1902" t="s">
        <v>13</v>
      </c>
      <c r="K1902" s="13">
        <f>ROUND(tblTransactions[[#This Row],[gross_sales_inr]]*(1-tblTransactions[[#This Row],[discount_pct]]),2)</f>
        <v>440.99</v>
      </c>
      <c r="L1902" t="str">
        <f>IF(ABS(tblTransactions[[#This Row],[net_sales_inr]]-tblTransactions[[#This Row],[Recalc_Net_Sales]])&lt;0.02,"OK","CHECK")</f>
        <v>OK</v>
      </c>
      <c r="M1902" s="14">
        <f>DATE(YEAR(tblTransactions[[#This Row],[date]]),MONTH(tblTransactions[[#This Row],[date]]),1)</f>
        <v>45689</v>
      </c>
      <c r="N1902" t="str">
        <f>IF(WEEKDAY(tblTransactions[[#This Row],[date]],2)&gt;5,"Weekend","Weekday")</f>
        <v>Weekday</v>
      </c>
      <c r="O190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02" s="13" t="str">
        <f>_xlfn.XLOOKUP(tblTransactions[[#This Row],[tenant_id]],tblTenants[tenant_id],tblTenants[zone],"NOT FOUND")</f>
        <v>Home &amp; Living</v>
      </c>
      <c r="Q1902" s="13" t="str">
        <f>_xlfn.XLOOKUP(tblTransactions[[#This Row],[tenant_id]],tblTenants[tenant_id],tblTenants[category],"NOT FOUND")</f>
        <v>Home Decor</v>
      </c>
    </row>
    <row r="1903" spans="1:17">
      <c r="A1903" t="s">
        <v>1947</v>
      </c>
      <c r="B1903" s="2">
        <v>45753</v>
      </c>
      <c r="C1903">
        <v>14</v>
      </c>
      <c r="D1903" t="s">
        <v>55</v>
      </c>
      <c r="E1903" t="s">
        <v>12</v>
      </c>
      <c r="F1903" s="7">
        <v>2515.86</v>
      </c>
      <c r="G1903" s="10">
        <v>0.1</v>
      </c>
      <c r="H1903" s="7">
        <v>2264.27</v>
      </c>
      <c r="I1903">
        <v>1</v>
      </c>
      <c r="J1903" t="s">
        <v>13</v>
      </c>
      <c r="K1903" s="13">
        <f>ROUND(tblTransactions[[#This Row],[gross_sales_inr]]*(1-tblTransactions[[#This Row],[discount_pct]]),2)</f>
        <v>2264.27</v>
      </c>
      <c r="L1903" t="str">
        <f>IF(ABS(tblTransactions[[#This Row],[net_sales_inr]]-tblTransactions[[#This Row],[Recalc_Net_Sales]])&lt;0.02,"OK","CHECK")</f>
        <v>OK</v>
      </c>
      <c r="M1903" s="14">
        <f>DATE(YEAR(tblTransactions[[#This Row],[date]]),MONTH(tblTransactions[[#This Row],[date]]),1)</f>
        <v>45748</v>
      </c>
      <c r="N1903" t="str">
        <f>IF(WEEKDAY(tblTransactions[[#This Row],[date]],2)&gt;5,"Weekend","Weekday")</f>
        <v>Weekend</v>
      </c>
      <c r="O190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03" s="13" t="str">
        <f>_xlfn.XLOOKUP(tblTransactions[[#This Row],[tenant_id]],tblTenants[tenant_id],tblTenants[zone],"NOT FOUND")</f>
        <v>Food Court</v>
      </c>
      <c r="Q1903" s="13" t="str">
        <f>_xlfn.XLOOKUP(tblTransactions[[#This Row],[tenant_id]],tblTenants[tenant_id],tblTenants[category],"NOT FOUND")</f>
        <v>Quick Service</v>
      </c>
    </row>
    <row r="1904" spans="1:17">
      <c r="A1904" t="s">
        <v>1948</v>
      </c>
      <c r="B1904" s="2">
        <v>45831</v>
      </c>
      <c r="C1904">
        <v>21</v>
      </c>
      <c r="D1904" t="s">
        <v>98</v>
      </c>
      <c r="E1904" t="s">
        <v>12</v>
      </c>
      <c r="F1904" s="7">
        <v>375.44</v>
      </c>
      <c r="G1904" s="10">
        <v>0.1</v>
      </c>
      <c r="H1904" s="7">
        <v>337.9</v>
      </c>
      <c r="I1904">
        <v>1</v>
      </c>
      <c r="J1904" t="s">
        <v>16</v>
      </c>
      <c r="K1904" s="13">
        <f>ROUND(tblTransactions[[#This Row],[gross_sales_inr]]*(1-tblTransactions[[#This Row],[discount_pct]]),2)</f>
        <v>337.9</v>
      </c>
      <c r="L1904" t="str">
        <f>IF(ABS(tblTransactions[[#This Row],[net_sales_inr]]-tblTransactions[[#This Row],[Recalc_Net_Sales]])&lt;0.02,"OK","CHECK")</f>
        <v>OK</v>
      </c>
      <c r="M1904" s="14">
        <f>DATE(YEAR(tblTransactions[[#This Row],[date]]),MONTH(tblTransactions[[#This Row],[date]]),1)</f>
        <v>45809</v>
      </c>
      <c r="N1904" t="str">
        <f>IF(WEEKDAY(tblTransactions[[#This Row],[date]],2)&gt;5,"Weekend","Weekday")</f>
        <v>Weekday</v>
      </c>
      <c r="O190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04" s="13" t="str">
        <f>_xlfn.XLOOKUP(tblTransactions[[#This Row],[tenant_id]],tblTenants[tenant_id],tblTenants[zone],"NOT FOUND")</f>
        <v>Fashion Avenue</v>
      </c>
      <c r="Q1904" s="13" t="str">
        <f>_xlfn.XLOOKUP(tblTransactions[[#This Row],[tenant_id]],tblTenants[tenant_id],tblTenants[category],"NOT FOUND")</f>
        <v>Accessories</v>
      </c>
    </row>
    <row r="1905" spans="1:17">
      <c r="A1905" t="s">
        <v>1949</v>
      </c>
      <c r="B1905" s="2">
        <v>45671</v>
      </c>
      <c r="C1905">
        <v>15</v>
      </c>
      <c r="D1905" t="s">
        <v>104</v>
      </c>
      <c r="E1905" t="s">
        <v>12</v>
      </c>
      <c r="F1905" s="7">
        <v>1427.24</v>
      </c>
      <c r="G1905" s="10">
        <v>0</v>
      </c>
      <c r="H1905" s="7">
        <v>1427.24</v>
      </c>
      <c r="I1905">
        <v>3</v>
      </c>
      <c r="J1905" t="s">
        <v>16</v>
      </c>
      <c r="K1905" s="13">
        <f>ROUND(tblTransactions[[#This Row],[gross_sales_inr]]*(1-tblTransactions[[#This Row],[discount_pct]]),2)</f>
        <v>1427.24</v>
      </c>
      <c r="L1905" t="str">
        <f>IF(ABS(tblTransactions[[#This Row],[net_sales_inr]]-tblTransactions[[#This Row],[Recalc_Net_Sales]])&lt;0.02,"OK","CHECK")</f>
        <v>OK</v>
      </c>
      <c r="M1905" s="14">
        <f>DATE(YEAR(tblTransactions[[#This Row],[date]]),MONTH(tblTransactions[[#This Row],[date]]),1)</f>
        <v>45658</v>
      </c>
      <c r="N1905" t="str">
        <f>IF(WEEKDAY(tblTransactions[[#This Row],[date]],2)&gt;5,"Weekend","Weekday")</f>
        <v>Weekday</v>
      </c>
      <c r="O1905" s="13" t="str">
        <f>IF(tblTransactions[[#This Row],[discount_pct]]=0,"0%",IF(tblTransactions[[#This Row],[discount_pct]]&lt;=10%,"1–
10%",IF(tblTransactions[[#This Row],[discount_pct]]&lt;=20%,"11–20%","&gt;20%")))</f>
        <v>0%</v>
      </c>
      <c r="P1905" s="13" t="str">
        <f>_xlfn.XLOOKUP(tblTransactions[[#This Row],[tenant_id]],tblTenants[tenant_id],tblTenants[zone],"NOT FOUND")</f>
        <v>Entertainment</v>
      </c>
      <c r="Q1905" s="13" t="str">
        <f>_xlfn.XLOOKUP(tblTransactions[[#This Row],[tenant_id]],tblTenants[tenant_id],tblTenants[category],"NOT FOUND")</f>
        <v>Family Entertainment</v>
      </c>
    </row>
    <row r="1906" spans="1:17">
      <c r="A1906" t="s">
        <v>1950</v>
      </c>
      <c r="B1906" s="2">
        <v>45764</v>
      </c>
      <c r="C1906">
        <v>21</v>
      </c>
      <c r="D1906" t="s">
        <v>104</v>
      </c>
      <c r="E1906" t="s">
        <v>12</v>
      </c>
      <c r="F1906" s="7">
        <v>1103.5</v>
      </c>
      <c r="G1906" s="10">
        <v>0</v>
      </c>
      <c r="H1906" s="7">
        <v>1103.5</v>
      </c>
      <c r="I1906">
        <v>4</v>
      </c>
      <c r="J1906" t="s">
        <v>13</v>
      </c>
      <c r="K1906" s="13">
        <f>ROUND(tblTransactions[[#This Row],[gross_sales_inr]]*(1-tblTransactions[[#This Row],[discount_pct]]),2)</f>
        <v>1103.5</v>
      </c>
      <c r="L1906" t="str">
        <f>IF(ABS(tblTransactions[[#This Row],[net_sales_inr]]-tblTransactions[[#This Row],[Recalc_Net_Sales]])&lt;0.02,"OK","CHECK")</f>
        <v>OK</v>
      </c>
      <c r="M1906" s="14">
        <f>DATE(YEAR(tblTransactions[[#This Row],[date]]),MONTH(tblTransactions[[#This Row],[date]]),1)</f>
        <v>45748</v>
      </c>
      <c r="N1906" t="str">
        <f>IF(WEEKDAY(tblTransactions[[#This Row],[date]],2)&gt;5,"Weekend","Weekday")</f>
        <v>Weekday</v>
      </c>
      <c r="O1906" s="13" t="str">
        <f>IF(tblTransactions[[#This Row],[discount_pct]]=0,"0%",IF(tblTransactions[[#This Row],[discount_pct]]&lt;=10%,"1–
10%",IF(tblTransactions[[#This Row],[discount_pct]]&lt;=20%,"11–20%","&gt;20%")))</f>
        <v>0%</v>
      </c>
      <c r="P1906" s="13" t="str">
        <f>_xlfn.XLOOKUP(tblTransactions[[#This Row],[tenant_id]],tblTenants[tenant_id],tblTenants[zone],"NOT FOUND")</f>
        <v>Entertainment</v>
      </c>
      <c r="Q1906" s="13" t="str">
        <f>_xlfn.XLOOKUP(tblTransactions[[#This Row],[tenant_id]],tblTenants[tenant_id],tblTenants[category],"NOT FOUND")</f>
        <v>Family Entertainment</v>
      </c>
    </row>
    <row r="1907" spans="1:17">
      <c r="A1907" t="s">
        <v>1951</v>
      </c>
      <c r="B1907" s="2">
        <v>45727</v>
      </c>
      <c r="C1907">
        <v>21</v>
      </c>
      <c r="D1907" t="s">
        <v>61</v>
      </c>
      <c r="E1907" t="s">
        <v>32</v>
      </c>
      <c r="F1907" s="7">
        <v>1060.8</v>
      </c>
      <c r="G1907" s="10">
        <v>0.15</v>
      </c>
      <c r="H1907" s="7">
        <v>901.68</v>
      </c>
      <c r="I1907">
        <v>1</v>
      </c>
      <c r="J1907" t="s">
        <v>13</v>
      </c>
      <c r="K1907" s="13">
        <f>ROUND(tblTransactions[[#This Row],[gross_sales_inr]]*(1-tblTransactions[[#This Row],[discount_pct]]),2)</f>
        <v>901.68</v>
      </c>
      <c r="L1907" t="str">
        <f>IF(ABS(tblTransactions[[#This Row],[net_sales_inr]]-tblTransactions[[#This Row],[Recalc_Net_Sales]])&lt;0.02,"OK","CHECK")</f>
        <v>OK</v>
      </c>
      <c r="M1907" s="14">
        <f>DATE(YEAR(tblTransactions[[#This Row],[date]]),MONTH(tblTransactions[[#This Row],[date]]),1)</f>
        <v>45717</v>
      </c>
      <c r="N1907" t="str">
        <f>IF(WEEKDAY(tblTransactions[[#This Row],[date]],2)&gt;5,"Weekend","Weekday")</f>
        <v>Weekday</v>
      </c>
      <c r="O190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07" s="13" t="str">
        <f>_xlfn.XLOOKUP(tblTransactions[[#This Row],[tenant_id]],tblTenants[tenant_id],tblTenants[zone],"NOT FOUND")</f>
        <v>Food Court</v>
      </c>
      <c r="Q1907" s="13" t="str">
        <f>_xlfn.XLOOKUP(tblTransactions[[#This Row],[tenant_id]],tblTenants[tenant_id],tblTenants[category],"NOT FOUND")</f>
        <v>Quick Service</v>
      </c>
    </row>
    <row r="1908" spans="1:17">
      <c r="A1908" t="s">
        <v>1952</v>
      </c>
      <c r="B1908" s="2">
        <v>45767</v>
      </c>
      <c r="C1908">
        <v>11</v>
      </c>
      <c r="D1908" t="s">
        <v>45</v>
      </c>
      <c r="E1908" t="s">
        <v>12</v>
      </c>
      <c r="F1908" s="7">
        <v>834.38</v>
      </c>
      <c r="G1908" s="10">
        <v>0.3</v>
      </c>
      <c r="H1908" s="7">
        <v>584.07000000000005</v>
      </c>
      <c r="I1908">
        <v>1</v>
      </c>
      <c r="J1908" t="s">
        <v>16</v>
      </c>
      <c r="K1908" s="13">
        <f>ROUND(tblTransactions[[#This Row],[gross_sales_inr]]*(1-tblTransactions[[#This Row],[discount_pct]]),2)</f>
        <v>584.07000000000005</v>
      </c>
      <c r="L1908" t="str">
        <f>IF(ABS(tblTransactions[[#This Row],[net_sales_inr]]-tblTransactions[[#This Row],[Recalc_Net_Sales]])&lt;0.02,"OK","CHECK")</f>
        <v>OK</v>
      </c>
      <c r="M1908" s="14">
        <f>DATE(YEAR(tblTransactions[[#This Row],[date]]),MONTH(tblTransactions[[#This Row],[date]]),1)</f>
        <v>45748</v>
      </c>
      <c r="N1908" t="str">
        <f>IF(WEEKDAY(tblTransactions[[#This Row],[date]],2)&gt;5,"Weekend","Weekday")</f>
        <v>Weekend</v>
      </c>
      <c r="O1908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908" s="13" t="str">
        <f>_xlfn.XLOOKUP(tblTransactions[[#This Row],[tenant_id]],tblTenants[tenant_id],tblTenants[zone],"NOT FOUND")</f>
        <v>Home &amp; Living</v>
      </c>
      <c r="Q1908" s="13" t="str">
        <f>_xlfn.XLOOKUP(tblTransactions[[#This Row],[tenant_id]],tblTenants[tenant_id],tblTenants[category],"NOT FOUND")</f>
        <v>Home Decor</v>
      </c>
    </row>
    <row r="1909" spans="1:17">
      <c r="A1909" t="s">
        <v>1953</v>
      </c>
      <c r="B1909" s="2">
        <v>45680</v>
      </c>
      <c r="C1909">
        <v>22</v>
      </c>
      <c r="D1909" t="s">
        <v>43</v>
      </c>
      <c r="E1909" t="s">
        <v>32</v>
      </c>
      <c r="F1909" s="7">
        <v>1620.53</v>
      </c>
      <c r="G1909" s="10">
        <v>0</v>
      </c>
      <c r="H1909" s="7">
        <v>1620.53</v>
      </c>
      <c r="I1909">
        <v>4</v>
      </c>
      <c r="J1909" t="s">
        <v>13</v>
      </c>
      <c r="K1909" s="13">
        <f>ROUND(tblTransactions[[#This Row],[gross_sales_inr]]*(1-tblTransactions[[#This Row],[discount_pct]]),2)</f>
        <v>1620.53</v>
      </c>
      <c r="L1909" t="str">
        <f>IF(ABS(tblTransactions[[#This Row],[net_sales_inr]]-tblTransactions[[#This Row],[Recalc_Net_Sales]])&lt;0.02,"OK","CHECK")</f>
        <v>OK</v>
      </c>
      <c r="M1909" s="14">
        <f>DATE(YEAR(tblTransactions[[#This Row],[date]]),MONTH(tblTransactions[[#This Row],[date]]),1)</f>
        <v>45658</v>
      </c>
      <c r="N1909" t="str">
        <f>IF(WEEKDAY(tblTransactions[[#This Row],[date]],2)&gt;5,"Weekend","Weekday")</f>
        <v>Weekday</v>
      </c>
      <c r="O1909" s="13" t="str">
        <f>IF(tblTransactions[[#This Row],[discount_pct]]=0,"0%",IF(tblTransactions[[#This Row],[discount_pct]]&lt;=10%,"1–
10%",IF(tblTransactions[[#This Row],[discount_pct]]&lt;=20%,"11–20%","&gt;20%")))</f>
        <v>0%</v>
      </c>
      <c r="P1909" s="13" t="str">
        <f>_xlfn.XLOOKUP(tblTransactions[[#This Row],[tenant_id]],tblTenants[tenant_id],tblTenants[zone],"NOT FOUND")</f>
        <v>Food Court</v>
      </c>
      <c r="Q1909" s="13" t="str">
        <f>_xlfn.XLOOKUP(tblTransactions[[#This Row],[tenant_id]],tblTenants[tenant_id],tblTenants[category],"NOT FOUND")</f>
        <v>Casual Dining</v>
      </c>
    </row>
    <row r="1910" spans="1:17">
      <c r="A1910" t="s">
        <v>1954</v>
      </c>
      <c r="B1910" s="2">
        <v>45831</v>
      </c>
      <c r="C1910">
        <v>21</v>
      </c>
      <c r="D1910" t="s">
        <v>72</v>
      </c>
      <c r="E1910" t="s">
        <v>51</v>
      </c>
      <c r="F1910" s="7">
        <v>1148.1600000000001</v>
      </c>
      <c r="G1910" s="10">
        <v>0.1</v>
      </c>
      <c r="H1910" s="7">
        <v>1033.3399999999999</v>
      </c>
      <c r="I1910">
        <v>1</v>
      </c>
      <c r="J1910" t="s">
        <v>16</v>
      </c>
      <c r="K1910" s="13">
        <f>ROUND(tblTransactions[[#This Row],[gross_sales_inr]]*(1-tblTransactions[[#This Row],[discount_pct]]),2)</f>
        <v>1033.3399999999999</v>
      </c>
      <c r="L1910" t="str">
        <f>IF(ABS(tblTransactions[[#This Row],[net_sales_inr]]-tblTransactions[[#This Row],[Recalc_Net_Sales]])&lt;0.02,"OK","CHECK")</f>
        <v>OK</v>
      </c>
      <c r="M1910" s="14">
        <f>DATE(YEAR(tblTransactions[[#This Row],[date]]),MONTH(tblTransactions[[#This Row],[date]]),1)</f>
        <v>45809</v>
      </c>
      <c r="N1910" t="str">
        <f>IF(WEEKDAY(tblTransactions[[#This Row],[date]],2)&gt;5,"Weekend","Weekday")</f>
        <v>Weekday</v>
      </c>
      <c r="O191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10" s="13" t="str">
        <f>_xlfn.XLOOKUP(tblTransactions[[#This Row],[tenant_id]],tblTenants[tenant_id],tblTenants[zone],"NOT FOUND")</f>
        <v>Entertainment</v>
      </c>
      <c r="Q1910" s="13" t="str">
        <f>_xlfn.XLOOKUP(tblTransactions[[#This Row],[tenant_id]],tblTenants[tenant_id],tblTenants[category],"NOT FOUND")</f>
        <v>Arcade</v>
      </c>
    </row>
    <row r="1911" spans="1:17">
      <c r="A1911" t="s">
        <v>1955</v>
      </c>
      <c r="B1911" s="2">
        <v>45719</v>
      </c>
      <c r="C1911">
        <v>15</v>
      </c>
      <c r="D1911" t="s">
        <v>20</v>
      </c>
      <c r="E1911" t="s">
        <v>21</v>
      </c>
      <c r="F1911" s="7">
        <v>1064.6500000000001</v>
      </c>
      <c r="G1911" s="10">
        <v>0.1</v>
      </c>
      <c r="H1911" s="7">
        <v>958.19</v>
      </c>
      <c r="I1911">
        <v>2</v>
      </c>
      <c r="J1911" t="s">
        <v>13</v>
      </c>
      <c r="K1911" s="13">
        <f>ROUND(tblTransactions[[#This Row],[gross_sales_inr]]*(1-tblTransactions[[#This Row],[discount_pct]]),2)</f>
        <v>958.19</v>
      </c>
      <c r="L1911" t="str">
        <f>IF(ABS(tblTransactions[[#This Row],[net_sales_inr]]-tblTransactions[[#This Row],[Recalc_Net_Sales]])&lt;0.02,"OK","CHECK")</f>
        <v>OK</v>
      </c>
      <c r="M1911" s="14">
        <f>DATE(YEAR(tblTransactions[[#This Row],[date]]),MONTH(tblTransactions[[#This Row],[date]]),1)</f>
        <v>45717</v>
      </c>
      <c r="N1911" t="str">
        <f>IF(WEEKDAY(tblTransactions[[#This Row],[date]],2)&gt;5,"Weekend","Weekday")</f>
        <v>Weekday</v>
      </c>
      <c r="O191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11" s="13" t="str">
        <f>_xlfn.XLOOKUP(tblTransactions[[#This Row],[tenant_id]],tblTenants[tenant_id],tblTenants[zone],"NOT FOUND")</f>
        <v>Fashion Avenue</v>
      </c>
      <c r="Q1911" s="13" t="str">
        <f>_xlfn.XLOOKUP(tblTransactions[[#This Row],[tenant_id]],tblTenants[tenant_id],tblTenants[category],"NOT FOUND")</f>
        <v>Accessories</v>
      </c>
    </row>
    <row r="1912" spans="1:17">
      <c r="A1912" t="s">
        <v>1956</v>
      </c>
      <c r="B1912" s="2">
        <v>45803</v>
      </c>
      <c r="C1912">
        <v>22</v>
      </c>
      <c r="D1912" t="s">
        <v>104</v>
      </c>
      <c r="E1912" t="s">
        <v>32</v>
      </c>
      <c r="F1912" s="7">
        <v>301.72000000000003</v>
      </c>
      <c r="G1912" s="10">
        <v>0</v>
      </c>
      <c r="H1912" s="7">
        <v>301.72000000000003</v>
      </c>
      <c r="I1912">
        <v>2</v>
      </c>
      <c r="J1912" t="s">
        <v>13</v>
      </c>
      <c r="K1912" s="13">
        <f>ROUND(tblTransactions[[#This Row],[gross_sales_inr]]*(1-tblTransactions[[#This Row],[discount_pct]]),2)</f>
        <v>301.72000000000003</v>
      </c>
      <c r="L1912" t="str">
        <f>IF(ABS(tblTransactions[[#This Row],[net_sales_inr]]-tblTransactions[[#This Row],[Recalc_Net_Sales]])&lt;0.02,"OK","CHECK")</f>
        <v>OK</v>
      </c>
      <c r="M1912" s="14">
        <f>DATE(YEAR(tblTransactions[[#This Row],[date]]),MONTH(tblTransactions[[#This Row],[date]]),1)</f>
        <v>45778</v>
      </c>
      <c r="N1912" t="str">
        <f>IF(WEEKDAY(tblTransactions[[#This Row],[date]],2)&gt;5,"Weekend","Weekday")</f>
        <v>Weekday</v>
      </c>
      <c r="O1912" s="13" t="str">
        <f>IF(tblTransactions[[#This Row],[discount_pct]]=0,"0%",IF(tblTransactions[[#This Row],[discount_pct]]&lt;=10%,"1–
10%",IF(tblTransactions[[#This Row],[discount_pct]]&lt;=20%,"11–20%","&gt;20%")))</f>
        <v>0%</v>
      </c>
      <c r="P1912" s="13" t="str">
        <f>_xlfn.XLOOKUP(tblTransactions[[#This Row],[tenant_id]],tblTenants[tenant_id],tblTenants[zone],"NOT FOUND")</f>
        <v>Entertainment</v>
      </c>
      <c r="Q1912" s="13" t="str">
        <f>_xlfn.XLOOKUP(tblTransactions[[#This Row],[tenant_id]],tblTenants[tenant_id],tblTenants[category],"NOT FOUND")</f>
        <v>Family Entertainment</v>
      </c>
    </row>
    <row r="1913" spans="1:17">
      <c r="A1913" t="s">
        <v>1957</v>
      </c>
      <c r="B1913" s="2">
        <v>45666</v>
      </c>
      <c r="C1913">
        <v>14</v>
      </c>
      <c r="D1913" t="s">
        <v>53</v>
      </c>
      <c r="E1913" t="s">
        <v>12</v>
      </c>
      <c r="F1913" s="7">
        <v>1293.23</v>
      </c>
      <c r="G1913" s="10">
        <v>0.1</v>
      </c>
      <c r="H1913" s="7">
        <v>1163.9100000000001</v>
      </c>
      <c r="I1913">
        <v>2</v>
      </c>
      <c r="J1913" t="s">
        <v>13</v>
      </c>
      <c r="K1913" s="13">
        <f>ROUND(tblTransactions[[#This Row],[gross_sales_inr]]*(1-tblTransactions[[#This Row],[discount_pct]]),2)</f>
        <v>1163.9100000000001</v>
      </c>
      <c r="L1913" t="str">
        <f>IF(ABS(tblTransactions[[#This Row],[net_sales_inr]]-tblTransactions[[#This Row],[Recalc_Net_Sales]])&lt;0.02,"OK","CHECK")</f>
        <v>OK</v>
      </c>
      <c r="M1913" s="14">
        <f>DATE(YEAR(tblTransactions[[#This Row],[date]]),MONTH(tblTransactions[[#This Row],[date]]),1)</f>
        <v>45658</v>
      </c>
      <c r="N1913" t="str">
        <f>IF(WEEKDAY(tblTransactions[[#This Row],[date]],2)&gt;5,"Weekend","Weekday")</f>
        <v>Weekday</v>
      </c>
      <c r="O191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13" s="13" t="str">
        <f>_xlfn.XLOOKUP(tblTransactions[[#This Row],[tenant_id]],tblTenants[tenant_id],tblTenants[zone],"NOT FOUND")</f>
        <v>Beauty &amp; Wellness</v>
      </c>
      <c r="Q1913" s="13" t="str">
        <f>_xlfn.XLOOKUP(tblTransactions[[#This Row],[tenant_id]],tblTenants[tenant_id],tblTenants[category],"NOT FOUND")</f>
        <v>Beauty</v>
      </c>
    </row>
    <row r="1914" spans="1:17">
      <c r="A1914" t="s">
        <v>1958</v>
      </c>
      <c r="B1914" s="2">
        <v>45779</v>
      </c>
      <c r="C1914">
        <v>19</v>
      </c>
      <c r="D1914" t="s">
        <v>63</v>
      </c>
      <c r="E1914" t="s">
        <v>12</v>
      </c>
      <c r="F1914" s="7">
        <v>259.01</v>
      </c>
      <c r="G1914" s="10">
        <v>0.1</v>
      </c>
      <c r="H1914" s="7">
        <v>233.11</v>
      </c>
      <c r="I1914">
        <v>3</v>
      </c>
      <c r="J1914" t="s">
        <v>16</v>
      </c>
      <c r="K1914" s="13">
        <f>ROUND(tblTransactions[[#This Row],[gross_sales_inr]]*(1-tblTransactions[[#This Row],[discount_pct]]),2)</f>
        <v>233.11</v>
      </c>
      <c r="L1914" t="str">
        <f>IF(ABS(tblTransactions[[#This Row],[net_sales_inr]]-tblTransactions[[#This Row],[Recalc_Net_Sales]])&lt;0.02,"OK","CHECK")</f>
        <v>OK</v>
      </c>
      <c r="M1914" s="14">
        <f>DATE(YEAR(tblTransactions[[#This Row],[date]]),MONTH(tblTransactions[[#This Row],[date]]),1)</f>
        <v>45778</v>
      </c>
      <c r="N1914" t="str">
        <f>IF(WEEKDAY(tblTransactions[[#This Row],[date]],2)&gt;5,"Weekend","Weekday")</f>
        <v>Weekday</v>
      </c>
      <c r="O191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14" s="13" t="str">
        <f>_xlfn.XLOOKUP(tblTransactions[[#This Row],[tenant_id]],tblTenants[tenant_id],tblTenants[zone],"NOT FOUND")</f>
        <v>Entertainment</v>
      </c>
      <c r="Q1914" s="13" t="str">
        <f>_xlfn.XLOOKUP(tblTransactions[[#This Row],[tenant_id]],tblTenants[tenant_id],tblTenants[category],"NOT FOUND")</f>
        <v>Family Entertainment</v>
      </c>
    </row>
    <row r="1915" spans="1:17">
      <c r="A1915" t="s">
        <v>1959</v>
      </c>
      <c r="B1915" s="2">
        <v>45681</v>
      </c>
      <c r="C1915">
        <v>13</v>
      </c>
      <c r="D1915" t="s">
        <v>15</v>
      </c>
      <c r="E1915" t="s">
        <v>51</v>
      </c>
      <c r="F1915" s="7">
        <v>1005.8</v>
      </c>
      <c r="G1915" s="10">
        <v>0.15</v>
      </c>
      <c r="H1915" s="7">
        <v>854.93</v>
      </c>
      <c r="I1915">
        <v>4</v>
      </c>
      <c r="J1915" t="s">
        <v>16</v>
      </c>
      <c r="K1915" s="13">
        <f>ROUND(tblTransactions[[#This Row],[gross_sales_inr]]*(1-tblTransactions[[#This Row],[discount_pct]]),2)</f>
        <v>854.93</v>
      </c>
      <c r="L1915" t="str">
        <f>IF(ABS(tblTransactions[[#This Row],[net_sales_inr]]-tblTransactions[[#This Row],[Recalc_Net_Sales]])&lt;0.02,"OK","CHECK")</f>
        <v>OK</v>
      </c>
      <c r="M1915" s="14">
        <f>DATE(YEAR(tblTransactions[[#This Row],[date]]),MONTH(tblTransactions[[#This Row],[date]]),1)</f>
        <v>45658</v>
      </c>
      <c r="N1915" t="str">
        <f>IF(WEEKDAY(tblTransactions[[#This Row],[date]],2)&gt;5,"Weekend","Weekday")</f>
        <v>Weekday</v>
      </c>
      <c r="O191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15" s="13" t="str">
        <f>_xlfn.XLOOKUP(tblTransactions[[#This Row],[tenant_id]],tblTenants[tenant_id],tblTenants[zone],"NOT FOUND")</f>
        <v>Fashion Avenue</v>
      </c>
      <c r="Q1915" s="13" t="str">
        <f>_xlfn.XLOOKUP(tblTransactions[[#This Row],[tenant_id]],tblTenants[tenant_id],tblTenants[category],"NOT FOUND")</f>
        <v>Accessories</v>
      </c>
    </row>
    <row r="1916" spans="1:17">
      <c r="A1916" t="s">
        <v>1960</v>
      </c>
      <c r="B1916" s="2">
        <v>45806</v>
      </c>
      <c r="C1916">
        <v>10</v>
      </c>
      <c r="D1916" t="s">
        <v>11</v>
      </c>
      <c r="E1916" t="s">
        <v>12</v>
      </c>
      <c r="F1916" s="7">
        <v>972.02</v>
      </c>
      <c r="G1916" s="10">
        <v>0.1</v>
      </c>
      <c r="H1916" s="7">
        <v>874.82</v>
      </c>
      <c r="I1916">
        <v>1</v>
      </c>
      <c r="J1916" t="s">
        <v>13</v>
      </c>
      <c r="K1916" s="13">
        <f>ROUND(tblTransactions[[#This Row],[gross_sales_inr]]*(1-tblTransactions[[#This Row],[discount_pct]]),2)</f>
        <v>874.82</v>
      </c>
      <c r="L1916" t="str">
        <f>IF(ABS(tblTransactions[[#This Row],[net_sales_inr]]-tblTransactions[[#This Row],[Recalc_Net_Sales]])&lt;0.02,"OK","CHECK")</f>
        <v>OK</v>
      </c>
      <c r="M1916" s="14">
        <f>DATE(YEAR(tblTransactions[[#This Row],[date]]),MONTH(tblTransactions[[#This Row],[date]]),1)</f>
        <v>45778</v>
      </c>
      <c r="N1916" t="str">
        <f>IF(WEEKDAY(tblTransactions[[#This Row],[date]],2)&gt;5,"Weekend","Weekday")</f>
        <v>Weekday</v>
      </c>
      <c r="O191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16" s="13" t="str">
        <f>_xlfn.XLOOKUP(tblTransactions[[#This Row],[tenant_id]],tblTenants[tenant_id],tblTenants[zone],"NOT FOUND")</f>
        <v>Home &amp; Living</v>
      </c>
      <c r="Q1916" s="13" t="str">
        <f>_xlfn.XLOOKUP(tblTransactions[[#This Row],[tenant_id]],tblTenants[tenant_id],tblTenants[category],"NOT FOUND")</f>
        <v>Home Decor</v>
      </c>
    </row>
    <row r="1917" spans="1:17">
      <c r="A1917" t="s">
        <v>1961</v>
      </c>
      <c r="B1917" s="2">
        <v>45720</v>
      </c>
      <c r="C1917">
        <v>11</v>
      </c>
      <c r="D1917" t="s">
        <v>53</v>
      </c>
      <c r="E1917" t="s">
        <v>32</v>
      </c>
      <c r="F1917" s="7">
        <v>311.37</v>
      </c>
      <c r="G1917" s="10">
        <v>0.2</v>
      </c>
      <c r="H1917" s="7">
        <v>249.1</v>
      </c>
      <c r="I1917">
        <v>2</v>
      </c>
      <c r="J1917" t="s">
        <v>16</v>
      </c>
      <c r="K1917" s="13">
        <f>ROUND(tblTransactions[[#This Row],[gross_sales_inr]]*(1-tblTransactions[[#This Row],[discount_pct]]),2)</f>
        <v>249.1</v>
      </c>
      <c r="L1917" t="str">
        <f>IF(ABS(tblTransactions[[#This Row],[net_sales_inr]]-tblTransactions[[#This Row],[Recalc_Net_Sales]])&lt;0.02,"OK","CHECK")</f>
        <v>OK</v>
      </c>
      <c r="M1917" s="14">
        <f>DATE(YEAR(tblTransactions[[#This Row],[date]]),MONTH(tblTransactions[[#This Row],[date]]),1)</f>
        <v>45717</v>
      </c>
      <c r="N1917" t="str">
        <f>IF(WEEKDAY(tblTransactions[[#This Row],[date]],2)&gt;5,"Weekend","Weekday")</f>
        <v>Weekday</v>
      </c>
      <c r="O191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17" s="13" t="str">
        <f>_xlfn.XLOOKUP(tblTransactions[[#This Row],[tenant_id]],tblTenants[tenant_id],tblTenants[zone],"NOT FOUND")</f>
        <v>Beauty &amp; Wellness</v>
      </c>
      <c r="Q1917" s="13" t="str">
        <f>_xlfn.XLOOKUP(tblTransactions[[#This Row],[tenant_id]],tblTenants[tenant_id],tblTenants[category],"NOT FOUND")</f>
        <v>Beauty</v>
      </c>
    </row>
    <row r="1918" spans="1:17">
      <c r="A1918" t="s">
        <v>1962</v>
      </c>
      <c r="B1918" s="2">
        <v>45691</v>
      </c>
      <c r="C1918">
        <v>13</v>
      </c>
      <c r="D1918" t="s">
        <v>72</v>
      </c>
      <c r="E1918" t="s">
        <v>12</v>
      </c>
      <c r="F1918" s="7">
        <v>509.8</v>
      </c>
      <c r="G1918" s="10">
        <v>0</v>
      </c>
      <c r="H1918" s="7">
        <v>509.8</v>
      </c>
      <c r="I1918">
        <v>2</v>
      </c>
      <c r="J1918" t="s">
        <v>16</v>
      </c>
      <c r="K1918" s="13">
        <f>ROUND(tblTransactions[[#This Row],[gross_sales_inr]]*(1-tblTransactions[[#This Row],[discount_pct]]),2)</f>
        <v>509.8</v>
      </c>
      <c r="L1918" t="str">
        <f>IF(ABS(tblTransactions[[#This Row],[net_sales_inr]]-tblTransactions[[#This Row],[Recalc_Net_Sales]])&lt;0.02,"OK","CHECK")</f>
        <v>OK</v>
      </c>
      <c r="M1918" s="14">
        <f>DATE(YEAR(tblTransactions[[#This Row],[date]]),MONTH(tblTransactions[[#This Row],[date]]),1)</f>
        <v>45689</v>
      </c>
      <c r="N1918" t="str">
        <f>IF(WEEKDAY(tblTransactions[[#This Row],[date]],2)&gt;5,"Weekend","Weekday")</f>
        <v>Weekday</v>
      </c>
      <c r="O1918" s="13" t="str">
        <f>IF(tblTransactions[[#This Row],[discount_pct]]=0,"0%",IF(tblTransactions[[#This Row],[discount_pct]]&lt;=10%,"1–
10%",IF(tblTransactions[[#This Row],[discount_pct]]&lt;=20%,"11–20%","&gt;20%")))</f>
        <v>0%</v>
      </c>
      <c r="P1918" s="13" t="str">
        <f>_xlfn.XLOOKUP(tblTransactions[[#This Row],[tenant_id]],tblTenants[tenant_id],tblTenants[zone],"NOT FOUND")</f>
        <v>Entertainment</v>
      </c>
      <c r="Q1918" s="13" t="str">
        <f>_xlfn.XLOOKUP(tblTransactions[[#This Row],[tenant_id]],tblTenants[tenant_id],tblTenants[category],"NOT FOUND")</f>
        <v>Arcade</v>
      </c>
    </row>
    <row r="1919" spans="1:17">
      <c r="A1919" t="s">
        <v>1963</v>
      </c>
      <c r="B1919" s="2">
        <v>45827</v>
      </c>
      <c r="C1919">
        <v>11</v>
      </c>
      <c r="D1919" t="s">
        <v>122</v>
      </c>
      <c r="E1919" t="s">
        <v>12</v>
      </c>
      <c r="F1919" s="7">
        <v>796.75</v>
      </c>
      <c r="G1919" s="10">
        <v>0.1</v>
      </c>
      <c r="H1919" s="7">
        <v>717.08</v>
      </c>
      <c r="I1919">
        <v>3</v>
      </c>
      <c r="J1919" t="s">
        <v>13</v>
      </c>
      <c r="K1919" s="13">
        <f>ROUND(tblTransactions[[#This Row],[gross_sales_inr]]*(1-tblTransactions[[#This Row],[discount_pct]]),2)</f>
        <v>717.08</v>
      </c>
      <c r="L1919" t="str">
        <f>IF(ABS(tblTransactions[[#This Row],[net_sales_inr]]-tblTransactions[[#This Row],[Recalc_Net_Sales]])&lt;0.02,"OK","CHECK")</f>
        <v>OK</v>
      </c>
      <c r="M1919" s="14">
        <f>DATE(YEAR(tblTransactions[[#This Row],[date]]),MONTH(tblTransactions[[#This Row],[date]]),1)</f>
        <v>45809</v>
      </c>
      <c r="N1919" t="str">
        <f>IF(WEEKDAY(tblTransactions[[#This Row],[date]],2)&gt;5,"Weekend","Weekday")</f>
        <v>Weekday</v>
      </c>
      <c r="O191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19" s="13" t="str">
        <f>_xlfn.XLOOKUP(tblTransactions[[#This Row],[tenant_id]],tblTenants[tenant_id],tblTenants[zone],"NOT FOUND")</f>
        <v>Beauty &amp; Wellness</v>
      </c>
      <c r="Q1919" s="13" t="str">
        <f>_xlfn.XLOOKUP(tblTransactions[[#This Row],[tenant_id]],tblTenants[tenant_id],tblTenants[category],"NOT FOUND")</f>
        <v>Wellness</v>
      </c>
    </row>
    <row r="1920" spans="1:17">
      <c r="A1920" t="s">
        <v>1964</v>
      </c>
      <c r="B1920" s="2">
        <v>45681</v>
      </c>
      <c r="C1920">
        <v>20</v>
      </c>
      <c r="D1920" t="s">
        <v>70</v>
      </c>
      <c r="E1920" t="s">
        <v>32</v>
      </c>
      <c r="F1920" s="7">
        <v>777.38</v>
      </c>
      <c r="G1920" s="10">
        <v>0.15</v>
      </c>
      <c r="H1920" s="7">
        <v>660.77</v>
      </c>
      <c r="I1920">
        <v>2</v>
      </c>
      <c r="J1920" t="s">
        <v>13</v>
      </c>
      <c r="K1920" s="13">
        <f>ROUND(tblTransactions[[#This Row],[gross_sales_inr]]*(1-tblTransactions[[#This Row],[discount_pct]]),2)</f>
        <v>660.77</v>
      </c>
      <c r="L1920" t="str">
        <f>IF(ABS(tblTransactions[[#This Row],[net_sales_inr]]-tblTransactions[[#This Row],[Recalc_Net_Sales]])&lt;0.02,"OK","CHECK")</f>
        <v>OK</v>
      </c>
      <c r="M1920" s="14">
        <f>DATE(YEAR(tblTransactions[[#This Row],[date]]),MONTH(tblTransactions[[#This Row],[date]]),1)</f>
        <v>45658</v>
      </c>
      <c r="N1920" t="str">
        <f>IF(WEEKDAY(tblTransactions[[#This Row],[date]],2)&gt;5,"Weekend","Weekday")</f>
        <v>Weekday</v>
      </c>
      <c r="O192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20" s="13" t="str">
        <f>_xlfn.XLOOKUP(tblTransactions[[#This Row],[tenant_id]],tblTenants[tenant_id],tblTenants[zone],"NOT FOUND")</f>
        <v>Food Court</v>
      </c>
      <c r="Q1920" s="13" t="str">
        <f>_xlfn.XLOOKUP(tblTransactions[[#This Row],[tenant_id]],tblTenants[tenant_id],tblTenants[category],"NOT FOUND")</f>
        <v>Quick Service</v>
      </c>
    </row>
    <row r="1921" spans="1:17">
      <c r="A1921" t="s">
        <v>1965</v>
      </c>
      <c r="B1921" s="2">
        <v>45684</v>
      </c>
      <c r="C1921">
        <v>12</v>
      </c>
      <c r="D1921" t="s">
        <v>31</v>
      </c>
      <c r="E1921" t="s">
        <v>12</v>
      </c>
      <c r="F1921" s="7">
        <v>710.47</v>
      </c>
      <c r="G1921" s="10">
        <v>0</v>
      </c>
      <c r="H1921" s="7">
        <v>710.47</v>
      </c>
      <c r="I1921">
        <v>3</v>
      </c>
      <c r="J1921" t="s">
        <v>16</v>
      </c>
      <c r="K1921" s="13">
        <f>ROUND(tblTransactions[[#This Row],[gross_sales_inr]]*(1-tblTransactions[[#This Row],[discount_pct]]),2)</f>
        <v>710.47</v>
      </c>
      <c r="L1921" t="str">
        <f>IF(ABS(tblTransactions[[#This Row],[net_sales_inr]]-tblTransactions[[#This Row],[Recalc_Net_Sales]])&lt;0.02,"OK","CHECK")</f>
        <v>OK</v>
      </c>
      <c r="M1921" s="14">
        <f>DATE(YEAR(tblTransactions[[#This Row],[date]]),MONTH(tblTransactions[[#This Row],[date]]),1)</f>
        <v>45658</v>
      </c>
      <c r="N1921" t="str">
        <f>IF(WEEKDAY(tblTransactions[[#This Row],[date]],2)&gt;5,"Weekend","Weekday")</f>
        <v>Weekday</v>
      </c>
      <c r="O1921" s="13" t="str">
        <f>IF(tblTransactions[[#This Row],[discount_pct]]=0,"0%",IF(tblTransactions[[#This Row],[discount_pct]]&lt;=10%,"1–
10%",IF(tblTransactions[[#This Row],[discount_pct]]&lt;=20%,"11–20%","&gt;20%")))</f>
        <v>0%</v>
      </c>
      <c r="P1921" s="13" t="str">
        <f>_xlfn.XLOOKUP(tblTransactions[[#This Row],[tenant_id]],tblTenants[tenant_id],tblTenants[zone],"NOT FOUND")</f>
        <v>Entertainment</v>
      </c>
      <c r="Q1921" s="13" t="str">
        <f>_xlfn.XLOOKUP(tblTransactions[[#This Row],[tenant_id]],tblTenants[tenant_id],tblTenants[category],"NOT FOUND")</f>
        <v>Arcade</v>
      </c>
    </row>
    <row r="1922" spans="1:17">
      <c r="A1922" t="s">
        <v>1966</v>
      </c>
      <c r="B1922" s="2">
        <v>45777</v>
      </c>
      <c r="C1922">
        <v>10</v>
      </c>
      <c r="D1922" t="s">
        <v>80</v>
      </c>
      <c r="E1922" t="s">
        <v>32</v>
      </c>
      <c r="F1922" s="7">
        <v>656.27</v>
      </c>
      <c r="G1922" s="10">
        <v>0.1</v>
      </c>
      <c r="H1922" s="7">
        <v>590.64</v>
      </c>
      <c r="I1922">
        <v>5</v>
      </c>
      <c r="J1922" t="s">
        <v>16</v>
      </c>
      <c r="K1922" s="13">
        <f>ROUND(tblTransactions[[#This Row],[gross_sales_inr]]*(1-tblTransactions[[#This Row],[discount_pct]]),2)</f>
        <v>590.64</v>
      </c>
      <c r="L1922" t="str">
        <f>IF(ABS(tblTransactions[[#This Row],[net_sales_inr]]-tblTransactions[[#This Row],[Recalc_Net_Sales]])&lt;0.02,"OK","CHECK")</f>
        <v>OK</v>
      </c>
      <c r="M1922" s="14">
        <f>DATE(YEAR(tblTransactions[[#This Row],[date]]),MONTH(tblTransactions[[#This Row],[date]]),1)</f>
        <v>45748</v>
      </c>
      <c r="N1922" t="str">
        <f>IF(WEEKDAY(tblTransactions[[#This Row],[date]],2)&gt;5,"Weekend","Weekday")</f>
        <v>Weekday</v>
      </c>
      <c r="O192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22" s="13" t="str">
        <f>_xlfn.XLOOKUP(tblTransactions[[#This Row],[tenant_id]],tblTenants[tenant_id],tblTenants[zone],"NOT FOUND")</f>
        <v>Food Court</v>
      </c>
      <c r="Q1922" s="13" t="str">
        <f>_xlfn.XLOOKUP(tblTransactions[[#This Row],[tenant_id]],tblTenants[tenant_id],tblTenants[category],"NOT FOUND")</f>
        <v>Casual Dining</v>
      </c>
    </row>
    <row r="1923" spans="1:17">
      <c r="A1923" t="s">
        <v>1967</v>
      </c>
      <c r="B1923" s="2">
        <v>45789</v>
      </c>
      <c r="C1923">
        <v>17</v>
      </c>
      <c r="D1923" t="s">
        <v>57</v>
      </c>
      <c r="E1923" t="s">
        <v>12</v>
      </c>
      <c r="F1923" s="7">
        <v>303.77</v>
      </c>
      <c r="G1923" s="10">
        <v>0</v>
      </c>
      <c r="H1923" s="7">
        <v>303.77</v>
      </c>
      <c r="I1923">
        <v>1</v>
      </c>
      <c r="J1923" t="s">
        <v>13</v>
      </c>
      <c r="K1923" s="13">
        <f>ROUND(tblTransactions[[#This Row],[gross_sales_inr]]*(1-tblTransactions[[#This Row],[discount_pct]]),2)</f>
        <v>303.77</v>
      </c>
      <c r="L1923" t="str">
        <f>IF(ABS(tblTransactions[[#This Row],[net_sales_inr]]-tblTransactions[[#This Row],[Recalc_Net_Sales]])&lt;0.02,"OK","CHECK")</f>
        <v>OK</v>
      </c>
      <c r="M1923" s="14">
        <f>DATE(YEAR(tblTransactions[[#This Row],[date]]),MONTH(tblTransactions[[#This Row],[date]]),1)</f>
        <v>45778</v>
      </c>
      <c r="N1923" t="str">
        <f>IF(WEEKDAY(tblTransactions[[#This Row],[date]],2)&gt;5,"Weekend","Weekday")</f>
        <v>Weekday</v>
      </c>
      <c r="O1923" s="13" t="str">
        <f>IF(tblTransactions[[#This Row],[discount_pct]]=0,"0%",IF(tblTransactions[[#This Row],[discount_pct]]&lt;=10%,"1–
10%",IF(tblTransactions[[#This Row],[discount_pct]]&lt;=20%,"11–20%","&gt;20%")))</f>
        <v>0%</v>
      </c>
      <c r="P1923" s="13" t="str">
        <f>_xlfn.XLOOKUP(tblTransactions[[#This Row],[tenant_id]],tblTenants[tenant_id],tblTenants[zone],"NOT FOUND")</f>
        <v>Food Court</v>
      </c>
      <c r="Q1923" s="13" t="str">
        <f>_xlfn.XLOOKUP(tblTransactions[[#This Row],[tenant_id]],tblTenants[tenant_id],tblTenants[category],"NOT FOUND")</f>
        <v>Casual Dining</v>
      </c>
    </row>
    <row r="1924" spans="1:17">
      <c r="A1924" t="s">
        <v>1968</v>
      </c>
      <c r="B1924" s="2">
        <v>45715</v>
      </c>
      <c r="C1924">
        <v>22</v>
      </c>
      <c r="D1924" t="s">
        <v>59</v>
      </c>
      <c r="E1924" t="s">
        <v>12</v>
      </c>
      <c r="F1924" s="7">
        <v>1386.44</v>
      </c>
      <c r="G1924" s="10">
        <v>0.1</v>
      </c>
      <c r="H1924" s="7">
        <v>1247.8</v>
      </c>
      <c r="I1924">
        <v>3</v>
      </c>
      <c r="J1924" t="s">
        <v>13</v>
      </c>
      <c r="K1924" s="13">
        <f>ROUND(tblTransactions[[#This Row],[gross_sales_inr]]*(1-tblTransactions[[#This Row],[discount_pct]]),2)</f>
        <v>1247.8</v>
      </c>
      <c r="L1924" t="str">
        <f>IF(ABS(tblTransactions[[#This Row],[net_sales_inr]]-tblTransactions[[#This Row],[Recalc_Net_Sales]])&lt;0.02,"OK","CHECK")</f>
        <v>OK</v>
      </c>
      <c r="M1924" s="14">
        <f>DATE(YEAR(tblTransactions[[#This Row],[date]]),MONTH(tblTransactions[[#This Row],[date]]),1)</f>
        <v>45689</v>
      </c>
      <c r="N1924" t="str">
        <f>IF(WEEKDAY(tblTransactions[[#This Row],[date]],2)&gt;5,"Weekend","Weekday")</f>
        <v>Weekday</v>
      </c>
      <c r="O192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24" s="13" t="str">
        <f>_xlfn.XLOOKUP(tblTransactions[[#This Row],[tenant_id]],tblTenants[tenant_id],tblTenants[zone],"NOT FOUND")</f>
        <v>Fashion Avenue</v>
      </c>
      <c r="Q1924" s="13" t="str">
        <f>_xlfn.XLOOKUP(tblTransactions[[#This Row],[tenant_id]],tblTenants[tenant_id],tblTenants[category],"NOT FOUND")</f>
        <v>Footwear</v>
      </c>
    </row>
    <row r="1925" spans="1:17">
      <c r="A1925" t="s">
        <v>1969</v>
      </c>
      <c r="B1925" s="2">
        <v>45776</v>
      </c>
      <c r="C1925">
        <v>11</v>
      </c>
      <c r="D1925" t="s">
        <v>122</v>
      </c>
      <c r="E1925" t="s">
        <v>51</v>
      </c>
      <c r="F1925" s="7">
        <v>645.91</v>
      </c>
      <c r="G1925" s="10">
        <v>0</v>
      </c>
      <c r="H1925" s="7">
        <v>645.91</v>
      </c>
      <c r="I1925">
        <v>2</v>
      </c>
      <c r="J1925" t="s">
        <v>16</v>
      </c>
      <c r="K1925" s="13">
        <f>ROUND(tblTransactions[[#This Row],[gross_sales_inr]]*(1-tblTransactions[[#This Row],[discount_pct]]),2)</f>
        <v>645.91</v>
      </c>
      <c r="L1925" t="str">
        <f>IF(ABS(tblTransactions[[#This Row],[net_sales_inr]]-tblTransactions[[#This Row],[Recalc_Net_Sales]])&lt;0.02,"OK","CHECK")</f>
        <v>OK</v>
      </c>
      <c r="M1925" s="14">
        <f>DATE(YEAR(tblTransactions[[#This Row],[date]]),MONTH(tblTransactions[[#This Row],[date]]),1)</f>
        <v>45748</v>
      </c>
      <c r="N1925" t="str">
        <f>IF(WEEKDAY(tblTransactions[[#This Row],[date]],2)&gt;5,"Weekend","Weekday")</f>
        <v>Weekday</v>
      </c>
      <c r="O1925" s="13" t="str">
        <f>IF(tblTransactions[[#This Row],[discount_pct]]=0,"0%",IF(tblTransactions[[#This Row],[discount_pct]]&lt;=10%,"1–
10%",IF(tblTransactions[[#This Row],[discount_pct]]&lt;=20%,"11–20%","&gt;20%")))</f>
        <v>0%</v>
      </c>
      <c r="P1925" s="13" t="str">
        <f>_xlfn.XLOOKUP(tblTransactions[[#This Row],[tenant_id]],tblTenants[tenant_id],tblTenants[zone],"NOT FOUND")</f>
        <v>Beauty &amp; Wellness</v>
      </c>
      <c r="Q1925" s="13" t="str">
        <f>_xlfn.XLOOKUP(tblTransactions[[#This Row],[tenant_id]],tblTenants[tenant_id],tblTenants[category],"NOT FOUND")</f>
        <v>Wellness</v>
      </c>
    </row>
    <row r="1926" spans="1:17">
      <c r="A1926" t="s">
        <v>1970</v>
      </c>
      <c r="B1926" s="2">
        <v>45750</v>
      </c>
      <c r="C1926">
        <v>10</v>
      </c>
      <c r="D1926" t="s">
        <v>48</v>
      </c>
      <c r="E1926" t="s">
        <v>12</v>
      </c>
      <c r="F1926" s="7">
        <v>1264.19</v>
      </c>
      <c r="G1926" s="10">
        <v>0</v>
      </c>
      <c r="H1926" s="7">
        <v>1264.19</v>
      </c>
      <c r="I1926">
        <v>4</v>
      </c>
      <c r="J1926" t="s">
        <v>16</v>
      </c>
      <c r="K1926" s="13">
        <f>ROUND(tblTransactions[[#This Row],[gross_sales_inr]]*(1-tblTransactions[[#This Row],[discount_pct]]),2)</f>
        <v>1264.19</v>
      </c>
      <c r="L1926" t="str">
        <f>IF(ABS(tblTransactions[[#This Row],[net_sales_inr]]-tblTransactions[[#This Row],[Recalc_Net_Sales]])&lt;0.02,"OK","CHECK")</f>
        <v>OK</v>
      </c>
      <c r="M1926" s="14">
        <f>DATE(YEAR(tblTransactions[[#This Row],[date]]),MONTH(tblTransactions[[#This Row],[date]]),1)</f>
        <v>45748</v>
      </c>
      <c r="N1926" t="str">
        <f>IF(WEEKDAY(tblTransactions[[#This Row],[date]],2)&gt;5,"Weekend","Weekday")</f>
        <v>Weekday</v>
      </c>
      <c r="O1926" s="13" t="str">
        <f>IF(tblTransactions[[#This Row],[discount_pct]]=0,"0%",IF(tblTransactions[[#This Row],[discount_pct]]&lt;=10%,"1–
10%",IF(tblTransactions[[#This Row],[discount_pct]]&lt;=20%,"11–20%","&gt;20%")))</f>
        <v>0%</v>
      </c>
      <c r="P1926" s="13" t="str">
        <f>_xlfn.XLOOKUP(tblTransactions[[#This Row],[tenant_id]],tblTenants[tenant_id],tblTenants[zone],"NOT FOUND")</f>
        <v>Beauty &amp; Wellness</v>
      </c>
      <c r="Q1926" s="13" t="str">
        <f>_xlfn.XLOOKUP(tblTransactions[[#This Row],[tenant_id]],tblTenants[tenant_id],tblTenants[category],"NOT FOUND")</f>
        <v>Wellness</v>
      </c>
    </row>
    <row r="1927" spans="1:17">
      <c r="A1927" t="s">
        <v>1971</v>
      </c>
      <c r="B1927" s="2">
        <v>45801</v>
      </c>
      <c r="C1927">
        <v>16</v>
      </c>
      <c r="D1927" t="s">
        <v>15</v>
      </c>
      <c r="E1927" t="s">
        <v>21</v>
      </c>
      <c r="F1927" s="7">
        <v>973.66</v>
      </c>
      <c r="G1927" s="10">
        <v>0.1</v>
      </c>
      <c r="H1927" s="7">
        <v>876.29</v>
      </c>
      <c r="I1927">
        <v>1</v>
      </c>
      <c r="J1927" t="s">
        <v>13</v>
      </c>
      <c r="K1927" s="13">
        <f>ROUND(tblTransactions[[#This Row],[gross_sales_inr]]*(1-tblTransactions[[#This Row],[discount_pct]]),2)</f>
        <v>876.29</v>
      </c>
      <c r="L1927" t="str">
        <f>IF(ABS(tblTransactions[[#This Row],[net_sales_inr]]-tblTransactions[[#This Row],[Recalc_Net_Sales]])&lt;0.02,"OK","CHECK")</f>
        <v>OK</v>
      </c>
      <c r="M1927" s="14">
        <f>DATE(YEAR(tblTransactions[[#This Row],[date]]),MONTH(tblTransactions[[#This Row],[date]]),1)</f>
        <v>45778</v>
      </c>
      <c r="N1927" t="str">
        <f>IF(WEEKDAY(tblTransactions[[#This Row],[date]],2)&gt;5,"Weekend","Weekday")</f>
        <v>Weekend</v>
      </c>
      <c r="O192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27" s="13" t="str">
        <f>_xlfn.XLOOKUP(tblTransactions[[#This Row],[tenant_id]],tblTenants[tenant_id],tblTenants[zone],"NOT FOUND")</f>
        <v>Fashion Avenue</v>
      </c>
      <c r="Q1927" s="13" t="str">
        <f>_xlfn.XLOOKUP(tblTransactions[[#This Row],[tenant_id]],tblTenants[tenant_id],tblTenants[category],"NOT FOUND")</f>
        <v>Accessories</v>
      </c>
    </row>
    <row r="1928" spans="1:17">
      <c r="A1928" t="s">
        <v>1972</v>
      </c>
      <c r="B1928" s="2">
        <v>45719</v>
      </c>
      <c r="C1928">
        <v>20</v>
      </c>
      <c r="D1928" t="s">
        <v>15</v>
      </c>
      <c r="E1928" t="s">
        <v>12</v>
      </c>
      <c r="F1928" s="7">
        <v>1525.91</v>
      </c>
      <c r="G1928" s="10">
        <v>0.15</v>
      </c>
      <c r="H1928" s="7">
        <v>1297.02</v>
      </c>
      <c r="I1928">
        <v>3</v>
      </c>
      <c r="J1928" t="s">
        <v>13</v>
      </c>
      <c r="K1928" s="13">
        <f>ROUND(tblTransactions[[#This Row],[gross_sales_inr]]*(1-tblTransactions[[#This Row],[discount_pct]]),2)</f>
        <v>1297.02</v>
      </c>
      <c r="L1928" t="str">
        <f>IF(ABS(tblTransactions[[#This Row],[net_sales_inr]]-tblTransactions[[#This Row],[Recalc_Net_Sales]])&lt;0.02,"OK","CHECK")</f>
        <v>OK</v>
      </c>
      <c r="M1928" s="14">
        <f>DATE(YEAR(tblTransactions[[#This Row],[date]]),MONTH(tblTransactions[[#This Row],[date]]),1)</f>
        <v>45717</v>
      </c>
      <c r="N1928" t="str">
        <f>IF(WEEKDAY(tblTransactions[[#This Row],[date]],2)&gt;5,"Weekend","Weekday")</f>
        <v>Weekday</v>
      </c>
      <c r="O192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28" s="13" t="str">
        <f>_xlfn.XLOOKUP(tblTransactions[[#This Row],[tenant_id]],tblTenants[tenant_id],tblTenants[zone],"NOT FOUND")</f>
        <v>Fashion Avenue</v>
      </c>
      <c r="Q1928" s="13" t="str">
        <f>_xlfn.XLOOKUP(tblTransactions[[#This Row],[tenant_id]],tblTenants[tenant_id],tblTenants[category],"NOT FOUND")</f>
        <v>Accessories</v>
      </c>
    </row>
    <row r="1929" spans="1:17">
      <c r="A1929" t="s">
        <v>1973</v>
      </c>
      <c r="B1929" s="2">
        <v>45714</v>
      </c>
      <c r="C1929">
        <v>21</v>
      </c>
      <c r="D1929" t="s">
        <v>122</v>
      </c>
      <c r="E1929" t="s">
        <v>32</v>
      </c>
      <c r="F1929" s="7">
        <v>1024.1199999999999</v>
      </c>
      <c r="G1929" s="10">
        <v>0</v>
      </c>
      <c r="H1929" s="7">
        <v>1024.1199999999999</v>
      </c>
      <c r="I1929">
        <v>6</v>
      </c>
      <c r="J1929" t="s">
        <v>16</v>
      </c>
      <c r="K1929" s="13">
        <f>ROUND(tblTransactions[[#This Row],[gross_sales_inr]]*(1-tblTransactions[[#This Row],[discount_pct]]),2)</f>
        <v>1024.1199999999999</v>
      </c>
      <c r="L1929" t="str">
        <f>IF(ABS(tblTransactions[[#This Row],[net_sales_inr]]-tblTransactions[[#This Row],[Recalc_Net_Sales]])&lt;0.02,"OK","CHECK")</f>
        <v>OK</v>
      </c>
      <c r="M1929" s="14">
        <f>DATE(YEAR(tblTransactions[[#This Row],[date]]),MONTH(tblTransactions[[#This Row],[date]]),1)</f>
        <v>45689</v>
      </c>
      <c r="N1929" t="str">
        <f>IF(WEEKDAY(tblTransactions[[#This Row],[date]],2)&gt;5,"Weekend","Weekday")</f>
        <v>Weekday</v>
      </c>
      <c r="O1929" s="13" t="str">
        <f>IF(tblTransactions[[#This Row],[discount_pct]]=0,"0%",IF(tblTransactions[[#This Row],[discount_pct]]&lt;=10%,"1–
10%",IF(tblTransactions[[#This Row],[discount_pct]]&lt;=20%,"11–20%","&gt;20%")))</f>
        <v>0%</v>
      </c>
      <c r="P1929" s="13" t="str">
        <f>_xlfn.XLOOKUP(tblTransactions[[#This Row],[tenant_id]],tblTenants[tenant_id],tblTenants[zone],"NOT FOUND")</f>
        <v>Beauty &amp; Wellness</v>
      </c>
      <c r="Q1929" s="13" t="str">
        <f>_xlfn.XLOOKUP(tblTransactions[[#This Row],[tenant_id]],tblTenants[tenant_id],tblTenants[category],"NOT FOUND")</f>
        <v>Wellness</v>
      </c>
    </row>
    <row r="1930" spans="1:17">
      <c r="A1930" t="s">
        <v>1974</v>
      </c>
      <c r="B1930" s="2">
        <v>45748</v>
      </c>
      <c r="C1930">
        <v>16</v>
      </c>
      <c r="D1930" t="s">
        <v>122</v>
      </c>
      <c r="E1930" t="s">
        <v>32</v>
      </c>
      <c r="F1930" s="7">
        <v>1133.95</v>
      </c>
      <c r="G1930" s="10">
        <v>0</v>
      </c>
      <c r="H1930" s="7">
        <v>1133.95</v>
      </c>
      <c r="I1930">
        <v>5</v>
      </c>
      <c r="J1930" t="s">
        <v>13</v>
      </c>
      <c r="K1930" s="13">
        <f>ROUND(tblTransactions[[#This Row],[gross_sales_inr]]*(1-tblTransactions[[#This Row],[discount_pct]]),2)</f>
        <v>1133.95</v>
      </c>
      <c r="L1930" t="str">
        <f>IF(ABS(tblTransactions[[#This Row],[net_sales_inr]]-tblTransactions[[#This Row],[Recalc_Net_Sales]])&lt;0.02,"OK","CHECK")</f>
        <v>OK</v>
      </c>
      <c r="M1930" s="14">
        <f>DATE(YEAR(tblTransactions[[#This Row],[date]]),MONTH(tblTransactions[[#This Row],[date]]),1)</f>
        <v>45748</v>
      </c>
      <c r="N1930" t="str">
        <f>IF(WEEKDAY(tblTransactions[[#This Row],[date]],2)&gt;5,"Weekend","Weekday")</f>
        <v>Weekday</v>
      </c>
      <c r="O1930" s="13" t="str">
        <f>IF(tblTransactions[[#This Row],[discount_pct]]=0,"0%",IF(tblTransactions[[#This Row],[discount_pct]]&lt;=10%,"1–
10%",IF(tblTransactions[[#This Row],[discount_pct]]&lt;=20%,"11–20%","&gt;20%")))</f>
        <v>0%</v>
      </c>
      <c r="P1930" s="13" t="str">
        <f>_xlfn.XLOOKUP(tblTransactions[[#This Row],[tenant_id]],tblTenants[tenant_id],tblTenants[zone],"NOT FOUND")</f>
        <v>Beauty &amp; Wellness</v>
      </c>
      <c r="Q1930" s="13" t="str">
        <f>_xlfn.XLOOKUP(tblTransactions[[#This Row],[tenant_id]],tblTenants[tenant_id],tblTenants[category],"NOT FOUND")</f>
        <v>Wellness</v>
      </c>
    </row>
    <row r="1931" spans="1:17">
      <c r="A1931" t="s">
        <v>1975</v>
      </c>
      <c r="B1931" s="2">
        <v>45825</v>
      </c>
      <c r="C1931">
        <v>18</v>
      </c>
      <c r="D1931" t="s">
        <v>87</v>
      </c>
      <c r="E1931" t="s">
        <v>32</v>
      </c>
      <c r="F1931" s="7">
        <v>880.18</v>
      </c>
      <c r="G1931" s="10">
        <v>0</v>
      </c>
      <c r="H1931" s="7">
        <v>880.18</v>
      </c>
      <c r="I1931">
        <v>5</v>
      </c>
      <c r="J1931" t="s">
        <v>13</v>
      </c>
      <c r="K1931" s="13">
        <f>ROUND(tblTransactions[[#This Row],[gross_sales_inr]]*(1-tblTransactions[[#This Row],[discount_pct]]),2)</f>
        <v>880.18</v>
      </c>
      <c r="L1931" t="str">
        <f>IF(ABS(tblTransactions[[#This Row],[net_sales_inr]]-tblTransactions[[#This Row],[Recalc_Net_Sales]])&lt;0.02,"OK","CHECK")</f>
        <v>OK</v>
      </c>
      <c r="M1931" s="14">
        <f>DATE(YEAR(tblTransactions[[#This Row],[date]]),MONTH(tblTransactions[[#This Row],[date]]),1)</f>
        <v>45809</v>
      </c>
      <c r="N1931" t="str">
        <f>IF(WEEKDAY(tblTransactions[[#This Row],[date]],2)&gt;5,"Weekend","Weekday")</f>
        <v>Weekday</v>
      </c>
      <c r="O1931" s="13" t="str">
        <f>IF(tblTransactions[[#This Row],[discount_pct]]=0,"0%",IF(tblTransactions[[#This Row],[discount_pct]]&lt;=10%,"1–
10%",IF(tblTransactions[[#This Row],[discount_pct]]&lt;=20%,"11–20%","&gt;20%")))</f>
        <v>0%</v>
      </c>
      <c r="P1931" s="13" t="str">
        <f>_xlfn.XLOOKUP(tblTransactions[[#This Row],[tenant_id]],tblTenants[tenant_id],tblTenants[zone],"NOT FOUND")</f>
        <v>Fashion Avenue</v>
      </c>
      <c r="Q1931" s="13" t="str">
        <f>_xlfn.XLOOKUP(tblTransactions[[#This Row],[tenant_id]],tblTenants[tenant_id],tblTenants[category],"NOT FOUND")</f>
        <v>Footwear</v>
      </c>
    </row>
    <row r="1932" spans="1:17">
      <c r="A1932" t="s">
        <v>1976</v>
      </c>
      <c r="B1932" s="2">
        <v>45659</v>
      </c>
      <c r="C1932">
        <v>22</v>
      </c>
      <c r="D1932" t="s">
        <v>53</v>
      </c>
      <c r="E1932" t="s">
        <v>32</v>
      </c>
      <c r="F1932" s="7">
        <v>1138.6600000000001</v>
      </c>
      <c r="G1932" s="10">
        <v>0.1</v>
      </c>
      <c r="H1932" s="7">
        <v>1024.79</v>
      </c>
      <c r="I1932">
        <v>3</v>
      </c>
      <c r="J1932" t="s">
        <v>16</v>
      </c>
      <c r="K1932" s="13">
        <f>ROUND(tblTransactions[[#This Row],[gross_sales_inr]]*(1-tblTransactions[[#This Row],[discount_pct]]),2)</f>
        <v>1024.79</v>
      </c>
      <c r="L1932" t="str">
        <f>IF(ABS(tblTransactions[[#This Row],[net_sales_inr]]-tblTransactions[[#This Row],[Recalc_Net_Sales]])&lt;0.02,"OK","CHECK")</f>
        <v>OK</v>
      </c>
      <c r="M1932" s="14">
        <f>DATE(YEAR(tblTransactions[[#This Row],[date]]),MONTH(tblTransactions[[#This Row],[date]]),1)</f>
        <v>45658</v>
      </c>
      <c r="N1932" t="str">
        <f>IF(WEEKDAY(tblTransactions[[#This Row],[date]],2)&gt;5,"Weekend","Weekday")</f>
        <v>Weekday</v>
      </c>
      <c r="O193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32" s="13" t="str">
        <f>_xlfn.XLOOKUP(tblTransactions[[#This Row],[tenant_id]],tblTenants[tenant_id],tblTenants[zone],"NOT FOUND")</f>
        <v>Beauty &amp; Wellness</v>
      </c>
      <c r="Q1932" s="13" t="str">
        <f>_xlfn.XLOOKUP(tblTransactions[[#This Row],[tenant_id]],tblTenants[tenant_id],tblTenants[category],"NOT FOUND")</f>
        <v>Beauty</v>
      </c>
    </row>
    <row r="1933" spans="1:17">
      <c r="A1933" t="s">
        <v>1977</v>
      </c>
      <c r="B1933" s="2">
        <v>45757</v>
      </c>
      <c r="C1933">
        <v>11</v>
      </c>
      <c r="D1933" t="s">
        <v>25</v>
      </c>
      <c r="E1933" t="s">
        <v>12</v>
      </c>
      <c r="F1933" s="7">
        <v>477.88</v>
      </c>
      <c r="G1933" s="10">
        <v>0</v>
      </c>
      <c r="H1933" s="7">
        <v>477.88</v>
      </c>
      <c r="I1933">
        <v>1</v>
      </c>
      <c r="J1933" t="s">
        <v>13</v>
      </c>
      <c r="K1933" s="13">
        <f>ROUND(tblTransactions[[#This Row],[gross_sales_inr]]*(1-tblTransactions[[#This Row],[discount_pct]]),2)</f>
        <v>477.88</v>
      </c>
      <c r="L1933" t="str">
        <f>IF(ABS(tblTransactions[[#This Row],[net_sales_inr]]-tblTransactions[[#This Row],[Recalc_Net_Sales]])&lt;0.02,"OK","CHECK")</f>
        <v>OK</v>
      </c>
      <c r="M1933" s="14">
        <f>DATE(YEAR(tblTransactions[[#This Row],[date]]),MONTH(tblTransactions[[#This Row],[date]]),1)</f>
        <v>45748</v>
      </c>
      <c r="N1933" t="str">
        <f>IF(WEEKDAY(tblTransactions[[#This Row],[date]],2)&gt;5,"Weekend","Weekday")</f>
        <v>Weekday</v>
      </c>
      <c r="O1933" s="13" t="str">
        <f>IF(tblTransactions[[#This Row],[discount_pct]]=0,"0%",IF(tblTransactions[[#This Row],[discount_pct]]&lt;=10%,"1–
10%",IF(tblTransactions[[#This Row],[discount_pct]]&lt;=20%,"11–20%","&gt;20%")))</f>
        <v>0%</v>
      </c>
      <c r="P1933" s="13" t="str">
        <f>_xlfn.XLOOKUP(tblTransactions[[#This Row],[tenant_id]],tblTenants[tenant_id],tblTenants[zone],"NOT FOUND")</f>
        <v>Beauty &amp; Wellness</v>
      </c>
      <c r="Q1933" s="13" t="str">
        <f>_xlfn.XLOOKUP(tblTransactions[[#This Row],[tenant_id]],tblTenants[tenant_id],tblTenants[category],"NOT FOUND")</f>
        <v>Beauty</v>
      </c>
    </row>
    <row r="1934" spans="1:17">
      <c r="A1934" t="s">
        <v>1978</v>
      </c>
      <c r="B1934" s="2">
        <v>45672</v>
      </c>
      <c r="C1934">
        <v>18</v>
      </c>
      <c r="D1934" t="s">
        <v>85</v>
      </c>
      <c r="E1934" t="s">
        <v>12</v>
      </c>
      <c r="F1934" s="7">
        <v>964.61</v>
      </c>
      <c r="G1934" s="10">
        <v>0.2</v>
      </c>
      <c r="H1934" s="7">
        <v>771.69</v>
      </c>
      <c r="I1934">
        <v>1</v>
      </c>
      <c r="J1934" t="s">
        <v>16</v>
      </c>
      <c r="K1934" s="13">
        <f>ROUND(tblTransactions[[#This Row],[gross_sales_inr]]*(1-tblTransactions[[#This Row],[discount_pct]]),2)</f>
        <v>771.69</v>
      </c>
      <c r="L1934" t="str">
        <f>IF(ABS(tblTransactions[[#This Row],[net_sales_inr]]-tblTransactions[[#This Row],[Recalc_Net_Sales]])&lt;0.02,"OK","CHECK")</f>
        <v>OK</v>
      </c>
      <c r="M1934" s="14">
        <f>DATE(YEAR(tblTransactions[[#This Row],[date]]),MONTH(tblTransactions[[#This Row],[date]]),1)</f>
        <v>45658</v>
      </c>
      <c r="N1934" t="str">
        <f>IF(WEEKDAY(tblTransactions[[#This Row],[date]],2)&gt;5,"Weekend","Weekday")</f>
        <v>Weekday</v>
      </c>
      <c r="O193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34" s="13" t="str">
        <f>_xlfn.XLOOKUP(tblTransactions[[#This Row],[tenant_id]],tblTenants[tenant_id],tblTenants[zone],"NOT FOUND")</f>
        <v>Home &amp; Living</v>
      </c>
      <c r="Q1934" s="13" t="str">
        <f>_xlfn.XLOOKUP(tblTransactions[[#This Row],[tenant_id]],tblTenants[tenant_id],tblTenants[category],"NOT FOUND")</f>
        <v>Electronics</v>
      </c>
    </row>
    <row r="1935" spans="1:17">
      <c r="A1935" t="s">
        <v>1979</v>
      </c>
      <c r="B1935" s="2">
        <v>45817</v>
      </c>
      <c r="C1935">
        <v>11</v>
      </c>
      <c r="D1935" t="s">
        <v>36</v>
      </c>
      <c r="E1935" t="s">
        <v>21</v>
      </c>
      <c r="F1935" s="7">
        <v>1125.52</v>
      </c>
      <c r="G1935" s="10">
        <v>0</v>
      </c>
      <c r="H1935" s="7">
        <v>1125.52</v>
      </c>
      <c r="I1935">
        <v>3</v>
      </c>
      <c r="J1935" t="s">
        <v>16</v>
      </c>
      <c r="K1935" s="13">
        <f>ROUND(tblTransactions[[#This Row],[gross_sales_inr]]*(1-tblTransactions[[#This Row],[discount_pct]]),2)</f>
        <v>1125.52</v>
      </c>
      <c r="L1935" t="str">
        <f>IF(ABS(tblTransactions[[#This Row],[net_sales_inr]]-tblTransactions[[#This Row],[Recalc_Net_Sales]])&lt;0.02,"OK","CHECK")</f>
        <v>OK</v>
      </c>
      <c r="M1935" s="14">
        <f>DATE(YEAR(tblTransactions[[#This Row],[date]]),MONTH(tblTransactions[[#This Row],[date]]),1)</f>
        <v>45809</v>
      </c>
      <c r="N1935" t="str">
        <f>IF(WEEKDAY(tblTransactions[[#This Row],[date]],2)&gt;5,"Weekend","Weekday")</f>
        <v>Weekday</v>
      </c>
      <c r="O1935" s="13" t="str">
        <f>IF(tblTransactions[[#This Row],[discount_pct]]=0,"0%",IF(tblTransactions[[#This Row],[discount_pct]]&lt;=10%,"1–
10%",IF(tblTransactions[[#This Row],[discount_pct]]&lt;=20%,"11–20%","&gt;20%")))</f>
        <v>0%</v>
      </c>
      <c r="P1935" s="13" t="str">
        <f>_xlfn.XLOOKUP(tblTransactions[[#This Row],[tenant_id]],tblTenants[tenant_id],tblTenants[zone],"NOT FOUND")</f>
        <v>Home &amp; Living</v>
      </c>
      <c r="Q1935" s="13" t="str">
        <f>_xlfn.XLOOKUP(tblTransactions[[#This Row],[tenant_id]],tblTenants[tenant_id],tblTenants[category],"NOT FOUND")</f>
        <v>Electronics</v>
      </c>
    </row>
    <row r="1936" spans="1:17">
      <c r="A1936" t="s">
        <v>1980</v>
      </c>
      <c r="B1936" s="2">
        <v>45765</v>
      </c>
      <c r="C1936">
        <v>20</v>
      </c>
      <c r="D1936" t="s">
        <v>53</v>
      </c>
      <c r="E1936" t="s">
        <v>51</v>
      </c>
      <c r="F1936" s="7">
        <v>590.24</v>
      </c>
      <c r="G1936" s="10">
        <v>0.15</v>
      </c>
      <c r="H1936" s="7">
        <v>501.7</v>
      </c>
      <c r="I1936">
        <v>3</v>
      </c>
      <c r="J1936" t="s">
        <v>13</v>
      </c>
      <c r="K1936" s="13">
        <f>ROUND(tblTransactions[[#This Row],[gross_sales_inr]]*(1-tblTransactions[[#This Row],[discount_pct]]),2)</f>
        <v>501.7</v>
      </c>
      <c r="L1936" t="str">
        <f>IF(ABS(tblTransactions[[#This Row],[net_sales_inr]]-tblTransactions[[#This Row],[Recalc_Net_Sales]])&lt;0.02,"OK","CHECK")</f>
        <v>OK</v>
      </c>
      <c r="M1936" s="14">
        <f>DATE(YEAR(tblTransactions[[#This Row],[date]]),MONTH(tblTransactions[[#This Row],[date]]),1)</f>
        <v>45748</v>
      </c>
      <c r="N1936" t="str">
        <f>IF(WEEKDAY(tblTransactions[[#This Row],[date]],2)&gt;5,"Weekend","Weekday")</f>
        <v>Weekday</v>
      </c>
      <c r="O193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36" s="13" t="str">
        <f>_xlfn.XLOOKUP(tblTransactions[[#This Row],[tenant_id]],tblTenants[tenant_id],tblTenants[zone],"NOT FOUND")</f>
        <v>Beauty &amp; Wellness</v>
      </c>
      <c r="Q1936" s="13" t="str">
        <f>_xlfn.XLOOKUP(tblTransactions[[#This Row],[tenant_id]],tblTenants[tenant_id],tblTenants[category],"NOT FOUND")</f>
        <v>Beauty</v>
      </c>
    </row>
    <row r="1937" spans="1:17">
      <c r="A1937" t="s">
        <v>1981</v>
      </c>
      <c r="B1937" s="2">
        <v>45800</v>
      </c>
      <c r="C1937">
        <v>10</v>
      </c>
      <c r="D1937" t="s">
        <v>48</v>
      </c>
      <c r="E1937" t="s">
        <v>12</v>
      </c>
      <c r="F1937" s="7">
        <v>1611.52</v>
      </c>
      <c r="G1937" s="10">
        <v>0.05</v>
      </c>
      <c r="H1937" s="7">
        <v>1530.94</v>
      </c>
      <c r="I1937">
        <v>1</v>
      </c>
      <c r="J1937" t="s">
        <v>16</v>
      </c>
      <c r="K1937" s="13">
        <f>ROUND(tblTransactions[[#This Row],[gross_sales_inr]]*(1-tblTransactions[[#This Row],[discount_pct]]),2)</f>
        <v>1530.94</v>
      </c>
      <c r="L1937" t="str">
        <f>IF(ABS(tblTransactions[[#This Row],[net_sales_inr]]-tblTransactions[[#This Row],[Recalc_Net_Sales]])&lt;0.02,"OK","CHECK")</f>
        <v>OK</v>
      </c>
      <c r="M1937" s="14">
        <f>DATE(YEAR(tblTransactions[[#This Row],[date]]),MONTH(tblTransactions[[#This Row],[date]]),1)</f>
        <v>45778</v>
      </c>
      <c r="N1937" t="str">
        <f>IF(WEEKDAY(tblTransactions[[#This Row],[date]],2)&gt;5,"Weekend","Weekday")</f>
        <v>Weekday</v>
      </c>
      <c r="O193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37" s="13" t="str">
        <f>_xlfn.XLOOKUP(tblTransactions[[#This Row],[tenant_id]],tblTenants[tenant_id],tblTenants[zone],"NOT FOUND")</f>
        <v>Beauty &amp; Wellness</v>
      </c>
      <c r="Q1937" s="13" t="str">
        <f>_xlfn.XLOOKUP(tblTransactions[[#This Row],[tenant_id]],tblTenants[tenant_id],tblTenants[category],"NOT FOUND")</f>
        <v>Wellness</v>
      </c>
    </row>
    <row r="1938" spans="1:17">
      <c r="A1938" t="s">
        <v>1982</v>
      </c>
      <c r="B1938" s="2">
        <v>45802</v>
      </c>
      <c r="C1938">
        <v>20</v>
      </c>
      <c r="D1938" t="s">
        <v>36</v>
      </c>
      <c r="E1938" t="s">
        <v>32</v>
      </c>
      <c r="F1938" s="7">
        <v>705.91</v>
      </c>
      <c r="G1938" s="10">
        <v>0</v>
      </c>
      <c r="H1938" s="7">
        <v>705.91</v>
      </c>
      <c r="I1938">
        <v>3</v>
      </c>
      <c r="J1938" t="s">
        <v>16</v>
      </c>
      <c r="K1938" s="13">
        <f>ROUND(tblTransactions[[#This Row],[gross_sales_inr]]*(1-tblTransactions[[#This Row],[discount_pct]]),2)</f>
        <v>705.91</v>
      </c>
      <c r="L1938" t="str">
        <f>IF(ABS(tblTransactions[[#This Row],[net_sales_inr]]-tblTransactions[[#This Row],[Recalc_Net_Sales]])&lt;0.02,"OK","CHECK")</f>
        <v>OK</v>
      </c>
      <c r="M1938" s="14">
        <f>DATE(YEAR(tblTransactions[[#This Row],[date]]),MONTH(tblTransactions[[#This Row],[date]]),1)</f>
        <v>45778</v>
      </c>
      <c r="N1938" t="str">
        <f>IF(WEEKDAY(tblTransactions[[#This Row],[date]],2)&gt;5,"Weekend","Weekday")</f>
        <v>Weekend</v>
      </c>
      <c r="O1938" s="13" t="str">
        <f>IF(tblTransactions[[#This Row],[discount_pct]]=0,"0%",IF(tblTransactions[[#This Row],[discount_pct]]&lt;=10%,"1–
10%",IF(tblTransactions[[#This Row],[discount_pct]]&lt;=20%,"11–20%","&gt;20%")))</f>
        <v>0%</v>
      </c>
      <c r="P1938" s="13" t="str">
        <f>_xlfn.XLOOKUP(tblTransactions[[#This Row],[tenant_id]],tblTenants[tenant_id],tblTenants[zone],"NOT FOUND")</f>
        <v>Home &amp; Living</v>
      </c>
      <c r="Q1938" s="13" t="str">
        <f>_xlfn.XLOOKUP(tblTransactions[[#This Row],[tenant_id]],tblTenants[tenant_id],tblTenants[category],"NOT FOUND")</f>
        <v>Electronics</v>
      </c>
    </row>
    <row r="1939" spans="1:17">
      <c r="A1939" t="s">
        <v>1983</v>
      </c>
      <c r="B1939" s="2">
        <v>45804</v>
      </c>
      <c r="C1939">
        <v>20</v>
      </c>
      <c r="D1939" t="s">
        <v>104</v>
      </c>
      <c r="E1939" t="s">
        <v>32</v>
      </c>
      <c r="F1939" s="7">
        <v>807.06</v>
      </c>
      <c r="G1939" s="10">
        <v>0</v>
      </c>
      <c r="H1939" s="7">
        <v>807.06</v>
      </c>
      <c r="I1939">
        <v>5</v>
      </c>
      <c r="J1939" t="s">
        <v>13</v>
      </c>
      <c r="K1939" s="13">
        <f>ROUND(tblTransactions[[#This Row],[gross_sales_inr]]*(1-tblTransactions[[#This Row],[discount_pct]]),2)</f>
        <v>807.06</v>
      </c>
      <c r="L1939" t="str">
        <f>IF(ABS(tblTransactions[[#This Row],[net_sales_inr]]-tblTransactions[[#This Row],[Recalc_Net_Sales]])&lt;0.02,"OK","CHECK")</f>
        <v>OK</v>
      </c>
      <c r="M1939" s="14">
        <f>DATE(YEAR(tblTransactions[[#This Row],[date]]),MONTH(tblTransactions[[#This Row],[date]]),1)</f>
        <v>45778</v>
      </c>
      <c r="N1939" t="str">
        <f>IF(WEEKDAY(tblTransactions[[#This Row],[date]],2)&gt;5,"Weekend","Weekday")</f>
        <v>Weekday</v>
      </c>
      <c r="O1939" s="13" t="str">
        <f>IF(tblTransactions[[#This Row],[discount_pct]]=0,"0%",IF(tblTransactions[[#This Row],[discount_pct]]&lt;=10%,"1–
10%",IF(tblTransactions[[#This Row],[discount_pct]]&lt;=20%,"11–20%","&gt;20%")))</f>
        <v>0%</v>
      </c>
      <c r="P1939" s="13" t="str">
        <f>_xlfn.XLOOKUP(tblTransactions[[#This Row],[tenant_id]],tblTenants[tenant_id],tblTenants[zone],"NOT FOUND")</f>
        <v>Entertainment</v>
      </c>
      <c r="Q1939" s="13" t="str">
        <f>_xlfn.XLOOKUP(tblTransactions[[#This Row],[tenant_id]],tblTenants[tenant_id],tblTenants[category],"NOT FOUND")</f>
        <v>Family Entertainment</v>
      </c>
    </row>
    <row r="1940" spans="1:17">
      <c r="A1940" t="s">
        <v>1984</v>
      </c>
      <c r="B1940" s="2">
        <v>45661</v>
      </c>
      <c r="C1940">
        <v>10</v>
      </c>
      <c r="D1940" t="s">
        <v>45</v>
      </c>
      <c r="E1940" t="s">
        <v>12</v>
      </c>
      <c r="F1940" s="7">
        <v>404.61</v>
      </c>
      <c r="G1940" s="10">
        <v>0.05</v>
      </c>
      <c r="H1940" s="7">
        <v>384.38</v>
      </c>
      <c r="I1940">
        <v>1</v>
      </c>
      <c r="J1940" t="s">
        <v>13</v>
      </c>
      <c r="K1940" s="13">
        <f>ROUND(tblTransactions[[#This Row],[gross_sales_inr]]*(1-tblTransactions[[#This Row],[discount_pct]]),2)</f>
        <v>384.38</v>
      </c>
      <c r="L1940" t="str">
        <f>IF(ABS(tblTransactions[[#This Row],[net_sales_inr]]-tblTransactions[[#This Row],[Recalc_Net_Sales]])&lt;0.02,"OK","CHECK")</f>
        <v>OK</v>
      </c>
      <c r="M1940" s="14">
        <f>DATE(YEAR(tblTransactions[[#This Row],[date]]),MONTH(tblTransactions[[#This Row],[date]]),1)</f>
        <v>45658</v>
      </c>
      <c r="N1940" t="str">
        <f>IF(WEEKDAY(tblTransactions[[#This Row],[date]],2)&gt;5,"Weekend","Weekday")</f>
        <v>Weekend</v>
      </c>
      <c r="O194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40" s="13" t="str">
        <f>_xlfn.XLOOKUP(tblTransactions[[#This Row],[tenant_id]],tblTenants[tenant_id],tblTenants[zone],"NOT FOUND")</f>
        <v>Home &amp; Living</v>
      </c>
      <c r="Q1940" s="13" t="str">
        <f>_xlfn.XLOOKUP(tblTransactions[[#This Row],[tenant_id]],tblTenants[tenant_id],tblTenants[category],"NOT FOUND")</f>
        <v>Home Decor</v>
      </c>
    </row>
    <row r="1941" spans="1:17">
      <c r="A1941" t="s">
        <v>1985</v>
      </c>
      <c r="B1941" s="2">
        <v>45777</v>
      </c>
      <c r="C1941">
        <v>22</v>
      </c>
      <c r="D1941" t="s">
        <v>23</v>
      </c>
      <c r="E1941" t="s">
        <v>12</v>
      </c>
      <c r="F1941" s="7">
        <v>1668.66</v>
      </c>
      <c r="G1941" s="10">
        <v>0</v>
      </c>
      <c r="H1941" s="7">
        <v>1668.66</v>
      </c>
      <c r="I1941">
        <v>2</v>
      </c>
      <c r="J1941" t="s">
        <v>16</v>
      </c>
      <c r="K1941" s="13">
        <f>ROUND(tblTransactions[[#This Row],[gross_sales_inr]]*(1-tblTransactions[[#This Row],[discount_pct]]),2)</f>
        <v>1668.66</v>
      </c>
      <c r="L1941" t="str">
        <f>IF(ABS(tblTransactions[[#This Row],[net_sales_inr]]-tblTransactions[[#This Row],[Recalc_Net_Sales]])&lt;0.02,"OK","CHECK")</f>
        <v>OK</v>
      </c>
      <c r="M1941" s="14">
        <f>DATE(YEAR(tblTransactions[[#This Row],[date]]),MONTH(tblTransactions[[#This Row],[date]]),1)</f>
        <v>45748</v>
      </c>
      <c r="N1941" t="str">
        <f>IF(WEEKDAY(tblTransactions[[#This Row],[date]],2)&gt;5,"Weekend","Weekday")</f>
        <v>Weekday</v>
      </c>
      <c r="O1941" s="13" t="str">
        <f>IF(tblTransactions[[#This Row],[discount_pct]]=0,"0%",IF(tblTransactions[[#This Row],[discount_pct]]&lt;=10%,"1–
10%",IF(tblTransactions[[#This Row],[discount_pct]]&lt;=20%,"11–20%","&gt;20%")))</f>
        <v>0%</v>
      </c>
      <c r="P1941" s="13" t="str">
        <f>_xlfn.XLOOKUP(tblTransactions[[#This Row],[tenant_id]],tblTenants[tenant_id],tblTenants[zone],"NOT FOUND")</f>
        <v>Entertainment</v>
      </c>
      <c r="Q1941" s="13" t="str">
        <f>_xlfn.XLOOKUP(tblTransactions[[#This Row],[tenant_id]],tblTenants[tenant_id],tblTenants[category],"NOT FOUND")</f>
        <v>Cinema</v>
      </c>
    </row>
    <row r="1942" spans="1:17">
      <c r="A1942" t="s">
        <v>1986</v>
      </c>
      <c r="B1942" s="2">
        <v>45724</v>
      </c>
      <c r="C1942">
        <v>22</v>
      </c>
      <c r="D1942" t="s">
        <v>25</v>
      </c>
      <c r="E1942" t="s">
        <v>32</v>
      </c>
      <c r="F1942" s="7">
        <v>2537.0300000000002</v>
      </c>
      <c r="G1942" s="10">
        <v>0</v>
      </c>
      <c r="H1942" s="7">
        <v>2537.0300000000002</v>
      </c>
      <c r="I1942">
        <v>2</v>
      </c>
      <c r="J1942" t="s">
        <v>13</v>
      </c>
      <c r="K1942" s="13">
        <f>ROUND(tblTransactions[[#This Row],[gross_sales_inr]]*(1-tblTransactions[[#This Row],[discount_pct]]),2)</f>
        <v>2537.0300000000002</v>
      </c>
      <c r="L1942" t="str">
        <f>IF(ABS(tblTransactions[[#This Row],[net_sales_inr]]-tblTransactions[[#This Row],[Recalc_Net_Sales]])&lt;0.02,"OK","CHECK")</f>
        <v>OK</v>
      </c>
      <c r="M1942" s="14">
        <f>DATE(YEAR(tblTransactions[[#This Row],[date]]),MONTH(tblTransactions[[#This Row],[date]]),1)</f>
        <v>45717</v>
      </c>
      <c r="N1942" t="str">
        <f>IF(WEEKDAY(tblTransactions[[#This Row],[date]],2)&gt;5,"Weekend","Weekday")</f>
        <v>Weekend</v>
      </c>
      <c r="O1942" s="13" t="str">
        <f>IF(tblTransactions[[#This Row],[discount_pct]]=0,"0%",IF(tblTransactions[[#This Row],[discount_pct]]&lt;=10%,"1–
10%",IF(tblTransactions[[#This Row],[discount_pct]]&lt;=20%,"11–20%","&gt;20%")))</f>
        <v>0%</v>
      </c>
      <c r="P1942" s="13" t="str">
        <f>_xlfn.XLOOKUP(tblTransactions[[#This Row],[tenant_id]],tblTenants[tenant_id],tblTenants[zone],"NOT FOUND")</f>
        <v>Beauty &amp; Wellness</v>
      </c>
      <c r="Q1942" s="13" t="str">
        <f>_xlfn.XLOOKUP(tblTransactions[[#This Row],[tenant_id]],tblTenants[tenant_id],tblTenants[category],"NOT FOUND")</f>
        <v>Beauty</v>
      </c>
    </row>
    <row r="1943" spans="1:17">
      <c r="A1943" t="s">
        <v>1987</v>
      </c>
      <c r="B1943" s="2">
        <v>45707</v>
      </c>
      <c r="C1943">
        <v>18</v>
      </c>
      <c r="D1943" t="s">
        <v>34</v>
      </c>
      <c r="E1943" t="s">
        <v>32</v>
      </c>
      <c r="F1943" s="7">
        <v>554.27</v>
      </c>
      <c r="G1943" s="10">
        <v>0</v>
      </c>
      <c r="H1943" s="7">
        <v>554.27</v>
      </c>
      <c r="I1943">
        <v>1</v>
      </c>
      <c r="J1943" t="s">
        <v>13</v>
      </c>
      <c r="K1943" s="13">
        <f>ROUND(tblTransactions[[#This Row],[gross_sales_inr]]*(1-tblTransactions[[#This Row],[discount_pct]]),2)</f>
        <v>554.27</v>
      </c>
      <c r="L1943" t="str">
        <f>IF(ABS(tblTransactions[[#This Row],[net_sales_inr]]-tblTransactions[[#This Row],[Recalc_Net_Sales]])&lt;0.02,"OK","CHECK")</f>
        <v>OK</v>
      </c>
      <c r="M1943" s="14">
        <f>DATE(YEAR(tblTransactions[[#This Row],[date]]),MONTH(tblTransactions[[#This Row],[date]]),1)</f>
        <v>45689</v>
      </c>
      <c r="N1943" t="str">
        <f>IF(WEEKDAY(tblTransactions[[#This Row],[date]],2)&gt;5,"Weekend","Weekday")</f>
        <v>Weekday</v>
      </c>
      <c r="O1943" s="13" t="str">
        <f>IF(tblTransactions[[#This Row],[discount_pct]]=0,"0%",IF(tblTransactions[[#This Row],[discount_pct]]&lt;=10%,"1–
10%",IF(tblTransactions[[#This Row],[discount_pct]]&lt;=20%,"11–20%","&gt;20%")))</f>
        <v>0%</v>
      </c>
      <c r="P1943" s="13" t="str">
        <f>_xlfn.XLOOKUP(tblTransactions[[#This Row],[tenant_id]],tblTenants[tenant_id],tblTenants[zone],"NOT FOUND")</f>
        <v>Home &amp; Living</v>
      </c>
      <c r="Q1943" s="13" t="str">
        <f>_xlfn.XLOOKUP(tblTransactions[[#This Row],[tenant_id]],tblTenants[tenant_id],tblTenants[category],"NOT FOUND")</f>
        <v>Electronics</v>
      </c>
    </row>
    <row r="1944" spans="1:17">
      <c r="A1944" t="s">
        <v>1988</v>
      </c>
      <c r="B1944" s="2">
        <v>45681</v>
      </c>
      <c r="C1944">
        <v>17</v>
      </c>
      <c r="D1944" t="s">
        <v>34</v>
      </c>
      <c r="E1944" t="s">
        <v>21</v>
      </c>
      <c r="F1944" s="7">
        <v>685.74</v>
      </c>
      <c r="G1944" s="10">
        <v>0.3</v>
      </c>
      <c r="H1944" s="7">
        <v>480.02</v>
      </c>
      <c r="I1944">
        <v>1</v>
      </c>
      <c r="J1944" t="s">
        <v>13</v>
      </c>
      <c r="K1944" s="13">
        <f>ROUND(tblTransactions[[#This Row],[gross_sales_inr]]*(1-tblTransactions[[#This Row],[discount_pct]]),2)</f>
        <v>480.02</v>
      </c>
      <c r="L1944" t="str">
        <f>IF(ABS(tblTransactions[[#This Row],[net_sales_inr]]-tblTransactions[[#This Row],[Recalc_Net_Sales]])&lt;0.02,"OK","CHECK")</f>
        <v>OK</v>
      </c>
      <c r="M1944" s="14">
        <f>DATE(YEAR(tblTransactions[[#This Row],[date]]),MONTH(tblTransactions[[#This Row],[date]]),1)</f>
        <v>45658</v>
      </c>
      <c r="N1944" t="str">
        <f>IF(WEEKDAY(tblTransactions[[#This Row],[date]],2)&gt;5,"Weekend","Weekday")</f>
        <v>Weekday</v>
      </c>
      <c r="O194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944" s="13" t="str">
        <f>_xlfn.XLOOKUP(tblTransactions[[#This Row],[tenant_id]],tblTenants[tenant_id],tblTenants[zone],"NOT FOUND")</f>
        <v>Home &amp; Living</v>
      </c>
      <c r="Q1944" s="13" t="str">
        <f>_xlfn.XLOOKUP(tblTransactions[[#This Row],[tenant_id]],tblTenants[tenant_id],tblTenants[category],"NOT FOUND")</f>
        <v>Electronics</v>
      </c>
    </row>
    <row r="1945" spans="1:17">
      <c r="A1945" t="s">
        <v>1989</v>
      </c>
      <c r="B1945" s="2">
        <v>45797</v>
      </c>
      <c r="C1945">
        <v>12</v>
      </c>
      <c r="D1945" t="s">
        <v>11</v>
      </c>
      <c r="E1945" t="s">
        <v>32</v>
      </c>
      <c r="F1945" s="7">
        <v>1246</v>
      </c>
      <c r="G1945" s="10">
        <v>0.05</v>
      </c>
      <c r="H1945" s="7">
        <v>1183.7</v>
      </c>
      <c r="I1945">
        <v>3</v>
      </c>
      <c r="J1945" t="s">
        <v>13</v>
      </c>
      <c r="K1945" s="13">
        <f>ROUND(tblTransactions[[#This Row],[gross_sales_inr]]*(1-tblTransactions[[#This Row],[discount_pct]]),2)</f>
        <v>1183.7</v>
      </c>
      <c r="L1945" t="str">
        <f>IF(ABS(tblTransactions[[#This Row],[net_sales_inr]]-tblTransactions[[#This Row],[Recalc_Net_Sales]])&lt;0.02,"OK","CHECK")</f>
        <v>OK</v>
      </c>
      <c r="M1945" s="14">
        <f>DATE(YEAR(tblTransactions[[#This Row],[date]]),MONTH(tblTransactions[[#This Row],[date]]),1)</f>
        <v>45778</v>
      </c>
      <c r="N1945" t="str">
        <f>IF(WEEKDAY(tblTransactions[[#This Row],[date]],2)&gt;5,"Weekend","Weekday")</f>
        <v>Weekday</v>
      </c>
      <c r="O194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45" s="13" t="str">
        <f>_xlfn.XLOOKUP(tblTransactions[[#This Row],[tenant_id]],tblTenants[tenant_id],tblTenants[zone],"NOT FOUND")</f>
        <v>Home &amp; Living</v>
      </c>
      <c r="Q1945" s="13" t="str">
        <f>_xlfn.XLOOKUP(tblTransactions[[#This Row],[tenant_id]],tblTenants[tenant_id],tblTenants[category],"NOT FOUND")</f>
        <v>Home Decor</v>
      </c>
    </row>
    <row r="1946" spans="1:17">
      <c r="A1946" t="s">
        <v>1990</v>
      </c>
      <c r="B1946" s="2">
        <v>45722</v>
      </c>
      <c r="C1946">
        <v>19</v>
      </c>
      <c r="D1946" t="s">
        <v>57</v>
      </c>
      <c r="E1946" t="s">
        <v>12</v>
      </c>
      <c r="F1946" s="7">
        <v>455.06</v>
      </c>
      <c r="G1946" s="10">
        <v>0.2</v>
      </c>
      <c r="H1946" s="7">
        <v>364.05</v>
      </c>
      <c r="I1946">
        <v>2</v>
      </c>
      <c r="J1946" t="s">
        <v>13</v>
      </c>
      <c r="K1946" s="13">
        <f>ROUND(tblTransactions[[#This Row],[gross_sales_inr]]*(1-tblTransactions[[#This Row],[discount_pct]]),2)</f>
        <v>364.05</v>
      </c>
      <c r="L1946" t="str">
        <f>IF(ABS(tblTransactions[[#This Row],[net_sales_inr]]-tblTransactions[[#This Row],[Recalc_Net_Sales]])&lt;0.02,"OK","CHECK")</f>
        <v>OK</v>
      </c>
      <c r="M1946" s="14">
        <f>DATE(YEAR(tblTransactions[[#This Row],[date]]),MONTH(tblTransactions[[#This Row],[date]]),1)</f>
        <v>45717</v>
      </c>
      <c r="N1946" t="str">
        <f>IF(WEEKDAY(tblTransactions[[#This Row],[date]],2)&gt;5,"Weekend","Weekday")</f>
        <v>Weekday</v>
      </c>
      <c r="O194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46" s="13" t="str">
        <f>_xlfn.XLOOKUP(tblTransactions[[#This Row],[tenant_id]],tblTenants[tenant_id],tblTenants[zone],"NOT FOUND")</f>
        <v>Food Court</v>
      </c>
      <c r="Q1946" s="13" t="str">
        <f>_xlfn.XLOOKUP(tblTransactions[[#This Row],[tenant_id]],tblTenants[tenant_id],tblTenants[category],"NOT FOUND")</f>
        <v>Casual Dining</v>
      </c>
    </row>
    <row r="1947" spans="1:17">
      <c r="A1947" t="s">
        <v>1991</v>
      </c>
      <c r="B1947" s="2">
        <v>45810</v>
      </c>
      <c r="C1947">
        <v>22</v>
      </c>
      <c r="D1947" t="s">
        <v>63</v>
      </c>
      <c r="E1947" t="s">
        <v>12</v>
      </c>
      <c r="F1947" s="7">
        <v>877.49</v>
      </c>
      <c r="G1947" s="10">
        <v>0</v>
      </c>
      <c r="H1947" s="7">
        <v>877.49</v>
      </c>
      <c r="I1947">
        <v>1</v>
      </c>
      <c r="J1947" t="s">
        <v>13</v>
      </c>
      <c r="K1947" s="13">
        <f>ROUND(tblTransactions[[#This Row],[gross_sales_inr]]*(1-tblTransactions[[#This Row],[discount_pct]]),2)</f>
        <v>877.49</v>
      </c>
      <c r="L1947" t="str">
        <f>IF(ABS(tblTransactions[[#This Row],[net_sales_inr]]-tblTransactions[[#This Row],[Recalc_Net_Sales]])&lt;0.02,"OK","CHECK")</f>
        <v>OK</v>
      </c>
      <c r="M1947" s="14">
        <f>DATE(YEAR(tblTransactions[[#This Row],[date]]),MONTH(tblTransactions[[#This Row],[date]]),1)</f>
        <v>45809</v>
      </c>
      <c r="N1947" t="str">
        <f>IF(WEEKDAY(tblTransactions[[#This Row],[date]],2)&gt;5,"Weekend","Weekday")</f>
        <v>Weekday</v>
      </c>
      <c r="O1947" s="13" t="str">
        <f>IF(tblTransactions[[#This Row],[discount_pct]]=0,"0%",IF(tblTransactions[[#This Row],[discount_pct]]&lt;=10%,"1–
10%",IF(tblTransactions[[#This Row],[discount_pct]]&lt;=20%,"11–20%","&gt;20%")))</f>
        <v>0%</v>
      </c>
      <c r="P1947" s="13" t="str">
        <f>_xlfn.XLOOKUP(tblTransactions[[#This Row],[tenant_id]],tblTenants[tenant_id],tblTenants[zone],"NOT FOUND")</f>
        <v>Entertainment</v>
      </c>
      <c r="Q1947" s="13" t="str">
        <f>_xlfn.XLOOKUP(tblTransactions[[#This Row],[tenant_id]],tblTenants[tenant_id],tblTenants[category],"NOT FOUND")</f>
        <v>Family Entertainment</v>
      </c>
    </row>
    <row r="1948" spans="1:17">
      <c r="A1948" t="s">
        <v>1992</v>
      </c>
      <c r="B1948" s="2">
        <v>45724</v>
      </c>
      <c r="C1948">
        <v>17</v>
      </c>
      <c r="D1948" t="s">
        <v>61</v>
      </c>
      <c r="E1948" t="s">
        <v>12</v>
      </c>
      <c r="F1948" s="7">
        <v>482.93</v>
      </c>
      <c r="G1948" s="10">
        <v>0.1</v>
      </c>
      <c r="H1948" s="7">
        <v>434.64</v>
      </c>
      <c r="I1948">
        <v>3</v>
      </c>
      <c r="J1948" t="s">
        <v>13</v>
      </c>
      <c r="K1948" s="13">
        <f>ROUND(tblTransactions[[#This Row],[gross_sales_inr]]*(1-tblTransactions[[#This Row],[discount_pct]]),2)</f>
        <v>434.64</v>
      </c>
      <c r="L1948" t="str">
        <f>IF(ABS(tblTransactions[[#This Row],[net_sales_inr]]-tblTransactions[[#This Row],[Recalc_Net_Sales]])&lt;0.02,"OK","CHECK")</f>
        <v>OK</v>
      </c>
      <c r="M1948" s="14">
        <f>DATE(YEAR(tblTransactions[[#This Row],[date]]),MONTH(tblTransactions[[#This Row],[date]]),1)</f>
        <v>45717</v>
      </c>
      <c r="N1948" t="str">
        <f>IF(WEEKDAY(tblTransactions[[#This Row],[date]],2)&gt;5,"Weekend","Weekday")</f>
        <v>Weekend</v>
      </c>
      <c r="O194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48" s="13" t="str">
        <f>_xlfn.XLOOKUP(tblTransactions[[#This Row],[tenant_id]],tblTenants[tenant_id],tblTenants[zone],"NOT FOUND")</f>
        <v>Food Court</v>
      </c>
      <c r="Q1948" s="13" t="str">
        <f>_xlfn.XLOOKUP(tblTransactions[[#This Row],[tenant_id]],tblTenants[tenant_id],tblTenants[category],"NOT FOUND")</f>
        <v>Quick Service</v>
      </c>
    </row>
    <row r="1949" spans="1:17">
      <c r="A1949" t="s">
        <v>1993</v>
      </c>
      <c r="B1949" s="2">
        <v>45731</v>
      </c>
      <c r="C1949">
        <v>22</v>
      </c>
      <c r="D1949" t="s">
        <v>61</v>
      </c>
      <c r="E1949" t="s">
        <v>12</v>
      </c>
      <c r="F1949" s="7">
        <v>237.63</v>
      </c>
      <c r="G1949" s="10">
        <v>0.3</v>
      </c>
      <c r="H1949" s="7">
        <v>166.34</v>
      </c>
      <c r="I1949">
        <v>3</v>
      </c>
      <c r="J1949" t="s">
        <v>13</v>
      </c>
      <c r="K1949" s="13">
        <f>ROUND(tblTransactions[[#This Row],[gross_sales_inr]]*(1-tblTransactions[[#This Row],[discount_pct]]),2)</f>
        <v>166.34</v>
      </c>
      <c r="L1949" t="str">
        <f>IF(ABS(tblTransactions[[#This Row],[net_sales_inr]]-tblTransactions[[#This Row],[Recalc_Net_Sales]])&lt;0.02,"OK","CHECK")</f>
        <v>OK</v>
      </c>
      <c r="M1949" s="14">
        <f>DATE(YEAR(tblTransactions[[#This Row],[date]]),MONTH(tblTransactions[[#This Row],[date]]),1)</f>
        <v>45717</v>
      </c>
      <c r="N1949" t="str">
        <f>IF(WEEKDAY(tblTransactions[[#This Row],[date]],2)&gt;5,"Weekend","Weekday")</f>
        <v>Weekend</v>
      </c>
      <c r="O1949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949" s="13" t="str">
        <f>_xlfn.XLOOKUP(tblTransactions[[#This Row],[tenant_id]],tblTenants[tenant_id],tblTenants[zone],"NOT FOUND")</f>
        <v>Food Court</v>
      </c>
      <c r="Q1949" s="13" t="str">
        <f>_xlfn.XLOOKUP(tblTransactions[[#This Row],[tenant_id]],tblTenants[tenant_id],tblTenants[category],"NOT FOUND")</f>
        <v>Quick Service</v>
      </c>
    </row>
    <row r="1950" spans="1:17">
      <c r="A1950" t="s">
        <v>1994</v>
      </c>
      <c r="B1950" s="2">
        <v>45686</v>
      </c>
      <c r="C1950">
        <v>20</v>
      </c>
      <c r="D1950" t="s">
        <v>80</v>
      </c>
      <c r="E1950" t="s">
        <v>21</v>
      </c>
      <c r="F1950" s="7">
        <v>563.03</v>
      </c>
      <c r="G1950" s="10">
        <v>0</v>
      </c>
      <c r="H1950" s="7">
        <v>563.03</v>
      </c>
      <c r="I1950">
        <v>4</v>
      </c>
      <c r="J1950" t="s">
        <v>16</v>
      </c>
      <c r="K1950" s="13">
        <f>ROUND(tblTransactions[[#This Row],[gross_sales_inr]]*(1-tblTransactions[[#This Row],[discount_pct]]),2)</f>
        <v>563.03</v>
      </c>
      <c r="L1950" t="str">
        <f>IF(ABS(tblTransactions[[#This Row],[net_sales_inr]]-tblTransactions[[#This Row],[Recalc_Net_Sales]])&lt;0.02,"OK","CHECK")</f>
        <v>OK</v>
      </c>
      <c r="M1950" s="14">
        <f>DATE(YEAR(tblTransactions[[#This Row],[date]]),MONTH(tblTransactions[[#This Row],[date]]),1)</f>
        <v>45658</v>
      </c>
      <c r="N1950" t="str">
        <f>IF(WEEKDAY(tblTransactions[[#This Row],[date]],2)&gt;5,"Weekend","Weekday")</f>
        <v>Weekday</v>
      </c>
      <c r="O1950" s="13" t="str">
        <f>IF(tblTransactions[[#This Row],[discount_pct]]=0,"0%",IF(tblTransactions[[#This Row],[discount_pct]]&lt;=10%,"1–
10%",IF(tblTransactions[[#This Row],[discount_pct]]&lt;=20%,"11–20%","&gt;20%")))</f>
        <v>0%</v>
      </c>
      <c r="P1950" s="13" t="str">
        <f>_xlfn.XLOOKUP(tblTransactions[[#This Row],[tenant_id]],tblTenants[tenant_id],tblTenants[zone],"NOT FOUND")</f>
        <v>Food Court</v>
      </c>
      <c r="Q1950" s="13" t="str">
        <f>_xlfn.XLOOKUP(tblTransactions[[#This Row],[tenant_id]],tblTenants[tenant_id],tblTenants[category],"NOT FOUND")</f>
        <v>Casual Dining</v>
      </c>
    </row>
    <row r="1951" spans="1:17">
      <c r="A1951" t="s">
        <v>1995</v>
      </c>
      <c r="B1951" s="2">
        <v>45666</v>
      </c>
      <c r="C1951">
        <v>18</v>
      </c>
      <c r="D1951" t="s">
        <v>57</v>
      </c>
      <c r="E1951" t="s">
        <v>12</v>
      </c>
      <c r="F1951" s="7">
        <v>3575.8</v>
      </c>
      <c r="G1951" s="10">
        <v>0.1</v>
      </c>
      <c r="H1951" s="7">
        <v>3218.22</v>
      </c>
      <c r="I1951">
        <v>4</v>
      </c>
      <c r="J1951" t="s">
        <v>13</v>
      </c>
      <c r="K1951" s="13">
        <f>ROUND(tblTransactions[[#This Row],[gross_sales_inr]]*(1-tblTransactions[[#This Row],[discount_pct]]),2)</f>
        <v>3218.22</v>
      </c>
      <c r="L1951" t="str">
        <f>IF(ABS(tblTransactions[[#This Row],[net_sales_inr]]-tblTransactions[[#This Row],[Recalc_Net_Sales]])&lt;0.02,"OK","CHECK")</f>
        <v>OK</v>
      </c>
      <c r="M1951" s="14">
        <f>DATE(YEAR(tblTransactions[[#This Row],[date]]),MONTH(tblTransactions[[#This Row],[date]]),1)</f>
        <v>45658</v>
      </c>
      <c r="N1951" t="str">
        <f>IF(WEEKDAY(tblTransactions[[#This Row],[date]],2)&gt;5,"Weekend","Weekday")</f>
        <v>Weekday</v>
      </c>
      <c r="O195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51" s="13" t="str">
        <f>_xlfn.XLOOKUP(tblTransactions[[#This Row],[tenant_id]],tblTenants[tenant_id],tblTenants[zone],"NOT FOUND")</f>
        <v>Food Court</v>
      </c>
      <c r="Q1951" s="13" t="str">
        <f>_xlfn.XLOOKUP(tblTransactions[[#This Row],[tenant_id]],tblTenants[tenant_id],tblTenants[category],"NOT FOUND")</f>
        <v>Casual Dining</v>
      </c>
    </row>
    <row r="1952" spans="1:17">
      <c r="A1952" t="s">
        <v>1996</v>
      </c>
      <c r="B1952" s="2">
        <v>45677</v>
      </c>
      <c r="C1952">
        <v>12</v>
      </c>
      <c r="D1952" t="s">
        <v>80</v>
      </c>
      <c r="E1952" t="s">
        <v>51</v>
      </c>
      <c r="F1952" s="7">
        <v>1225.8699999999999</v>
      </c>
      <c r="G1952" s="10">
        <v>0.1</v>
      </c>
      <c r="H1952" s="7">
        <v>1103.28</v>
      </c>
      <c r="I1952">
        <v>1</v>
      </c>
      <c r="J1952" t="s">
        <v>13</v>
      </c>
      <c r="K1952" s="13">
        <f>ROUND(tblTransactions[[#This Row],[gross_sales_inr]]*(1-tblTransactions[[#This Row],[discount_pct]]),2)</f>
        <v>1103.28</v>
      </c>
      <c r="L1952" t="str">
        <f>IF(ABS(tblTransactions[[#This Row],[net_sales_inr]]-tblTransactions[[#This Row],[Recalc_Net_Sales]])&lt;0.02,"OK","CHECK")</f>
        <v>OK</v>
      </c>
      <c r="M1952" s="14">
        <f>DATE(YEAR(tblTransactions[[#This Row],[date]]),MONTH(tblTransactions[[#This Row],[date]]),1)</f>
        <v>45658</v>
      </c>
      <c r="N1952" t="str">
        <f>IF(WEEKDAY(tblTransactions[[#This Row],[date]],2)&gt;5,"Weekend","Weekday")</f>
        <v>Weekday</v>
      </c>
      <c r="O195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52" s="13" t="str">
        <f>_xlfn.XLOOKUP(tblTransactions[[#This Row],[tenant_id]],tblTenants[tenant_id],tblTenants[zone],"NOT FOUND")</f>
        <v>Food Court</v>
      </c>
      <c r="Q1952" s="13" t="str">
        <f>_xlfn.XLOOKUP(tblTransactions[[#This Row],[tenant_id]],tblTenants[tenant_id],tblTenants[category],"NOT FOUND")</f>
        <v>Casual Dining</v>
      </c>
    </row>
    <row r="1953" spans="1:17">
      <c r="A1953" t="s">
        <v>1997</v>
      </c>
      <c r="B1953" s="2">
        <v>45684</v>
      </c>
      <c r="C1953">
        <v>21</v>
      </c>
      <c r="D1953" t="s">
        <v>59</v>
      </c>
      <c r="E1953" t="s">
        <v>12</v>
      </c>
      <c r="F1953" s="7">
        <v>1155.17</v>
      </c>
      <c r="G1953" s="10">
        <v>0.1</v>
      </c>
      <c r="H1953" s="7">
        <v>1039.6500000000001</v>
      </c>
      <c r="I1953">
        <v>2</v>
      </c>
      <c r="J1953" t="s">
        <v>13</v>
      </c>
      <c r="K1953" s="13">
        <f>ROUND(tblTransactions[[#This Row],[gross_sales_inr]]*(1-tblTransactions[[#This Row],[discount_pct]]),2)</f>
        <v>1039.6500000000001</v>
      </c>
      <c r="L1953" t="str">
        <f>IF(ABS(tblTransactions[[#This Row],[net_sales_inr]]-tblTransactions[[#This Row],[Recalc_Net_Sales]])&lt;0.02,"OK","CHECK")</f>
        <v>OK</v>
      </c>
      <c r="M1953" s="14">
        <f>DATE(YEAR(tblTransactions[[#This Row],[date]]),MONTH(tblTransactions[[#This Row],[date]]),1)</f>
        <v>45658</v>
      </c>
      <c r="N1953" t="str">
        <f>IF(WEEKDAY(tblTransactions[[#This Row],[date]],2)&gt;5,"Weekend","Weekday")</f>
        <v>Weekday</v>
      </c>
      <c r="O195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53" s="13" t="str">
        <f>_xlfn.XLOOKUP(tblTransactions[[#This Row],[tenant_id]],tblTenants[tenant_id],tblTenants[zone],"NOT FOUND")</f>
        <v>Fashion Avenue</v>
      </c>
      <c r="Q1953" s="13" t="str">
        <f>_xlfn.XLOOKUP(tblTransactions[[#This Row],[tenant_id]],tblTenants[tenant_id],tblTenants[category],"NOT FOUND")</f>
        <v>Footwear</v>
      </c>
    </row>
    <row r="1954" spans="1:17">
      <c r="A1954" t="s">
        <v>1998</v>
      </c>
      <c r="B1954" s="2">
        <v>45812</v>
      </c>
      <c r="C1954">
        <v>22</v>
      </c>
      <c r="D1954" t="s">
        <v>23</v>
      </c>
      <c r="E1954" t="s">
        <v>12</v>
      </c>
      <c r="F1954" s="7">
        <v>497.89</v>
      </c>
      <c r="G1954" s="10">
        <v>0.3</v>
      </c>
      <c r="H1954" s="7">
        <v>348.52</v>
      </c>
      <c r="I1954">
        <v>1</v>
      </c>
      <c r="J1954" t="s">
        <v>13</v>
      </c>
      <c r="K1954" s="13">
        <f>ROUND(tblTransactions[[#This Row],[gross_sales_inr]]*(1-tblTransactions[[#This Row],[discount_pct]]),2)</f>
        <v>348.52</v>
      </c>
      <c r="L1954" t="str">
        <f>IF(ABS(tblTransactions[[#This Row],[net_sales_inr]]-tblTransactions[[#This Row],[Recalc_Net_Sales]])&lt;0.02,"OK","CHECK")</f>
        <v>OK</v>
      </c>
      <c r="M1954" s="14">
        <f>DATE(YEAR(tblTransactions[[#This Row],[date]]),MONTH(tblTransactions[[#This Row],[date]]),1)</f>
        <v>45809</v>
      </c>
      <c r="N1954" t="str">
        <f>IF(WEEKDAY(tblTransactions[[#This Row],[date]],2)&gt;5,"Weekend","Weekday")</f>
        <v>Weekday</v>
      </c>
      <c r="O195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1954" s="13" t="str">
        <f>_xlfn.XLOOKUP(tblTransactions[[#This Row],[tenant_id]],tblTenants[tenant_id],tblTenants[zone],"NOT FOUND")</f>
        <v>Entertainment</v>
      </c>
      <c r="Q1954" s="13" t="str">
        <f>_xlfn.XLOOKUP(tblTransactions[[#This Row],[tenant_id]],tblTenants[tenant_id],tblTenants[category],"NOT FOUND")</f>
        <v>Cinema</v>
      </c>
    </row>
    <row r="1955" spans="1:17">
      <c r="A1955" t="s">
        <v>1999</v>
      </c>
      <c r="B1955" s="2">
        <v>45717</v>
      </c>
      <c r="C1955">
        <v>16</v>
      </c>
      <c r="D1955" t="s">
        <v>59</v>
      </c>
      <c r="E1955" t="s">
        <v>12</v>
      </c>
      <c r="F1955" s="7">
        <v>1376.49</v>
      </c>
      <c r="G1955" s="10">
        <v>0.05</v>
      </c>
      <c r="H1955" s="7">
        <v>1307.67</v>
      </c>
      <c r="I1955">
        <v>2</v>
      </c>
      <c r="J1955" t="s">
        <v>16</v>
      </c>
      <c r="K1955" s="13">
        <f>ROUND(tblTransactions[[#This Row],[gross_sales_inr]]*(1-tblTransactions[[#This Row],[discount_pct]]),2)</f>
        <v>1307.67</v>
      </c>
      <c r="L1955" t="str">
        <f>IF(ABS(tblTransactions[[#This Row],[net_sales_inr]]-tblTransactions[[#This Row],[Recalc_Net_Sales]])&lt;0.02,"OK","CHECK")</f>
        <v>OK</v>
      </c>
      <c r="M1955" s="14">
        <f>DATE(YEAR(tblTransactions[[#This Row],[date]]),MONTH(tblTransactions[[#This Row],[date]]),1)</f>
        <v>45717</v>
      </c>
      <c r="N1955" t="str">
        <f>IF(WEEKDAY(tblTransactions[[#This Row],[date]],2)&gt;5,"Weekend","Weekday")</f>
        <v>Weekend</v>
      </c>
      <c r="O195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55" s="13" t="str">
        <f>_xlfn.XLOOKUP(tblTransactions[[#This Row],[tenant_id]],tblTenants[tenant_id],tblTenants[zone],"NOT FOUND")</f>
        <v>Fashion Avenue</v>
      </c>
      <c r="Q1955" s="13" t="str">
        <f>_xlfn.XLOOKUP(tblTransactions[[#This Row],[tenant_id]],tblTenants[tenant_id],tblTenants[category],"NOT FOUND")</f>
        <v>Footwear</v>
      </c>
    </row>
    <row r="1956" spans="1:17">
      <c r="A1956" t="s">
        <v>2000</v>
      </c>
      <c r="B1956" s="2">
        <v>45828</v>
      </c>
      <c r="C1956">
        <v>11</v>
      </c>
      <c r="D1956" t="s">
        <v>18</v>
      </c>
      <c r="E1956" t="s">
        <v>12</v>
      </c>
      <c r="F1956" s="7">
        <v>336.22</v>
      </c>
      <c r="G1956" s="10">
        <v>0</v>
      </c>
      <c r="H1956" s="7">
        <v>336.22</v>
      </c>
      <c r="I1956">
        <v>2</v>
      </c>
      <c r="J1956" t="s">
        <v>13</v>
      </c>
      <c r="K1956" s="13">
        <f>ROUND(tblTransactions[[#This Row],[gross_sales_inr]]*(1-tblTransactions[[#This Row],[discount_pct]]),2)</f>
        <v>336.22</v>
      </c>
      <c r="L1956" t="str">
        <f>IF(ABS(tblTransactions[[#This Row],[net_sales_inr]]-tblTransactions[[#This Row],[Recalc_Net_Sales]])&lt;0.02,"OK","CHECK")</f>
        <v>OK</v>
      </c>
      <c r="M1956" s="14">
        <f>DATE(YEAR(tblTransactions[[#This Row],[date]]),MONTH(tblTransactions[[#This Row],[date]]),1)</f>
        <v>45809</v>
      </c>
      <c r="N1956" t="str">
        <f>IF(WEEKDAY(tblTransactions[[#This Row],[date]],2)&gt;5,"Weekend","Weekday")</f>
        <v>Weekday</v>
      </c>
      <c r="O1956" s="13" t="str">
        <f>IF(tblTransactions[[#This Row],[discount_pct]]=0,"0%",IF(tblTransactions[[#This Row],[discount_pct]]&lt;=10%,"1–
10%",IF(tblTransactions[[#This Row],[discount_pct]]&lt;=20%,"11–20%","&gt;20%")))</f>
        <v>0%</v>
      </c>
      <c r="P1956" s="13" t="str">
        <f>_xlfn.XLOOKUP(tblTransactions[[#This Row],[tenant_id]],tblTenants[tenant_id],tblTenants[zone],"NOT FOUND")</f>
        <v>Beauty &amp; Wellness</v>
      </c>
      <c r="Q1956" s="13" t="str">
        <f>_xlfn.XLOOKUP(tblTransactions[[#This Row],[tenant_id]],tblTenants[tenant_id],tblTenants[category],"NOT FOUND")</f>
        <v>Beauty</v>
      </c>
    </row>
    <row r="1957" spans="1:17">
      <c r="A1957" t="s">
        <v>2001</v>
      </c>
      <c r="B1957" s="2">
        <v>45740</v>
      </c>
      <c r="C1957">
        <v>22</v>
      </c>
      <c r="D1957" t="s">
        <v>29</v>
      </c>
      <c r="E1957" t="s">
        <v>32</v>
      </c>
      <c r="F1957" s="7">
        <v>1662.62</v>
      </c>
      <c r="G1957" s="10">
        <v>0.1</v>
      </c>
      <c r="H1957" s="7">
        <v>1496.36</v>
      </c>
      <c r="I1957">
        <v>1</v>
      </c>
      <c r="J1957" t="s">
        <v>13</v>
      </c>
      <c r="K1957" s="13">
        <f>ROUND(tblTransactions[[#This Row],[gross_sales_inr]]*(1-tblTransactions[[#This Row],[discount_pct]]),2)</f>
        <v>1496.36</v>
      </c>
      <c r="L1957" t="str">
        <f>IF(ABS(tblTransactions[[#This Row],[net_sales_inr]]-tblTransactions[[#This Row],[Recalc_Net_Sales]])&lt;0.02,"OK","CHECK")</f>
        <v>OK</v>
      </c>
      <c r="M1957" s="14">
        <f>DATE(YEAR(tblTransactions[[#This Row],[date]]),MONTH(tblTransactions[[#This Row],[date]]),1)</f>
        <v>45717</v>
      </c>
      <c r="N1957" t="str">
        <f>IF(WEEKDAY(tblTransactions[[#This Row],[date]],2)&gt;5,"Weekend","Weekday")</f>
        <v>Weekday</v>
      </c>
      <c r="O195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57" s="13" t="str">
        <f>_xlfn.XLOOKUP(tblTransactions[[#This Row],[tenant_id]],tblTenants[tenant_id],tblTenants[zone],"NOT FOUND")</f>
        <v>Entertainment</v>
      </c>
      <c r="Q1957" s="13" t="str">
        <f>_xlfn.XLOOKUP(tblTransactions[[#This Row],[tenant_id]],tblTenants[tenant_id],tblTenants[category],"NOT FOUND")</f>
        <v>Cinema</v>
      </c>
    </row>
    <row r="1958" spans="1:17">
      <c r="A1958" t="s">
        <v>2002</v>
      </c>
      <c r="B1958" s="2">
        <v>45763</v>
      </c>
      <c r="C1958">
        <v>16</v>
      </c>
      <c r="D1958" t="s">
        <v>87</v>
      </c>
      <c r="E1958" t="s">
        <v>12</v>
      </c>
      <c r="F1958" s="7">
        <v>601.07000000000005</v>
      </c>
      <c r="G1958" s="10">
        <v>0.2</v>
      </c>
      <c r="H1958" s="7">
        <v>480.86</v>
      </c>
      <c r="I1958">
        <v>5</v>
      </c>
      <c r="J1958" t="s">
        <v>16</v>
      </c>
      <c r="K1958" s="13">
        <f>ROUND(tblTransactions[[#This Row],[gross_sales_inr]]*(1-tblTransactions[[#This Row],[discount_pct]]),2)</f>
        <v>480.86</v>
      </c>
      <c r="L1958" t="str">
        <f>IF(ABS(tblTransactions[[#This Row],[net_sales_inr]]-tblTransactions[[#This Row],[Recalc_Net_Sales]])&lt;0.02,"OK","CHECK")</f>
        <v>OK</v>
      </c>
      <c r="M1958" s="14">
        <f>DATE(YEAR(tblTransactions[[#This Row],[date]]),MONTH(tblTransactions[[#This Row],[date]]),1)</f>
        <v>45748</v>
      </c>
      <c r="N1958" t="str">
        <f>IF(WEEKDAY(tblTransactions[[#This Row],[date]],2)&gt;5,"Weekend","Weekday")</f>
        <v>Weekday</v>
      </c>
      <c r="O195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58" s="13" t="str">
        <f>_xlfn.XLOOKUP(tblTransactions[[#This Row],[tenant_id]],tblTenants[tenant_id],tblTenants[zone],"NOT FOUND")</f>
        <v>Fashion Avenue</v>
      </c>
      <c r="Q1958" s="13" t="str">
        <f>_xlfn.XLOOKUP(tblTransactions[[#This Row],[tenant_id]],tblTenants[tenant_id],tblTenants[category],"NOT FOUND")</f>
        <v>Footwear</v>
      </c>
    </row>
    <row r="1959" spans="1:17">
      <c r="A1959" t="s">
        <v>2003</v>
      </c>
      <c r="B1959" s="2">
        <v>45787</v>
      </c>
      <c r="C1959">
        <v>17</v>
      </c>
      <c r="D1959" t="s">
        <v>87</v>
      </c>
      <c r="E1959" t="s">
        <v>21</v>
      </c>
      <c r="F1959" s="7">
        <v>1322.24</v>
      </c>
      <c r="G1959" s="10">
        <v>0.2</v>
      </c>
      <c r="H1959" s="7">
        <v>1057.79</v>
      </c>
      <c r="I1959">
        <v>1</v>
      </c>
      <c r="J1959" t="s">
        <v>13</v>
      </c>
      <c r="K1959" s="13">
        <f>ROUND(tblTransactions[[#This Row],[gross_sales_inr]]*(1-tblTransactions[[#This Row],[discount_pct]]),2)</f>
        <v>1057.79</v>
      </c>
      <c r="L1959" t="str">
        <f>IF(ABS(tblTransactions[[#This Row],[net_sales_inr]]-tblTransactions[[#This Row],[Recalc_Net_Sales]])&lt;0.02,"OK","CHECK")</f>
        <v>OK</v>
      </c>
      <c r="M1959" s="14">
        <f>DATE(YEAR(tblTransactions[[#This Row],[date]]),MONTH(tblTransactions[[#This Row],[date]]),1)</f>
        <v>45778</v>
      </c>
      <c r="N1959" t="str">
        <f>IF(WEEKDAY(tblTransactions[[#This Row],[date]],2)&gt;5,"Weekend","Weekday")</f>
        <v>Weekend</v>
      </c>
      <c r="O195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59" s="13" t="str">
        <f>_xlfn.XLOOKUP(tblTransactions[[#This Row],[tenant_id]],tblTenants[tenant_id],tblTenants[zone],"NOT FOUND")</f>
        <v>Fashion Avenue</v>
      </c>
      <c r="Q1959" s="13" t="str">
        <f>_xlfn.XLOOKUP(tblTransactions[[#This Row],[tenant_id]],tblTenants[tenant_id],tblTenants[category],"NOT FOUND")</f>
        <v>Footwear</v>
      </c>
    </row>
    <row r="1960" spans="1:17">
      <c r="A1960" t="s">
        <v>2004</v>
      </c>
      <c r="B1960" s="2">
        <v>45712</v>
      </c>
      <c r="C1960">
        <v>13</v>
      </c>
      <c r="D1960" t="s">
        <v>43</v>
      </c>
      <c r="E1960" t="s">
        <v>21</v>
      </c>
      <c r="F1960" s="7">
        <v>861.76</v>
      </c>
      <c r="G1960" s="10">
        <v>0.1</v>
      </c>
      <c r="H1960" s="7">
        <v>775.58</v>
      </c>
      <c r="I1960">
        <v>2</v>
      </c>
      <c r="J1960" t="s">
        <v>13</v>
      </c>
      <c r="K1960" s="13">
        <f>ROUND(tblTransactions[[#This Row],[gross_sales_inr]]*(1-tblTransactions[[#This Row],[discount_pct]]),2)</f>
        <v>775.58</v>
      </c>
      <c r="L1960" t="str">
        <f>IF(ABS(tblTransactions[[#This Row],[net_sales_inr]]-tblTransactions[[#This Row],[Recalc_Net_Sales]])&lt;0.02,"OK","CHECK")</f>
        <v>OK</v>
      </c>
      <c r="M1960" s="14">
        <f>DATE(YEAR(tblTransactions[[#This Row],[date]]),MONTH(tblTransactions[[#This Row],[date]]),1)</f>
        <v>45689</v>
      </c>
      <c r="N1960" t="str">
        <f>IF(WEEKDAY(tblTransactions[[#This Row],[date]],2)&gt;5,"Weekend","Weekday")</f>
        <v>Weekday</v>
      </c>
      <c r="O196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60" s="13" t="str">
        <f>_xlfn.XLOOKUP(tblTransactions[[#This Row],[tenant_id]],tblTenants[tenant_id],tblTenants[zone],"NOT FOUND")</f>
        <v>Food Court</v>
      </c>
      <c r="Q1960" s="13" t="str">
        <f>_xlfn.XLOOKUP(tblTransactions[[#This Row],[tenant_id]],tblTenants[tenant_id],tblTenants[category],"NOT FOUND")</f>
        <v>Casual Dining</v>
      </c>
    </row>
    <row r="1961" spans="1:17">
      <c r="A1961" t="s">
        <v>2005</v>
      </c>
      <c r="B1961" s="2">
        <v>45690</v>
      </c>
      <c r="C1961">
        <v>22</v>
      </c>
      <c r="D1961" t="s">
        <v>15</v>
      </c>
      <c r="E1961" t="s">
        <v>12</v>
      </c>
      <c r="F1961" s="7">
        <v>894.5</v>
      </c>
      <c r="G1961" s="10">
        <v>0.1</v>
      </c>
      <c r="H1961" s="7">
        <v>805.05</v>
      </c>
      <c r="I1961">
        <v>1</v>
      </c>
      <c r="J1961" t="s">
        <v>16</v>
      </c>
      <c r="K1961" s="13">
        <f>ROUND(tblTransactions[[#This Row],[gross_sales_inr]]*(1-tblTransactions[[#This Row],[discount_pct]]),2)</f>
        <v>805.05</v>
      </c>
      <c r="L1961" t="str">
        <f>IF(ABS(tblTransactions[[#This Row],[net_sales_inr]]-tblTransactions[[#This Row],[Recalc_Net_Sales]])&lt;0.02,"OK","CHECK")</f>
        <v>OK</v>
      </c>
      <c r="M1961" s="14">
        <f>DATE(YEAR(tblTransactions[[#This Row],[date]]),MONTH(tblTransactions[[#This Row],[date]]),1)</f>
        <v>45689</v>
      </c>
      <c r="N1961" t="str">
        <f>IF(WEEKDAY(tblTransactions[[#This Row],[date]],2)&gt;5,"Weekend","Weekday")</f>
        <v>Weekend</v>
      </c>
      <c r="O196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61" s="13" t="str">
        <f>_xlfn.XLOOKUP(tblTransactions[[#This Row],[tenant_id]],tblTenants[tenant_id],tblTenants[zone],"NOT FOUND")</f>
        <v>Fashion Avenue</v>
      </c>
      <c r="Q1961" s="13" t="str">
        <f>_xlfn.XLOOKUP(tblTransactions[[#This Row],[tenant_id]],tblTenants[tenant_id],tblTenants[category],"NOT FOUND")</f>
        <v>Accessories</v>
      </c>
    </row>
    <row r="1962" spans="1:17">
      <c r="A1962" t="s">
        <v>2006</v>
      </c>
      <c r="B1962" s="2">
        <v>45802</v>
      </c>
      <c r="C1962">
        <v>18</v>
      </c>
      <c r="D1962" t="s">
        <v>27</v>
      </c>
      <c r="E1962" t="s">
        <v>12</v>
      </c>
      <c r="F1962" s="7">
        <v>2316.66</v>
      </c>
      <c r="G1962" s="10">
        <v>0.05</v>
      </c>
      <c r="H1962" s="7">
        <v>2200.83</v>
      </c>
      <c r="I1962">
        <v>3</v>
      </c>
      <c r="J1962" t="s">
        <v>13</v>
      </c>
      <c r="K1962" s="13">
        <f>ROUND(tblTransactions[[#This Row],[gross_sales_inr]]*(1-tblTransactions[[#This Row],[discount_pct]]),2)</f>
        <v>2200.83</v>
      </c>
      <c r="L1962" t="str">
        <f>IF(ABS(tblTransactions[[#This Row],[net_sales_inr]]-tblTransactions[[#This Row],[Recalc_Net_Sales]])&lt;0.02,"OK","CHECK")</f>
        <v>OK</v>
      </c>
      <c r="M1962" s="14">
        <f>DATE(YEAR(tblTransactions[[#This Row],[date]]),MONTH(tblTransactions[[#This Row],[date]]),1)</f>
        <v>45778</v>
      </c>
      <c r="N1962" t="str">
        <f>IF(WEEKDAY(tblTransactions[[#This Row],[date]],2)&gt;5,"Weekend","Weekday")</f>
        <v>Weekend</v>
      </c>
      <c r="O196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62" s="13" t="str">
        <f>_xlfn.XLOOKUP(tblTransactions[[#This Row],[tenant_id]],tblTenants[tenant_id],tblTenants[zone],"NOT FOUND")</f>
        <v>Beauty &amp; Wellness</v>
      </c>
      <c r="Q1962" s="13" t="str">
        <f>_xlfn.XLOOKUP(tblTransactions[[#This Row],[tenant_id]],tblTenants[tenant_id],tblTenants[category],"NOT FOUND")</f>
        <v>Wellness</v>
      </c>
    </row>
    <row r="1963" spans="1:17">
      <c r="A1963" t="s">
        <v>2007</v>
      </c>
      <c r="B1963" s="2">
        <v>45782</v>
      </c>
      <c r="C1963">
        <v>12</v>
      </c>
      <c r="D1963" t="s">
        <v>80</v>
      </c>
      <c r="E1963" t="s">
        <v>32</v>
      </c>
      <c r="F1963" s="7">
        <v>1281.3599999999999</v>
      </c>
      <c r="G1963" s="10">
        <v>0</v>
      </c>
      <c r="H1963" s="7">
        <v>1281.3599999999999</v>
      </c>
      <c r="I1963">
        <v>3</v>
      </c>
      <c r="J1963" t="s">
        <v>16</v>
      </c>
      <c r="K1963" s="13">
        <f>ROUND(tblTransactions[[#This Row],[gross_sales_inr]]*(1-tblTransactions[[#This Row],[discount_pct]]),2)</f>
        <v>1281.3599999999999</v>
      </c>
      <c r="L1963" t="str">
        <f>IF(ABS(tblTransactions[[#This Row],[net_sales_inr]]-tblTransactions[[#This Row],[Recalc_Net_Sales]])&lt;0.02,"OK","CHECK")</f>
        <v>OK</v>
      </c>
      <c r="M1963" s="14">
        <f>DATE(YEAR(tblTransactions[[#This Row],[date]]),MONTH(tblTransactions[[#This Row],[date]]),1)</f>
        <v>45778</v>
      </c>
      <c r="N1963" t="str">
        <f>IF(WEEKDAY(tblTransactions[[#This Row],[date]],2)&gt;5,"Weekend","Weekday")</f>
        <v>Weekday</v>
      </c>
      <c r="O1963" s="13" t="str">
        <f>IF(tblTransactions[[#This Row],[discount_pct]]=0,"0%",IF(tblTransactions[[#This Row],[discount_pct]]&lt;=10%,"1–
10%",IF(tblTransactions[[#This Row],[discount_pct]]&lt;=20%,"11–20%","&gt;20%")))</f>
        <v>0%</v>
      </c>
      <c r="P1963" s="13" t="str">
        <f>_xlfn.XLOOKUP(tblTransactions[[#This Row],[tenant_id]],tblTenants[tenant_id],tblTenants[zone],"NOT FOUND")</f>
        <v>Food Court</v>
      </c>
      <c r="Q1963" s="13" t="str">
        <f>_xlfn.XLOOKUP(tblTransactions[[#This Row],[tenant_id]],tblTenants[tenant_id],tblTenants[category],"NOT FOUND")</f>
        <v>Casual Dining</v>
      </c>
    </row>
    <row r="1964" spans="1:17">
      <c r="A1964" t="s">
        <v>2008</v>
      </c>
      <c r="B1964" s="2">
        <v>45795</v>
      </c>
      <c r="C1964">
        <v>13</v>
      </c>
      <c r="D1964" t="s">
        <v>59</v>
      </c>
      <c r="E1964" t="s">
        <v>32</v>
      </c>
      <c r="F1964" s="7">
        <v>1050.57</v>
      </c>
      <c r="G1964" s="10">
        <v>0</v>
      </c>
      <c r="H1964" s="7">
        <v>1050.57</v>
      </c>
      <c r="I1964">
        <v>1</v>
      </c>
      <c r="J1964" t="s">
        <v>13</v>
      </c>
      <c r="K1964" s="13">
        <f>ROUND(tblTransactions[[#This Row],[gross_sales_inr]]*(1-tblTransactions[[#This Row],[discount_pct]]),2)</f>
        <v>1050.57</v>
      </c>
      <c r="L1964" t="str">
        <f>IF(ABS(tblTransactions[[#This Row],[net_sales_inr]]-tblTransactions[[#This Row],[Recalc_Net_Sales]])&lt;0.02,"OK","CHECK")</f>
        <v>OK</v>
      </c>
      <c r="M1964" s="14">
        <f>DATE(YEAR(tblTransactions[[#This Row],[date]]),MONTH(tblTransactions[[#This Row],[date]]),1)</f>
        <v>45778</v>
      </c>
      <c r="N1964" t="str">
        <f>IF(WEEKDAY(tblTransactions[[#This Row],[date]],2)&gt;5,"Weekend","Weekday")</f>
        <v>Weekend</v>
      </c>
      <c r="O1964" s="13" t="str">
        <f>IF(tblTransactions[[#This Row],[discount_pct]]=0,"0%",IF(tblTransactions[[#This Row],[discount_pct]]&lt;=10%,"1–
10%",IF(tblTransactions[[#This Row],[discount_pct]]&lt;=20%,"11–20%","&gt;20%")))</f>
        <v>0%</v>
      </c>
      <c r="P1964" s="13" t="str">
        <f>_xlfn.XLOOKUP(tblTransactions[[#This Row],[tenant_id]],tblTenants[tenant_id],tblTenants[zone],"NOT FOUND")</f>
        <v>Fashion Avenue</v>
      </c>
      <c r="Q1964" s="13" t="str">
        <f>_xlfn.XLOOKUP(tblTransactions[[#This Row],[tenant_id]],tblTenants[tenant_id],tblTenants[category],"NOT FOUND")</f>
        <v>Footwear</v>
      </c>
    </row>
    <row r="1965" spans="1:17">
      <c r="A1965" t="s">
        <v>2009</v>
      </c>
      <c r="B1965" s="2">
        <v>45788</v>
      </c>
      <c r="C1965">
        <v>16</v>
      </c>
      <c r="D1965" t="s">
        <v>70</v>
      </c>
      <c r="E1965" t="s">
        <v>32</v>
      </c>
      <c r="F1965" s="7">
        <v>4550.3999999999996</v>
      </c>
      <c r="G1965" s="10">
        <v>0.2</v>
      </c>
      <c r="H1965" s="7">
        <v>3640.32</v>
      </c>
      <c r="I1965">
        <v>3</v>
      </c>
      <c r="J1965" t="s">
        <v>16</v>
      </c>
      <c r="K1965" s="13">
        <f>ROUND(tblTransactions[[#This Row],[gross_sales_inr]]*(1-tblTransactions[[#This Row],[discount_pct]]),2)</f>
        <v>3640.32</v>
      </c>
      <c r="L1965" t="str">
        <f>IF(ABS(tblTransactions[[#This Row],[net_sales_inr]]-tblTransactions[[#This Row],[Recalc_Net_Sales]])&lt;0.02,"OK","CHECK")</f>
        <v>OK</v>
      </c>
      <c r="M1965" s="14">
        <f>DATE(YEAR(tblTransactions[[#This Row],[date]]),MONTH(tblTransactions[[#This Row],[date]]),1)</f>
        <v>45778</v>
      </c>
      <c r="N1965" t="str">
        <f>IF(WEEKDAY(tblTransactions[[#This Row],[date]],2)&gt;5,"Weekend","Weekday")</f>
        <v>Weekend</v>
      </c>
      <c r="O196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65" s="13" t="str">
        <f>_xlfn.XLOOKUP(tblTransactions[[#This Row],[tenant_id]],tblTenants[tenant_id],tblTenants[zone],"NOT FOUND")</f>
        <v>Food Court</v>
      </c>
      <c r="Q1965" s="13" t="str">
        <f>_xlfn.XLOOKUP(tblTransactions[[#This Row],[tenant_id]],tblTenants[tenant_id],tblTenants[category],"NOT FOUND")</f>
        <v>Quick Service</v>
      </c>
    </row>
    <row r="1966" spans="1:17">
      <c r="A1966" t="s">
        <v>2010</v>
      </c>
      <c r="B1966" s="2">
        <v>45829</v>
      </c>
      <c r="C1966">
        <v>13</v>
      </c>
      <c r="D1966" t="s">
        <v>48</v>
      </c>
      <c r="E1966" t="s">
        <v>32</v>
      </c>
      <c r="F1966" s="7">
        <v>524.94000000000005</v>
      </c>
      <c r="G1966" s="10">
        <v>0.1</v>
      </c>
      <c r="H1966" s="7">
        <v>472.45</v>
      </c>
      <c r="I1966">
        <v>2</v>
      </c>
      <c r="J1966" t="s">
        <v>16</v>
      </c>
      <c r="K1966" s="13">
        <f>ROUND(tblTransactions[[#This Row],[gross_sales_inr]]*(1-tblTransactions[[#This Row],[discount_pct]]),2)</f>
        <v>472.45</v>
      </c>
      <c r="L1966" t="str">
        <f>IF(ABS(tblTransactions[[#This Row],[net_sales_inr]]-tblTransactions[[#This Row],[Recalc_Net_Sales]])&lt;0.02,"OK","CHECK")</f>
        <v>OK</v>
      </c>
      <c r="M1966" s="14">
        <f>DATE(YEAR(tblTransactions[[#This Row],[date]]),MONTH(tblTransactions[[#This Row],[date]]),1)</f>
        <v>45809</v>
      </c>
      <c r="N1966" t="str">
        <f>IF(WEEKDAY(tblTransactions[[#This Row],[date]],2)&gt;5,"Weekend","Weekday")</f>
        <v>Weekend</v>
      </c>
      <c r="O196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66" s="13" t="str">
        <f>_xlfn.XLOOKUP(tblTransactions[[#This Row],[tenant_id]],tblTenants[tenant_id],tblTenants[zone],"NOT FOUND")</f>
        <v>Beauty &amp; Wellness</v>
      </c>
      <c r="Q1966" s="13" t="str">
        <f>_xlfn.XLOOKUP(tblTransactions[[#This Row],[tenant_id]],tblTenants[tenant_id],tblTenants[category],"NOT FOUND")</f>
        <v>Wellness</v>
      </c>
    </row>
    <row r="1967" spans="1:17">
      <c r="A1967" t="s">
        <v>2011</v>
      </c>
      <c r="B1967" s="2">
        <v>45707</v>
      </c>
      <c r="C1967">
        <v>20</v>
      </c>
      <c r="D1967" t="s">
        <v>57</v>
      </c>
      <c r="E1967" t="s">
        <v>32</v>
      </c>
      <c r="F1967" s="7">
        <v>382.34</v>
      </c>
      <c r="G1967" s="10">
        <v>0.05</v>
      </c>
      <c r="H1967" s="7">
        <v>363.22</v>
      </c>
      <c r="I1967">
        <v>2</v>
      </c>
      <c r="J1967" t="s">
        <v>13</v>
      </c>
      <c r="K1967" s="13">
        <f>ROUND(tblTransactions[[#This Row],[gross_sales_inr]]*(1-tblTransactions[[#This Row],[discount_pct]]),2)</f>
        <v>363.22</v>
      </c>
      <c r="L1967" t="str">
        <f>IF(ABS(tblTransactions[[#This Row],[net_sales_inr]]-tblTransactions[[#This Row],[Recalc_Net_Sales]])&lt;0.02,"OK","CHECK")</f>
        <v>OK</v>
      </c>
      <c r="M1967" s="14">
        <f>DATE(YEAR(tblTransactions[[#This Row],[date]]),MONTH(tblTransactions[[#This Row],[date]]),1)</f>
        <v>45689</v>
      </c>
      <c r="N1967" t="str">
        <f>IF(WEEKDAY(tblTransactions[[#This Row],[date]],2)&gt;5,"Weekend","Weekday")</f>
        <v>Weekday</v>
      </c>
      <c r="O196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67" s="13" t="str">
        <f>_xlfn.XLOOKUP(tblTransactions[[#This Row],[tenant_id]],tblTenants[tenant_id],tblTenants[zone],"NOT FOUND")</f>
        <v>Food Court</v>
      </c>
      <c r="Q1967" s="13" t="str">
        <f>_xlfn.XLOOKUP(tblTransactions[[#This Row],[tenant_id]],tblTenants[tenant_id],tblTenants[category],"NOT FOUND")</f>
        <v>Casual Dining</v>
      </c>
    </row>
    <row r="1968" spans="1:17">
      <c r="A1968" t="s">
        <v>2012</v>
      </c>
      <c r="B1968" s="2">
        <v>45807</v>
      </c>
      <c r="C1968">
        <v>15</v>
      </c>
      <c r="D1968" t="s">
        <v>18</v>
      </c>
      <c r="E1968" t="s">
        <v>21</v>
      </c>
      <c r="F1968" s="7">
        <v>1389.81</v>
      </c>
      <c r="G1968" s="10">
        <v>0.05</v>
      </c>
      <c r="H1968" s="7">
        <v>1320.32</v>
      </c>
      <c r="I1968">
        <v>1</v>
      </c>
      <c r="J1968" t="s">
        <v>16</v>
      </c>
      <c r="K1968" s="13">
        <f>ROUND(tblTransactions[[#This Row],[gross_sales_inr]]*(1-tblTransactions[[#This Row],[discount_pct]]),2)</f>
        <v>1320.32</v>
      </c>
      <c r="L1968" t="str">
        <f>IF(ABS(tblTransactions[[#This Row],[net_sales_inr]]-tblTransactions[[#This Row],[Recalc_Net_Sales]])&lt;0.02,"OK","CHECK")</f>
        <v>OK</v>
      </c>
      <c r="M1968" s="14">
        <f>DATE(YEAR(tblTransactions[[#This Row],[date]]),MONTH(tblTransactions[[#This Row],[date]]),1)</f>
        <v>45778</v>
      </c>
      <c r="N1968" t="str">
        <f>IF(WEEKDAY(tblTransactions[[#This Row],[date]],2)&gt;5,"Weekend","Weekday")</f>
        <v>Weekday</v>
      </c>
      <c r="O196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68" s="13" t="str">
        <f>_xlfn.XLOOKUP(tblTransactions[[#This Row],[tenant_id]],tblTenants[tenant_id],tblTenants[zone],"NOT FOUND")</f>
        <v>Beauty &amp; Wellness</v>
      </c>
      <c r="Q1968" s="13" t="str">
        <f>_xlfn.XLOOKUP(tblTransactions[[#This Row],[tenant_id]],tblTenants[tenant_id],tblTenants[category],"NOT FOUND")</f>
        <v>Beauty</v>
      </c>
    </row>
    <row r="1969" spans="1:17">
      <c r="A1969" t="s">
        <v>2013</v>
      </c>
      <c r="B1969" s="2">
        <v>45830</v>
      </c>
      <c r="C1969">
        <v>14</v>
      </c>
      <c r="D1969" t="s">
        <v>25</v>
      </c>
      <c r="E1969" t="s">
        <v>21</v>
      </c>
      <c r="F1969" s="7">
        <v>1054.81</v>
      </c>
      <c r="G1969" s="10">
        <v>0.2</v>
      </c>
      <c r="H1969" s="7">
        <v>843.85</v>
      </c>
      <c r="I1969">
        <v>1</v>
      </c>
      <c r="J1969" t="s">
        <v>13</v>
      </c>
      <c r="K1969" s="13">
        <f>ROUND(tblTransactions[[#This Row],[gross_sales_inr]]*(1-tblTransactions[[#This Row],[discount_pct]]),2)</f>
        <v>843.85</v>
      </c>
      <c r="L1969" t="str">
        <f>IF(ABS(tblTransactions[[#This Row],[net_sales_inr]]-tblTransactions[[#This Row],[Recalc_Net_Sales]])&lt;0.02,"OK","CHECK")</f>
        <v>OK</v>
      </c>
      <c r="M1969" s="14">
        <f>DATE(YEAR(tblTransactions[[#This Row],[date]]),MONTH(tblTransactions[[#This Row],[date]]),1)</f>
        <v>45809</v>
      </c>
      <c r="N1969" t="str">
        <f>IF(WEEKDAY(tblTransactions[[#This Row],[date]],2)&gt;5,"Weekend","Weekday")</f>
        <v>Weekend</v>
      </c>
      <c r="O196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69" s="13" t="str">
        <f>_xlfn.XLOOKUP(tblTransactions[[#This Row],[tenant_id]],tblTenants[tenant_id],tblTenants[zone],"NOT FOUND")</f>
        <v>Beauty &amp; Wellness</v>
      </c>
      <c r="Q1969" s="13" t="str">
        <f>_xlfn.XLOOKUP(tblTransactions[[#This Row],[tenant_id]],tblTenants[tenant_id],tblTenants[category],"NOT FOUND")</f>
        <v>Beauty</v>
      </c>
    </row>
    <row r="1970" spans="1:17">
      <c r="A1970" t="s">
        <v>2014</v>
      </c>
      <c r="B1970" s="2">
        <v>45760</v>
      </c>
      <c r="C1970">
        <v>21</v>
      </c>
      <c r="D1970" t="s">
        <v>41</v>
      </c>
      <c r="E1970" t="s">
        <v>32</v>
      </c>
      <c r="F1970" s="7">
        <v>1718.44</v>
      </c>
      <c r="G1970" s="10">
        <v>0</v>
      </c>
      <c r="H1970" s="7">
        <v>1718.44</v>
      </c>
      <c r="I1970">
        <v>1</v>
      </c>
      <c r="J1970" t="s">
        <v>16</v>
      </c>
      <c r="K1970" s="13">
        <f>ROUND(tblTransactions[[#This Row],[gross_sales_inr]]*(1-tblTransactions[[#This Row],[discount_pct]]),2)</f>
        <v>1718.44</v>
      </c>
      <c r="L1970" t="str">
        <f>IF(ABS(tblTransactions[[#This Row],[net_sales_inr]]-tblTransactions[[#This Row],[Recalc_Net_Sales]])&lt;0.02,"OK","CHECK")</f>
        <v>OK</v>
      </c>
      <c r="M1970" s="14">
        <f>DATE(YEAR(tblTransactions[[#This Row],[date]]),MONTH(tblTransactions[[#This Row],[date]]),1)</f>
        <v>45748</v>
      </c>
      <c r="N1970" t="str">
        <f>IF(WEEKDAY(tblTransactions[[#This Row],[date]],2)&gt;5,"Weekend","Weekday")</f>
        <v>Weekend</v>
      </c>
      <c r="O1970" s="13" t="str">
        <f>IF(tblTransactions[[#This Row],[discount_pct]]=0,"0%",IF(tblTransactions[[#This Row],[discount_pct]]&lt;=10%,"1–
10%",IF(tblTransactions[[#This Row],[discount_pct]]&lt;=20%,"11–20%","&gt;20%")))</f>
        <v>0%</v>
      </c>
      <c r="P1970" s="13" t="str">
        <f>_xlfn.XLOOKUP(tblTransactions[[#This Row],[tenant_id]],tblTenants[tenant_id],tblTenants[zone],"NOT FOUND")</f>
        <v>Fashion Avenue</v>
      </c>
      <c r="Q1970" s="13" t="str">
        <f>_xlfn.XLOOKUP(tblTransactions[[#This Row],[tenant_id]],tblTenants[tenant_id],tblTenants[category],"NOT FOUND")</f>
        <v>Clothing</v>
      </c>
    </row>
    <row r="1971" spans="1:17">
      <c r="A1971" t="s">
        <v>2015</v>
      </c>
      <c r="B1971" s="2">
        <v>45754</v>
      </c>
      <c r="C1971">
        <v>20</v>
      </c>
      <c r="D1971" t="s">
        <v>72</v>
      </c>
      <c r="E1971" t="s">
        <v>12</v>
      </c>
      <c r="F1971" s="7">
        <v>1027.9100000000001</v>
      </c>
      <c r="G1971" s="10">
        <v>0</v>
      </c>
      <c r="H1971" s="7">
        <v>1027.9100000000001</v>
      </c>
      <c r="I1971">
        <v>1</v>
      </c>
      <c r="J1971" t="s">
        <v>13</v>
      </c>
      <c r="K1971" s="13">
        <f>ROUND(tblTransactions[[#This Row],[gross_sales_inr]]*(1-tblTransactions[[#This Row],[discount_pct]]),2)</f>
        <v>1027.9100000000001</v>
      </c>
      <c r="L1971" t="str">
        <f>IF(ABS(tblTransactions[[#This Row],[net_sales_inr]]-tblTransactions[[#This Row],[Recalc_Net_Sales]])&lt;0.02,"OK","CHECK")</f>
        <v>OK</v>
      </c>
      <c r="M1971" s="14">
        <f>DATE(YEAR(tblTransactions[[#This Row],[date]]),MONTH(tblTransactions[[#This Row],[date]]),1)</f>
        <v>45748</v>
      </c>
      <c r="N1971" t="str">
        <f>IF(WEEKDAY(tblTransactions[[#This Row],[date]],2)&gt;5,"Weekend","Weekday")</f>
        <v>Weekday</v>
      </c>
      <c r="O1971" s="13" t="str">
        <f>IF(tblTransactions[[#This Row],[discount_pct]]=0,"0%",IF(tblTransactions[[#This Row],[discount_pct]]&lt;=10%,"1–
10%",IF(tblTransactions[[#This Row],[discount_pct]]&lt;=20%,"11–20%","&gt;20%")))</f>
        <v>0%</v>
      </c>
      <c r="P1971" s="13" t="str">
        <f>_xlfn.XLOOKUP(tblTransactions[[#This Row],[tenant_id]],tblTenants[tenant_id],tblTenants[zone],"NOT FOUND")</f>
        <v>Entertainment</v>
      </c>
      <c r="Q1971" s="13" t="str">
        <f>_xlfn.XLOOKUP(tblTransactions[[#This Row],[tenant_id]],tblTenants[tenant_id],tblTenants[category],"NOT FOUND")</f>
        <v>Arcade</v>
      </c>
    </row>
    <row r="1972" spans="1:17">
      <c r="A1972" t="s">
        <v>2016</v>
      </c>
      <c r="B1972" s="2">
        <v>45739</v>
      </c>
      <c r="C1972">
        <v>22</v>
      </c>
      <c r="D1972" t="s">
        <v>34</v>
      </c>
      <c r="E1972" t="s">
        <v>32</v>
      </c>
      <c r="F1972" s="7">
        <v>585.22</v>
      </c>
      <c r="G1972" s="10">
        <v>0.15</v>
      </c>
      <c r="H1972" s="7">
        <v>497.44</v>
      </c>
      <c r="I1972">
        <v>1</v>
      </c>
      <c r="J1972" t="s">
        <v>13</v>
      </c>
      <c r="K1972" s="13">
        <f>ROUND(tblTransactions[[#This Row],[gross_sales_inr]]*(1-tblTransactions[[#This Row],[discount_pct]]),2)</f>
        <v>497.44</v>
      </c>
      <c r="L1972" t="str">
        <f>IF(ABS(tblTransactions[[#This Row],[net_sales_inr]]-tblTransactions[[#This Row],[Recalc_Net_Sales]])&lt;0.02,"OK","CHECK")</f>
        <v>OK</v>
      </c>
      <c r="M1972" s="14">
        <f>DATE(YEAR(tblTransactions[[#This Row],[date]]),MONTH(tblTransactions[[#This Row],[date]]),1)</f>
        <v>45717</v>
      </c>
      <c r="N1972" t="str">
        <f>IF(WEEKDAY(tblTransactions[[#This Row],[date]],2)&gt;5,"Weekend","Weekday")</f>
        <v>Weekend</v>
      </c>
      <c r="O197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72" s="13" t="str">
        <f>_xlfn.XLOOKUP(tblTransactions[[#This Row],[tenant_id]],tblTenants[tenant_id],tblTenants[zone],"NOT FOUND")</f>
        <v>Home &amp; Living</v>
      </c>
      <c r="Q1972" s="13" t="str">
        <f>_xlfn.XLOOKUP(tblTransactions[[#This Row],[tenant_id]],tblTenants[tenant_id],tblTenants[category],"NOT FOUND")</f>
        <v>Electronics</v>
      </c>
    </row>
    <row r="1973" spans="1:17">
      <c r="A1973" t="s">
        <v>2017</v>
      </c>
      <c r="B1973" s="2">
        <v>45673</v>
      </c>
      <c r="C1973">
        <v>10</v>
      </c>
      <c r="D1973" t="s">
        <v>87</v>
      </c>
      <c r="E1973" t="s">
        <v>32</v>
      </c>
      <c r="F1973" s="7">
        <v>606.41999999999996</v>
      </c>
      <c r="G1973" s="10">
        <v>0.1</v>
      </c>
      <c r="H1973" s="7">
        <v>545.78</v>
      </c>
      <c r="I1973">
        <v>4</v>
      </c>
      <c r="J1973" t="s">
        <v>16</v>
      </c>
      <c r="K1973" s="13">
        <f>ROUND(tblTransactions[[#This Row],[gross_sales_inr]]*(1-tblTransactions[[#This Row],[discount_pct]]),2)</f>
        <v>545.78</v>
      </c>
      <c r="L1973" t="str">
        <f>IF(ABS(tblTransactions[[#This Row],[net_sales_inr]]-tblTransactions[[#This Row],[Recalc_Net_Sales]])&lt;0.02,"OK","CHECK")</f>
        <v>OK</v>
      </c>
      <c r="M1973" s="14">
        <f>DATE(YEAR(tblTransactions[[#This Row],[date]]),MONTH(tblTransactions[[#This Row],[date]]),1)</f>
        <v>45658</v>
      </c>
      <c r="N1973" t="str">
        <f>IF(WEEKDAY(tblTransactions[[#This Row],[date]],2)&gt;5,"Weekend","Weekday")</f>
        <v>Weekday</v>
      </c>
      <c r="O197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73" s="13" t="str">
        <f>_xlfn.XLOOKUP(tblTransactions[[#This Row],[tenant_id]],tblTenants[tenant_id],tblTenants[zone],"NOT FOUND")</f>
        <v>Fashion Avenue</v>
      </c>
      <c r="Q1973" s="13" t="str">
        <f>_xlfn.XLOOKUP(tblTransactions[[#This Row],[tenant_id]],tblTenants[tenant_id],tblTenants[category],"NOT FOUND")</f>
        <v>Footwear</v>
      </c>
    </row>
    <row r="1974" spans="1:17">
      <c r="A1974" t="s">
        <v>2018</v>
      </c>
      <c r="B1974" s="2">
        <v>45674</v>
      </c>
      <c r="C1974">
        <v>10</v>
      </c>
      <c r="D1974" t="s">
        <v>104</v>
      </c>
      <c r="E1974" t="s">
        <v>32</v>
      </c>
      <c r="F1974" s="7">
        <v>1599.54</v>
      </c>
      <c r="G1974" s="10">
        <v>0.2</v>
      </c>
      <c r="H1974" s="7">
        <v>1279.6300000000001</v>
      </c>
      <c r="I1974">
        <v>3</v>
      </c>
      <c r="J1974" t="s">
        <v>13</v>
      </c>
      <c r="K1974" s="13">
        <f>ROUND(tblTransactions[[#This Row],[gross_sales_inr]]*(1-tblTransactions[[#This Row],[discount_pct]]),2)</f>
        <v>1279.6300000000001</v>
      </c>
      <c r="L1974" t="str">
        <f>IF(ABS(tblTransactions[[#This Row],[net_sales_inr]]-tblTransactions[[#This Row],[Recalc_Net_Sales]])&lt;0.02,"OK","CHECK")</f>
        <v>OK</v>
      </c>
      <c r="M1974" s="14">
        <f>DATE(YEAR(tblTransactions[[#This Row],[date]]),MONTH(tblTransactions[[#This Row],[date]]),1)</f>
        <v>45658</v>
      </c>
      <c r="N1974" t="str">
        <f>IF(WEEKDAY(tblTransactions[[#This Row],[date]],2)&gt;5,"Weekend","Weekday")</f>
        <v>Weekday</v>
      </c>
      <c r="O197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74" s="13" t="str">
        <f>_xlfn.XLOOKUP(tblTransactions[[#This Row],[tenant_id]],tblTenants[tenant_id],tblTenants[zone],"NOT FOUND")</f>
        <v>Entertainment</v>
      </c>
      <c r="Q1974" s="13" t="str">
        <f>_xlfn.XLOOKUP(tblTransactions[[#This Row],[tenant_id]],tblTenants[tenant_id],tblTenants[category],"NOT FOUND")</f>
        <v>Family Entertainment</v>
      </c>
    </row>
    <row r="1975" spans="1:17">
      <c r="A1975" t="s">
        <v>2019</v>
      </c>
      <c r="B1975" s="2">
        <v>45747</v>
      </c>
      <c r="C1975">
        <v>21</v>
      </c>
      <c r="D1975" t="s">
        <v>29</v>
      </c>
      <c r="E1975" t="s">
        <v>32</v>
      </c>
      <c r="F1975" s="7">
        <v>1919.69</v>
      </c>
      <c r="G1975" s="10">
        <v>0</v>
      </c>
      <c r="H1975" s="7">
        <v>1919.69</v>
      </c>
      <c r="I1975">
        <v>2</v>
      </c>
      <c r="J1975" t="s">
        <v>16</v>
      </c>
      <c r="K1975" s="13">
        <f>ROUND(tblTransactions[[#This Row],[gross_sales_inr]]*(1-tblTransactions[[#This Row],[discount_pct]]),2)</f>
        <v>1919.69</v>
      </c>
      <c r="L1975" t="str">
        <f>IF(ABS(tblTransactions[[#This Row],[net_sales_inr]]-tblTransactions[[#This Row],[Recalc_Net_Sales]])&lt;0.02,"OK","CHECK")</f>
        <v>OK</v>
      </c>
      <c r="M1975" s="14">
        <f>DATE(YEAR(tblTransactions[[#This Row],[date]]),MONTH(tblTransactions[[#This Row],[date]]),1)</f>
        <v>45717</v>
      </c>
      <c r="N1975" t="str">
        <f>IF(WEEKDAY(tblTransactions[[#This Row],[date]],2)&gt;5,"Weekend","Weekday")</f>
        <v>Weekday</v>
      </c>
      <c r="O1975" s="13" t="str">
        <f>IF(tblTransactions[[#This Row],[discount_pct]]=0,"0%",IF(tblTransactions[[#This Row],[discount_pct]]&lt;=10%,"1–
10%",IF(tblTransactions[[#This Row],[discount_pct]]&lt;=20%,"11–20%","&gt;20%")))</f>
        <v>0%</v>
      </c>
      <c r="P1975" s="13" t="str">
        <f>_xlfn.XLOOKUP(tblTransactions[[#This Row],[tenant_id]],tblTenants[tenant_id],tblTenants[zone],"NOT FOUND")</f>
        <v>Entertainment</v>
      </c>
      <c r="Q1975" s="13" t="str">
        <f>_xlfn.XLOOKUP(tblTransactions[[#This Row],[tenant_id]],tblTenants[tenant_id],tblTenants[category],"NOT FOUND")</f>
        <v>Cinema</v>
      </c>
    </row>
    <row r="1976" spans="1:17">
      <c r="A1976" t="s">
        <v>2020</v>
      </c>
      <c r="B1976" s="2">
        <v>45688</v>
      </c>
      <c r="C1976">
        <v>10</v>
      </c>
      <c r="D1976" t="s">
        <v>18</v>
      </c>
      <c r="E1976" t="s">
        <v>12</v>
      </c>
      <c r="F1976" s="7">
        <v>244.94</v>
      </c>
      <c r="G1976" s="10">
        <v>0</v>
      </c>
      <c r="H1976" s="7">
        <v>244.94</v>
      </c>
      <c r="I1976">
        <v>1</v>
      </c>
      <c r="J1976" t="s">
        <v>13</v>
      </c>
      <c r="K1976" s="13">
        <f>ROUND(tblTransactions[[#This Row],[gross_sales_inr]]*(1-tblTransactions[[#This Row],[discount_pct]]),2)</f>
        <v>244.94</v>
      </c>
      <c r="L1976" t="str">
        <f>IF(ABS(tblTransactions[[#This Row],[net_sales_inr]]-tblTransactions[[#This Row],[Recalc_Net_Sales]])&lt;0.02,"OK","CHECK")</f>
        <v>OK</v>
      </c>
      <c r="M1976" s="14">
        <f>DATE(YEAR(tblTransactions[[#This Row],[date]]),MONTH(tblTransactions[[#This Row],[date]]),1)</f>
        <v>45658</v>
      </c>
      <c r="N1976" t="str">
        <f>IF(WEEKDAY(tblTransactions[[#This Row],[date]],2)&gt;5,"Weekend","Weekday")</f>
        <v>Weekday</v>
      </c>
      <c r="O1976" s="13" t="str">
        <f>IF(tblTransactions[[#This Row],[discount_pct]]=0,"0%",IF(tblTransactions[[#This Row],[discount_pct]]&lt;=10%,"1–
10%",IF(tblTransactions[[#This Row],[discount_pct]]&lt;=20%,"11–20%","&gt;20%")))</f>
        <v>0%</v>
      </c>
      <c r="P1976" s="13" t="str">
        <f>_xlfn.XLOOKUP(tblTransactions[[#This Row],[tenant_id]],tblTenants[tenant_id],tblTenants[zone],"NOT FOUND")</f>
        <v>Beauty &amp; Wellness</v>
      </c>
      <c r="Q1976" s="13" t="str">
        <f>_xlfn.XLOOKUP(tblTransactions[[#This Row],[tenant_id]],tblTenants[tenant_id],tblTenants[category],"NOT FOUND")</f>
        <v>Beauty</v>
      </c>
    </row>
    <row r="1977" spans="1:17">
      <c r="A1977" t="s">
        <v>2021</v>
      </c>
      <c r="B1977" s="2">
        <v>45779</v>
      </c>
      <c r="C1977">
        <v>19</v>
      </c>
      <c r="D1977" t="s">
        <v>27</v>
      </c>
      <c r="E1977" t="s">
        <v>32</v>
      </c>
      <c r="F1977" s="7">
        <v>873.37</v>
      </c>
      <c r="G1977" s="10">
        <v>0</v>
      </c>
      <c r="H1977" s="7">
        <v>873.37</v>
      </c>
      <c r="I1977">
        <v>1</v>
      </c>
      <c r="J1977" t="s">
        <v>13</v>
      </c>
      <c r="K1977" s="13">
        <f>ROUND(tblTransactions[[#This Row],[gross_sales_inr]]*(1-tblTransactions[[#This Row],[discount_pct]]),2)</f>
        <v>873.37</v>
      </c>
      <c r="L1977" t="str">
        <f>IF(ABS(tblTransactions[[#This Row],[net_sales_inr]]-tblTransactions[[#This Row],[Recalc_Net_Sales]])&lt;0.02,"OK","CHECK")</f>
        <v>OK</v>
      </c>
      <c r="M1977" s="14">
        <f>DATE(YEAR(tblTransactions[[#This Row],[date]]),MONTH(tblTransactions[[#This Row],[date]]),1)</f>
        <v>45778</v>
      </c>
      <c r="N1977" t="str">
        <f>IF(WEEKDAY(tblTransactions[[#This Row],[date]],2)&gt;5,"Weekend","Weekday")</f>
        <v>Weekday</v>
      </c>
      <c r="O1977" s="13" t="str">
        <f>IF(tblTransactions[[#This Row],[discount_pct]]=0,"0%",IF(tblTransactions[[#This Row],[discount_pct]]&lt;=10%,"1–
10%",IF(tblTransactions[[#This Row],[discount_pct]]&lt;=20%,"11–20%","&gt;20%")))</f>
        <v>0%</v>
      </c>
      <c r="P1977" s="13" t="str">
        <f>_xlfn.XLOOKUP(tblTransactions[[#This Row],[tenant_id]],tblTenants[tenant_id],tblTenants[zone],"NOT FOUND")</f>
        <v>Beauty &amp; Wellness</v>
      </c>
      <c r="Q1977" s="13" t="str">
        <f>_xlfn.XLOOKUP(tblTransactions[[#This Row],[tenant_id]],tblTenants[tenant_id],tblTenants[category],"NOT FOUND")</f>
        <v>Wellness</v>
      </c>
    </row>
    <row r="1978" spans="1:17">
      <c r="A1978" t="s">
        <v>2022</v>
      </c>
      <c r="B1978" s="2">
        <v>45744</v>
      </c>
      <c r="C1978">
        <v>12</v>
      </c>
      <c r="D1978" t="s">
        <v>36</v>
      </c>
      <c r="E1978" t="s">
        <v>12</v>
      </c>
      <c r="F1978" s="7">
        <v>3061.66</v>
      </c>
      <c r="G1978" s="10">
        <v>0</v>
      </c>
      <c r="H1978" s="7">
        <v>3061.66</v>
      </c>
      <c r="I1978">
        <v>3</v>
      </c>
      <c r="J1978" t="s">
        <v>13</v>
      </c>
      <c r="K1978" s="13">
        <f>ROUND(tblTransactions[[#This Row],[gross_sales_inr]]*(1-tblTransactions[[#This Row],[discount_pct]]),2)</f>
        <v>3061.66</v>
      </c>
      <c r="L1978" t="str">
        <f>IF(ABS(tblTransactions[[#This Row],[net_sales_inr]]-tblTransactions[[#This Row],[Recalc_Net_Sales]])&lt;0.02,"OK","CHECK")</f>
        <v>OK</v>
      </c>
      <c r="M1978" s="14">
        <f>DATE(YEAR(tblTransactions[[#This Row],[date]]),MONTH(tblTransactions[[#This Row],[date]]),1)</f>
        <v>45717</v>
      </c>
      <c r="N1978" t="str">
        <f>IF(WEEKDAY(tblTransactions[[#This Row],[date]],2)&gt;5,"Weekend","Weekday")</f>
        <v>Weekday</v>
      </c>
      <c r="O1978" s="13" t="str">
        <f>IF(tblTransactions[[#This Row],[discount_pct]]=0,"0%",IF(tblTransactions[[#This Row],[discount_pct]]&lt;=10%,"1–
10%",IF(tblTransactions[[#This Row],[discount_pct]]&lt;=20%,"11–20%","&gt;20%")))</f>
        <v>0%</v>
      </c>
      <c r="P1978" s="13" t="str">
        <f>_xlfn.XLOOKUP(tblTransactions[[#This Row],[tenant_id]],tblTenants[tenant_id],tblTenants[zone],"NOT FOUND")</f>
        <v>Home &amp; Living</v>
      </c>
      <c r="Q1978" s="13" t="str">
        <f>_xlfn.XLOOKUP(tblTransactions[[#This Row],[tenant_id]],tblTenants[tenant_id],tblTenants[category],"NOT FOUND")</f>
        <v>Electronics</v>
      </c>
    </row>
    <row r="1979" spans="1:17">
      <c r="A1979" t="s">
        <v>2023</v>
      </c>
      <c r="B1979" s="2">
        <v>45675</v>
      </c>
      <c r="C1979">
        <v>16</v>
      </c>
      <c r="D1979" t="s">
        <v>31</v>
      </c>
      <c r="E1979" t="s">
        <v>32</v>
      </c>
      <c r="F1979" s="7">
        <v>382.73</v>
      </c>
      <c r="G1979" s="10">
        <v>0</v>
      </c>
      <c r="H1979" s="7">
        <v>382.73</v>
      </c>
      <c r="I1979">
        <v>2</v>
      </c>
      <c r="J1979" t="s">
        <v>13</v>
      </c>
      <c r="K1979" s="13">
        <f>ROUND(tblTransactions[[#This Row],[gross_sales_inr]]*(1-tblTransactions[[#This Row],[discount_pct]]),2)</f>
        <v>382.73</v>
      </c>
      <c r="L1979" t="str">
        <f>IF(ABS(tblTransactions[[#This Row],[net_sales_inr]]-tblTransactions[[#This Row],[Recalc_Net_Sales]])&lt;0.02,"OK","CHECK")</f>
        <v>OK</v>
      </c>
      <c r="M1979" s="14">
        <f>DATE(YEAR(tblTransactions[[#This Row],[date]]),MONTH(tblTransactions[[#This Row],[date]]),1)</f>
        <v>45658</v>
      </c>
      <c r="N1979" t="str">
        <f>IF(WEEKDAY(tblTransactions[[#This Row],[date]],2)&gt;5,"Weekend","Weekday")</f>
        <v>Weekend</v>
      </c>
      <c r="O1979" s="13" t="str">
        <f>IF(tblTransactions[[#This Row],[discount_pct]]=0,"0%",IF(tblTransactions[[#This Row],[discount_pct]]&lt;=10%,"1–
10%",IF(tblTransactions[[#This Row],[discount_pct]]&lt;=20%,"11–20%","&gt;20%")))</f>
        <v>0%</v>
      </c>
      <c r="P1979" s="13" t="str">
        <f>_xlfn.XLOOKUP(tblTransactions[[#This Row],[tenant_id]],tblTenants[tenant_id],tblTenants[zone],"NOT FOUND")</f>
        <v>Entertainment</v>
      </c>
      <c r="Q1979" s="13" t="str">
        <f>_xlfn.XLOOKUP(tblTransactions[[#This Row],[tenant_id]],tblTenants[tenant_id],tblTenants[category],"NOT FOUND")</f>
        <v>Arcade</v>
      </c>
    </row>
    <row r="1980" spans="1:17">
      <c r="A1980" t="s">
        <v>2024</v>
      </c>
      <c r="B1980" s="2">
        <v>45701</v>
      </c>
      <c r="C1980">
        <v>11</v>
      </c>
      <c r="D1980" t="s">
        <v>122</v>
      </c>
      <c r="E1980" t="s">
        <v>12</v>
      </c>
      <c r="F1980" s="7">
        <v>1055.18</v>
      </c>
      <c r="G1980" s="10">
        <v>0.15</v>
      </c>
      <c r="H1980" s="7">
        <v>896.9</v>
      </c>
      <c r="I1980">
        <v>5</v>
      </c>
      <c r="J1980" t="s">
        <v>13</v>
      </c>
      <c r="K1980" s="13">
        <f>ROUND(tblTransactions[[#This Row],[gross_sales_inr]]*(1-tblTransactions[[#This Row],[discount_pct]]),2)</f>
        <v>896.9</v>
      </c>
      <c r="L1980" t="str">
        <f>IF(ABS(tblTransactions[[#This Row],[net_sales_inr]]-tblTransactions[[#This Row],[Recalc_Net_Sales]])&lt;0.02,"OK","CHECK")</f>
        <v>OK</v>
      </c>
      <c r="M1980" s="14">
        <f>DATE(YEAR(tblTransactions[[#This Row],[date]]),MONTH(tblTransactions[[#This Row],[date]]),1)</f>
        <v>45689</v>
      </c>
      <c r="N1980" t="str">
        <f>IF(WEEKDAY(tblTransactions[[#This Row],[date]],2)&gt;5,"Weekend","Weekday")</f>
        <v>Weekday</v>
      </c>
      <c r="O198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80" s="13" t="str">
        <f>_xlfn.XLOOKUP(tblTransactions[[#This Row],[tenant_id]],tblTenants[tenant_id],tblTenants[zone],"NOT FOUND")</f>
        <v>Beauty &amp; Wellness</v>
      </c>
      <c r="Q1980" s="13" t="str">
        <f>_xlfn.XLOOKUP(tblTransactions[[#This Row],[tenant_id]],tblTenants[tenant_id],tblTenants[category],"NOT FOUND")</f>
        <v>Wellness</v>
      </c>
    </row>
    <row r="1981" spans="1:17">
      <c r="A1981" t="s">
        <v>2025</v>
      </c>
      <c r="B1981" s="2">
        <v>45675</v>
      </c>
      <c r="C1981">
        <v>17</v>
      </c>
      <c r="D1981" t="s">
        <v>45</v>
      </c>
      <c r="E1981" t="s">
        <v>21</v>
      </c>
      <c r="F1981" s="7">
        <v>1974.8</v>
      </c>
      <c r="G1981" s="10">
        <v>0</v>
      </c>
      <c r="H1981" s="7">
        <v>1974.8</v>
      </c>
      <c r="I1981">
        <v>2</v>
      </c>
      <c r="J1981" t="s">
        <v>13</v>
      </c>
      <c r="K1981" s="13">
        <f>ROUND(tblTransactions[[#This Row],[gross_sales_inr]]*(1-tblTransactions[[#This Row],[discount_pct]]),2)</f>
        <v>1974.8</v>
      </c>
      <c r="L1981" t="str">
        <f>IF(ABS(tblTransactions[[#This Row],[net_sales_inr]]-tblTransactions[[#This Row],[Recalc_Net_Sales]])&lt;0.02,"OK","CHECK")</f>
        <v>OK</v>
      </c>
      <c r="M1981" s="14">
        <f>DATE(YEAR(tblTransactions[[#This Row],[date]]),MONTH(tblTransactions[[#This Row],[date]]),1)</f>
        <v>45658</v>
      </c>
      <c r="N1981" t="str">
        <f>IF(WEEKDAY(tblTransactions[[#This Row],[date]],2)&gt;5,"Weekend","Weekday")</f>
        <v>Weekend</v>
      </c>
      <c r="O1981" s="13" t="str">
        <f>IF(tblTransactions[[#This Row],[discount_pct]]=0,"0%",IF(tblTransactions[[#This Row],[discount_pct]]&lt;=10%,"1–
10%",IF(tblTransactions[[#This Row],[discount_pct]]&lt;=20%,"11–20%","&gt;20%")))</f>
        <v>0%</v>
      </c>
      <c r="P1981" s="13" t="str">
        <f>_xlfn.XLOOKUP(tblTransactions[[#This Row],[tenant_id]],tblTenants[tenant_id],tblTenants[zone],"NOT FOUND")</f>
        <v>Home &amp; Living</v>
      </c>
      <c r="Q1981" s="13" t="str">
        <f>_xlfn.XLOOKUP(tblTransactions[[#This Row],[tenant_id]],tblTenants[tenant_id],tblTenants[category],"NOT FOUND")</f>
        <v>Home Decor</v>
      </c>
    </row>
    <row r="1982" spans="1:17">
      <c r="A1982" t="s">
        <v>2026</v>
      </c>
      <c r="B1982" s="2">
        <v>45706</v>
      </c>
      <c r="C1982">
        <v>15</v>
      </c>
      <c r="D1982" t="s">
        <v>27</v>
      </c>
      <c r="E1982" t="s">
        <v>12</v>
      </c>
      <c r="F1982" s="7">
        <v>642.03</v>
      </c>
      <c r="G1982" s="10">
        <v>0</v>
      </c>
      <c r="H1982" s="7">
        <v>642.03</v>
      </c>
      <c r="I1982">
        <v>2</v>
      </c>
      <c r="J1982" t="s">
        <v>13</v>
      </c>
      <c r="K1982" s="13">
        <f>ROUND(tblTransactions[[#This Row],[gross_sales_inr]]*(1-tblTransactions[[#This Row],[discount_pct]]),2)</f>
        <v>642.03</v>
      </c>
      <c r="L1982" t="str">
        <f>IF(ABS(tblTransactions[[#This Row],[net_sales_inr]]-tblTransactions[[#This Row],[Recalc_Net_Sales]])&lt;0.02,"OK","CHECK")</f>
        <v>OK</v>
      </c>
      <c r="M1982" s="14">
        <f>DATE(YEAR(tblTransactions[[#This Row],[date]]),MONTH(tblTransactions[[#This Row],[date]]),1)</f>
        <v>45689</v>
      </c>
      <c r="N1982" t="str">
        <f>IF(WEEKDAY(tblTransactions[[#This Row],[date]],2)&gt;5,"Weekend","Weekday")</f>
        <v>Weekday</v>
      </c>
      <c r="O1982" s="13" t="str">
        <f>IF(tblTransactions[[#This Row],[discount_pct]]=0,"0%",IF(tblTransactions[[#This Row],[discount_pct]]&lt;=10%,"1–
10%",IF(tblTransactions[[#This Row],[discount_pct]]&lt;=20%,"11–20%","&gt;20%")))</f>
        <v>0%</v>
      </c>
      <c r="P1982" s="13" t="str">
        <f>_xlfn.XLOOKUP(tblTransactions[[#This Row],[tenant_id]],tblTenants[tenant_id],tblTenants[zone],"NOT FOUND")</f>
        <v>Beauty &amp; Wellness</v>
      </c>
      <c r="Q1982" s="13" t="str">
        <f>_xlfn.XLOOKUP(tblTransactions[[#This Row],[tenant_id]],tblTenants[tenant_id],tblTenants[category],"NOT FOUND")</f>
        <v>Wellness</v>
      </c>
    </row>
    <row r="1983" spans="1:17">
      <c r="A1983" t="s">
        <v>2027</v>
      </c>
      <c r="B1983" s="2">
        <v>45669</v>
      </c>
      <c r="C1983">
        <v>10</v>
      </c>
      <c r="D1983" t="s">
        <v>25</v>
      </c>
      <c r="E1983" t="s">
        <v>12</v>
      </c>
      <c r="F1983" s="7">
        <v>769.46</v>
      </c>
      <c r="G1983" s="10">
        <v>0</v>
      </c>
      <c r="H1983" s="7">
        <v>769.46</v>
      </c>
      <c r="I1983">
        <v>1</v>
      </c>
      <c r="J1983" t="s">
        <v>16</v>
      </c>
      <c r="K1983" s="13">
        <f>ROUND(tblTransactions[[#This Row],[gross_sales_inr]]*(1-tblTransactions[[#This Row],[discount_pct]]),2)</f>
        <v>769.46</v>
      </c>
      <c r="L1983" t="str">
        <f>IF(ABS(tblTransactions[[#This Row],[net_sales_inr]]-tblTransactions[[#This Row],[Recalc_Net_Sales]])&lt;0.02,"OK","CHECK")</f>
        <v>OK</v>
      </c>
      <c r="M1983" s="14">
        <f>DATE(YEAR(tblTransactions[[#This Row],[date]]),MONTH(tblTransactions[[#This Row],[date]]),1)</f>
        <v>45658</v>
      </c>
      <c r="N1983" t="str">
        <f>IF(WEEKDAY(tblTransactions[[#This Row],[date]],2)&gt;5,"Weekend","Weekday")</f>
        <v>Weekend</v>
      </c>
      <c r="O1983" s="13" t="str">
        <f>IF(tblTransactions[[#This Row],[discount_pct]]=0,"0%",IF(tblTransactions[[#This Row],[discount_pct]]&lt;=10%,"1–
10%",IF(tblTransactions[[#This Row],[discount_pct]]&lt;=20%,"11–20%","&gt;20%")))</f>
        <v>0%</v>
      </c>
      <c r="P1983" s="13" t="str">
        <f>_xlfn.XLOOKUP(tblTransactions[[#This Row],[tenant_id]],tblTenants[tenant_id],tblTenants[zone],"NOT FOUND")</f>
        <v>Beauty &amp; Wellness</v>
      </c>
      <c r="Q1983" s="13" t="str">
        <f>_xlfn.XLOOKUP(tblTransactions[[#This Row],[tenant_id]],tblTenants[tenant_id],tblTenants[category],"NOT FOUND")</f>
        <v>Beauty</v>
      </c>
    </row>
    <row r="1984" spans="1:17">
      <c r="A1984" t="s">
        <v>2028</v>
      </c>
      <c r="B1984" s="2">
        <v>45810</v>
      </c>
      <c r="C1984">
        <v>20</v>
      </c>
      <c r="D1984" t="s">
        <v>29</v>
      </c>
      <c r="E1984" t="s">
        <v>21</v>
      </c>
      <c r="F1984" s="7">
        <v>2656.39</v>
      </c>
      <c r="G1984" s="10">
        <v>0.1</v>
      </c>
      <c r="H1984" s="7">
        <v>2390.75</v>
      </c>
      <c r="I1984">
        <v>3</v>
      </c>
      <c r="J1984" t="s">
        <v>13</v>
      </c>
      <c r="K1984" s="13">
        <f>ROUND(tblTransactions[[#This Row],[gross_sales_inr]]*(1-tblTransactions[[#This Row],[discount_pct]]),2)</f>
        <v>2390.75</v>
      </c>
      <c r="L1984" t="str">
        <f>IF(ABS(tblTransactions[[#This Row],[net_sales_inr]]-tblTransactions[[#This Row],[Recalc_Net_Sales]])&lt;0.02,"OK","CHECK")</f>
        <v>OK</v>
      </c>
      <c r="M1984" s="14">
        <f>DATE(YEAR(tblTransactions[[#This Row],[date]]),MONTH(tblTransactions[[#This Row],[date]]),1)</f>
        <v>45809</v>
      </c>
      <c r="N1984" t="str">
        <f>IF(WEEKDAY(tblTransactions[[#This Row],[date]],2)&gt;5,"Weekend","Weekday")</f>
        <v>Weekday</v>
      </c>
      <c r="O198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84" s="13" t="str">
        <f>_xlfn.XLOOKUP(tblTransactions[[#This Row],[tenant_id]],tblTenants[tenant_id],tblTenants[zone],"NOT FOUND")</f>
        <v>Entertainment</v>
      </c>
      <c r="Q1984" s="13" t="str">
        <f>_xlfn.XLOOKUP(tblTransactions[[#This Row],[tenant_id]],tblTenants[tenant_id],tblTenants[category],"NOT FOUND")</f>
        <v>Cinema</v>
      </c>
    </row>
    <row r="1985" spans="1:17">
      <c r="A1985" t="s">
        <v>2029</v>
      </c>
      <c r="B1985" s="2">
        <v>45707</v>
      </c>
      <c r="C1985">
        <v>12</v>
      </c>
      <c r="D1985" t="s">
        <v>204</v>
      </c>
      <c r="E1985" t="s">
        <v>12</v>
      </c>
      <c r="F1985" s="7">
        <v>415.16</v>
      </c>
      <c r="G1985" s="10">
        <v>0.05</v>
      </c>
      <c r="H1985" s="7">
        <v>394.4</v>
      </c>
      <c r="I1985">
        <v>3</v>
      </c>
      <c r="J1985" t="s">
        <v>16</v>
      </c>
      <c r="K1985" s="13">
        <f>ROUND(tblTransactions[[#This Row],[gross_sales_inr]]*(1-tblTransactions[[#This Row],[discount_pct]]),2)</f>
        <v>394.4</v>
      </c>
      <c r="L1985" t="str">
        <f>IF(ABS(tblTransactions[[#This Row],[net_sales_inr]]-tblTransactions[[#This Row],[Recalc_Net_Sales]])&lt;0.02,"OK","CHECK")</f>
        <v>OK</v>
      </c>
      <c r="M1985" s="14">
        <f>DATE(YEAR(tblTransactions[[#This Row],[date]]),MONTH(tblTransactions[[#This Row],[date]]),1)</f>
        <v>45689</v>
      </c>
      <c r="N1985" t="str">
        <f>IF(WEEKDAY(tblTransactions[[#This Row],[date]],2)&gt;5,"Weekend","Weekday")</f>
        <v>Weekday</v>
      </c>
      <c r="O198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85" s="13" t="str">
        <f>_xlfn.XLOOKUP(tblTransactions[[#This Row],[tenant_id]],tblTenants[tenant_id],tblTenants[zone],"NOT FOUND")</f>
        <v>Home &amp; Living</v>
      </c>
      <c r="Q1985" s="13" t="str">
        <f>_xlfn.XLOOKUP(tblTransactions[[#This Row],[tenant_id]],tblTenants[tenant_id],tblTenants[category],"NOT FOUND")</f>
        <v>Home Decor</v>
      </c>
    </row>
    <row r="1986" spans="1:17">
      <c r="A1986" t="s">
        <v>2030</v>
      </c>
      <c r="B1986" s="2">
        <v>45837</v>
      </c>
      <c r="C1986">
        <v>17</v>
      </c>
      <c r="D1986" t="s">
        <v>48</v>
      </c>
      <c r="E1986" t="s">
        <v>12</v>
      </c>
      <c r="F1986" s="7">
        <v>853.09</v>
      </c>
      <c r="G1986" s="10">
        <v>0</v>
      </c>
      <c r="H1986" s="7">
        <v>853.09</v>
      </c>
      <c r="I1986">
        <v>2</v>
      </c>
      <c r="J1986" t="s">
        <v>16</v>
      </c>
      <c r="K1986" s="13">
        <f>ROUND(tblTransactions[[#This Row],[gross_sales_inr]]*(1-tblTransactions[[#This Row],[discount_pct]]),2)</f>
        <v>853.09</v>
      </c>
      <c r="L1986" t="str">
        <f>IF(ABS(tblTransactions[[#This Row],[net_sales_inr]]-tblTransactions[[#This Row],[Recalc_Net_Sales]])&lt;0.02,"OK","CHECK")</f>
        <v>OK</v>
      </c>
      <c r="M1986" s="14">
        <f>DATE(YEAR(tblTransactions[[#This Row],[date]]),MONTH(tblTransactions[[#This Row],[date]]),1)</f>
        <v>45809</v>
      </c>
      <c r="N1986" t="str">
        <f>IF(WEEKDAY(tblTransactions[[#This Row],[date]],2)&gt;5,"Weekend","Weekday")</f>
        <v>Weekend</v>
      </c>
      <c r="O1986" s="13" t="str">
        <f>IF(tblTransactions[[#This Row],[discount_pct]]=0,"0%",IF(tblTransactions[[#This Row],[discount_pct]]&lt;=10%,"1–
10%",IF(tblTransactions[[#This Row],[discount_pct]]&lt;=20%,"11–20%","&gt;20%")))</f>
        <v>0%</v>
      </c>
      <c r="P1986" s="13" t="str">
        <f>_xlfn.XLOOKUP(tblTransactions[[#This Row],[tenant_id]],tblTenants[tenant_id],tblTenants[zone],"NOT FOUND")</f>
        <v>Beauty &amp; Wellness</v>
      </c>
      <c r="Q1986" s="13" t="str">
        <f>_xlfn.XLOOKUP(tblTransactions[[#This Row],[tenant_id]],tblTenants[tenant_id],tblTenants[category],"NOT FOUND")</f>
        <v>Wellness</v>
      </c>
    </row>
    <row r="1987" spans="1:17">
      <c r="A1987" t="s">
        <v>2031</v>
      </c>
      <c r="B1987" s="2">
        <v>45737</v>
      </c>
      <c r="C1987">
        <v>17</v>
      </c>
      <c r="D1987" t="s">
        <v>80</v>
      </c>
      <c r="E1987" t="s">
        <v>32</v>
      </c>
      <c r="F1987" s="7">
        <v>588.86</v>
      </c>
      <c r="G1987" s="10">
        <v>0.2</v>
      </c>
      <c r="H1987" s="7">
        <v>471.09</v>
      </c>
      <c r="I1987">
        <v>2</v>
      </c>
      <c r="J1987" t="s">
        <v>13</v>
      </c>
      <c r="K1987" s="13">
        <f>ROUND(tblTransactions[[#This Row],[gross_sales_inr]]*(1-tblTransactions[[#This Row],[discount_pct]]),2)</f>
        <v>471.09</v>
      </c>
      <c r="L1987" t="str">
        <f>IF(ABS(tblTransactions[[#This Row],[net_sales_inr]]-tblTransactions[[#This Row],[Recalc_Net_Sales]])&lt;0.02,"OK","CHECK")</f>
        <v>OK</v>
      </c>
      <c r="M1987" s="14">
        <f>DATE(YEAR(tblTransactions[[#This Row],[date]]),MONTH(tblTransactions[[#This Row],[date]]),1)</f>
        <v>45717</v>
      </c>
      <c r="N1987" t="str">
        <f>IF(WEEKDAY(tblTransactions[[#This Row],[date]],2)&gt;5,"Weekend","Weekday")</f>
        <v>Weekday</v>
      </c>
      <c r="O198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87" s="13" t="str">
        <f>_xlfn.XLOOKUP(tblTransactions[[#This Row],[tenant_id]],tblTenants[tenant_id],tblTenants[zone],"NOT FOUND")</f>
        <v>Food Court</v>
      </c>
      <c r="Q1987" s="13" t="str">
        <f>_xlfn.XLOOKUP(tblTransactions[[#This Row],[tenant_id]],tblTenants[tenant_id],tblTenants[category],"NOT FOUND")</f>
        <v>Casual Dining</v>
      </c>
    </row>
    <row r="1988" spans="1:17">
      <c r="A1988" t="s">
        <v>2032</v>
      </c>
      <c r="B1988" s="2">
        <v>45707</v>
      </c>
      <c r="C1988">
        <v>18</v>
      </c>
      <c r="D1988" t="s">
        <v>72</v>
      </c>
      <c r="E1988" t="s">
        <v>12</v>
      </c>
      <c r="F1988" s="7">
        <v>3831.21</v>
      </c>
      <c r="G1988" s="10">
        <v>0</v>
      </c>
      <c r="H1988" s="7">
        <v>3831.21</v>
      </c>
      <c r="I1988">
        <v>3</v>
      </c>
      <c r="J1988" t="s">
        <v>16</v>
      </c>
      <c r="K1988" s="13">
        <f>ROUND(tblTransactions[[#This Row],[gross_sales_inr]]*(1-tblTransactions[[#This Row],[discount_pct]]),2)</f>
        <v>3831.21</v>
      </c>
      <c r="L1988" t="str">
        <f>IF(ABS(tblTransactions[[#This Row],[net_sales_inr]]-tblTransactions[[#This Row],[Recalc_Net_Sales]])&lt;0.02,"OK","CHECK")</f>
        <v>OK</v>
      </c>
      <c r="M1988" s="14">
        <f>DATE(YEAR(tblTransactions[[#This Row],[date]]),MONTH(tblTransactions[[#This Row],[date]]),1)</f>
        <v>45689</v>
      </c>
      <c r="N1988" t="str">
        <f>IF(WEEKDAY(tblTransactions[[#This Row],[date]],2)&gt;5,"Weekend","Weekday")</f>
        <v>Weekday</v>
      </c>
      <c r="O1988" s="13" t="str">
        <f>IF(tblTransactions[[#This Row],[discount_pct]]=0,"0%",IF(tblTransactions[[#This Row],[discount_pct]]&lt;=10%,"1–
10%",IF(tblTransactions[[#This Row],[discount_pct]]&lt;=20%,"11–20%","&gt;20%")))</f>
        <v>0%</v>
      </c>
      <c r="P1988" s="13" t="str">
        <f>_xlfn.XLOOKUP(tblTransactions[[#This Row],[tenant_id]],tblTenants[tenant_id],tblTenants[zone],"NOT FOUND")</f>
        <v>Entertainment</v>
      </c>
      <c r="Q1988" s="13" t="str">
        <f>_xlfn.XLOOKUP(tblTransactions[[#This Row],[tenant_id]],tblTenants[tenant_id],tblTenants[category],"NOT FOUND")</f>
        <v>Arcade</v>
      </c>
    </row>
    <row r="1989" spans="1:17">
      <c r="A1989" t="s">
        <v>2033</v>
      </c>
      <c r="B1989" s="2">
        <v>45795</v>
      </c>
      <c r="C1989">
        <v>11</v>
      </c>
      <c r="D1989" t="s">
        <v>204</v>
      </c>
      <c r="E1989" t="s">
        <v>32</v>
      </c>
      <c r="F1989" s="7">
        <v>1473.5</v>
      </c>
      <c r="G1989" s="10">
        <v>0.1</v>
      </c>
      <c r="H1989" s="7">
        <v>1326.15</v>
      </c>
      <c r="I1989">
        <v>4</v>
      </c>
      <c r="J1989" t="s">
        <v>13</v>
      </c>
      <c r="K1989" s="13">
        <f>ROUND(tblTransactions[[#This Row],[gross_sales_inr]]*(1-tblTransactions[[#This Row],[discount_pct]]),2)</f>
        <v>1326.15</v>
      </c>
      <c r="L1989" t="str">
        <f>IF(ABS(tblTransactions[[#This Row],[net_sales_inr]]-tblTransactions[[#This Row],[Recalc_Net_Sales]])&lt;0.02,"OK","CHECK")</f>
        <v>OK</v>
      </c>
      <c r="M1989" s="14">
        <f>DATE(YEAR(tblTransactions[[#This Row],[date]]),MONTH(tblTransactions[[#This Row],[date]]),1)</f>
        <v>45778</v>
      </c>
      <c r="N1989" t="str">
        <f>IF(WEEKDAY(tblTransactions[[#This Row],[date]],2)&gt;5,"Weekend","Weekday")</f>
        <v>Weekend</v>
      </c>
      <c r="O198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1989" s="13" t="str">
        <f>_xlfn.XLOOKUP(tblTransactions[[#This Row],[tenant_id]],tblTenants[tenant_id],tblTenants[zone],"NOT FOUND")</f>
        <v>Home &amp; Living</v>
      </c>
      <c r="Q1989" s="13" t="str">
        <f>_xlfn.XLOOKUP(tblTransactions[[#This Row],[tenant_id]],tblTenants[tenant_id],tblTenants[category],"NOT FOUND")</f>
        <v>Home Decor</v>
      </c>
    </row>
    <row r="1990" spans="1:17">
      <c r="A1990" t="s">
        <v>2034</v>
      </c>
      <c r="B1990" s="2">
        <v>45759</v>
      </c>
      <c r="C1990">
        <v>18</v>
      </c>
      <c r="D1990" t="s">
        <v>34</v>
      </c>
      <c r="E1990" t="s">
        <v>21</v>
      </c>
      <c r="F1990" s="7">
        <v>4969.74</v>
      </c>
      <c r="G1990" s="10">
        <v>0</v>
      </c>
      <c r="H1990" s="7">
        <v>4969.74</v>
      </c>
      <c r="I1990">
        <v>2</v>
      </c>
      <c r="J1990" t="s">
        <v>13</v>
      </c>
      <c r="K1990" s="13">
        <f>ROUND(tblTransactions[[#This Row],[gross_sales_inr]]*(1-tblTransactions[[#This Row],[discount_pct]]),2)</f>
        <v>4969.74</v>
      </c>
      <c r="L1990" t="str">
        <f>IF(ABS(tblTransactions[[#This Row],[net_sales_inr]]-tblTransactions[[#This Row],[Recalc_Net_Sales]])&lt;0.02,"OK","CHECK")</f>
        <v>OK</v>
      </c>
      <c r="M1990" s="14">
        <f>DATE(YEAR(tblTransactions[[#This Row],[date]]),MONTH(tblTransactions[[#This Row],[date]]),1)</f>
        <v>45748</v>
      </c>
      <c r="N1990" t="str">
        <f>IF(WEEKDAY(tblTransactions[[#This Row],[date]],2)&gt;5,"Weekend","Weekday")</f>
        <v>Weekend</v>
      </c>
      <c r="O1990" s="13" t="str">
        <f>IF(tblTransactions[[#This Row],[discount_pct]]=0,"0%",IF(tblTransactions[[#This Row],[discount_pct]]&lt;=10%,"1–
10%",IF(tblTransactions[[#This Row],[discount_pct]]&lt;=20%,"11–20%","&gt;20%")))</f>
        <v>0%</v>
      </c>
      <c r="P1990" s="13" t="str">
        <f>_xlfn.XLOOKUP(tblTransactions[[#This Row],[tenant_id]],tblTenants[tenant_id],tblTenants[zone],"NOT FOUND")</f>
        <v>Home &amp; Living</v>
      </c>
      <c r="Q1990" s="13" t="str">
        <f>_xlfn.XLOOKUP(tblTransactions[[#This Row],[tenant_id]],tblTenants[tenant_id],tblTenants[category],"NOT FOUND")</f>
        <v>Electronics</v>
      </c>
    </row>
    <row r="1991" spans="1:17">
      <c r="A1991" t="s">
        <v>2035</v>
      </c>
      <c r="B1991" s="2">
        <v>45688</v>
      </c>
      <c r="C1991">
        <v>10</v>
      </c>
      <c r="D1991" t="s">
        <v>43</v>
      </c>
      <c r="E1991" t="s">
        <v>32</v>
      </c>
      <c r="F1991" s="7">
        <v>503.38</v>
      </c>
      <c r="G1991" s="10">
        <v>0</v>
      </c>
      <c r="H1991" s="7">
        <v>503.38</v>
      </c>
      <c r="I1991">
        <v>4</v>
      </c>
      <c r="J1991" t="s">
        <v>13</v>
      </c>
      <c r="K1991" s="13">
        <f>ROUND(tblTransactions[[#This Row],[gross_sales_inr]]*(1-tblTransactions[[#This Row],[discount_pct]]),2)</f>
        <v>503.38</v>
      </c>
      <c r="L1991" t="str">
        <f>IF(ABS(tblTransactions[[#This Row],[net_sales_inr]]-tblTransactions[[#This Row],[Recalc_Net_Sales]])&lt;0.02,"OK","CHECK")</f>
        <v>OK</v>
      </c>
      <c r="M1991" s="14">
        <f>DATE(YEAR(tblTransactions[[#This Row],[date]]),MONTH(tblTransactions[[#This Row],[date]]),1)</f>
        <v>45658</v>
      </c>
      <c r="N1991" t="str">
        <f>IF(WEEKDAY(tblTransactions[[#This Row],[date]],2)&gt;5,"Weekend","Weekday")</f>
        <v>Weekday</v>
      </c>
      <c r="O1991" s="13" t="str">
        <f>IF(tblTransactions[[#This Row],[discount_pct]]=0,"0%",IF(tblTransactions[[#This Row],[discount_pct]]&lt;=10%,"1–
10%",IF(tblTransactions[[#This Row],[discount_pct]]&lt;=20%,"11–20%","&gt;20%")))</f>
        <v>0%</v>
      </c>
      <c r="P1991" s="13" t="str">
        <f>_xlfn.XLOOKUP(tblTransactions[[#This Row],[tenant_id]],tblTenants[tenant_id],tblTenants[zone],"NOT FOUND")</f>
        <v>Food Court</v>
      </c>
      <c r="Q1991" s="13" t="str">
        <f>_xlfn.XLOOKUP(tblTransactions[[#This Row],[tenant_id]],tblTenants[tenant_id],tblTenants[category],"NOT FOUND")</f>
        <v>Casual Dining</v>
      </c>
    </row>
    <row r="1992" spans="1:17">
      <c r="A1992" t="s">
        <v>2036</v>
      </c>
      <c r="B1992" s="2">
        <v>45699</v>
      </c>
      <c r="C1992">
        <v>19</v>
      </c>
      <c r="D1992" t="s">
        <v>23</v>
      </c>
      <c r="E1992" t="s">
        <v>32</v>
      </c>
      <c r="F1992" s="7">
        <v>377.39</v>
      </c>
      <c r="G1992" s="10">
        <v>0</v>
      </c>
      <c r="H1992" s="7">
        <v>377.39</v>
      </c>
      <c r="I1992">
        <v>1</v>
      </c>
      <c r="J1992" t="s">
        <v>13</v>
      </c>
      <c r="K1992" s="13">
        <f>ROUND(tblTransactions[[#This Row],[gross_sales_inr]]*(1-tblTransactions[[#This Row],[discount_pct]]),2)</f>
        <v>377.39</v>
      </c>
      <c r="L1992" t="str">
        <f>IF(ABS(tblTransactions[[#This Row],[net_sales_inr]]-tblTransactions[[#This Row],[Recalc_Net_Sales]])&lt;0.02,"OK","CHECK")</f>
        <v>OK</v>
      </c>
      <c r="M1992" s="14">
        <f>DATE(YEAR(tblTransactions[[#This Row],[date]]),MONTH(tblTransactions[[#This Row],[date]]),1)</f>
        <v>45689</v>
      </c>
      <c r="N1992" t="str">
        <f>IF(WEEKDAY(tblTransactions[[#This Row],[date]],2)&gt;5,"Weekend","Weekday")</f>
        <v>Weekday</v>
      </c>
      <c r="O1992" s="13" t="str">
        <f>IF(tblTransactions[[#This Row],[discount_pct]]=0,"0%",IF(tblTransactions[[#This Row],[discount_pct]]&lt;=10%,"1–
10%",IF(tblTransactions[[#This Row],[discount_pct]]&lt;=20%,"11–20%","&gt;20%")))</f>
        <v>0%</v>
      </c>
      <c r="P1992" s="13" t="str">
        <f>_xlfn.XLOOKUP(tblTransactions[[#This Row],[tenant_id]],tblTenants[tenant_id],tblTenants[zone],"NOT FOUND")</f>
        <v>Entertainment</v>
      </c>
      <c r="Q1992" s="13" t="str">
        <f>_xlfn.XLOOKUP(tblTransactions[[#This Row],[tenant_id]],tblTenants[tenant_id],tblTenants[category],"NOT FOUND")</f>
        <v>Cinema</v>
      </c>
    </row>
    <row r="1993" spans="1:17">
      <c r="A1993" t="s">
        <v>2037</v>
      </c>
      <c r="B1993" s="2">
        <v>45773</v>
      </c>
      <c r="C1993">
        <v>18</v>
      </c>
      <c r="D1993" t="s">
        <v>70</v>
      </c>
      <c r="E1993" t="s">
        <v>32</v>
      </c>
      <c r="F1993" s="7">
        <v>1170.49</v>
      </c>
      <c r="G1993" s="10">
        <v>0</v>
      </c>
      <c r="H1993" s="7">
        <v>1170.49</v>
      </c>
      <c r="I1993">
        <v>2</v>
      </c>
      <c r="J1993" t="s">
        <v>16</v>
      </c>
      <c r="K1993" s="13">
        <f>ROUND(tblTransactions[[#This Row],[gross_sales_inr]]*(1-tblTransactions[[#This Row],[discount_pct]]),2)</f>
        <v>1170.49</v>
      </c>
      <c r="L1993" t="str">
        <f>IF(ABS(tblTransactions[[#This Row],[net_sales_inr]]-tblTransactions[[#This Row],[Recalc_Net_Sales]])&lt;0.02,"OK","CHECK")</f>
        <v>OK</v>
      </c>
      <c r="M1993" s="14">
        <f>DATE(YEAR(tblTransactions[[#This Row],[date]]),MONTH(tblTransactions[[#This Row],[date]]),1)</f>
        <v>45748</v>
      </c>
      <c r="N1993" t="str">
        <f>IF(WEEKDAY(tblTransactions[[#This Row],[date]],2)&gt;5,"Weekend","Weekday")</f>
        <v>Weekend</v>
      </c>
      <c r="O1993" s="13" t="str">
        <f>IF(tblTransactions[[#This Row],[discount_pct]]=0,"0%",IF(tblTransactions[[#This Row],[discount_pct]]&lt;=10%,"1–
10%",IF(tblTransactions[[#This Row],[discount_pct]]&lt;=20%,"11–20%","&gt;20%")))</f>
        <v>0%</v>
      </c>
      <c r="P1993" s="13" t="str">
        <f>_xlfn.XLOOKUP(tblTransactions[[#This Row],[tenant_id]],tblTenants[tenant_id],tblTenants[zone],"NOT FOUND")</f>
        <v>Food Court</v>
      </c>
      <c r="Q1993" s="13" t="str">
        <f>_xlfn.XLOOKUP(tblTransactions[[#This Row],[tenant_id]],tblTenants[tenant_id],tblTenants[category],"NOT FOUND")</f>
        <v>Quick Service</v>
      </c>
    </row>
    <row r="1994" spans="1:17">
      <c r="A1994" t="s">
        <v>2038</v>
      </c>
      <c r="B1994" s="2">
        <v>45826</v>
      </c>
      <c r="C1994">
        <v>15</v>
      </c>
      <c r="D1994" t="s">
        <v>43</v>
      </c>
      <c r="E1994" t="s">
        <v>12</v>
      </c>
      <c r="F1994" s="7">
        <v>772.79</v>
      </c>
      <c r="G1994" s="10">
        <v>0</v>
      </c>
      <c r="H1994" s="7">
        <v>772.79</v>
      </c>
      <c r="I1994">
        <v>2</v>
      </c>
      <c r="J1994" t="s">
        <v>13</v>
      </c>
      <c r="K1994" s="13">
        <f>ROUND(tblTransactions[[#This Row],[gross_sales_inr]]*(1-tblTransactions[[#This Row],[discount_pct]]),2)</f>
        <v>772.79</v>
      </c>
      <c r="L1994" t="str">
        <f>IF(ABS(tblTransactions[[#This Row],[net_sales_inr]]-tblTransactions[[#This Row],[Recalc_Net_Sales]])&lt;0.02,"OK","CHECK")</f>
        <v>OK</v>
      </c>
      <c r="M1994" s="14">
        <f>DATE(YEAR(tblTransactions[[#This Row],[date]]),MONTH(tblTransactions[[#This Row],[date]]),1)</f>
        <v>45809</v>
      </c>
      <c r="N1994" t="str">
        <f>IF(WEEKDAY(tblTransactions[[#This Row],[date]],2)&gt;5,"Weekend","Weekday")</f>
        <v>Weekday</v>
      </c>
      <c r="O1994" s="13" t="str">
        <f>IF(tblTransactions[[#This Row],[discount_pct]]=0,"0%",IF(tblTransactions[[#This Row],[discount_pct]]&lt;=10%,"1–
10%",IF(tblTransactions[[#This Row],[discount_pct]]&lt;=20%,"11–20%","&gt;20%")))</f>
        <v>0%</v>
      </c>
      <c r="P1994" s="13" t="str">
        <f>_xlfn.XLOOKUP(tblTransactions[[#This Row],[tenant_id]],tblTenants[tenant_id],tblTenants[zone],"NOT FOUND")</f>
        <v>Food Court</v>
      </c>
      <c r="Q1994" s="13" t="str">
        <f>_xlfn.XLOOKUP(tblTransactions[[#This Row],[tenant_id]],tblTenants[tenant_id],tblTenants[category],"NOT FOUND")</f>
        <v>Casual Dining</v>
      </c>
    </row>
    <row r="1995" spans="1:17">
      <c r="A1995" t="s">
        <v>2039</v>
      </c>
      <c r="B1995" s="2">
        <v>45805</v>
      </c>
      <c r="C1995">
        <v>14</v>
      </c>
      <c r="D1995" t="s">
        <v>98</v>
      </c>
      <c r="E1995" t="s">
        <v>32</v>
      </c>
      <c r="F1995" s="7">
        <v>2033.15</v>
      </c>
      <c r="G1995" s="10">
        <v>0</v>
      </c>
      <c r="H1995" s="7">
        <v>2033.15</v>
      </c>
      <c r="I1995">
        <v>2</v>
      </c>
      <c r="J1995" t="s">
        <v>13</v>
      </c>
      <c r="K1995" s="13">
        <f>ROUND(tblTransactions[[#This Row],[gross_sales_inr]]*(1-tblTransactions[[#This Row],[discount_pct]]),2)</f>
        <v>2033.15</v>
      </c>
      <c r="L1995" t="str">
        <f>IF(ABS(tblTransactions[[#This Row],[net_sales_inr]]-tblTransactions[[#This Row],[Recalc_Net_Sales]])&lt;0.02,"OK","CHECK")</f>
        <v>OK</v>
      </c>
      <c r="M1995" s="14">
        <f>DATE(YEAR(tblTransactions[[#This Row],[date]]),MONTH(tblTransactions[[#This Row],[date]]),1)</f>
        <v>45778</v>
      </c>
      <c r="N1995" t="str">
        <f>IF(WEEKDAY(tblTransactions[[#This Row],[date]],2)&gt;5,"Weekend","Weekday")</f>
        <v>Weekday</v>
      </c>
      <c r="O1995" s="13" t="str">
        <f>IF(tblTransactions[[#This Row],[discount_pct]]=0,"0%",IF(tblTransactions[[#This Row],[discount_pct]]&lt;=10%,"1–
10%",IF(tblTransactions[[#This Row],[discount_pct]]&lt;=20%,"11–20%","&gt;20%")))</f>
        <v>0%</v>
      </c>
      <c r="P1995" s="13" t="str">
        <f>_xlfn.XLOOKUP(tblTransactions[[#This Row],[tenant_id]],tblTenants[tenant_id],tblTenants[zone],"NOT FOUND")</f>
        <v>Fashion Avenue</v>
      </c>
      <c r="Q1995" s="13" t="str">
        <f>_xlfn.XLOOKUP(tblTransactions[[#This Row],[tenant_id]],tblTenants[tenant_id],tblTenants[category],"NOT FOUND")</f>
        <v>Accessories</v>
      </c>
    </row>
    <row r="1996" spans="1:17">
      <c r="A1996" t="s">
        <v>2040</v>
      </c>
      <c r="B1996" s="2">
        <v>45753</v>
      </c>
      <c r="C1996">
        <v>12</v>
      </c>
      <c r="D1996" t="s">
        <v>34</v>
      </c>
      <c r="E1996" t="s">
        <v>21</v>
      </c>
      <c r="F1996" s="7">
        <v>1417.25</v>
      </c>
      <c r="G1996" s="10">
        <v>0</v>
      </c>
      <c r="H1996" s="7">
        <v>1417.25</v>
      </c>
      <c r="I1996">
        <v>1</v>
      </c>
      <c r="J1996" t="s">
        <v>13</v>
      </c>
      <c r="K1996" s="13">
        <f>ROUND(tblTransactions[[#This Row],[gross_sales_inr]]*(1-tblTransactions[[#This Row],[discount_pct]]),2)</f>
        <v>1417.25</v>
      </c>
      <c r="L1996" t="str">
        <f>IF(ABS(tblTransactions[[#This Row],[net_sales_inr]]-tblTransactions[[#This Row],[Recalc_Net_Sales]])&lt;0.02,"OK","CHECK")</f>
        <v>OK</v>
      </c>
      <c r="M1996" s="14">
        <f>DATE(YEAR(tblTransactions[[#This Row],[date]]),MONTH(tblTransactions[[#This Row],[date]]),1)</f>
        <v>45748</v>
      </c>
      <c r="N1996" t="str">
        <f>IF(WEEKDAY(tblTransactions[[#This Row],[date]],2)&gt;5,"Weekend","Weekday")</f>
        <v>Weekend</v>
      </c>
      <c r="O1996" s="13" t="str">
        <f>IF(tblTransactions[[#This Row],[discount_pct]]=0,"0%",IF(tblTransactions[[#This Row],[discount_pct]]&lt;=10%,"1–
10%",IF(tblTransactions[[#This Row],[discount_pct]]&lt;=20%,"11–20%","&gt;20%")))</f>
        <v>0%</v>
      </c>
      <c r="P1996" s="13" t="str">
        <f>_xlfn.XLOOKUP(tblTransactions[[#This Row],[tenant_id]],tblTenants[tenant_id],tblTenants[zone],"NOT FOUND")</f>
        <v>Home &amp; Living</v>
      </c>
      <c r="Q1996" s="13" t="str">
        <f>_xlfn.XLOOKUP(tblTransactions[[#This Row],[tenant_id]],tblTenants[tenant_id],tblTenants[category],"NOT FOUND")</f>
        <v>Electronics</v>
      </c>
    </row>
    <row r="1997" spans="1:17">
      <c r="A1997" t="s">
        <v>2041</v>
      </c>
      <c r="B1997" s="2">
        <v>45693</v>
      </c>
      <c r="C1997">
        <v>10</v>
      </c>
      <c r="D1997" t="s">
        <v>20</v>
      </c>
      <c r="E1997" t="s">
        <v>32</v>
      </c>
      <c r="F1997" s="7">
        <v>849.55</v>
      </c>
      <c r="G1997" s="10">
        <v>0</v>
      </c>
      <c r="H1997" s="7">
        <v>849.55</v>
      </c>
      <c r="I1997">
        <v>1</v>
      </c>
      <c r="J1997" t="s">
        <v>13</v>
      </c>
      <c r="K1997" s="13">
        <f>ROUND(tblTransactions[[#This Row],[gross_sales_inr]]*(1-tblTransactions[[#This Row],[discount_pct]]),2)</f>
        <v>849.55</v>
      </c>
      <c r="L1997" t="str">
        <f>IF(ABS(tblTransactions[[#This Row],[net_sales_inr]]-tblTransactions[[#This Row],[Recalc_Net_Sales]])&lt;0.02,"OK","CHECK")</f>
        <v>OK</v>
      </c>
      <c r="M1997" s="14">
        <f>DATE(YEAR(tblTransactions[[#This Row],[date]]),MONTH(tblTransactions[[#This Row],[date]]),1)</f>
        <v>45689</v>
      </c>
      <c r="N1997" t="str">
        <f>IF(WEEKDAY(tblTransactions[[#This Row],[date]],2)&gt;5,"Weekend","Weekday")</f>
        <v>Weekday</v>
      </c>
      <c r="O1997" s="13" t="str">
        <f>IF(tblTransactions[[#This Row],[discount_pct]]=0,"0%",IF(tblTransactions[[#This Row],[discount_pct]]&lt;=10%,"1–
10%",IF(tblTransactions[[#This Row],[discount_pct]]&lt;=20%,"11–20%","&gt;20%")))</f>
        <v>0%</v>
      </c>
      <c r="P1997" s="13" t="str">
        <f>_xlfn.XLOOKUP(tblTransactions[[#This Row],[tenant_id]],tblTenants[tenant_id],tblTenants[zone],"NOT FOUND")</f>
        <v>Fashion Avenue</v>
      </c>
      <c r="Q1997" s="13" t="str">
        <f>_xlfn.XLOOKUP(tblTransactions[[#This Row],[tenant_id]],tblTenants[tenant_id],tblTenants[category],"NOT FOUND")</f>
        <v>Accessories</v>
      </c>
    </row>
    <row r="1998" spans="1:17">
      <c r="A1998" t="s">
        <v>2042</v>
      </c>
      <c r="B1998" s="2">
        <v>45689</v>
      </c>
      <c r="C1998">
        <v>13</v>
      </c>
      <c r="D1998" t="s">
        <v>72</v>
      </c>
      <c r="E1998" t="s">
        <v>12</v>
      </c>
      <c r="F1998" s="7">
        <v>1395.61</v>
      </c>
      <c r="G1998" s="10">
        <v>0</v>
      </c>
      <c r="H1998" s="7">
        <v>1395.61</v>
      </c>
      <c r="I1998">
        <v>1</v>
      </c>
      <c r="J1998" t="s">
        <v>13</v>
      </c>
      <c r="K1998" s="13">
        <f>ROUND(tblTransactions[[#This Row],[gross_sales_inr]]*(1-tblTransactions[[#This Row],[discount_pct]]),2)</f>
        <v>1395.61</v>
      </c>
      <c r="L1998" t="str">
        <f>IF(ABS(tblTransactions[[#This Row],[net_sales_inr]]-tblTransactions[[#This Row],[Recalc_Net_Sales]])&lt;0.02,"OK","CHECK")</f>
        <v>OK</v>
      </c>
      <c r="M1998" s="14">
        <f>DATE(YEAR(tblTransactions[[#This Row],[date]]),MONTH(tblTransactions[[#This Row],[date]]),1)</f>
        <v>45689</v>
      </c>
      <c r="N1998" t="str">
        <f>IF(WEEKDAY(tblTransactions[[#This Row],[date]],2)&gt;5,"Weekend","Weekday")</f>
        <v>Weekend</v>
      </c>
      <c r="O1998" s="13" t="str">
        <f>IF(tblTransactions[[#This Row],[discount_pct]]=0,"0%",IF(tblTransactions[[#This Row],[discount_pct]]&lt;=10%,"1–
10%",IF(tblTransactions[[#This Row],[discount_pct]]&lt;=20%,"11–20%","&gt;20%")))</f>
        <v>0%</v>
      </c>
      <c r="P1998" s="13" t="str">
        <f>_xlfn.XLOOKUP(tblTransactions[[#This Row],[tenant_id]],tblTenants[tenant_id],tblTenants[zone],"NOT FOUND")</f>
        <v>Entertainment</v>
      </c>
      <c r="Q1998" s="13" t="str">
        <f>_xlfn.XLOOKUP(tblTransactions[[#This Row],[tenant_id]],tblTenants[tenant_id],tblTenants[category],"NOT FOUND")</f>
        <v>Arcade</v>
      </c>
    </row>
    <row r="1999" spans="1:17">
      <c r="A1999" t="s">
        <v>2043</v>
      </c>
      <c r="B1999" s="2">
        <v>45801</v>
      </c>
      <c r="C1999">
        <v>20</v>
      </c>
      <c r="D1999" t="s">
        <v>59</v>
      </c>
      <c r="E1999" t="s">
        <v>32</v>
      </c>
      <c r="F1999" s="7">
        <v>1888.98</v>
      </c>
      <c r="G1999" s="10">
        <v>0.15</v>
      </c>
      <c r="H1999" s="7">
        <v>1605.63</v>
      </c>
      <c r="I1999">
        <v>2</v>
      </c>
      <c r="J1999" t="s">
        <v>16</v>
      </c>
      <c r="K1999" s="13">
        <f>ROUND(tblTransactions[[#This Row],[gross_sales_inr]]*(1-tblTransactions[[#This Row],[discount_pct]]),2)</f>
        <v>1605.63</v>
      </c>
      <c r="L1999" t="str">
        <f>IF(ABS(tblTransactions[[#This Row],[net_sales_inr]]-tblTransactions[[#This Row],[Recalc_Net_Sales]])&lt;0.02,"OK","CHECK")</f>
        <v>OK</v>
      </c>
      <c r="M1999" s="14">
        <f>DATE(YEAR(tblTransactions[[#This Row],[date]]),MONTH(tblTransactions[[#This Row],[date]]),1)</f>
        <v>45778</v>
      </c>
      <c r="N1999" t="str">
        <f>IF(WEEKDAY(tblTransactions[[#This Row],[date]],2)&gt;5,"Weekend","Weekday")</f>
        <v>Weekend</v>
      </c>
      <c r="O199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1999" s="13" t="str">
        <f>_xlfn.XLOOKUP(tblTransactions[[#This Row],[tenant_id]],tblTenants[tenant_id],tblTenants[zone],"NOT FOUND")</f>
        <v>Fashion Avenue</v>
      </c>
      <c r="Q1999" s="13" t="str">
        <f>_xlfn.XLOOKUP(tblTransactions[[#This Row],[tenant_id]],tblTenants[tenant_id],tblTenants[category],"NOT FOUND")</f>
        <v>Footwear</v>
      </c>
    </row>
    <row r="2000" spans="1:17">
      <c r="A2000" t="s">
        <v>2044</v>
      </c>
      <c r="B2000" s="2">
        <v>45828</v>
      </c>
      <c r="C2000">
        <v>19</v>
      </c>
      <c r="D2000" t="s">
        <v>80</v>
      </c>
      <c r="E2000" t="s">
        <v>21</v>
      </c>
      <c r="F2000" s="7">
        <v>332.3</v>
      </c>
      <c r="G2000" s="10">
        <v>0</v>
      </c>
      <c r="H2000" s="7">
        <v>332.3</v>
      </c>
      <c r="I2000">
        <v>1</v>
      </c>
      <c r="J2000" t="s">
        <v>16</v>
      </c>
      <c r="K2000" s="13">
        <f>ROUND(tblTransactions[[#This Row],[gross_sales_inr]]*(1-tblTransactions[[#This Row],[discount_pct]]),2)</f>
        <v>332.3</v>
      </c>
      <c r="L2000" t="str">
        <f>IF(ABS(tblTransactions[[#This Row],[net_sales_inr]]-tblTransactions[[#This Row],[Recalc_Net_Sales]])&lt;0.02,"OK","CHECK")</f>
        <v>OK</v>
      </c>
      <c r="M2000" s="14">
        <f>DATE(YEAR(tblTransactions[[#This Row],[date]]),MONTH(tblTransactions[[#This Row],[date]]),1)</f>
        <v>45809</v>
      </c>
      <c r="N2000" t="str">
        <f>IF(WEEKDAY(tblTransactions[[#This Row],[date]],2)&gt;5,"Weekend","Weekday")</f>
        <v>Weekday</v>
      </c>
      <c r="O2000" s="13" t="str">
        <f>IF(tblTransactions[[#This Row],[discount_pct]]=0,"0%",IF(tblTransactions[[#This Row],[discount_pct]]&lt;=10%,"1–
10%",IF(tblTransactions[[#This Row],[discount_pct]]&lt;=20%,"11–20%","&gt;20%")))</f>
        <v>0%</v>
      </c>
      <c r="P2000" s="13" t="str">
        <f>_xlfn.XLOOKUP(tblTransactions[[#This Row],[tenant_id]],tblTenants[tenant_id],tblTenants[zone],"NOT FOUND")</f>
        <v>Food Court</v>
      </c>
      <c r="Q2000" s="13" t="str">
        <f>_xlfn.XLOOKUP(tblTransactions[[#This Row],[tenant_id]],tblTenants[tenant_id],tblTenants[category],"NOT FOUND")</f>
        <v>Casual Dining</v>
      </c>
    </row>
    <row r="2001" spans="1:17">
      <c r="A2001" t="s">
        <v>2045</v>
      </c>
      <c r="B2001" s="2">
        <v>45715</v>
      </c>
      <c r="C2001">
        <v>11</v>
      </c>
      <c r="D2001" t="s">
        <v>104</v>
      </c>
      <c r="E2001" t="s">
        <v>32</v>
      </c>
      <c r="F2001" s="7">
        <v>1548.11</v>
      </c>
      <c r="G2001" s="10">
        <v>0.3</v>
      </c>
      <c r="H2001" s="7">
        <v>1083.68</v>
      </c>
      <c r="I2001">
        <v>3</v>
      </c>
      <c r="J2001" t="s">
        <v>13</v>
      </c>
      <c r="K2001" s="13">
        <f>ROUND(tblTransactions[[#This Row],[gross_sales_inr]]*(1-tblTransactions[[#This Row],[discount_pct]]),2)</f>
        <v>1083.68</v>
      </c>
      <c r="L2001" t="str">
        <f>IF(ABS(tblTransactions[[#This Row],[net_sales_inr]]-tblTransactions[[#This Row],[Recalc_Net_Sales]])&lt;0.02,"OK","CHECK")</f>
        <v>OK</v>
      </c>
      <c r="M2001" s="14">
        <f>DATE(YEAR(tblTransactions[[#This Row],[date]]),MONTH(tblTransactions[[#This Row],[date]]),1)</f>
        <v>45689</v>
      </c>
      <c r="N2001" t="str">
        <f>IF(WEEKDAY(tblTransactions[[#This Row],[date]],2)&gt;5,"Weekend","Weekday")</f>
        <v>Weekday</v>
      </c>
      <c r="O2001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001" s="13" t="str">
        <f>_xlfn.XLOOKUP(tblTransactions[[#This Row],[tenant_id]],tblTenants[tenant_id],tblTenants[zone],"NOT FOUND")</f>
        <v>Entertainment</v>
      </c>
      <c r="Q2001" s="13" t="str">
        <f>_xlfn.XLOOKUP(tblTransactions[[#This Row],[tenant_id]],tblTenants[tenant_id],tblTenants[category],"NOT FOUND")</f>
        <v>Family Entertainment</v>
      </c>
    </row>
    <row r="2002" spans="1:17">
      <c r="A2002" t="s">
        <v>2046</v>
      </c>
      <c r="B2002" s="2">
        <v>45684</v>
      </c>
      <c r="C2002">
        <v>12</v>
      </c>
      <c r="D2002" t="s">
        <v>59</v>
      </c>
      <c r="E2002" t="s">
        <v>32</v>
      </c>
      <c r="F2002" s="7">
        <v>787.31</v>
      </c>
      <c r="G2002" s="10">
        <v>0.3</v>
      </c>
      <c r="H2002" s="7">
        <v>551.12</v>
      </c>
      <c r="I2002">
        <v>2</v>
      </c>
      <c r="J2002" t="s">
        <v>13</v>
      </c>
      <c r="K2002" s="13">
        <f>ROUND(tblTransactions[[#This Row],[gross_sales_inr]]*(1-tblTransactions[[#This Row],[discount_pct]]),2)</f>
        <v>551.12</v>
      </c>
      <c r="L2002" t="str">
        <f>IF(ABS(tblTransactions[[#This Row],[net_sales_inr]]-tblTransactions[[#This Row],[Recalc_Net_Sales]])&lt;0.02,"OK","CHECK")</f>
        <v>OK</v>
      </c>
      <c r="M2002" s="14">
        <f>DATE(YEAR(tblTransactions[[#This Row],[date]]),MONTH(tblTransactions[[#This Row],[date]]),1)</f>
        <v>45658</v>
      </c>
      <c r="N2002" t="str">
        <f>IF(WEEKDAY(tblTransactions[[#This Row],[date]],2)&gt;5,"Weekend","Weekday")</f>
        <v>Weekday</v>
      </c>
      <c r="O2002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002" s="13" t="str">
        <f>_xlfn.XLOOKUP(tblTransactions[[#This Row],[tenant_id]],tblTenants[tenant_id],tblTenants[zone],"NOT FOUND")</f>
        <v>Fashion Avenue</v>
      </c>
      <c r="Q2002" s="13" t="str">
        <f>_xlfn.XLOOKUP(tblTransactions[[#This Row],[tenant_id]],tblTenants[tenant_id],tblTenants[category],"NOT FOUND")</f>
        <v>Footwear</v>
      </c>
    </row>
    <row r="2003" spans="1:17">
      <c r="A2003" t="s">
        <v>2047</v>
      </c>
      <c r="B2003" s="2">
        <v>45791</v>
      </c>
      <c r="C2003">
        <v>11</v>
      </c>
      <c r="D2003" t="s">
        <v>18</v>
      </c>
      <c r="E2003" t="s">
        <v>21</v>
      </c>
      <c r="F2003" s="7">
        <v>2271.13</v>
      </c>
      <c r="G2003" s="10">
        <v>0.1</v>
      </c>
      <c r="H2003" s="7">
        <v>2044.02</v>
      </c>
      <c r="I2003">
        <v>3</v>
      </c>
      <c r="J2003" t="s">
        <v>16</v>
      </c>
      <c r="K2003" s="13">
        <f>ROUND(tblTransactions[[#This Row],[gross_sales_inr]]*(1-tblTransactions[[#This Row],[discount_pct]]),2)</f>
        <v>2044.02</v>
      </c>
      <c r="L2003" t="str">
        <f>IF(ABS(tblTransactions[[#This Row],[net_sales_inr]]-tblTransactions[[#This Row],[Recalc_Net_Sales]])&lt;0.02,"OK","CHECK")</f>
        <v>OK</v>
      </c>
      <c r="M2003" s="14">
        <f>DATE(YEAR(tblTransactions[[#This Row],[date]]),MONTH(tblTransactions[[#This Row],[date]]),1)</f>
        <v>45778</v>
      </c>
      <c r="N2003" t="str">
        <f>IF(WEEKDAY(tblTransactions[[#This Row],[date]],2)&gt;5,"Weekend","Weekday")</f>
        <v>Weekday</v>
      </c>
      <c r="O200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03" s="13" t="str">
        <f>_xlfn.XLOOKUP(tblTransactions[[#This Row],[tenant_id]],tblTenants[tenant_id],tblTenants[zone],"NOT FOUND")</f>
        <v>Beauty &amp; Wellness</v>
      </c>
      <c r="Q2003" s="13" t="str">
        <f>_xlfn.XLOOKUP(tblTransactions[[#This Row],[tenant_id]],tblTenants[tenant_id],tblTenants[category],"NOT FOUND")</f>
        <v>Beauty</v>
      </c>
    </row>
    <row r="2004" spans="1:17">
      <c r="A2004" t="s">
        <v>2048</v>
      </c>
      <c r="B2004" s="2">
        <v>45739</v>
      </c>
      <c r="C2004">
        <v>20</v>
      </c>
      <c r="D2004" t="s">
        <v>80</v>
      </c>
      <c r="E2004" t="s">
        <v>21</v>
      </c>
      <c r="F2004" s="7">
        <v>1744.6</v>
      </c>
      <c r="G2004" s="10">
        <v>0.1</v>
      </c>
      <c r="H2004" s="7">
        <v>1570.14</v>
      </c>
      <c r="I2004">
        <v>4</v>
      </c>
      <c r="J2004" t="s">
        <v>16</v>
      </c>
      <c r="K2004" s="13">
        <f>ROUND(tblTransactions[[#This Row],[gross_sales_inr]]*(1-tblTransactions[[#This Row],[discount_pct]]),2)</f>
        <v>1570.14</v>
      </c>
      <c r="L2004" t="str">
        <f>IF(ABS(tblTransactions[[#This Row],[net_sales_inr]]-tblTransactions[[#This Row],[Recalc_Net_Sales]])&lt;0.02,"OK","CHECK")</f>
        <v>OK</v>
      </c>
      <c r="M2004" s="14">
        <f>DATE(YEAR(tblTransactions[[#This Row],[date]]),MONTH(tblTransactions[[#This Row],[date]]),1)</f>
        <v>45717</v>
      </c>
      <c r="N2004" t="str">
        <f>IF(WEEKDAY(tblTransactions[[#This Row],[date]],2)&gt;5,"Weekend","Weekday")</f>
        <v>Weekend</v>
      </c>
      <c r="O200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04" s="13" t="str">
        <f>_xlfn.XLOOKUP(tblTransactions[[#This Row],[tenant_id]],tblTenants[tenant_id],tblTenants[zone],"NOT FOUND")</f>
        <v>Food Court</v>
      </c>
      <c r="Q2004" s="13" t="str">
        <f>_xlfn.XLOOKUP(tblTransactions[[#This Row],[tenant_id]],tblTenants[tenant_id],tblTenants[category],"NOT FOUND")</f>
        <v>Casual Dining</v>
      </c>
    </row>
    <row r="2005" spans="1:17">
      <c r="A2005" t="s">
        <v>2049</v>
      </c>
      <c r="B2005" s="2">
        <v>45813</v>
      </c>
      <c r="C2005">
        <v>16</v>
      </c>
      <c r="D2005" t="s">
        <v>70</v>
      </c>
      <c r="E2005" t="s">
        <v>12</v>
      </c>
      <c r="F2005" s="7">
        <v>2949.84</v>
      </c>
      <c r="G2005" s="10">
        <v>0.2</v>
      </c>
      <c r="H2005" s="7">
        <v>2359.87</v>
      </c>
      <c r="I2005">
        <v>1</v>
      </c>
      <c r="J2005" t="s">
        <v>16</v>
      </c>
      <c r="K2005" s="13">
        <f>ROUND(tblTransactions[[#This Row],[gross_sales_inr]]*(1-tblTransactions[[#This Row],[discount_pct]]),2)</f>
        <v>2359.87</v>
      </c>
      <c r="L2005" t="str">
        <f>IF(ABS(tblTransactions[[#This Row],[net_sales_inr]]-tblTransactions[[#This Row],[Recalc_Net_Sales]])&lt;0.02,"OK","CHECK")</f>
        <v>OK</v>
      </c>
      <c r="M2005" s="14">
        <f>DATE(YEAR(tblTransactions[[#This Row],[date]]),MONTH(tblTransactions[[#This Row],[date]]),1)</f>
        <v>45809</v>
      </c>
      <c r="N2005" t="str">
        <f>IF(WEEKDAY(tblTransactions[[#This Row],[date]],2)&gt;5,"Weekend","Weekday")</f>
        <v>Weekday</v>
      </c>
      <c r="O200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05" s="13" t="str">
        <f>_xlfn.XLOOKUP(tblTransactions[[#This Row],[tenant_id]],tblTenants[tenant_id],tblTenants[zone],"NOT FOUND")</f>
        <v>Food Court</v>
      </c>
      <c r="Q2005" s="13" t="str">
        <f>_xlfn.XLOOKUP(tblTransactions[[#This Row],[tenant_id]],tblTenants[tenant_id],tblTenants[category],"NOT FOUND")</f>
        <v>Quick Service</v>
      </c>
    </row>
    <row r="2006" spans="1:17">
      <c r="A2006" t="s">
        <v>2050</v>
      </c>
      <c r="B2006" s="2">
        <v>45695</v>
      </c>
      <c r="C2006">
        <v>19</v>
      </c>
      <c r="D2006" t="s">
        <v>45</v>
      </c>
      <c r="E2006" t="s">
        <v>12</v>
      </c>
      <c r="F2006" s="7">
        <v>503.79</v>
      </c>
      <c r="G2006" s="10">
        <v>0</v>
      </c>
      <c r="H2006" s="7">
        <v>503.79</v>
      </c>
      <c r="I2006">
        <v>1</v>
      </c>
      <c r="J2006" t="s">
        <v>16</v>
      </c>
      <c r="K2006" s="13">
        <f>ROUND(tblTransactions[[#This Row],[gross_sales_inr]]*(1-tblTransactions[[#This Row],[discount_pct]]),2)</f>
        <v>503.79</v>
      </c>
      <c r="L2006" t="str">
        <f>IF(ABS(tblTransactions[[#This Row],[net_sales_inr]]-tblTransactions[[#This Row],[Recalc_Net_Sales]])&lt;0.02,"OK","CHECK")</f>
        <v>OK</v>
      </c>
      <c r="M2006" s="14">
        <f>DATE(YEAR(tblTransactions[[#This Row],[date]]),MONTH(tblTransactions[[#This Row],[date]]),1)</f>
        <v>45689</v>
      </c>
      <c r="N2006" t="str">
        <f>IF(WEEKDAY(tblTransactions[[#This Row],[date]],2)&gt;5,"Weekend","Weekday")</f>
        <v>Weekday</v>
      </c>
      <c r="O2006" s="13" t="str">
        <f>IF(tblTransactions[[#This Row],[discount_pct]]=0,"0%",IF(tblTransactions[[#This Row],[discount_pct]]&lt;=10%,"1–
10%",IF(tblTransactions[[#This Row],[discount_pct]]&lt;=20%,"11–20%","&gt;20%")))</f>
        <v>0%</v>
      </c>
      <c r="P2006" s="13" t="str">
        <f>_xlfn.XLOOKUP(tblTransactions[[#This Row],[tenant_id]],tblTenants[tenant_id],tblTenants[zone],"NOT FOUND")</f>
        <v>Home &amp; Living</v>
      </c>
      <c r="Q2006" s="13" t="str">
        <f>_xlfn.XLOOKUP(tblTransactions[[#This Row],[tenant_id]],tblTenants[tenant_id],tblTenants[category],"NOT FOUND")</f>
        <v>Home Decor</v>
      </c>
    </row>
    <row r="2007" spans="1:17">
      <c r="A2007" t="s">
        <v>2051</v>
      </c>
      <c r="B2007" s="2">
        <v>45812</v>
      </c>
      <c r="C2007">
        <v>20</v>
      </c>
      <c r="D2007" t="s">
        <v>11</v>
      </c>
      <c r="E2007" t="s">
        <v>12</v>
      </c>
      <c r="F2007" s="7">
        <v>2987.34</v>
      </c>
      <c r="G2007" s="10">
        <v>0</v>
      </c>
      <c r="H2007" s="7">
        <v>2987.34</v>
      </c>
      <c r="I2007">
        <v>5</v>
      </c>
      <c r="J2007" t="s">
        <v>13</v>
      </c>
      <c r="K2007" s="13">
        <f>ROUND(tblTransactions[[#This Row],[gross_sales_inr]]*(1-tblTransactions[[#This Row],[discount_pct]]),2)</f>
        <v>2987.34</v>
      </c>
      <c r="L2007" t="str">
        <f>IF(ABS(tblTransactions[[#This Row],[net_sales_inr]]-tblTransactions[[#This Row],[Recalc_Net_Sales]])&lt;0.02,"OK","CHECK")</f>
        <v>OK</v>
      </c>
      <c r="M2007" s="14">
        <f>DATE(YEAR(tblTransactions[[#This Row],[date]]),MONTH(tblTransactions[[#This Row],[date]]),1)</f>
        <v>45809</v>
      </c>
      <c r="N2007" t="str">
        <f>IF(WEEKDAY(tblTransactions[[#This Row],[date]],2)&gt;5,"Weekend","Weekday")</f>
        <v>Weekday</v>
      </c>
      <c r="O2007" s="13" t="str">
        <f>IF(tblTransactions[[#This Row],[discount_pct]]=0,"0%",IF(tblTransactions[[#This Row],[discount_pct]]&lt;=10%,"1–
10%",IF(tblTransactions[[#This Row],[discount_pct]]&lt;=20%,"11–20%","&gt;20%")))</f>
        <v>0%</v>
      </c>
      <c r="P2007" s="13" t="str">
        <f>_xlfn.XLOOKUP(tblTransactions[[#This Row],[tenant_id]],tblTenants[tenant_id],tblTenants[zone],"NOT FOUND")</f>
        <v>Home &amp; Living</v>
      </c>
      <c r="Q2007" s="13" t="str">
        <f>_xlfn.XLOOKUP(tblTransactions[[#This Row],[tenant_id]],tblTenants[tenant_id],tblTenants[category],"NOT FOUND")</f>
        <v>Home Decor</v>
      </c>
    </row>
    <row r="2008" spans="1:17">
      <c r="A2008" t="s">
        <v>2052</v>
      </c>
      <c r="B2008" s="2">
        <v>45717</v>
      </c>
      <c r="C2008">
        <v>16</v>
      </c>
      <c r="D2008" t="s">
        <v>34</v>
      </c>
      <c r="E2008" t="s">
        <v>32</v>
      </c>
      <c r="F2008" s="7">
        <v>1285.49</v>
      </c>
      <c r="G2008" s="10">
        <v>0</v>
      </c>
      <c r="H2008" s="7">
        <v>1285.49</v>
      </c>
      <c r="I2008">
        <v>2</v>
      </c>
      <c r="J2008" t="s">
        <v>13</v>
      </c>
      <c r="K2008" s="13">
        <f>ROUND(tblTransactions[[#This Row],[gross_sales_inr]]*(1-tblTransactions[[#This Row],[discount_pct]]),2)</f>
        <v>1285.49</v>
      </c>
      <c r="L2008" t="str">
        <f>IF(ABS(tblTransactions[[#This Row],[net_sales_inr]]-tblTransactions[[#This Row],[Recalc_Net_Sales]])&lt;0.02,"OK","CHECK")</f>
        <v>OK</v>
      </c>
      <c r="M2008" s="14">
        <f>DATE(YEAR(tblTransactions[[#This Row],[date]]),MONTH(tblTransactions[[#This Row],[date]]),1)</f>
        <v>45717</v>
      </c>
      <c r="N2008" t="str">
        <f>IF(WEEKDAY(tblTransactions[[#This Row],[date]],2)&gt;5,"Weekend","Weekday")</f>
        <v>Weekend</v>
      </c>
      <c r="O2008" s="13" t="str">
        <f>IF(tblTransactions[[#This Row],[discount_pct]]=0,"0%",IF(tblTransactions[[#This Row],[discount_pct]]&lt;=10%,"1–
10%",IF(tblTransactions[[#This Row],[discount_pct]]&lt;=20%,"11–20%","&gt;20%")))</f>
        <v>0%</v>
      </c>
      <c r="P2008" s="13" t="str">
        <f>_xlfn.XLOOKUP(tblTransactions[[#This Row],[tenant_id]],tblTenants[tenant_id],tblTenants[zone],"NOT FOUND")</f>
        <v>Home &amp; Living</v>
      </c>
      <c r="Q2008" s="13" t="str">
        <f>_xlfn.XLOOKUP(tblTransactions[[#This Row],[tenant_id]],tblTenants[tenant_id],tblTenants[category],"NOT FOUND")</f>
        <v>Electronics</v>
      </c>
    </row>
    <row r="2009" spans="1:17">
      <c r="A2009" t="s">
        <v>2053</v>
      </c>
      <c r="B2009" s="2">
        <v>45804</v>
      </c>
      <c r="C2009">
        <v>14</v>
      </c>
      <c r="D2009" t="s">
        <v>45</v>
      </c>
      <c r="E2009" t="s">
        <v>12</v>
      </c>
      <c r="F2009" s="7">
        <v>3130.03</v>
      </c>
      <c r="G2009" s="10">
        <v>0</v>
      </c>
      <c r="H2009" s="7">
        <v>3130.03</v>
      </c>
      <c r="I2009">
        <v>4</v>
      </c>
      <c r="J2009" t="s">
        <v>13</v>
      </c>
      <c r="K2009" s="13">
        <f>ROUND(tblTransactions[[#This Row],[gross_sales_inr]]*(1-tblTransactions[[#This Row],[discount_pct]]),2)</f>
        <v>3130.03</v>
      </c>
      <c r="L2009" t="str">
        <f>IF(ABS(tblTransactions[[#This Row],[net_sales_inr]]-tblTransactions[[#This Row],[Recalc_Net_Sales]])&lt;0.02,"OK","CHECK")</f>
        <v>OK</v>
      </c>
      <c r="M2009" s="14">
        <f>DATE(YEAR(tblTransactions[[#This Row],[date]]),MONTH(tblTransactions[[#This Row],[date]]),1)</f>
        <v>45778</v>
      </c>
      <c r="N2009" t="str">
        <f>IF(WEEKDAY(tblTransactions[[#This Row],[date]],2)&gt;5,"Weekend","Weekday")</f>
        <v>Weekday</v>
      </c>
      <c r="O2009" s="13" t="str">
        <f>IF(tblTransactions[[#This Row],[discount_pct]]=0,"0%",IF(tblTransactions[[#This Row],[discount_pct]]&lt;=10%,"1–
10%",IF(tblTransactions[[#This Row],[discount_pct]]&lt;=20%,"11–20%","&gt;20%")))</f>
        <v>0%</v>
      </c>
      <c r="P2009" s="13" t="str">
        <f>_xlfn.XLOOKUP(tblTransactions[[#This Row],[tenant_id]],tblTenants[tenant_id],tblTenants[zone],"NOT FOUND")</f>
        <v>Home &amp; Living</v>
      </c>
      <c r="Q2009" s="13" t="str">
        <f>_xlfn.XLOOKUP(tblTransactions[[#This Row],[tenant_id]],tblTenants[tenant_id],tblTenants[category],"NOT FOUND")</f>
        <v>Home Decor</v>
      </c>
    </row>
    <row r="2010" spans="1:17">
      <c r="A2010" t="s">
        <v>2054</v>
      </c>
      <c r="B2010" s="2">
        <v>45828</v>
      </c>
      <c r="C2010">
        <v>15</v>
      </c>
      <c r="D2010" t="s">
        <v>63</v>
      </c>
      <c r="E2010" t="s">
        <v>12</v>
      </c>
      <c r="F2010" s="7">
        <v>710.39</v>
      </c>
      <c r="G2010" s="10">
        <v>0.15</v>
      </c>
      <c r="H2010" s="7">
        <v>603.83000000000004</v>
      </c>
      <c r="I2010">
        <v>2</v>
      </c>
      <c r="J2010" t="s">
        <v>13</v>
      </c>
      <c r="K2010" s="13">
        <f>ROUND(tblTransactions[[#This Row],[gross_sales_inr]]*(1-tblTransactions[[#This Row],[discount_pct]]),2)</f>
        <v>603.83000000000004</v>
      </c>
      <c r="L2010" t="str">
        <f>IF(ABS(tblTransactions[[#This Row],[net_sales_inr]]-tblTransactions[[#This Row],[Recalc_Net_Sales]])&lt;0.02,"OK","CHECK")</f>
        <v>OK</v>
      </c>
      <c r="M2010" s="14">
        <f>DATE(YEAR(tblTransactions[[#This Row],[date]]),MONTH(tblTransactions[[#This Row],[date]]),1)</f>
        <v>45809</v>
      </c>
      <c r="N2010" t="str">
        <f>IF(WEEKDAY(tblTransactions[[#This Row],[date]],2)&gt;5,"Weekend","Weekday")</f>
        <v>Weekday</v>
      </c>
      <c r="O201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10" s="13" t="str">
        <f>_xlfn.XLOOKUP(tblTransactions[[#This Row],[tenant_id]],tblTenants[tenant_id],tblTenants[zone],"NOT FOUND")</f>
        <v>Entertainment</v>
      </c>
      <c r="Q2010" s="13" t="str">
        <f>_xlfn.XLOOKUP(tblTransactions[[#This Row],[tenant_id]],tblTenants[tenant_id],tblTenants[category],"NOT FOUND")</f>
        <v>Family Entertainment</v>
      </c>
    </row>
    <row r="2011" spans="1:17">
      <c r="A2011" t="s">
        <v>2055</v>
      </c>
      <c r="B2011" s="2">
        <v>45785</v>
      </c>
      <c r="C2011">
        <v>17</v>
      </c>
      <c r="D2011" t="s">
        <v>27</v>
      </c>
      <c r="E2011" t="s">
        <v>12</v>
      </c>
      <c r="F2011" s="7">
        <v>1044.9100000000001</v>
      </c>
      <c r="G2011" s="10">
        <v>0.05</v>
      </c>
      <c r="H2011" s="7">
        <v>992.66</v>
      </c>
      <c r="I2011">
        <v>1</v>
      </c>
      <c r="J2011" t="s">
        <v>13</v>
      </c>
      <c r="K2011" s="13">
        <f>ROUND(tblTransactions[[#This Row],[gross_sales_inr]]*(1-tblTransactions[[#This Row],[discount_pct]]),2)</f>
        <v>992.66</v>
      </c>
      <c r="L2011" t="str">
        <f>IF(ABS(tblTransactions[[#This Row],[net_sales_inr]]-tblTransactions[[#This Row],[Recalc_Net_Sales]])&lt;0.02,"OK","CHECK")</f>
        <v>OK</v>
      </c>
      <c r="M2011" s="14">
        <f>DATE(YEAR(tblTransactions[[#This Row],[date]]),MONTH(tblTransactions[[#This Row],[date]]),1)</f>
        <v>45778</v>
      </c>
      <c r="N2011" t="str">
        <f>IF(WEEKDAY(tblTransactions[[#This Row],[date]],2)&gt;5,"Weekend","Weekday")</f>
        <v>Weekday</v>
      </c>
      <c r="O201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11" s="13" t="str">
        <f>_xlfn.XLOOKUP(tblTransactions[[#This Row],[tenant_id]],tblTenants[tenant_id],tblTenants[zone],"NOT FOUND")</f>
        <v>Beauty &amp; Wellness</v>
      </c>
      <c r="Q2011" s="13" t="str">
        <f>_xlfn.XLOOKUP(tblTransactions[[#This Row],[tenant_id]],tblTenants[tenant_id],tblTenants[category],"NOT FOUND")</f>
        <v>Wellness</v>
      </c>
    </row>
    <row r="2012" spans="1:17">
      <c r="A2012" t="s">
        <v>2056</v>
      </c>
      <c r="B2012" s="2">
        <v>45690</v>
      </c>
      <c r="C2012">
        <v>18</v>
      </c>
      <c r="D2012" t="s">
        <v>41</v>
      </c>
      <c r="E2012" t="s">
        <v>21</v>
      </c>
      <c r="F2012" s="7">
        <v>368.27</v>
      </c>
      <c r="G2012" s="10">
        <v>0</v>
      </c>
      <c r="H2012" s="7">
        <v>368.27</v>
      </c>
      <c r="I2012">
        <v>2</v>
      </c>
      <c r="J2012" t="s">
        <v>13</v>
      </c>
      <c r="K2012" s="13">
        <f>ROUND(tblTransactions[[#This Row],[gross_sales_inr]]*(1-tblTransactions[[#This Row],[discount_pct]]),2)</f>
        <v>368.27</v>
      </c>
      <c r="L2012" t="str">
        <f>IF(ABS(tblTransactions[[#This Row],[net_sales_inr]]-tblTransactions[[#This Row],[Recalc_Net_Sales]])&lt;0.02,"OK","CHECK")</f>
        <v>OK</v>
      </c>
      <c r="M2012" s="14">
        <f>DATE(YEAR(tblTransactions[[#This Row],[date]]),MONTH(tblTransactions[[#This Row],[date]]),1)</f>
        <v>45689</v>
      </c>
      <c r="N2012" t="str">
        <f>IF(WEEKDAY(tblTransactions[[#This Row],[date]],2)&gt;5,"Weekend","Weekday")</f>
        <v>Weekend</v>
      </c>
      <c r="O2012" s="13" t="str">
        <f>IF(tblTransactions[[#This Row],[discount_pct]]=0,"0%",IF(tblTransactions[[#This Row],[discount_pct]]&lt;=10%,"1–
10%",IF(tblTransactions[[#This Row],[discount_pct]]&lt;=20%,"11–20%","&gt;20%")))</f>
        <v>0%</v>
      </c>
      <c r="P2012" s="13" t="str">
        <f>_xlfn.XLOOKUP(tblTransactions[[#This Row],[tenant_id]],tblTenants[tenant_id],tblTenants[zone],"NOT FOUND")</f>
        <v>Fashion Avenue</v>
      </c>
      <c r="Q2012" s="13" t="str">
        <f>_xlfn.XLOOKUP(tblTransactions[[#This Row],[tenant_id]],tblTenants[tenant_id],tblTenants[category],"NOT FOUND")</f>
        <v>Clothing</v>
      </c>
    </row>
    <row r="2013" spans="1:17">
      <c r="A2013" t="s">
        <v>2057</v>
      </c>
      <c r="B2013" s="2">
        <v>45728</v>
      </c>
      <c r="C2013">
        <v>11</v>
      </c>
      <c r="D2013" t="s">
        <v>204</v>
      </c>
      <c r="E2013" t="s">
        <v>21</v>
      </c>
      <c r="F2013" s="7">
        <v>1108.6300000000001</v>
      </c>
      <c r="G2013" s="10">
        <v>0.1</v>
      </c>
      <c r="H2013" s="7">
        <v>997.77</v>
      </c>
      <c r="I2013">
        <v>1</v>
      </c>
      <c r="J2013" t="s">
        <v>16</v>
      </c>
      <c r="K2013" s="13">
        <f>ROUND(tblTransactions[[#This Row],[gross_sales_inr]]*(1-tblTransactions[[#This Row],[discount_pct]]),2)</f>
        <v>997.77</v>
      </c>
      <c r="L2013" t="str">
        <f>IF(ABS(tblTransactions[[#This Row],[net_sales_inr]]-tblTransactions[[#This Row],[Recalc_Net_Sales]])&lt;0.02,"OK","CHECK")</f>
        <v>OK</v>
      </c>
      <c r="M2013" s="14">
        <f>DATE(YEAR(tblTransactions[[#This Row],[date]]),MONTH(tblTransactions[[#This Row],[date]]),1)</f>
        <v>45717</v>
      </c>
      <c r="N2013" t="str">
        <f>IF(WEEKDAY(tblTransactions[[#This Row],[date]],2)&gt;5,"Weekend","Weekday")</f>
        <v>Weekday</v>
      </c>
      <c r="O201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13" s="13" t="str">
        <f>_xlfn.XLOOKUP(tblTransactions[[#This Row],[tenant_id]],tblTenants[tenant_id],tblTenants[zone],"NOT FOUND")</f>
        <v>Home &amp; Living</v>
      </c>
      <c r="Q2013" s="13" t="str">
        <f>_xlfn.XLOOKUP(tblTransactions[[#This Row],[tenant_id]],tblTenants[tenant_id],tblTenants[category],"NOT FOUND")</f>
        <v>Home Decor</v>
      </c>
    </row>
    <row r="2014" spans="1:17">
      <c r="A2014" t="s">
        <v>2058</v>
      </c>
      <c r="B2014" s="2">
        <v>45705</v>
      </c>
      <c r="C2014">
        <v>12</v>
      </c>
      <c r="D2014" t="s">
        <v>25</v>
      </c>
      <c r="E2014" t="s">
        <v>32</v>
      </c>
      <c r="F2014" s="7">
        <v>2012.62</v>
      </c>
      <c r="G2014" s="10">
        <v>0.15</v>
      </c>
      <c r="H2014" s="7">
        <v>1710.73</v>
      </c>
      <c r="I2014">
        <v>2</v>
      </c>
      <c r="J2014" t="s">
        <v>13</v>
      </c>
      <c r="K2014" s="13">
        <f>ROUND(tblTransactions[[#This Row],[gross_sales_inr]]*(1-tblTransactions[[#This Row],[discount_pct]]),2)</f>
        <v>1710.73</v>
      </c>
      <c r="L2014" t="str">
        <f>IF(ABS(tblTransactions[[#This Row],[net_sales_inr]]-tblTransactions[[#This Row],[Recalc_Net_Sales]])&lt;0.02,"OK","CHECK")</f>
        <v>OK</v>
      </c>
      <c r="M2014" s="14">
        <f>DATE(YEAR(tblTransactions[[#This Row],[date]]),MONTH(tblTransactions[[#This Row],[date]]),1)</f>
        <v>45689</v>
      </c>
      <c r="N2014" t="str">
        <f>IF(WEEKDAY(tblTransactions[[#This Row],[date]],2)&gt;5,"Weekend","Weekday")</f>
        <v>Weekday</v>
      </c>
      <c r="O201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14" s="13" t="str">
        <f>_xlfn.XLOOKUP(tblTransactions[[#This Row],[tenant_id]],tblTenants[tenant_id],tblTenants[zone],"NOT FOUND")</f>
        <v>Beauty &amp; Wellness</v>
      </c>
      <c r="Q2014" s="13" t="str">
        <f>_xlfn.XLOOKUP(tblTransactions[[#This Row],[tenant_id]],tblTenants[tenant_id],tblTenants[category],"NOT FOUND")</f>
        <v>Beauty</v>
      </c>
    </row>
    <row r="2015" spans="1:17">
      <c r="A2015" t="s">
        <v>2059</v>
      </c>
      <c r="B2015" s="2">
        <v>45810</v>
      </c>
      <c r="C2015">
        <v>21</v>
      </c>
      <c r="D2015" t="s">
        <v>63</v>
      </c>
      <c r="E2015" t="s">
        <v>21</v>
      </c>
      <c r="F2015" s="7">
        <v>562.71</v>
      </c>
      <c r="G2015" s="10">
        <v>0.15</v>
      </c>
      <c r="H2015" s="7">
        <v>478.3</v>
      </c>
      <c r="I2015">
        <v>1</v>
      </c>
      <c r="J2015" t="s">
        <v>16</v>
      </c>
      <c r="K2015" s="13">
        <f>ROUND(tblTransactions[[#This Row],[gross_sales_inr]]*(1-tblTransactions[[#This Row],[discount_pct]]),2)</f>
        <v>478.3</v>
      </c>
      <c r="L2015" t="str">
        <f>IF(ABS(tblTransactions[[#This Row],[net_sales_inr]]-tblTransactions[[#This Row],[Recalc_Net_Sales]])&lt;0.02,"OK","CHECK")</f>
        <v>OK</v>
      </c>
      <c r="M2015" s="14">
        <f>DATE(YEAR(tblTransactions[[#This Row],[date]]),MONTH(tblTransactions[[#This Row],[date]]),1)</f>
        <v>45809</v>
      </c>
      <c r="N2015" t="str">
        <f>IF(WEEKDAY(tblTransactions[[#This Row],[date]],2)&gt;5,"Weekend","Weekday")</f>
        <v>Weekday</v>
      </c>
      <c r="O201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15" s="13" t="str">
        <f>_xlfn.XLOOKUP(tblTransactions[[#This Row],[tenant_id]],tblTenants[tenant_id],tblTenants[zone],"NOT FOUND")</f>
        <v>Entertainment</v>
      </c>
      <c r="Q2015" s="13" t="str">
        <f>_xlfn.XLOOKUP(tblTransactions[[#This Row],[tenant_id]],tblTenants[tenant_id],tblTenants[category],"NOT FOUND")</f>
        <v>Family Entertainment</v>
      </c>
    </row>
    <row r="2016" spans="1:17">
      <c r="A2016" t="s">
        <v>2060</v>
      </c>
      <c r="B2016" s="2">
        <v>45750</v>
      </c>
      <c r="C2016">
        <v>18</v>
      </c>
      <c r="D2016" t="s">
        <v>53</v>
      </c>
      <c r="E2016" t="s">
        <v>32</v>
      </c>
      <c r="F2016" s="7">
        <v>1349.49</v>
      </c>
      <c r="G2016" s="10">
        <v>0</v>
      </c>
      <c r="H2016" s="7">
        <v>1349.49</v>
      </c>
      <c r="I2016">
        <v>4</v>
      </c>
      <c r="J2016" t="s">
        <v>13</v>
      </c>
      <c r="K2016" s="13">
        <f>ROUND(tblTransactions[[#This Row],[gross_sales_inr]]*(1-tblTransactions[[#This Row],[discount_pct]]),2)</f>
        <v>1349.49</v>
      </c>
      <c r="L2016" t="str">
        <f>IF(ABS(tblTransactions[[#This Row],[net_sales_inr]]-tblTransactions[[#This Row],[Recalc_Net_Sales]])&lt;0.02,"OK","CHECK")</f>
        <v>OK</v>
      </c>
      <c r="M2016" s="14">
        <f>DATE(YEAR(tblTransactions[[#This Row],[date]]),MONTH(tblTransactions[[#This Row],[date]]),1)</f>
        <v>45748</v>
      </c>
      <c r="N2016" t="str">
        <f>IF(WEEKDAY(tblTransactions[[#This Row],[date]],2)&gt;5,"Weekend","Weekday")</f>
        <v>Weekday</v>
      </c>
      <c r="O2016" s="13" t="str">
        <f>IF(tblTransactions[[#This Row],[discount_pct]]=0,"0%",IF(tblTransactions[[#This Row],[discount_pct]]&lt;=10%,"1–
10%",IF(tblTransactions[[#This Row],[discount_pct]]&lt;=20%,"11–20%","&gt;20%")))</f>
        <v>0%</v>
      </c>
      <c r="P2016" s="13" t="str">
        <f>_xlfn.XLOOKUP(tblTransactions[[#This Row],[tenant_id]],tblTenants[tenant_id],tblTenants[zone],"NOT FOUND")</f>
        <v>Beauty &amp; Wellness</v>
      </c>
      <c r="Q2016" s="13" t="str">
        <f>_xlfn.XLOOKUP(tblTransactions[[#This Row],[tenant_id]],tblTenants[tenant_id],tblTenants[category],"NOT FOUND")</f>
        <v>Beauty</v>
      </c>
    </row>
    <row r="2017" spans="1:17">
      <c r="A2017" t="s">
        <v>2061</v>
      </c>
      <c r="B2017" s="2">
        <v>45748</v>
      </c>
      <c r="C2017">
        <v>10</v>
      </c>
      <c r="D2017" t="s">
        <v>122</v>
      </c>
      <c r="E2017" t="s">
        <v>21</v>
      </c>
      <c r="F2017" s="7">
        <v>518.30999999999995</v>
      </c>
      <c r="G2017" s="10">
        <v>0</v>
      </c>
      <c r="H2017" s="7">
        <v>518.30999999999995</v>
      </c>
      <c r="I2017">
        <v>1</v>
      </c>
      <c r="J2017" t="s">
        <v>13</v>
      </c>
      <c r="K2017" s="13">
        <f>ROUND(tblTransactions[[#This Row],[gross_sales_inr]]*(1-tblTransactions[[#This Row],[discount_pct]]),2)</f>
        <v>518.30999999999995</v>
      </c>
      <c r="L2017" t="str">
        <f>IF(ABS(tblTransactions[[#This Row],[net_sales_inr]]-tblTransactions[[#This Row],[Recalc_Net_Sales]])&lt;0.02,"OK","CHECK")</f>
        <v>OK</v>
      </c>
      <c r="M2017" s="14">
        <f>DATE(YEAR(tblTransactions[[#This Row],[date]]),MONTH(tblTransactions[[#This Row],[date]]),1)</f>
        <v>45748</v>
      </c>
      <c r="N2017" t="str">
        <f>IF(WEEKDAY(tblTransactions[[#This Row],[date]],2)&gt;5,"Weekend","Weekday")</f>
        <v>Weekday</v>
      </c>
      <c r="O2017" s="13" t="str">
        <f>IF(tblTransactions[[#This Row],[discount_pct]]=0,"0%",IF(tblTransactions[[#This Row],[discount_pct]]&lt;=10%,"1–
10%",IF(tblTransactions[[#This Row],[discount_pct]]&lt;=20%,"11–20%","&gt;20%")))</f>
        <v>0%</v>
      </c>
      <c r="P2017" s="13" t="str">
        <f>_xlfn.XLOOKUP(tblTransactions[[#This Row],[tenant_id]],tblTenants[tenant_id],tblTenants[zone],"NOT FOUND")</f>
        <v>Beauty &amp; Wellness</v>
      </c>
      <c r="Q2017" s="13" t="str">
        <f>_xlfn.XLOOKUP(tblTransactions[[#This Row],[tenant_id]],tblTenants[tenant_id],tblTenants[category],"NOT FOUND")</f>
        <v>Wellness</v>
      </c>
    </row>
    <row r="2018" spans="1:17">
      <c r="A2018" t="s">
        <v>2062</v>
      </c>
      <c r="B2018" s="2">
        <v>45684</v>
      </c>
      <c r="C2018">
        <v>18</v>
      </c>
      <c r="D2018" t="s">
        <v>29</v>
      </c>
      <c r="E2018" t="s">
        <v>32</v>
      </c>
      <c r="F2018" s="7">
        <v>945.52</v>
      </c>
      <c r="G2018" s="10">
        <v>0.1</v>
      </c>
      <c r="H2018" s="7">
        <v>850.97</v>
      </c>
      <c r="I2018">
        <v>1</v>
      </c>
      <c r="J2018" t="s">
        <v>16</v>
      </c>
      <c r="K2018" s="13">
        <f>ROUND(tblTransactions[[#This Row],[gross_sales_inr]]*(1-tblTransactions[[#This Row],[discount_pct]]),2)</f>
        <v>850.97</v>
      </c>
      <c r="L2018" t="str">
        <f>IF(ABS(tblTransactions[[#This Row],[net_sales_inr]]-tblTransactions[[#This Row],[Recalc_Net_Sales]])&lt;0.02,"OK","CHECK")</f>
        <v>OK</v>
      </c>
      <c r="M2018" s="14">
        <f>DATE(YEAR(tblTransactions[[#This Row],[date]]),MONTH(tblTransactions[[#This Row],[date]]),1)</f>
        <v>45658</v>
      </c>
      <c r="N2018" t="str">
        <f>IF(WEEKDAY(tblTransactions[[#This Row],[date]],2)&gt;5,"Weekend","Weekday")</f>
        <v>Weekday</v>
      </c>
      <c r="O201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18" s="13" t="str">
        <f>_xlfn.XLOOKUP(tblTransactions[[#This Row],[tenant_id]],tblTenants[tenant_id],tblTenants[zone],"NOT FOUND")</f>
        <v>Entertainment</v>
      </c>
      <c r="Q2018" s="13" t="str">
        <f>_xlfn.XLOOKUP(tblTransactions[[#This Row],[tenant_id]],tblTenants[tenant_id],tblTenants[category],"NOT FOUND")</f>
        <v>Cinema</v>
      </c>
    </row>
    <row r="2019" spans="1:17">
      <c r="A2019" t="s">
        <v>2063</v>
      </c>
      <c r="B2019" s="2">
        <v>45786</v>
      </c>
      <c r="C2019">
        <v>17</v>
      </c>
      <c r="D2019" t="s">
        <v>57</v>
      </c>
      <c r="E2019" t="s">
        <v>12</v>
      </c>
      <c r="F2019" s="7">
        <v>1356.63</v>
      </c>
      <c r="G2019" s="10">
        <v>0.15</v>
      </c>
      <c r="H2019" s="7">
        <v>1153.1400000000001</v>
      </c>
      <c r="I2019">
        <v>4</v>
      </c>
      <c r="J2019" t="s">
        <v>16</v>
      </c>
      <c r="K2019" s="13">
        <f>ROUND(tblTransactions[[#This Row],[gross_sales_inr]]*(1-tblTransactions[[#This Row],[discount_pct]]),2)</f>
        <v>1153.1400000000001</v>
      </c>
      <c r="L2019" t="str">
        <f>IF(ABS(tblTransactions[[#This Row],[net_sales_inr]]-tblTransactions[[#This Row],[Recalc_Net_Sales]])&lt;0.02,"OK","CHECK")</f>
        <v>OK</v>
      </c>
      <c r="M2019" s="14">
        <f>DATE(YEAR(tblTransactions[[#This Row],[date]]),MONTH(tblTransactions[[#This Row],[date]]),1)</f>
        <v>45778</v>
      </c>
      <c r="N2019" t="str">
        <f>IF(WEEKDAY(tblTransactions[[#This Row],[date]],2)&gt;5,"Weekend","Weekday")</f>
        <v>Weekday</v>
      </c>
      <c r="O201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19" s="13" t="str">
        <f>_xlfn.XLOOKUP(tblTransactions[[#This Row],[tenant_id]],tblTenants[tenant_id],tblTenants[zone],"NOT FOUND")</f>
        <v>Food Court</v>
      </c>
      <c r="Q2019" s="13" t="str">
        <f>_xlfn.XLOOKUP(tblTransactions[[#This Row],[tenant_id]],tblTenants[tenant_id],tblTenants[category],"NOT FOUND")</f>
        <v>Casual Dining</v>
      </c>
    </row>
    <row r="2020" spans="1:17">
      <c r="A2020" t="s">
        <v>2064</v>
      </c>
      <c r="B2020" s="2">
        <v>45729</v>
      </c>
      <c r="C2020">
        <v>15</v>
      </c>
      <c r="D2020" t="s">
        <v>45</v>
      </c>
      <c r="E2020" t="s">
        <v>32</v>
      </c>
      <c r="F2020" s="7">
        <v>719.72</v>
      </c>
      <c r="G2020" s="10">
        <v>0.05</v>
      </c>
      <c r="H2020" s="7">
        <v>683.73</v>
      </c>
      <c r="I2020">
        <v>1</v>
      </c>
      <c r="J2020" t="s">
        <v>13</v>
      </c>
      <c r="K2020" s="13">
        <f>ROUND(tblTransactions[[#This Row],[gross_sales_inr]]*(1-tblTransactions[[#This Row],[discount_pct]]),2)</f>
        <v>683.73</v>
      </c>
      <c r="L2020" t="str">
        <f>IF(ABS(tblTransactions[[#This Row],[net_sales_inr]]-tblTransactions[[#This Row],[Recalc_Net_Sales]])&lt;0.02,"OK","CHECK")</f>
        <v>OK</v>
      </c>
      <c r="M2020" s="14">
        <f>DATE(YEAR(tblTransactions[[#This Row],[date]]),MONTH(tblTransactions[[#This Row],[date]]),1)</f>
        <v>45717</v>
      </c>
      <c r="N2020" t="str">
        <f>IF(WEEKDAY(tblTransactions[[#This Row],[date]],2)&gt;5,"Weekend","Weekday")</f>
        <v>Weekday</v>
      </c>
      <c r="O202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20" s="13" t="str">
        <f>_xlfn.XLOOKUP(tblTransactions[[#This Row],[tenant_id]],tblTenants[tenant_id],tblTenants[zone],"NOT FOUND")</f>
        <v>Home &amp; Living</v>
      </c>
      <c r="Q2020" s="13" t="str">
        <f>_xlfn.XLOOKUP(tblTransactions[[#This Row],[tenant_id]],tblTenants[tenant_id],tblTenants[category],"NOT FOUND")</f>
        <v>Home Decor</v>
      </c>
    </row>
    <row r="2021" spans="1:17">
      <c r="A2021" t="s">
        <v>2065</v>
      </c>
      <c r="B2021" s="2">
        <v>45715</v>
      </c>
      <c r="C2021">
        <v>17</v>
      </c>
      <c r="D2021" t="s">
        <v>57</v>
      </c>
      <c r="E2021" t="s">
        <v>32</v>
      </c>
      <c r="F2021" s="7">
        <v>4506.7</v>
      </c>
      <c r="G2021" s="10">
        <v>0.1</v>
      </c>
      <c r="H2021" s="7">
        <v>4056.03</v>
      </c>
      <c r="I2021">
        <v>4</v>
      </c>
      <c r="J2021" t="s">
        <v>16</v>
      </c>
      <c r="K2021" s="13">
        <f>ROUND(tblTransactions[[#This Row],[gross_sales_inr]]*(1-tblTransactions[[#This Row],[discount_pct]]),2)</f>
        <v>4056.03</v>
      </c>
      <c r="L2021" t="str">
        <f>IF(ABS(tblTransactions[[#This Row],[net_sales_inr]]-tblTransactions[[#This Row],[Recalc_Net_Sales]])&lt;0.02,"OK","CHECK")</f>
        <v>OK</v>
      </c>
      <c r="M2021" s="14">
        <f>DATE(YEAR(tblTransactions[[#This Row],[date]]),MONTH(tblTransactions[[#This Row],[date]]),1)</f>
        <v>45689</v>
      </c>
      <c r="N2021" t="str">
        <f>IF(WEEKDAY(tblTransactions[[#This Row],[date]],2)&gt;5,"Weekend","Weekday")</f>
        <v>Weekday</v>
      </c>
      <c r="O202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21" s="13" t="str">
        <f>_xlfn.XLOOKUP(tblTransactions[[#This Row],[tenant_id]],tblTenants[tenant_id],tblTenants[zone],"NOT FOUND")</f>
        <v>Food Court</v>
      </c>
      <c r="Q2021" s="13" t="str">
        <f>_xlfn.XLOOKUP(tblTransactions[[#This Row],[tenant_id]],tblTenants[tenant_id],tblTenants[category],"NOT FOUND")</f>
        <v>Casual Dining</v>
      </c>
    </row>
    <row r="2022" spans="1:17">
      <c r="A2022" t="s">
        <v>2066</v>
      </c>
      <c r="B2022" s="2">
        <v>45694</v>
      </c>
      <c r="C2022">
        <v>16</v>
      </c>
      <c r="D2022" t="s">
        <v>11</v>
      </c>
      <c r="E2022" t="s">
        <v>12</v>
      </c>
      <c r="F2022" s="7">
        <v>814.14</v>
      </c>
      <c r="G2022" s="10">
        <v>0.15</v>
      </c>
      <c r="H2022" s="7">
        <v>692.02</v>
      </c>
      <c r="I2022">
        <v>3</v>
      </c>
      <c r="J2022" t="s">
        <v>13</v>
      </c>
      <c r="K2022" s="13">
        <f>ROUND(tblTransactions[[#This Row],[gross_sales_inr]]*(1-tblTransactions[[#This Row],[discount_pct]]),2)</f>
        <v>692.02</v>
      </c>
      <c r="L2022" t="str">
        <f>IF(ABS(tblTransactions[[#This Row],[net_sales_inr]]-tblTransactions[[#This Row],[Recalc_Net_Sales]])&lt;0.02,"OK","CHECK")</f>
        <v>OK</v>
      </c>
      <c r="M2022" s="14">
        <f>DATE(YEAR(tblTransactions[[#This Row],[date]]),MONTH(tblTransactions[[#This Row],[date]]),1)</f>
        <v>45689</v>
      </c>
      <c r="N2022" t="str">
        <f>IF(WEEKDAY(tblTransactions[[#This Row],[date]],2)&gt;5,"Weekend","Weekday")</f>
        <v>Weekday</v>
      </c>
      <c r="O202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22" s="13" t="str">
        <f>_xlfn.XLOOKUP(tblTransactions[[#This Row],[tenant_id]],tblTenants[tenant_id],tblTenants[zone],"NOT FOUND")</f>
        <v>Home &amp; Living</v>
      </c>
      <c r="Q2022" s="13" t="str">
        <f>_xlfn.XLOOKUP(tblTransactions[[#This Row],[tenant_id]],tblTenants[tenant_id],tblTenants[category],"NOT FOUND")</f>
        <v>Home Decor</v>
      </c>
    </row>
    <row r="2023" spans="1:17">
      <c r="A2023" t="s">
        <v>2067</v>
      </c>
      <c r="B2023" s="2">
        <v>45662</v>
      </c>
      <c r="C2023">
        <v>13</v>
      </c>
      <c r="D2023" t="s">
        <v>53</v>
      </c>
      <c r="E2023" t="s">
        <v>12</v>
      </c>
      <c r="F2023" s="7">
        <v>1569.52</v>
      </c>
      <c r="G2023" s="10">
        <v>0.15</v>
      </c>
      <c r="H2023" s="7">
        <v>1334.09</v>
      </c>
      <c r="I2023">
        <v>2</v>
      </c>
      <c r="J2023" t="s">
        <v>13</v>
      </c>
      <c r="K2023" s="13">
        <f>ROUND(tblTransactions[[#This Row],[gross_sales_inr]]*(1-tblTransactions[[#This Row],[discount_pct]]),2)</f>
        <v>1334.09</v>
      </c>
      <c r="L2023" t="str">
        <f>IF(ABS(tblTransactions[[#This Row],[net_sales_inr]]-tblTransactions[[#This Row],[Recalc_Net_Sales]])&lt;0.02,"OK","CHECK")</f>
        <v>OK</v>
      </c>
      <c r="M2023" s="14">
        <f>DATE(YEAR(tblTransactions[[#This Row],[date]]),MONTH(tblTransactions[[#This Row],[date]]),1)</f>
        <v>45658</v>
      </c>
      <c r="N2023" t="str">
        <f>IF(WEEKDAY(tblTransactions[[#This Row],[date]],2)&gt;5,"Weekend","Weekday")</f>
        <v>Weekend</v>
      </c>
      <c r="O202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23" s="13" t="str">
        <f>_xlfn.XLOOKUP(tblTransactions[[#This Row],[tenant_id]],tblTenants[tenant_id],tblTenants[zone],"NOT FOUND")</f>
        <v>Beauty &amp; Wellness</v>
      </c>
      <c r="Q2023" s="13" t="str">
        <f>_xlfn.XLOOKUP(tblTransactions[[#This Row],[tenant_id]],tblTenants[tenant_id],tblTenants[category],"NOT FOUND")</f>
        <v>Beauty</v>
      </c>
    </row>
    <row r="2024" spans="1:17">
      <c r="A2024" t="s">
        <v>2068</v>
      </c>
      <c r="B2024" s="2">
        <v>45768</v>
      </c>
      <c r="C2024">
        <v>10</v>
      </c>
      <c r="D2024" t="s">
        <v>72</v>
      </c>
      <c r="E2024" t="s">
        <v>51</v>
      </c>
      <c r="F2024" s="7">
        <v>626.05999999999995</v>
      </c>
      <c r="G2024" s="10">
        <v>0.05</v>
      </c>
      <c r="H2024" s="7">
        <v>594.76</v>
      </c>
      <c r="I2024">
        <v>2</v>
      </c>
      <c r="J2024" t="s">
        <v>13</v>
      </c>
      <c r="K2024" s="13">
        <f>ROUND(tblTransactions[[#This Row],[gross_sales_inr]]*(1-tblTransactions[[#This Row],[discount_pct]]),2)</f>
        <v>594.76</v>
      </c>
      <c r="L2024" t="str">
        <f>IF(ABS(tblTransactions[[#This Row],[net_sales_inr]]-tblTransactions[[#This Row],[Recalc_Net_Sales]])&lt;0.02,"OK","CHECK")</f>
        <v>OK</v>
      </c>
      <c r="M2024" s="14">
        <f>DATE(YEAR(tblTransactions[[#This Row],[date]]),MONTH(tblTransactions[[#This Row],[date]]),1)</f>
        <v>45748</v>
      </c>
      <c r="N2024" t="str">
        <f>IF(WEEKDAY(tblTransactions[[#This Row],[date]],2)&gt;5,"Weekend","Weekday")</f>
        <v>Weekday</v>
      </c>
      <c r="O202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24" s="13" t="str">
        <f>_xlfn.XLOOKUP(tblTransactions[[#This Row],[tenant_id]],tblTenants[tenant_id],tblTenants[zone],"NOT FOUND")</f>
        <v>Entertainment</v>
      </c>
      <c r="Q2024" s="13" t="str">
        <f>_xlfn.XLOOKUP(tblTransactions[[#This Row],[tenant_id]],tblTenants[tenant_id],tblTenants[category],"NOT FOUND")</f>
        <v>Arcade</v>
      </c>
    </row>
    <row r="2025" spans="1:17">
      <c r="A2025" t="s">
        <v>2069</v>
      </c>
      <c r="B2025" s="2">
        <v>45669</v>
      </c>
      <c r="C2025">
        <v>13</v>
      </c>
      <c r="D2025" t="s">
        <v>27</v>
      </c>
      <c r="E2025" t="s">
        <v>32</v>
      </c>
      <c r="F2025" s="7">
        <v>2336.48</v>
      </c>
      <c r="G2025" s="10">
        <v>0</v>
      </c>
      <c r="H2025" s="7">
        <v>2336.48</v>
      </c>
      <c r="I2025">
        <v>2</v>
      </c>
      <c r="J2025" t="s">
        <v>13</v>
      </c>
      <c r="K2025" s="13">
        <f>ROUND(tblTransactions[[#This Row],[gross_sales_inr]]*(1-tblTransactions[[#This Row],[discount_pct]]),2)</f>
        <v>2336.48</v>
      </c>
      <c r="L2025" t="str">
        <f>IF(ABS(tblTransactions[[#This Row],[net_sales_inr]]-tblTransactions[[#This Row],[Recalc_Net_Sales]])&lt;0.02,"OK","CHECK")</f>
        <v>OK</v>
      </c>
      <c r="M2025" s="14">
        <f>DATE(YEAR(tblTransactions[[#This Row],[date]]),MONTH(tblTransactions[[#This Row],[date]]),1)</f>
        <v>45658</v>
      </c>
      <c r="N2025" t="str">
        <f>IF(WEEKDAY(tblTransactions[[#This Row],[date]],2)&gt;5,"Weekend","Weekday")</f>
        <v>Weekend</v>
      </c>
      <c r="O2025" s="13" t="str">
        <f>IF(tblTransactions[[#This Row],[discount_pct]]=0,"0%",IF(tblTransactions[[#This Row],[discount_pct]]&lt;=10%,"1–
10%",IF(tblTransactions[[#This Row],[discount_pct]]&lt;=20%,"11–20%","&gt;20%")))</f>
        <v>0%</v>
      </c>
      <c r="P2025" s="13" t="str">
        <f>_xlfn.XLOOKUP(tblTransactions[[#This Row],[tenant_id]],tblTenants[tenant_id],tblTenants[zone],"NOT FOUND")</f>
        <v>Beauty &amp; Wellness</v>
      </c>
      <c r="Q2025" s="13" t="str">
        <f>_xlfn.XLOOKUP(tblTransactions[[#This Row],[tenant_id]],tblTenants[tenant_id],tblTenants[category],"NOT FOUND")</f>
        <v>Wellness</v>
      </c>
    </row>
    <row r="2026" spans="1:17">
      <c r="A2026" t="s">
        <v>2070</v>
      </c>
      <c r="B2026" s="2">
        <v>45747</v>
      </c>
      <c r="C2026">
        <v>11</v>
      </c>
      <c r="D2026" t="s">
        <v>87</v>
      </c>
      <c r="E2026" t="s">
        <v>32</v>
      </c>
      <c r="F2026" s="7">
        <v>1179.77</v>
      </c>
      <c r="G2026" s="10">
        <v>0</v>
      </c>
      <c r="H2026" s="7">
        <v>1179.77</v>
      </c>
      <c r="I2026">
        <v>1</v>
      </c>
      <c r="J2026" t="s">
        <v>13</v>
      </c>
      <c r="K2026" s="13">
        <f>ROUND(tblTransactions[[#This Row],[gross_sales_inr]]*(1-tblTransactions[[#This Row],[discount_pct]]),2)</f>
        <v>1179.77</v>
      </c>
      <c r="L2026" t="str">
        <f>IF(ABS(tblTransactions[[#This Row],[net_sales_inr]]-tblTransactions[[#This Row],[Recalc_Net_Sales]])&lt;0.02,"OK","CHECK")</f>
        <v>OK</v>
      </c>
      <c r="M2026" s="14">
        <f>DATE(YEAR(tblTransactions[[#This Row],[date]]),MONTH(tblTransactions[[#This Row],[date]]),1)</f>
        <v>45717</v>
      </c>
      <c r="N2026" t="str">
        <f>IF(WEEKDAY(tblTransactions[[#This Row],[date]],2)&gt;5,"Weekend","Weekday")</f>
        <v>Weekday</v>
      </c>
      <c r="O2026" s="13" t="str">
        <f>IF(tblTransactions[[#This Row],[discount_pct]]=0,"0%",IF(tblTransactions[[#This Row],[discount_pct]]&lt;=10%,"1–
10%",IF(tblTransactions[[#This Row],[discount_pct]]&lt;=20%,"11–20%","&gt;20%")))</f>
        <v>0%</v>
      </c>
      <c r="P2026" s="13" t="str">
        <f>_xlfn.XLOOKUP(tblTransactions[[#This Row],[tenant_id]],tblTenants[tenant_id],tblTenants[zone],"NOT FOUND")</f>
        <v>Fashion Avenue</v>
      </c>
      <c r="Q2026" s="13" t="str">
        <f>_xlfn.XLOOKUP(tblTransactions[[#This Row],[tenant_id]],tblTenants[tenant_id],tblTenants[category],"NOT FOUND")</f>
        <v>Footwear</v>
      </c>
    </row>
    <row r="2027" spans="1:17">
      <c r="A2027" t="s">
        <v>2071</v>
      </c>
      <c r="B2027" s="2">
        <v>45733</v>
      </c>
      <c r="C2027">
        <v>16</v>
      </c>
      <c r="D2027" t="s">
        <v>80</v>
      </c>
      <c r="E2027" t="s">
        <v>12</v>
      </c>
      <c r="F2027" s="7">
        <v>671.9</v>
      </c>
      <c r="G2027" s="10">
        <v>0.1</v>
      </c>
      <c r="H2027" s="7">
        <v>604.71</v>
      </c>
      <c r="I2027">
        <v>1</v>
      </c>
      <c r="J2027" t="s">
        <v>13</v>
      </c>
      <c r="K2027" s="13">
        <f>ROUND(tblTransactions[[#This Row],[gross_sales_inr]]*(1-tblTransactions[[#This Row],[discount_pct]]),2)</f>
        <v>604.71</v>
      </c>
      <c r="L2027" t="str">
        <f>IF(ABS(tblTransactions[[#This Row],[net_sales_inr]]-tblTransactions[[#This Row],[Recalc_Net_Sales]])&lt;0.02,"OK","CHECK")</f>
        <v>OK</v>
      </c>
      <c r="M2027" s="14">
        <f>DATE(YEAR(tblTransactions[[#This Row],[date]]),MONTH(tblTransactions[[#This Row],[date]]),1)</f>
        <v>45717</v>
      </c>
      <c r="N2027" t="str">
        <f>IF(WEEKDAY(tblTransactions[[#This Row],[date]],2)&gt;5,"Weekend","Weekday")</f>
        <v>Weekday</v>
      </c>
      <c r="O202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27" s="13" t="str">
        <f>_xlfn.XLOOKUP(tblTransactions[[#This Row],[tenant_id]],tblTenants[tenant_id],tblTenants[zone],"NOT FOUND")</f>
        <v>Food Court</v>
      </c>
      <c r="Q2027" s="13" t="str">
        <f>_xlfn.XLOOKUP(tblTransactions[[#This Row],[tenant_id]],tblTenants[tenant_id],tblTenants[category],"NOT FOUND")</f>
        <v>Casual Dining</v>
      </c>
    </row>
    <row r="2028" spans="1:17">
      <c r="A2028" t="s">
        <v>2072</v>
      </c>
      <c r="B2028" s="2">
        <v>45728</v>
      </c>
      <c r="C2028">
        <v>18</v>
      </c>
      <c r="D2028" t="s">
        <v>104</v>
      </c>
      <c r="E2028" t="s">
        <v>12</v>
      </c>
      <c r="F2028" s="7">
        <v>1929.48</v>
      </c>
      <c r="G2028" s="10">
        <v>0.2</v>
      </c>
      <c r="H2028" s="7">
        <v>1543.58</v>
      </c>
      <c r="I2028">
        <v>2</v>
      </c>
      <c r="J2028" t="s">
        <v>16</v>
      </c>
      <c r="K2028" s="13">
        <f>ROUND(tblTransactions[[#This Row],[gross_sales_inr]]*(1-tblTransactions[[#This Row],[discount_pct]]),2)</f>
        <v>1543.58</v>
      </c>
      <c r="L2028" t="str">
        <f>IF(ABS(tblTransactions[[#This Row],[net_sales_inr]]-tblTransactions[[#This Row],[Recalc_Net_Sales]])&lt;0.02,"OK","CHECK")</f>
        <v>OK</v>
      </c>
      <c r="M2028" s="14">
        <f>DATE(YEAR(tblTransactions[[#This Row],[date]]),MONTH(tblTransactions[[#This Row],[date]]),1)</f>
        <v>45717</v>
      </c>
      <c r="N2028" t="str">
        <f>IF(WEEKDAY(tblTransactions[[#This Row],[date]],2)&gt;5,"Weekend","Weekday")</f>
        <v>Weekday</v>
      </c>
      <c r="O202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28" s="13" t="str">
        <f>_xlfn.XLOOKUP(tblTransactions[[#This Row],[tenant_id]],tblTenants[tenant_id],tblTenants[zone],"NOT FOUND")</f>
        <v>Entertainment</v>
      </c>
      <c r="Q2028" s="13" t="str">
        <f>_xlfn.XLOOKUP(tblTransactions[[#This Row],[tenant_id]],tblTenants[tenant_id],tblTenants[category],"NOT FOUND")</f>
        <v>Family Entertainment</v>
      </c>
    </row>
    <row r="2029" spans="1:17">
      <c r="A2029" t="s">
        <v>2073</v>
      </c>
      <c r="B2029" s="2">
        <v>45666</v>
      </c>
      <c r="C2029">
        <v>22</v>
      </c>
      <c r="D2029" t="s">
        <v>48</v>
      </c>
      <c r="E2029" t="s">
        <v>51</v>
      </c>
      <c r="F2029" s="7">
        <v>610.15</v>
      </c>
      <c r="G2029" s="10">
        <v>0</v>
      </c>
      <c r="H2029" s="7">
        <v>610.15</v>
      </c>
      <c r="I2029">
        <v>1</v>
      </c>
      <c r="J2029" t="s">
        <v>13</v>
      </c>
      <c r="K2029" s="13">
        <f>ROUND(tblTransactions[[#This Row],[gross_sales_inr]]*(1-tblTransactions[[#This Row],[discount_pct]]),2)</f>
        <v>610.15</v>
      </c>
      <c r="L2029" t="str">
        <f>IF(ABS(tblTransactions[[#This Row],[net_sales_inr]]-tblTransactions[[#This Row],[Recalc_Net_Sales]])&lt;0.02,"OK","CHECK")</f>
        <v>OK</v>
      </c>
      <c r="M2029" s="14">
        <f>DATE(YEAR(tblTransactions[[#This Row],[date]]),MONTH(tblTransactions[[#This Row],[date]]),1)</f>
        <v>45658</v>
      </c>
      <c r="N2029" t="str">
        <f>IF(WEEKDAY(tblTransactions[[#This Row],[date]],2)&gt;5,"Weekend","Weekday")</f>
        <v>Weekday</v>
      </c>
      <c r="O2029" s="13" t="str">
        <f>IF(tblTransactions[[#This Row],[discount_pct]]=0,"0%",IF(tblTransactions[[#This Row],[discount_pct]]&lt;=10%,"1–
10%",IF(tblTransactions[[#This Row],[discount_pct]]&lt;=20%,"11–20%","&gt;20%")))</f>
        <v>0%</v>
      </c>
      <c r="P2029" s="13" t="str">
        <f>_xlfn.XLOOKUP(tblTransactions[[#This Row],[tenant_id]],tblTenants[tenant_id],tblTenants[zone],"NOT FOUND")</f>
        <v>Beauty &amp; Wellness</v>
      </c>
      <c r="Q2029" s="13" t="str">
        <f>_xlfn.XLOOKUP(tblTransactions[[#This Row],[tenant_id]],tblTenants[tenant_id],tblTenants[category],"NOT FOUND")</f>
        <v>Wellness</v>
      </c>
    </row>
    <row r="2030" spans="1:17">
      <c r="A2030" t="s">
        <v>2074</v>
      </c>
      <c r="B2030" s="2">
        <v>45685</v>
      </c>
      <c r="C2030">
        <v>20</v>
      </c>
      <c r="D2030" t="s">
        <v>87</v>
      </c>
      <c r="E2030" t="s">
        <v>12</v>
      </c>
      <c r="F2030" s="7">
        <v>2666.02</v>
      </c>
      <c r="G2030" s="10">
        <v>0.1</v>
      </c>
      <c r="H2030" s="7">
        <v>2399.42</v>
      </c>
      <c r="I2030">
        <v>2</v>
      </c>
      <c r="J2030" t="s">
        <v>13</v>
      </c>
      <c r="K2030" s="13">
        <f>ROUND(tblTransactions[[#This Row],[gross_sales_inr]]*(1-tblTransactions[[#This Row],[discount_pct]]),2)</f>
        <v>2399.42</v>
      </c>
      <c r="L2030" t="str">
        <f>IF(ABS(tblTransactions[[#This Row],[net_sales_inr]]-tblTransactions[[#This Row],[Recalc_Net_Sales]])&lt;0.02,"OK","CHECK")</f>
        <v>OK</v>
      </c>
      <c r="M2030" s="14">
        <f>DATE(YEAR(tblTransactions[[#This Row],[date]]),MONTH(tblTransactions[[#This Row],[date]]),1)</f>
        <v>45658</v>
      </c>
      <c r="N2030" t="str">
        <f>IF(WEEKDAY(tblTransactions[[#This Row],[date]],2)&gt;5,"Weekend","Weekday")</f>
        <v>Weekday</v>
      </c>
      <c r="O203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30" s="13" t="str">
        <f>_xlfn.XLOOKUP(tblTransactions[[#This Row],[tenant_id]],tblTenants[tenant_id],tblTenants[zone],"NOT FOUND")</f>
        <v>Fashion Avenue</v>
      </c>
      <c r="Q2030" s="13" t="str">
        <f>_xlfn.XLOOKUP(tblTransactions[[#This Row],[tenant_id]],tblTenants[tenant_id],tblTenants[category],"NOT FOUND")</f>
        <v>Footwear</v>
      </c>
    </row>
    <row r="2031" spans="1:17">
      <c r="A2031" t="s">
        <v>2075</v>
      </c>
      <c r="B2031" s="2">
        <v>45801</v>
      </c>
      <c r="C2031">
        <v>11</v>
      </c>
      <c r="D2031" t="s">
        <v>98</v>
      </c>
      <c r="E2031" t="s">
        <v>32</v>
      </c>
      <c r="F2031" s="7">
        <v>729.41</v>
      </c>
      <c r="G2031" s="10">
        <v>0</v>
      </c>
      <c r="H2031" s="7">
        <v>729.41</v>
      </c>
      <c r="I2031">
        <v>1</v>
      </c>
      <c r="J2031" t="s">
        <v>16</v>
      </c>
      <c r="K2031" s="13">
        <f>ROUND(tblTransactions[[#This Row],[gross_sales_inr]]*(1-tblTransactions[[#This Row],[discount_pct]]),2)</f>
        <v>729.41</v>
      </c>
      <c r="L2031" t="str">
        <f>IF(ABS(tblTransactions[[#This Row],[net_sales_inr]]-tblTransactions[[#This Row],[Recalc_Net_Sales]])&lt;0.02,"OK","CHECK")</f>
        <v>OK</v>
      </c>
      <c r="M2031" s="14">
        <f>DATE(YEAR(tblTransactions[[#This Row],[date]]),MONTH(tblTransactions[[#This Row],[date]]),1)</f>
        <v>45778</v>
      </c>
      <c r="N2031" t="str">
        <f>IF(WEEKDAY(tblTransactions[[#This Row],[date]],2)&gt;5,"Weekend","Weekday")</f>
        <v>Weekend</v>
      </c>
      <c r="O2031" s="13" t="str">
        <f>IF(tblTransactions[[#This Row],[discount_pct]]=0,"0%",IF(tblTransactions[[#This Row],[discount_pct]]&lt;=10%,"1–
10%",IF(tblTransactions[[#This Row],[discount_pct]]&lt;=20%,"11–20%","&gt;20%")))</f>
        <v>0%</v>
      </c>
      <c r="P2031" s="13" t="str">
        <f>_xlfn.XLOOKUP(tblTransactions[[#This Row],[tenant_id]],tblTenants[tenant_id],tblTenants[zone],"NOT FOUND")</f>
        <v>Fashion Avenue</v>
      </c>
      <c r="Q2031" s="13" t="str">
        <f>_xlfn.XLOOKUP(tblTransactions[[#This Row],[tenant_id]],tblTenants[tenant_id],tblTenants[category],"NOT FOUND")</f>
        <v>Accessories</v>
      </c>
    </row>
    <row r="2032" spans="1:17">
      <c r="A2032" t="s">
        <v>2076</v>
      </c>
      <c r="B2032" s="2">
        <v>45667</v>
      </c>
      <c r="C2032">
        <v>13</v>
      </c>
      <c r="D2032" t="s">
        <v>25</v>
      </c>
      <c r="E2032" t="s">
        <v>32</v>
      </c>
      <c r="F2032" s="7">
        <v>367.47</v>
      </c>
      <c r="G2032" s="10">
        <v>0.1</v>
      </c>
      <c r="H2032" s="7">
        <v>330.72</v>
      </c>
      <c r="I2032">
        <v>2</v>
      </c>
      <c r="J2032" t="s">
        <v>13</v>
      </c>
      <c r="K2032" s="13">
        <f>ROUND(tblTransactions[[#This Row],[gross_sales_inr]]*(1-tblTransactions[[#This Row],[discount_pct]]),2)</f>
        <v>330.72</v>
      </c>
      <c r="L2032" t="str">
        <f>IF(ABS(tblTransactions[[#This Row],[net_sales_inr]]-tblTransactions[[#This Row],[Recalc_Net_Sales]])&lt;0.02,"OK","CHECK")</f>
        <v>OK</v>
      </c>
      <c r="M2032" s="14">
        <f>DATE(YEAR(tblTransactions[[#This Row],[date]]),MONTH(tblTransactions[[#This Row],[date]]),1)</f>
        <v>45658</v>
      </c>
      <c r="N2032" t="str">
        <f>IF(WEEKDAY(tblTransactions[[#This Row],[date]],2)&gt;5,"Weekend","Weekday")</f>
        <v>Weekday</v>
      </c>
      <c r="O203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32" s="13" t="str">
        <f>_xlfn.XLOOKUP(tblTransactions[[#This Row],[tenant_id]],tblTenants[tenant_id],tblTenants[zone],"NOT FOUND")</f>
        <v>Beauty &amp; Wellness</v>
      </c>
      <c r="Q2032" s="13" t="str">
        <f>_xlfn.XLOOKUP(tblTransactions[[#This Row],[tenant_id]],tblTenants[tenant_id],tblTenants[category],"NOT FOUND")</f>
        <v>Beauty</v>
      </c>
    </row>
    <row r="2033" spans="1:17">
      <c r="A2033" t="s">
        <v>2077</v>
      </c>
      <c r="B2033" s="2">
        <v>45730</v>
      </c>
      <c r="C2033">
        <v>10</v>
      </c>
      <c r="D2033" t="s">
        <v>70</v>
      </c>
      <c r="E2033" t="s">
        <v>12</v>
      </c>
      <c r="F2033" s="7">
        <v>1066.1300000000001</v>
      </c>
      <c r="G2033" s="10">
        <v>0</v>
      </c>
      <c r="H2033" s="7">
        <v>1066.1300000000001</v>
      </c>
      <c r="I2033">
        <v>2</v>
      </c>
      <c r="J2033" t="s">
        <v>16</v>
      </c>
      <c r="K2033" s="13">
        <f>ROUND(tblTransactions[[#This Row],[gross_sales_inr]]*(1-tblTransactions[[#This Row],[discount_pct]]),2)</f>
        <v>1066.1300000000001</v>
      </c>
      <c r="L2033" t="str">
        <f>IF(ABS(tblTransactions[[#This Row],[net_sales_inr]]-tblTransactions[[#This Row],[Recalc_Net_Sales]])&lt;0.02,"OK","CHECK")</f>
        <v>OK</v>
      </c>
      <c r="M2033" s="14">
        <f>DATE(YEAR(tblTransactions[[#This Row],[date]]),MONTH(tblTransactions[[#This Row],[date]]),1)</f>
        <v>45717</v>
      </c>
      <c r="N2033" t="str">
        <f>IF(WEEKDAY(tblTransactions[[#This Row],[date]],2)&gt;5,"Weekend","Weekday")</f>
        <v>Weekday</v>
      </c>
      <c r="O2033" s="13" t="str">
        <f>IF(tblTransactions[[#This Row],[discount_pct]]=0,"0%",IF(tblTransactions[[#This Row],[discount_pct]]&lt;=10%,"1–
10%",IF(tblTransactions[[#This Row],[discount_pct]]&lt;=20%,"11–20%","&gt;20%")))</f>
        <v>0%</v>
      </c>
      <c r="P2033" s="13" t="str">
        <f>_xlfn.XLOOKUP(tblTransactions[[#This Row],[tenant_id]],tblTenants[tenant_id],tblTenants[zone],"NOT FOUND")</f>
        <v>Food Court</v>
      </c>
      <c r="Q2033" s="13" t="str">
        <f>_xlfn.XLOOKUP(tblTransactions[[#This Row],[tenant_id]],tblTenants[tenant_id],tblTenants[category],"NOT FOUND")</f>
        <v>Quick Service</v>
      </c>
    </row>
    <row r="2034" spans="1:17">
      <c r="A2034" t="s">
        <v>2078</v>
      </c>
      <c r="B2034" s="2">
        <v>45711</v>
      </c>
      <c r="C2034">
        <v>22</v>
      </c>
      <c r="D2034" t="s">
        <v>34</v>
      </c>
      <c r="E2034" t="s">
        <v>51</v>
      </c>
      <c r="F2034" s="7">
        <v>1715.86</v>
      </c>
      <c r="G2034" s="10">
        <v>0.15</v>
      </c>
      <c r="H2034" s="7">
        <v>1458.48</v>
      </c>
      <c r="I2034">
        <v>2</v>
      </c>
      <c r="J2034" t="s">
        <v>16</v>
      </c>
      <c r="K2034" s="13">
        <f>ROUND(tblTransactions[[#This Row],[gross_sales_inr]]*(1-tblTransactions[[#This Row],[discount_pct]]),2)</f>
        <v>1458.48</v>
      </c>
      <c r="L2034" t="str">
        <f>IF(ABS(tblTransactions[[#This Row],[net_sales_inr]]-tblTransactions[[#This Row],[Recalc_Net_Sales]])&lt;0.02,"OK","CHECK")</f>
        <v>OK</v>
      </c>
      <c r="M2034" s="14">
        <f>DATE(YEAR(tblTransactions[[#This Row],[date]]),MONTH(tblTransactions[[#This Row],[date]]),1)</f>
        <v>45689</v>
      </c>
      <c r="N2034" t="str">
        <f>IF(WEEKDAY(tblTransactions[[#This Row],[date]],2)&gt;5,"Weekend","Weekday")</f>
        <v>Weekend</v>
      </c>
      <c r="O203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34" s="13" t="str">
        <f>_xlfn.XLOOKUP(tblTransactions[[#This Row],[tenant_id]],tblTenants[tenant_id],tblTenants[zone],"NOT FOUND")</f>
        <v>Home &amp; Living</v>
      </c>
      <c r="Q2034" s="13" t="str">
        <f>_xlfn.XLOOKUP(tblTransactions[[#This Row],[tenant_id]],tblTenants[tenant_id],tblTenants[category],"NOT FOUND")</f>
        <v>Electronics</v>
      </c>
    </row>
    <row r="2035" spans="1:17">
      <c r="A2035" t="s">
        <v>2079</v>
      </c>
      <c r="B2035" s="2">
        <v>45766</v>
      </c>
      <c r="C2035">
        <v>20</v>
      </c>
      <c r="D2035" t="s">
        <v>85</v>
      </c>
      <c r="E2035" t="s">
        <v>12</v>
      </c>
      <c r="F2035" s="7">
        <v>465.83</v>
      </c>
      <c r="G2035" s="10">
        <v>0</v>
      </c>
      <c r="H2035" s="7">
        <v>465.83</v>
      </c>
      <c r="I2035">
        <v>2</v>
      </c>
      <c r="J2035" t="s">
        <v>16</v>
      </c>
      <c r="K2035" s="13">
        <f>ROUND(tblTransactions[[#This Row],[gross_sales_inr]]*(1-tblTransactions[[#This Row],[discount_pct]]),2)</f>
        <v>465.83</v>
      </c>
      <c r="L2035" t="str">
        <f>IF(ABS(tblTransactions[[#This Row],[net_sales_inr]]-tblTransactions[[#This Row],[Recalc_Net_Sales]])&lt;0.02,"OK","CHECK")</f>
        <v>OK</v>
      </c>
      <c r="M2035" s="14">
        <f>DATE(YEAR(tblTransactions[[#This Row],[date]]),MONTH(tblTransactions[[#This Row],[date]]),1)</f>
        <v>45748</v>
      </c>
      <c r="N2035" t="str">
        <f>IF(WEEKDAY(tblTransactions[[#This Row],[date]],2)&gt;5,"Weekend","Weekday")</f>
        <v>Weekend</v>
      </c>
      <c r="O2035" s="13" t="str">
        <f>IF(tblTransactions[[#This Row],[discount_pct]]=0,"0%",IF(tblTransactions[[#This Row],[discount_pct]]&lt;=10%,"1–
10%",IF(tblTransactions[[#This Row],[discount_pct]]&lt;=20%,"11–20%","&gt;20%")))</f>
        <v>0%</v>
      </c>
      <c r="P2035" s="13" t="str">
        <f>_xlfn.XLOOKUP(tblTransactions[[#This Row],[tenant_id]],tblTenants[tenant_id],tblTenants[zone],"NOT FOUND")</f>
        <v>Home &amp; Living</v>
      </c>
      <c r="Q2035" s="13" t="str">
        <f>_xlfn.XLOOKUP(tblTransactions[[#This Row],[tenant_id]],tblTenants[tenant_id],tblTenants[category],"NOT FOUND")</f>
        <v>Electronics</v>
      </c>
    </row>
    <row r="2036" spans="1:17">
      <c r="A2036" t="s">
        <v>2080</v>
      </c>
      <c r="B2036" s="2">
        <v>45830</v>
      </c>
      <c r="C2036">
        <v>21</v>
      </c>
      <c r="D2036" t="s">
        <v>27</v>
      </c>
      <c r="E2036" t="s">
        <v>12</v>
      </c>
      <c r="F2036" s="7">
        <v>776.17</v>
      </c>
      <c r="G2036" s="10">
        <v>0.15</v>
      </c>
      <c r="H2036" s="7">
        <v>659.74</v>
      </c>
      <c r="I2036">
        <v>1</v>
      </c>
      <c r="J2036" t="s">
        <v>13</v>
      </c>
      <c r="K2036" s="13">
        <f>ROUND(tblTransactions[[#This Row],[gross_sales_inr]]*(1-tblTransactions[[#This Row],[discount_pct]]),2)</f>
        <v>659.74</v>
      </c>
      <c r="L2036" t="str">
        <f>IF(ABS(tblTransactions[[#This Row],[net_sales_inr]]-tblTransactions[[#This Row],[Recalc_Net_Sales]])&lt;0.02,"OK","CHECK")</f>
        <v>OK</v>
      </c>
      <c r="M2036" s="14">
        <f>DATE(YEAR(tblTransactions[[#This Row],[date]]),MONTH(tblTransactions[[#This Row],[date]]),1)</f>
        <v>45809</v>
      </c>
      <c r="N2036" t="str">
        <f>IF(WEEKDAY(tblTransactions[[#This Row],[date]],2)&gt;5,"Weekend","Weekday")</f>
        <v>Weekend</v>
      </c>
      <c r="O203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36" s="13" t="str">
        <f>_xlfn.XLOOKUP(tblTransactions[[#This Row],[tenant_id]],tblTenants[tenant_id],tblTenants[zone],"NOT FOUND")</f>
        <v>Beauty &amp; Wellness</v>
      </c>
      <c r="Q2036" s="13" t="str">
        <f>_xlfn.XLOOKUP(tblTransactions[[#This Row],[tenant_id]],tblTenants[tenant_id],tblTenants[category],"NOT FOUND")</f>
        <v>Wellness</v>
      </c>
    </row>
    <row r="2037" spans="1:17">
      <c r="A2037" t="s">
        <v>2081</v>
      </c>
      <c r="B2037" s="2">
        <v>45826</v>
      </c>
      <c r="C2037">
        <v>11</v>
      </c>
      <c r="D2037" t="s">
        <v>36</v>
      </c>
      <c r="E2037" t="s">
        <v>32</v>
      </c>
      <c r="F2037" s="7">
        <v>2652.91</v>
      </c>
      <c r="G2037" s="10">
        <v>0.1</v>
      </c>
      <c r="H2037" s="7">
        <v>2387.62</v>
      </c>
      <c r="I2037">
        <v>1</v>
      </c>
      <c r="J2037" t="s">
        <v>13</v>
      </c>
      <c r="K2037" s="13">
        <f>ROUND(tblTransactions[[#This Row],[gross_sales_inr]]*(1-tblTransactions[[#This Row],[discount_pct]]),2)</f>
        <v>2387.62</v>
      </c>
      <c r="L2037" t="str">
        <f>IF(ABS(tblTransactions[[#This Row],[net_sales_inr]]-tblTransactions[[#This Row],[Recalc_Net_Sales]])&lt;0.02,"OK","CHECK")</f>
        <v>OK</v>
      </c>
      <c r="M2037" s="14">
        <f>DATE(YEAR(tblTransactions[[#This Row],[date]]),MONTH(tblTransactions[[#This Row],[date]]),1)</f>
        <v>45809</v>
      </c>
      <c r="N2037" t="str">
        <f>IF(WEEKDAY(tblTransactions[[#This Row],[date]],2)&gt;5,"Weekend","Weekday")</f>
        <v>Weekday</v>
      </c>
      <c r="O203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37" s="13" t="str">
        <f>_xlfn.XLOOKUP(tblTransactions[[#This Row],[tenant_id]],tblTenants[tenant_id],tblTenants[zone],"NOT FOUND")</f>
        <v>Home &amp; Living</v>
      </c>
      <c r="Q2037" s="13" t="str">
        <f>_xlfn.XLOOKUP(tblTransactions[[#This Row],[tenant_id]],tblTenants[tenant_id],tblTenants[category],"NOT FOUND")</f>
        <v>Electronics</v>
      </c>
    </row>
    <row r="2038" spans="1:17">
      <c r="A2038" t="s">
        <v>2082</v>
      </c>
      <c r="B2038" s="2">
        <v>45710</v>
      </c>
      <c r="C2038">
        <v>18</v>
      </c>
      <c r="D2038" t="s">
        <v>25</v>
      </c>
      <c r="E2038" t="s">
        <v>32</v>
      </c>
      <c r="F2038" s="7">
        <v>602.54</v>
      </c>
      <c r="G2038" s="10">
        <v>0</v>
      </c>
      <c r="H2038" s="7">
        <v>602.54</v>
      </c>
      <c r="I2038">
        <v>1</v>
      </c>
      <c r="J2038" t="s">
        <v>13</v>
      </c>
      <c r="K2038" s="13">
        <f>ROUND(tblTransactions[[#This Row],[gross_sales_inr]]*(1-tblTransactions[[#This Row],[discount_pct]]),2)</f>
        <v>602.54</v>
      </c>
      <c r="L2038" t="str">
        <f>IF(ABS(tblTransactions[[#This Row],[net_sales_inr]]-tblTransactions[[#This Row],[Recalc_Net_Sales]])&lt;0.02,"OK","CHECK")</f>
        <v>OK</v>
      </c>
      <c r="M2038" s="14">
        <f>DATE(YEAR(tblTransactions[[#This Row],[date]]),MONTH(tblTransactions[[#This Row],[date]]),1)</f>
        <v>45689</v>
      </c>
      <c r="N2038" t="str">
        <f>IF(WEEKDAY(tblTransactions[[#This Row],[date]],2)&gt;5,"Weekend","Weekday")</f>
        <v>Weekend</v>
      </c>
      <c r="O2038" s="13" t="str">
        <f>IF(tblTransactions[[#This Row],[discount_pct]]=0,"0%",IF(tblTransactions[[#This Row],[discount_pct]]&lt;=10%,"1–
10%",IF(tblTransactions[[#This Row],[discount_pct]]&lt;=20%,"11–20%","&gt;20%")))</f>
        <v>0%</v>
      </c>
      <c r="P2038" s="13" t="str">
        <f>_xlfn.XLOOKUP(tblTransactions[[#This Row],[tenant_id]],tblTenants[tenant_id],tblTenants[zone],"NOT FOUND")</f>
        <v>Beauty &amp; Wellness</v>
      </c>
      <c r="Q2038" s="13" t="str">
        <f>_xlfn.XLOOKUP(tblTransactions[[#This Row],[tenant_id]],tblTenants[tenant_id],tblTenants[category],"NOT FOUND")</f>
        <v>Beauty</v>
      </c>
    </row>
    <row r="2039" spans="1:17">
      <c r="A2039" t="s">
        <v>2083</v>
      </c>
      <c r="B2039" s="2">
        <v>45793</v>
      </c>
      <c r="C2039">
        <v>18</v>
      </c>
      <c r="D2039" t="s">
        <v>61</v>
      </c>
      <c r="E2039" t="s">
        <v>12</v>
      </c>
      <c r="F2039" s="7">
        <v>985.01</v>
      </c>
      <c r="G2039" s="10">
        <v>0.05</v>
      </c>
      <c r="H2039" s="7">
        <v>935.76</v>
      </c>
      <c r="I2039">
        <v>4</v>
      </c>
      <c r="J2039" t="s">
        <v>16</v>
      </c>
      <c r="K2039" s="13">
        <f>ROUND(tblTransactions[[#This Row],[gross_sales_inr]]*(1-tblTransactions[[#This Row],[discount_pct]]),2)</f>
        <v>935.76</v>
      </c>
      <c r="L2039" t="str">
        <f>IF(ABS(tblTransactions[[#This Row],[net_sales_inr]]-tblTransactions[[#This Row],[Recalc_Net_Sales]])&lt;0.02,"OK","CHECK")</f>
        <v>OK</v>
      </c>
      <c r="M2039" s="14">
        <f>DATE(YEAR(tblTransactions[[#This Row],[date]]),MONTH(tblTransactions[[#This Row],[date]]),1)</f>
        <v>45778</v>
      </c>
      <c r="N2039" t="str">
        <f>IF(WEEKDAY(tblTransactions[[#This Row],[date]],2)&gt;5,"Weekend","Weekday")</f>
        <v>Weekday</v>
      </c>
      <c r="O203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39" s="13" t="str">
        <f>_xlfn.XLOOKUP(tblTransactions[[#This Row],[tenant_id]],tblTenants[tenant_id],tblTenants[zone],"NOT FOUND")</f>
        <v>Food Court</v>
      </c>
      <c r="Q2039" s="13" t="str">
        <f>_xlfn.XLOOKUP(tblTransactions[[#This Row],[tenant_id]],tblTenants[tenant_id],tblTenants[category],"NOT FOUND")</f>
        <v>Quick Service</v>
      </c>
    </row>
    <row r="2040" spans="1:17">
      <c r="A2040" t="s">
        <v>2084</v>
      </c>
      <c r="B2040" s="2">
        <v>45771</v>
      </c>
      <c r="C2040">
        <v>18</v>
      </c>
      <c r="D2040" t="s">
        <v>20</v>
      </c>
      <c r="E2040" t="s">
        <v>32</v>
      </c>
      <c r="F2040" s="7">
        <v>1592.66</v>
      </c>
      <c r="G2040" s="10">
        <v>0.1</v>
      </c>
      <c r="H2040" s="7">
        <v>1433.39</v>
      </c>
      <c r="I2040">
        <v>2</v>
      </c>
      <c r="J2040" t="s">
        <v>16</v>
      </c>
      <c r="K2040" s="13">
        <f>ROUND(tblTransactions[[#This Row],[gross_sales_inr]]*(1-tblTransactions[[#This Row],[discount_pct]]),2)</f>
        <v>1433.39</v>
      </c>
      <c r="L2040" t="str">
        <f>IF(ABS(tblTransactions[[#This Row],[net_sales_inr]]-tblTransactions[[#This Row],[Recalc_Net_Sales]])&lt;0.02,"OK","CHECK")</f>
        <v>OK</v>
      </c>
      <c r="M2040" s="14">
        <f>DATE(YEAR(tblTransactions[[#This Row],[date]]),MONTH(tblTransactions[[#This Row],[date]]),1)</f>
        <v>45748</v>
      </c>
      <c r="N2040" t="str">
        <f>IF(WEEKDAY(tblTransactions[[#This Row],[date]],2)&gt;5,"Weekend","Weekday")</f>
        <v>Weekday</v>
      </c>
      <c r="O204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40" s="13" t="str">
        <f>_xlfn.XLOOKUP(tblTransactions[[#This Row],[tenant_id]],tblTenants[tenant_id],tblTenants[zone],"NOT FOUND")</f>
        <v>Fashion Avenue</v>
      </c>
      <c r="Q2040" s="13" t="str">
        <f>_xlfn.XLOOKUP(tblTransactions[[#This Row],[tenant_id]],tblTenants[tenant_id],tblTenants[category],"NOT FOUND")</f>
        <v>Accessories</v>
      </c>
    </row>
    <row r="2041" spans="1:17">
      <c r="A2041" t="s">
        <v>2085</v>
      </c>
      <c r="B2041" s="2">
        <v>45780</v>
      </c>
      <c r="C2041">
        <v>14</v>
      </c>
      <c r="D2041" t="s">
        <v>15</v>
      </c>
      <c r="E2041" t="s">
        <v>32</v>
      </c>
      <c r="F2041" s="7">
        <v>1352.49</v>
      </c>
      <c r="G2041" s="10">
        <v>0.15</v>
      </c>
      <c r="H2041" s="7">
        <v>1149.6199999999999</v>
      </c>
      <c r="I2041">
        <v>4</v>
      </c>
      <c r="J2041" t="s">
        <v>16</v>
      </c>
      <c r="K2041" s="13">
        <f>ROUND(tblTransactions[[#This Row],[gross_sales_inr]]*(1-tblTransactions[[#This Row],[discount_pct]]),2)</f>
        <v>1149.6199999999999</v>
      </c>
      <c r="L2041" t="str">
        <f>IF(ABS(tblTransactions[[#This Row],[net_sales_inr]]-tblTransactions[[#This Row],[Recalc_Net_Sales]])&lt;0.02,"OK","CHECK")</f>
        <v>OK</v>
      </c>
      <c r="M2041" s="14">
        <f>DATE(YEAR(tblTransactions[[#This Row],[date]]),MONTH(tblTransactions[[#This Row],[date]]),1)</f>
        <v>45778</v>
      </c>
      <c r="N2041" t="str">
        <f>IF(WEEKDAY(tblTransactions[[#This Row],[date]],2)&gt;5,"Weekend","Weekday")</f>
        <v>Weekend</v>
      </c>
      <c r="O204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41" s="13" t="str">
        <f>_xlfn.XLOOKUP(tblTransactions[[#This Row],[tenant_id]],tblTenants[tenant_id],tblTenants[zone],"NOT FOUND")</f>
        <v>Fashion Avenue</v>
      </c>
      <c r="Q2041" s="13" t="str">
        <f>_xlfn.XLOOKUP(tblTransactions[[#This Row],[tenant_id]],tblTenants[tenant_id],tblTenants[category],"NOT FOUND")</f>
        <v>Accessories</v>
      </c>
    </row>
    <row r="2042" spans="1:17">
      <c r="A2042" t="s">
        <v>2086</v>
      </c>
      <c r="B2042" s="2">
        <v>45742</v>
      </c>
      <c r="C2042">
        <v>17</v>
      </c>
      <c r="D2042" t="s">
        <v>20</v>
      </c>
      <c r="E2042" t="s">
        <v>32</v>
      </c>
      <c r="F2042" s="7">
        <v>656.39</v>
      </c>
      <c r="G2042" s="10">
        <v>0.2</v>
      </c>
      <c r="H2042" s="7">
        <v>525.11</v>
      </c>
      <c r="I2042">
        <v>3</v>
      </c>
      <c r="J2042" t="s">
        <v>16</v>
      </c>
      <c r="K2042" s="13">
        <f>ROUND(tblTransactions[[#This Row],[gross_sales_inr]]*(1-tblTransactions[[#This Row],[discount_pct]]),2)</f>
        <v>525.11</v>
      </c>
      <c r="L2042" t="str">
        <f>IF(ABS(tblTransactions[[#This Row],[net_sales_inr]]-tblTransactions[[#This Row],[Recalc_Net_Sales]])&lt;0.02,"OK","CHECK")</f>
        <v>OK</v>
      </c>
      <c r="M2042" s="14">
        <f>DATE(YEAR(tblTransactions[[#This Row],[date]]),MONTH(tblTransactions[[#This Row],[date]]),1)</f>
        <v>45717</v>
      </c>
      <c r="N2042" t="str">
        <f>IF(WEEKDAY(tblTransactions[[#This Row],[date]],2)&gt;5,"Weekend","Weekday")</f>
        <v>Weekday</v>
      </c>
      <c r="O204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42" s="13" t="str">
        <f>_xlfn.XLOOKUP(tblTransactions[[#This Row],[tenant_id]],tblTenants[tenant_id],tblTenants[zone],"NOT FOUND")</f>
        <v>Fashion Avenue</v>
      </c>
      <c r="Q2042" s="13" t="str">
        <f>_xlfn.XLOOKUP(tblTransactions[[#This Row],[tenant_id]],tblTenants[tenant_id],tblTenants[category],"NOT FOUND")</f>
        <v>Accessories</v>
      </c>
    </row>
    <row r="2043" spans="1:17">
      <c r="A2043" t="s">
        <v>2087</v>
      </c>
      <c r="B2043" s="2">
        <v>45779</v>
      </c>
      <c r="C2043">
        <v>17</v>
      </c>
      <c r="D2043" t="s">
        <v>25</v>
      </c>
      <c r="E2043" t="s">
        <v>51</v>
      </c>
      <c r="F2043" s="7">
        <v>1617.89</v>
      </c>
      <c r="G2043" s="10">
        <v>0</v>
      </c>
      <c r="H2043" s="7">
        <v>1617.89</v>
      </c>
      <c r="I2043">
        <v>5</v>
      </c>
      <c r="J2043" t="s">
        <v>13</v>
      </c>
      <c r="K2043" s="13">
        <f>ROUND(tblTransactions[[#This Row],[gross_sales_inr]]*(1-tblTransactions[[#This Row],[discount_pct]]),2)</f>
        <v>1617.89</v>
      </c>
      <c r="L2043" t="str">
        <f>IF(ABS(tblTransactions[[#This Row],[net_sales_inr]]-tblTransactions[[#This Row],[Recalc_Net_Sales]])&lt;0.02,"OK","CHECK")</f>
        <v>OK</v>
      </c>
      <c r="M2043" s="14">
        <f>DATE(YEAR(tblTransactions[[#This Row],[date]]),MONTH(tblTransactions[[#This Row],[date]]),1)</f>
        <v>45778</v>
      </c>
      <c r="N2043" t="str">
        <f>IF(WEEKDAY(tblTransactions[[#This Row],[date]],2)&gt;5,"Weekend","Weekday")</f>
        <v>Weekday</v>
      </c>
      <c r="O2043" s="13" t="str">
        <f>IF(tblTransactions[[#This Row],[discount_pct]]=0,"0%",IF(tblTransactions[[#This Row],[discount_pct]]&lt;=10%,"1–
10%",IF(tblTransactions[[#This Row],[discount_pct]]&lt;=20%,"11–20%","&gt;20%")))</f>
        <v>0%</v>
      </c>
      <c r="P2043" s="13" t="str">
        <f>_xlfn.XLOOKUP(tblTransactions[[#This Row],[tenant_id]],tblTenants[tenant_id],tblTenants[zone],"NOT FOUND")</f>
        <v>Beauty &amp; Wellness</v>
      </c>
      <c r="Q2043" s="13" t="str">
        <f>_xlfn.XLOOKUP(tblTransactions[[#This Row],[tenant_id]],tblTenants[tenant_id],tblTenants[category],"NOT FOUND")</f>
        <v>Beauty</v>
      </c>
    </row>
    <row r="2044" spans="1:17">
      <c r="A2044" t="s">
        <v>2088</v>
      </c>
      <c r="B2044" s="2">
        <v>45668</v>
      </c>
      <c r="C2044">
        <v>19</v>
      </c>
      <c r="D2044" t="s">
        <v>18</v>
      </c>
      <c r="E2044" t="s">
        <v>32</v>
      </c>
      <c r="F2044" s="7">
        <v>800.21</v>
      </c>
      <c r="G2044" s="10">
        <v>0.1</v>
      </c>
      <c r="H2044" s="7">
        <v>720.19</v>
      </c>
      <c r="I2044">
        <v>1</v>
      </c>
      <c r="J2044" t="s">
        <v>13</v>
      </c>
      <c r="K2044" s="13">
        <f>ROUND(tblTransactions[[#This Row],[gross_sales_inr]]*(1-tblTransactions[[#This Row],[discount_pct]]),2)</f>
        <v>720.19</v>
      </c>
      <c r="L2044" t="str">
        <f>IF(ABS(tblTransactions[[#This Row],[net_sales_inr]]-tblTransactions[[#This Row],[Recalc_Net_Sales]])&lt;0.02,"OK","CHECK")</f>
        <v>OK</v>
      </c>
      <c r="M2044" s="14">
        <f>DATE(YEAR(tblTransactions[[#This Row],[date]]),MONTH(tblTransactions[[#This Row],[date]]),1)</f>
        <v>45658</v>
      </c>
      <c r="N2044" t="str">
        <f>IF(WEEKDAY(tblTransactions[[#This Row],[date]],2)&gt;5,"Weekend","Weekday")</f>
        <v>Weekend</v>
      </c>
      <c r="O204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44" s="13" t="str">
        <f>_xlfn.XLOOKUP(tblTransactions[[#This Row],[tenant_id]],tblTenants[tenant_id],tblTenants[zone],"NOT FOUND")</f>
        <v>Beauty &amp; Wellness</v>
      </c>
      <c r="Q2044" s="13" t="str">
        <f>_xlfn.XLOOKUP(tblTransactions[[#This Row],[tenant_id]],tblTenants[tenant_id],tblTenants[category],"NOT FOUND")</f>
        <v>Beauty</v>
      </c>
    </row>
    <row r="2045" spans="1:17">
      <c r="A2045" t="s">
        <v>2089</v>
      </c>
      <c r="B2045" s="2">
        <v>45679</v>
      </c>
      <c r="C2045">
        <v>13</v>
      </c>
      <c r="D2045" t="s">
        <v>70</v>
      </c>
      <c r="E2045" t="s">
        <v>32</v>
      </c>
      <c r="F2045" s="7">
        <v>1608.29</v>
      </c>
      <c r="G2045" s="10">
        <v>0</v>
      </c>
      <c r="H2045" s="7">
        <v>1608.29</v>
      </c>
      <c r="I2045">
        <v>1</v>
      </c>
      <c r="J2045" t="s">
        <v>16</v>
      </c>
      <c r="K2045" s="13">
        <f>ROUND(tblTransactions[[#This Row],[gross_sales_inr]]*(1-tblTransactions[[#This Row],[discount_pct]]),2)</f>
        <v>1608.29</v>
      </c>
      <c r="L2045" t="str">
        <f>IF(ABS(tblTransactions[[#This Row],[net_sales_inr]]-tblTransactions[[#This Row],[Recalc_Net_Sales]])&lt;0.02,"OK","CHECK")</f>
        <v>OK</v>
      </c>
      <c r="M2045" s="14">
        <f>DATE(YEAR(tblTransactions[[#This Row],[date]]),MONTH(tblTransactions[[#This Row],[date]]),1)</f>
        <v>45658</v>
      </c>
      <c r="N2045" t="str">
        <f>IF(WEEKDAY(tblTransactions[[#This Row],[date]],2)&gt;5,"Weekend","Weekday")</f>
        <v>Weekday</v>
      </c>
      <c r="O2045" s="13" t="str">
        <f>IF(tblTransactions[[#This Row],[discount_pct]]=0,"0%",IF(tblTransactions[[#This Row],[discount_pct]]&lt;=10%,"1–
10%",IF(tblTransactions[[#This Row],[discount_pct]]&lt;=20%,"11–20%","&gt;20%")))</f>
        <v>0%</v>
      </c>
      <c r="P2045" s="13" t="str">
        <f>_xlfn.XLOOKUP(tblTransactions[[#This Row],[tenant_id]],tblTenants[tenant_id],tblTenants[zone],"NOT FOUND")</f>
        <v>Food Court</v>
      </c>
      <c r="Q2045" s="13" t="str">
        <f>_xlfn.XLOOKUP(tblTransactions[[#This Row],[tenant_id]],tblTenants[tenant_id],tblTenants[category],"NOT FOUND")</f>
        <v>Quick Service</v>
      </c>
    </row>
    <row r="2046" spans="1:17">
      <c r="A2046" t="s">
        <v>2090</v>
      </c>
      <c r="B2046" s="2">
        <v>45807</v>
      </c>
      <c r="C2046">
        <v>12</v>
      </c>
      <c r="D2046" t="s">
        <v>98</v>
      </c>
      <c r="E2046" t="s">
        <v>12</v>
      </c>
      <c r="F2046" s="7">
        <v>512.71</v>
      </c>
      <c r="G2046" s="10">
        <v>0.2</v>
      </c>
      <c r="H2046" s="7">
        <v>410.17</v>
      </c>
      <c r="I2046">
        <v>1</v>
      </c>
      <c r="J2046" t="s">
        <v>16</v>
      </c>
      <c r="K2046" s="13">
        <f>ROUND(tblTransactions[[#This Row],[gross_sales_inr]]*(1-tblTransactions[[#This Row],[discount_pct]]),2)</f>
        <v>410.17</v>
      </c>
      <c r="L2046" t="str">
        <f>IF(ABS(tblTransactions[[#This Row],[net_sales_inr]]-tblTransactions[[#This Row],[Recalc_Net_Sales]])&lt;0.02,"OK","CHECK")</f>
        <v>OK</v>
      </c>
      <c r="M2046" s="14">
        <f>DATE(YEAR(tblTransactions[[#This Row],[date]]),MONTH(tblTransactions[[#This Row],[date]]),1)</f>
        <v>45778</v>
      </c>
      <c r="N2046" t="str">
        <f>IF(WEEKDAY(tblTransactions[[#This Row],[date]],2)&gt;5,"Weekend","Weekday")</f>
        <v>Weekday</v>
      </c>
      <c r="O204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46" s="13" t="str">
        <f>_xlfn.XLOOKUP(tblTransactions[[#This Row],[tenant_id]],tblTenants[tenant_id],tblTenants[zone],"NOT FOUND")</f>
        <v>Fashion Avenue</v>
      </c>
      <c r="Q2046" s="13" t="str">
        <f>_xlfn.XLOOKUP(tblTransactions[[#This Row],[tenant_id]],tblTenants[tenant_id],tblTenants[category],"NOT FOUND")</f>
        <v>Accessories</v>
      </c>
    </row>
    <row r="2047" spans="1:17">
      <c r="A2047" t="s">
        <v>2091</v>
      </c>
      <c r="B2047" s="2">
        <v>45745</v>
      </c>
      <c r="C2047">
        <v>14</v>
      </c>
      <c r="D2047" t="s">
        <v>34</v>
      </c>
      <c r="E2047" t="s">
        <v>12</v>
      </c>
      <c r="F2047" s="7">
        <v>2812.49</v>
      </c>
      <c r="G2047" s="10">
        <v>0</v>
      </c>
      <c r="H2047" s="7">
        <v>2812.49</v>
      </c>
      <c r="I2047">
        <v>1</v>
      </c>
      <c r="J2047" t="s">
        <v>13</v>
      </c>
      <c r="K2047" s="13">
        <f>ROUND(tblTransactions[[#This Row],[gross_sales_inr]]*(1-tblTransactions[[#This Row],[discount_pct]]),2)</f>
        <v>2812.49</v>
      </c>
      <c r="L2047" t="str">
        <f>IF(ABS(tblTransactions[[#This Row],[net_sales_inr]]-tblTransactions[[#This Row],[Recalc_Net_Sales]])&lt;0.02,"OK","CHECK")</f>
        <v>OK</v>
      </c>
      <c r="M2047" s="14">
        <f>DATE(YEAR(tblTransactions[[#This Row],[date]]),MONTH(tblTransactions[[#This Row],[date]]),1)</f>
        <v>45717</v>
      </c>
      <c r="N2047" t="str">
        <f>IF(WEEKDAY(tblTransactions[[#This Row],[date]],2)&gt;5,"Weekend","Weekday")</f>
        <v>Weekend</v>
      </c>
      <c r="O2047" s="13" t="str">
        <f>IF(tblTransactions[[#This Row],[discount_pct]]=0,"0%",IF(tblTransactions[[#This Row],[discount_pct]]&lt;=10%,"1–
10%",IF(tblTransactions[[#This Row],[discount_pct]]&lt;=20%,"11–20%","&gt;20%")))</f>
        <v>0%</v>
      </c>
      <c r="P2047" s="13" t="str">
        <f>_xlfn.XLOOKUP(tblTransactions[[#This Row],[tenant_id]],tblTenants[tenant_id],tblTenants[zone],"NOT FOUND")</f>
        <v>Home &amp; Living</v>
      </c>
      <c r="Q2047" s="13" t="str">
        <f>_xlfn.XLOOKUP(tblTransactions[[#This Row],[tenant_id]],tblTenants[tenant_id],tblTenants[category],"NOT FOUND")</f>
        <v>Electronics</v>
      </c>
    </row>
    <row r="2048" spans="1:17">
      <c r="A2048" t="s">
        <v>2092</v>
      </c>
      <c r="B2048" s="2">
        <v>45667</v>
      </c>
      <c r="C2048">
        <v>21</v>
      </c>
      <c r="D2048" t="s">
        <v>23</v>
      </c>
      <c r="E2048" t="s">
        <v>12</v>
      </c>
      <c r="F2048" s="7">
        <v>446.69</v>
      </c>
      <c r="G2048" s="10">
        <v>0.1</v>
      </c>
      <c r="H2048" s="7">
        <v>402.02</v>
      </c>
      <c r="I2048">
        <v>4</v>
      </c>
      <c r="J2048" t="s">
        <v>13</v>
      </c>
      <c r="K2048" s="13">
        <f>ROUND(tblTransactions[[#This Row],[gross_sales_inr]]*(1-tblTransactions[[#This Row],[discount_pct]]),2)</f>
        <v>402.02</v>
      </c>
      <c r="L2048" t="str">
        <f>IF(ABS(tblTransactions[[#This Row],[net_sales_inr]]-tblTransactions[[#This Row],[Recalc_Net_Sales]])&lt;0.02,"OK","CHECK")</f>
        <v>OK</v>
      </c>
      <c r="M2048" s="14">
        <f>DATE(YEAR(tblTransactions[[#This Row],[date]]),MONTH(tblTransactions[[#This Row],[date]]),1)</f>
        <v>45658</v>
      </c>
      <c r="N2048" t="str">
        <f>IF(WEEKDAY(tblTransactions[[#This Row],[date]],2)&gt;5,"Weekend","Weekday")</f>
        <v>Weekday</v>
      </c>
      <c r="O204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48" s="13" t="str">
        <f>_xlfn.XLOOKUP(tblTransactions[[#This Row],[tenant_id]],tblTenants[tenant_id],tblTenants[zone],"NOT FOUND")</f>
        <v>Entertainment</v>
      </c>
      <c r="Q2048" s="13" t="str">
        <f>_xlfn.XLOOKUP(tblTransactions[[#This Row],[tenant_id]],tblTenants[tenant_id],tblTenants[category],"NOT FOUND")</f>
        <v>Cinema</v>
      </c>
    </row>
    <row r="2049" spans="1:17">
      <c r="A2049" t="s">
        <v>2093</v>
      </c>
      <c r="B2049" s="2">
        <v>45816</v>
      </c>
      <c r="C2049">
        <v>22</v>
      </c>
      <c r="D2049" t="s">
        <v>20</v>
      </c>
      <c r="E2049" t="s">
        <v>51</v>
      </c>
      <c r="F2049" s="7">
        <v>681.48</v>
      </c>
      <c r="G2049" s="10">
        <v>0</v>
      </c>
      <c r="H2049" s="7">
        <v>681.48</v>
      </c>
      <c r="I2049">
        <v>4</v>
      </c>
      <c r="J2049" t="s">
        <v>16</v>
      </c>
      <c r="K2049" s="13">
        <f>ROUND(tblTransactions[[#This Row],[gross_sales_inr]]*(1-tblTransactions[[#This Row],[discount_pct]]),2)</f>
        <v>681.48</v>
      </c>
      <c r="L2049" t="str">
        <f>IF(ABS(tblTransactions[[#This Row],[net_sales_inr]]-tblTransactions[[#This Row],[Recalc_Net_Sales]])&lt;0.02,"OK","CHECK")</f>
        <v>OK</v>
      </c>
      <c r="M2049" s="14">
        <f>DATE(YEAR(tblTransactions[[#This Row],[date]]),MONTH(tblTransactions[[#This Row],[date]]),1)</f>
        <v>45809</v>
      </c>
      <c r="N2049" t="str">
        <f>IF(WEEKDAY(tblTransactions[[#This Row],[date]],2)&gt;5,"Weekend","Weekday")</f>
        <v>Weekend</v>
      </c>
      <c r="O2049" s="13" t="str">
        <f>IF(tblTransactions[[#This Row],[discount_pct]]=0,"0%",IF(tblTransactions[[#This Row],[discount_pct]]&lt;=10%,"1–
10%",IF(tblTransactions[[#This Row],[discount_pct]]&lt;=20%,"11–20%","&gt;20%")))</f>
        <v>0%</v>
      </c>
      <c r="P2049" s="13" t="str">
        <f>_xlfn.XLOOKUP(tblTransactions[[#This Row],[tenant_id]],tblTenants[tenant_id],tblTenants[zone],"NOT FOUND")</f>
        <v>Fashion Avenue</v>
      </c>
      <c r="Q2049" s="13" t="str">
        <f>_xlfn.XLOOKUP(tblTransactions[[#This Row],[tenant_id]],tblTenants[tenant_id],tblTenants[category],"NOT FOUND")</f>
        <v>Accessories</v>
      </c>
    </row>
    <row r="2050" spans="1:17">
      <c r="A2050" t="s">
        <v>2094</v>
      </c>
      <c r="B2050" s="2">
        <v>45789</v>
      </c>
      <c r="C2050">
        <v>22</v>
      </c>
      <c r="D2050" t="s">
        <v>48</v>
      </c>
      <c r="E2050" t="s">
        <v>12</v>
      </c>
      <c r="F2050" s="7">
        <v>1170.75</v>
      </c>
      <c r="G2050" s="10">
        <v>0</v>
      </c>
      <c r="H2050" s="7">
        <v>1170.75</v>
      </c>
      <c r="I2050">
        <v>3</v>
      </c>
      <c r="J2050" t="s">
        <v>16</v>
      </c>
      <c r="K2050" s="13">
        <f>ROUND(tblTransactions[[#This Row],[gross_sales_inr]]*(1-tblTransactions[[#This Row],[discount_pct]]),2)</f>
        <v>1170.75</v>
      </c>
      <c r="L2050" t="str">
        <f>IF(ABS(tblTransactions[[#This Row],[net_sales_inr]]-tblTransactions[[#This Row],[Recalc_Net_Sales]])&lt;0.02,"OK","CHECK")</f>
        <v>OK</v>
      </c>
      <c r="M2050" s="14">
        <f>DATE(YEAR(tblTransactions[[#This Row],[date]]),MONTH(tblTransactions[[#This Row],[date]]),1)</f>
        <v>45778</v>
      </c>
      <c r="N2050" t="str">
        <f>IF(WEEKDAY(tblTransactions[[#This Row],[date]],2)&gt;5,"Weekend","Weekday")</f>
        <v>Weekday</v>
      </c>
      <c r="O2050" s="13" t="str">
        <f>IF(tblTransactions[[#This Row],[discount_pct]]=0,"0%",IF(tblTransactions[[#This Row],[discount_pct]]&lt;=10%,"1–
10%",IF(tblTransactions[[#This Row],[discount_pct]]&lt;=20%,"11–20%","&gt;20%")))</f>
        <v>0%</v>
      </c>
      <c r="P2050" s="13" t="str">
        <f>_xlfn.XLOOKUP(tblTransactions[[#This Row],[tenant_id]],tblTenants[tenant_id],tblTenants[zone],"NOT FOUND")</f>
        <v>Beauty &amp; Wellness</v>
      </c>
      <c r="Q2050" s="13" t="str">
        <f>_xlfn.XLOOKUP(tblTransactions[[#This Row],[tenant_id]],tblTenants[tenant_id],tblTenants[category],"NOT FOUND")</f>
        <v>Wellness</v>
      </c>
    </row>
    <row r="2051" spans="1:17">
      <c r="A2051" t="s">
        <v>2095</v>
      </c>
      <c r="B2051" s="2">
        <v>45797</v>
      </c>
      <c r="C2051">
        <v>19</v>
      </c>
      <c r="D2051" t="s">
        <v>20</v>
      </c>
      <c r="E2051" t="s">
        <v>12</v>
      </c>
      <c r="F2051" s="7">
        <v>809.67</v>
      </c>
      <c r="G2051" s="10">
        <v>0.2</v>
      </c>
      <c r="H2051" s="7">
        <v>647.74</v>
      </c>
      <c r="I2051">
        <v>1</v>
      </c>
      <c r="J2051" t="s">
        <v>16</v>
      </c>
      <c r="K2051" s="13">
        <f>ROUND(tblTransactions[[#This Row],[gross_sales_inr]]*(1-tblTransactions[[#This Row],[discount_pct]]),2)</f>
        <v>647.74</v>
      </c>
      <c r="L2051" t="str">
        <f>IF(ABS(tblTransactions[[#This Row],[net_sales_inr]]-tblTransactions[[#This Row],[Recalc_Net_Sales]])&lt;0.02,"OK","CHECK")</f>
        <v>OK</v>
      </c>
      <c r="M2051" s="14">
        <f>DATE(YEAR(tblTransactions[[#This Row],[date]]),MONTH(tblTransactions[[#This Row],[date]]),1)</f>
        <v>45778</v>
      </c>
      <c r="N2051" t="str">
        <f>IF(WEEKDAY(tblTransactions[[#This Row],[date]],2)&gt;5,"Weekend","Weekday")</f>
        <v>Weekday</v>
      </c>
      <c r="O205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51" s="13" t="str">
        <f>_xlfn.XLOOKUP(tblTransactions[[#This Row],[tenant_id]],tblTenants[tenant_id],tblTenants[zone],"NOT FOUND")</f>
        <v>Fashion Avenue</v>
      </c>
      <c r="Q2051" s="13" t="str">
        <f>_xlfn.XLOOKUP(tblTransactions[[#This Row],[tenant_id]],tblTenants[tenant_id],tblTenants[category],"NOT FOUND")</f>
        <v>Accessories</v>
      </c>
    </row>
    <row r="2052" spans="1:17">
      <c r="A2052" t="s">
        <v>2096</v>
      </c>
      <c r="B2052" s="2">
        <v>45767</v>
      </c>
      <c r="C2052">
        <v>19</v>
      </c>
      <c r="D2052" t="s">
        <v>23</v>
      </c>
      <c r="E2052" t="s">
        <v>21</v>
      </c>
      <c r="F2052" s="7">
        <v>893.27</v>
      </c>
      <c r="G2052" s="10">
        <v>0</v>
      </c>
      <c r="H2052" s="7">
        <v>893.27</v>
      </c>
      <c r="I2052">
        <v>1</v>
      </c>
      <c r="J2052" t="s">
        <v>16</v>
      </c>
      <c r="K2052" s="13">
        <f>ROUND(tblTransactions[[#This Row],[gross_sales_inr]]*(1-tblTransactions[[#This Row],[discount_pct]]),2)</f>
        <v>893.27</v>
      </c>
      <c r="L2052" t="str">
        <f>IF(ABS(tblTransactions[[#This Row],[net_sales_inr]]-tblTransactions[[#This Row],[Recalc_Net_Sales]])&lt;0.02,"OK","CHECK")</f>
        <v>OK</v>
      </c>
      <c r="M2052" s="14">
        <f>DATE(YEAR(tblTransactions[[#This Row],[date]]),MONTH(tblTransactions[[#This Row],[date]]),1)</f>
        <v>45748</v>
      </c>
      <c r="N2052" t="str">
        <f>IF(WEEKDAY(tblTransactions[[#This Row],[date]],2)&gt;5,"Weekend","Weekday")</f>
        <v>Weekend</v>
      </c>
      <c r="O2052" s="13" t="str">
        <f>IF(tblTransactions[[#This Row],[discount_pct]]=0,"0%",IF(tblTransactions[[#This Row],[discount_pct]]&lt;=10%,"1–
10%",IF(tblTransactions[[#This Row],[discount_pct]]&lt;=20%,"11–20%","&gt;20%")))</f>
        <v>0%</v>
      </c>
      <c r="P2052" s="13" t="str">
        <f>_xlfn.XLOOKUP(tblTransactions[[#This Row],[tenant_id]],tblTenants[tenant_id],tblTenants[zone],"NOT FOUND")</f>
        <v>Entertainment</v>
      </c>
      <c r="Q2052" s="13" t="str">
        <f>_xlfn.XLOOKUP(tblTransactions[[#This Row],[tenant_id]],tblTenants[tenant_id],tblTenants[category],"NOT FOUND")</f>
        <v>Cinema</v>
      </c>
    </row>
    <row r="2053" spans="1:17">
      <c r="A2053" t="s">
        <v>2097</v>
      </c>
      <c r="B2053" s="2">
        <v>45694</v>
      </c>
      <c r="C2053">
        <v>18</v>
      </c>
      <c r="D2053" t="s">
        <v>11</v>
      </c>
      <c r="E2053" t="s">
        <v>32</v>
      </c>
      <c r="F2053" s="7">
        <v>849.32</v>
      </c>
      <c r="G2053" s="10">
        <v>0.15</v>
      </c>
      <c r="H2053" s="7">
        <v>721.92</v>
      </c>
      <c r="I2053">
        <v>1</v>
      </c>
      <c r="J2053" t="s">
        <v>13</v>
      </c>
      <c r="K2053" s="13">
        <f>ROUND(tblTransactions[[#This Row],[gross_sales_inr]]*(1-tblTransactions[[#This Row],[discount_pct]]),2)</f>
        <v>721.92</v>
      </c>
      <c r="L2053" t="str">
        <f>IF(ABS(tblTransactions[[#This Row],[net_sales_inr]]-tblTransactions[[#This Row],[Recalc_Net_Sales]])&lt;0.02,"OK","CHECK")</f>
        <v>OK</v>
      </c>
      <c r="M2053" s="14">
        <f>DATE(YEAR(tblTransactions[[#This Row],[date]]),MONTH(tblTransactions[[#This Row],[date]]),1)</f>
        <v>45689</v>
      </c>
      <c r="N2053" t="str">
        <f>IF(WEEKDAY(tblTransactions[[#This Row],[date]],2)&gt;5,"Weekend","Weekday")</f>
        <v>Weekday</v>
      </c>
      <c r="O205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53" s="13" t="str">
        <f>_xlfn.XLOOKUP(tblTransactions[[#This Row],[tenant_id]],tblTenants[tenant_id],tblTenants[zone],"NOT FOUND")</f>
        <v>Home &amp; Living</v>
      </c>
      <c r="Q2053" s="13" t="str">
        <f>_xlfn.XLOOKUP(tblTransactions[[#This Row],[tenant_id]],tblTenants[tenant_id],tblTenants[category],"NOT FOUND")</f>
        <v>Home Decor</v>
      </c>
    </row>
    <row r="2054" spans="1:17">
      <c r="A2054" t="s">
        <v>2098</v>
      </c>
      <c r="B2054" s="2">
        <v>45799</v>
      </c>
      <c r="C2054">
        <v>14</v>
      </c>
      <c r="D2054" t="s">
        <v>87</v>
      </c>
      <c r="E2054" t="s">
        <v>32</v>
      </c>
      <c r="F2054" s="7">
        <v>172.28</v>
      </c>
      <c r="G2054" s="10">
        <v>0.15</v>
      </c>
      <c r="H2054" s="7">
        <v>146.44</v>
      </c>
      <c r="I2054">
        <v>3</v>
      </c>
      <c r="J2054" t="s">
        <v>16</v>
      </c>
      <c r="K2054" s="13">
        <f>ROUND(tblTransactions[[#This Row],[gross_sales_inr]]*(1-tblTransactions[[#This Row],[discount_pct]]),2)</f>
        <v>146.44</v>
      </c>
      <c r="L2054" t="str">
        <f>IF(ABS(tblTransactions[[#This Row],[net_sales_inr]]-tblTransactions[[#This Row],[Recalc_Net_Sales]])&lt;0.02,"OK","CHECK")</f>
        <v>OK</v>
      </c>
      <c r="M2054" s="14">
        <f>DATE(YEAR(tblTransactions[[#This Row],[date]]),MONTH(tblTransactions[[#This Row],[date]]),1)</f>
        <v>45778</v>
      </c>
      <c r="N2054" t="str">
        <f>IF(WEEKDAY(tblTransactions[[#This Row],[date]],2)&gt;5,"Weekend","Weekday")</f>
        <v>Weekday</v>
      </c>
      <c r="O205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54" s="13" t="str">
        <f>_xlfn.XLOOKUP(tblTransactions[[#This Row],[tenant_id]],tblTenants[tenant_id],tblTenants[zone],"NOT FOUND")</f>
        <v>Fashion Avenue</v>
      </c>
      <c r="Q2054" s="13" t="str">
        <f>_xlfn.XLOOKUP(tblTransactions[[#This Row],[tenant_id]],tblTenants[tenant_id],tblTenants[category],"NOT FOUND")</f>
        <v>Footwear</v>
      </c>
    </row>
    <row r="2055" spans="1:17">
      <c r="A2055" t="s">
        <v>2099</v>
      </c>
      <c r="B2055" s="2">
        <v>45732</v>
      </c>
      <c r="C2055">
        <v>15</v>
      </c>
      <c r="D2055" t="s">
        <v>45</v>
      </c>
      <c r="E2055" t="s">
        <v>32</v>
      </c>
      <c r="F2055" s="7">
        <v>499.09</v>
      </c>
      <c r="G2055" s="10">
        <v>0.1</v>
      </c>
      <c r="H2055" s="7">
        <v>449.18</v>
      </c>
      <c r="I2055">
        <v>2</v>
      </c>
      <c r="J2055" t="s">
        <v>16</v>
      </c>
      <c r="K2055" s="13">
        <f>ROUND(tblTransactions[[#This Row],[gross_sales_inr]]*(1-tblTransactions[[#This Row],[discount_pct]]),2)</f>
        <v>449.18</v>
      </c>
      <c r="L2055" t="str">
        <f>IF(ABS(tblTransactions[[#This Row],[net_sales_inr]]-tblTransactions[[#This Row],[Recalc_Net_Sales]])&lt;0.02,"OK","CHECK")</f>
        <v>OK</v>
      </c>
      <c r="M2055" s="14">
        <f>DATE(YEAR(tblTransactions[[#This Row],[date]]),MONTH(tblTransactions[[#This Row],[date]]),1)</f>
        <v>45717</v>
      </c>
      <c r="N2055" t="str">
        <f>IF(WEEKDAY(tblTransactions[[#This Row],[date]],2)&gt;5,"Weekend","Weekday")</f>
        <v>Weekend</v>
      </c>
      <c r="O205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55" s="13" t="str">
        <f>_xlfn.XLOOKUP(tblTransactions[[#This Row],[tenant_id]],tblTenants[tenant_id],tblTenants[zone],"NOT FOUND")</f>
        <v>Home &amp; Living</v>
      </c>
      <c r="Q2055" s="13" t="str">
        <f>_xlfn.XLOOKUP(tblTransactions[[#This Row],[tenant_id]],tblTenants[tenant_id],tblTenants[category],"NOT FOUND")</f>
        <v>Home Decor</v>
      </c>
    </row>
    <row r="2056" spans="1:17">
      <c r="A2056" t="s">
        <v>2100</v>
      </c>
      <c r="B2056" s="2">
        <v>45833</v>
      </c>
      <c r="C2056">
        <v>20</v>
      </c>
      <c r="D2056" t="s">
        <v>72</v>
      </c>
      <c r="E2056" t="s">
        <v>32</v>
      </c>
      <c r="F2056" s="7">
        <v>496.11</v>
      </c>
      <c r="G2056" s="10">
        <v>0</v>
      </c>
      <c r="H2056" s="7">
        <v>496.11</v>
      </c>
      <c r="I2056">
        <v>1</v>
      </c>
      <c r="J2056" t="s">
        <v>13</v>
      </c>
      <c r="K2056" s="13">
        <f>ROUND(tblTransactions[[#This Row],[gross_sales_inr]]*(1-tblTransactions[[#This Row],[discount_pct]]),2)</f>
        <v>496.11</v>
      </c>
      <c r="L2056" t="str">
        <f>IF(ABS(tblTransactions[[#This Row],[net_sales_inr]]-tblTransactions[[#This Row],[Recalc_Net_Sales]])&lt;0.02,"OK","CHECK")</f>
        <v>OK</v>
      </c>
      <c r="M2056" s="14">
        <f>DATE(YEAR(tblTransactions[[#This Row],[date]]),MONTH(tblTransactions[[#This Row],[date]]),1)</f>
        <v>45809</v>
      </c>
      <c r="N2056" t="str">
        <f>IF(WEEKDAY(tblTransactions[[#This Row],[date]],2)&gt;5,"Weekend","Weekday")</f>
        <v>Weekday</v>
      </c>
      <c r="O2056" s="13" t="str">
        <f>IF(tblTransactions[[#This Row],[discount_pct]]=0,"0%",IF(tblTransactions[[#This Row],[discount_pct]]&lt;=10%,"1–
10%",IF(tblTransactions[[#This Row],[discount_pct]]&lt;=20%,"11–20%","&gt;20%")))</f>
        <v>0%</v>
      </c>
      <c r="P2056" s="13" t="str">
        <f>_xlfn.XLOOKUP(tblTransactions[[#This Row],[tenant_id]],tblTenants[tenant_id],tblTenants[zone],"NOT FOUND")</f>
        <v>Entertainment</v>
      </c>
      <c r="Q2056" s="13" t="str">
        <f>_xlfn.XLOOKUP(tblTransactions[[#This Row],[tenant_id]],tblTenants[tenant_id],tblTenants[category],"NOT FOUND")</f>
        <v>Arcade</v>
      </c>
    </row>
    <row r="2057" spans="1:17">
      <c r="A2057" t="s">
        <v>2101</v>
      </c>
      <c r="B2057" s="2">
        <v>45676</v>
      </c>
      <c r="C2057">
        <v>18</v>
      </c>
      <c r="D2057" t="s">
        <v>122</v>
      </c>
      <c r="E2057" t="s">
        <v>12</v>
      </c>
      <c r="F2057" s="7">
        <v>1062</v>
      </c>
      <c r="G2057" s="10">
        <v>0.1</v>
      </c>
      <c r="H2057" s="7">
        <v>955.8</v>
      </c>
      <c r="I2057">
        <v>1</v>
      </c>
      <c r="J2057" t="s">
        <v>13</v>
      </c>
      <c r="K2057" s="13">
        <f>ROUND(tblTransactions[[#This Row],[gross_sales_inr]]*(1-tblTransactions[[#This Row],[discount_pct]]),2)</f>
        <v>955.8</v>
      </c>
      <c r="L2057" t="str">
        <f>IF(ABS(tblTransactions[[#This Row],[net_sales_inr]]-tblTransactions[[#This Row],[Recalc_Net_Sales]])&lt;0.02,"OK","CHECK")</f>
        <v>OK</v>
      </c>
      <c r="M2057" s="14">
        <f>DATE(YEAR(tblTransactions[[#This Row],[date]]),MONTH(tblTransactions[[#This Row],[date]]),1)</f>
        <v>45658</v>
      </c>
      <c r="N2057" t="str">
        <f>IF(WEEKDAY(tblTransactions[[#This Row],[date]],2)&gt;5,"Weekend","Weekday")</f>
        <v>Weekend</v>
      </c>
      <c r="O205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57" s="13" t="str">
        <f>_xlfn.XLOOKUP(tblTransactions[[#This Row],[tenant_id]],tblTenants[tenant_id],tblTenants[zone],"NOT FOUND")</f>
        <v>Beauty &amp; Wellness</v>
      </c>
      <c r="Q2057" s="13" t="str">
        <f>_xlfn.XLOOKUP(tblTransactions[[#This Row],[tenant_id]],tblTenants[tenant_id],tblTenants[category],"NOT FOUND")</f>
        <v>Wellness</v>
      </c>
    </row>
    <row r="2058" spans="1:17">
      <c r="A2058" t="s">
        <v>2102</v>
      </c>
      <c r="B2058" s="2">
        <v>45759</v>
      </c>
      <c r="C2058">
        <v>10</v>
      </c>
      <c r="D2058" t="s">
        <v>43</v>
      </c>
      <c r="E2058" t="s">
        <v>51</v>
      </c>
      <c r="F2058" s="7">
        <v>1009.44</v>
      </c>
      <c r="G2058" s="10">
        <v>0.1</v>
      </c>
      <c r="H2058" s="7">
        <v>908.5</v>
      </c>
      <c r="I2058">
        <v>2</v>
      </c>
      <c r="J2058" t="s">
        <v>16</v>
      </c>
      <c r="K2058" s="13">
        <f>ROUND(tblTransactions[[#This Row],[gross_sales_inr]]*(1-tblTransactions[[#This Row],[discount_pct]]),2)</f>
        <v>908.5</v>
      </c>
      <c r="L2058" t="str">
        <f>IF(ABS(tblTransactions[[#This Row],[net_sales_inr]]-tblTransactions[[#This Row],[Recalc_Net_Sales]])&lt;0.02,"OK","CHECK")</f>
        <v>OK</v>
      </c>
      <c r="M2058" s="14">
        <f>DATE(YEAR(tblTransactions[[#This Row],[date]]),MONTH(tblTransactions[[#This Row],[date]]),1)</f>
        <v>45748</v>
      </c>
      <c r="N2058" t="str">
        <f>IF(WEEKDAY(tblTransactions[[#This Row],[date]],2)&gt;5,"Weekend","Weekday")</f>
        <v>Weekend</v>
      </c>
      <c r="O205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58" s="13" t="str">
        <f>_xlfn.XLOOKUP(tblTransactions[[#This Row],[tenant_id]],tblTenants[tenant_id],tblTenants[zone],"NOT FOUND")</f>
        <v>Food Court</v>
      </c>
      <c r="Q2058" s="13" t="str">
        <f>_xlfn.XLOOKUP(tblTransactions[[#This Row],[tenant_id]],tblTenants[tenant_id],tblTenants[category],"NOT FOUND")</f>
        <v>Casual Dining</v>
      </c>
    </row>
    <row r="2059" spans="1:17">
      <c r="A2059" t="s">
        <v>2103</v>
      </c>
      <c r="B2059" s="2">
        <v>45695</v>
      </c>
      <c r="C2059">
        <v>16</v>
      </c>
      <c r="D2059" t="s">
        <v>53</v>
      </c>
      <c r="E2059" t="s">
        <v>12</v>
      </c>
      <c r="F2059" s="7">
        <v>323.3</v>
      </c>
      <c r="G2059" s="10">
        <v>0</v>
      </c>
      <c r="H2059" s="7">
        <v>323.3</v>
      </c>
      <c r="I2059">
        <v>2</v>
      </c>
      <c r="J2059" t="s">
        <v>16</v>
      </c>
      <c r="K2059" s="13">
        <f>ROUND(tblTransactions[[#This Row],[gross_sales_inr]]*(1-tblTransactions[[#This Row],[discount_pct]]),2)</f>
        <v>323.3</v>
      </c>
      <c r="L2059" t="str">
        <f>IF(ABS(tblTransactions[[#This Row],[net_sales_inr]]-tblTransactions[[#This Row],[Recalc_Net_Sales]])&lt;0.02,"OK","CHECK")</f>
        <v>OK</v>
      </c>
      <c r="M2059" s="14">
        <f>DATE(YEAR(tblTransactions[[#This Row],[date]]),MONTH(tblTransactions[[#This Row],[date]]),1)</f>
        <v>45689</v>
      </c>
      <c r="N2059" t="str">
        <f>IF(WEEKDAY(tblTransactions[[#This Row],[date]],2)&gt;5,"Weekend","Weekday")</f>
        <v>Weekday</v>
      </c>
      <c r="O2059" s="13" t="str">
        <f>IF(tblTransactions[[#This Row],[discount_pct]]=0,"0%",IF(tblTransactions[[#This Row],[discount_pct]]&lt;=10%,"1–
10%",IF(tblTransactions[[#This Row],[discount_pct]]&lt;=20%,"11–20%","&gt;20%")))</f>
        <v>0%</v>
      </c>
      <c r="P2059" s="13" t="str">
        <f>_xlfn.XLOOKUP(tblTransactions[[#This Row],[tenant_id]],tblTenants[tenant_id],tblTenants[zone],"NOT FOUND")</f>
        <v>Beauty &amp; Wellness</v>
      </c>
      <c r="Q2059" s="13" t="str">
        <f>_xlfn.XLOOKUP(tblTransactions[[#This Row],[tenant_id]],tblTenants[tenant_id],tblTenants[category],"NOT FOUND")</f>
        <v>Beauty</v>
      </c>
    </row>
    <row r="2060" spans="1:17">
      <c r="A2060" t="s">
        <v>2104</v>
      </c>
      <c r="B2060" s="2">
        <v>45667</v>
      </c>
      <c r="C2060">
        <v>12</v>
      </c>
      <c r="D2060" t="s">
        <v>48</v>
      </c>
      <c r="E2060" t="s">
        <v>12</v>
      </c>
      <c r="F2060" s="7">
        <v>567.66</v>
      </c>
      <c r="G2060" s="10">
        <v>0.2</v>
      </c>
      <c r="H2060" s="7">
        <v>454.13</v>
      </c>
      <c r="I2060">
        <v>2</v>
      </c>
      <c r="J2060" t="s">
        <v>16</v>
      </c>
      <c r="K2060" s="13">
        <f>ROUND(tblTransactions[[#This Row],[gross_sales_inr]]*(1-tblTransactions[[#This Row],[discount_pct]]),2)</f>
        <v>454.13</v>
      </c>
      <c r="L2060" t="str">
        <f>IF(ABS(tblTransactions[[#This Row],[net_sales_inr]]-tblTransactions[[#This Row],[Recalc_Net_Sales]])&lt;0.02,"OK","CHECK")</f>
        <v>OK</v>
      </c>
      <c r="M2060" s="14">
        <f>DATE(YEAR(tblTransactions[[#This Row],[date]]),MONTH(tblTransactions[[#This Row],[date]]),1)</f>
        <v>45658</v>
      </c>
      <c r="N2060" t="str">
        <f>IF(WEEKDAY(tblTransactions[[#This Row],[date]],2)&gt;5,"Weekend","Weekday")</f>
        <v>Weekday</v>
      </c>
      <c r="O206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60" s="13" t="str">
        <f>_xlfn.XLOOKUP(tblTransactions[[#This Row],[tenant_id]],tblTenants[tenant_id],tblTenants[zone],"NOT FOUND")</f>
        <v>Beauty &amp; Wellness</v>
      </c>
      <c r="Q2060" s="13" t="str">
        <f>_xlfn.XLOOKUP(tblTransactions[[#This Row],[tenant_id]],tblTenants[tenant_id],tblTenants[category],"NOT FOUND")</f>
        <v>Wellness</v>
      </c>
    </row>
    <row r="2061" spans="1:17">
      <c r="A2061" t="s">
        <v>2105</v>
      </c>
      <c r="B2061" s="2">
        <v>45790</v>
      </c>
      <c r="C2061">
        <v>14</v>
      </c>
      <c r="D2061" t="s">
        <v>20</v>
      </c>
      <c r="E2061" t="s">
        <v>21</v>
      </c>
      <c r="F2061" s="7">
        <v>761.98</v>
      </c>
      <c r="G2061" s="10">
        <v>0</v>
      </c>
      <c r="H2061" s="7">
        <v>761.98</v>
      </c>
      <c r="I2061">
        <v>2</v>
      </c>
      <c r="J2061" t="s">
        <v>13</v>
      </c>
      <c r="K2061" s="13">
        <f>ROUND(tblTransactions[[#This Row],[gross_sales_inr]]*(1-tblTransactions[[#This Row],[discount_pct]]),2)</f>
        <v>761.98</v>
      </c>
      <c r="L2061" t="str">
        <f>IF(ABS(tblTransactions[[#This Row],[net_sales_inr]]-tblTransactions[[#This Row],[Recalc_Net_Sales]])&lt;0.02,"OK","CHECK")</f>
        <v>OK</v>
      </c>
      <c r="M2061" s="14">
        <f>DATE(YEAR(tblTransactions[[#This Row],[date]]),MONTH(tblTransactions[[#This Row],[date]]),1)</f>
        <v>45778</v>
      </c>
      <c r="N2061" t="str">
        <f>IF(WEEKDAY(tblTransactions[[#This Row],[date]],2)&gt;5,"Weekend","Weekday")</f>
        <v>Weekday</v>
      </c>
      <c r="O2061" s="13" t="str">
        <f>IF(tblTransactions[[#This Row],[discount_pct]]=0,"0%",IF(tblTransactions[[#This Row],[discount_pct]]&lt;=10%,"1–
10%",IF(tblTransactions[[#This Row],[discount_pct]]&lt;=20%,"11–20%","&gt;20%")))</f>
        <v>0%</v>
      </c>
      <c r="P2061" s="13" t="str">
        <f>_xlfn.XLOOKUP(tblTransactions[[#This Row],[tenant_id]],tblTenants[tenant_id],tblTenants[zone],"NOT FOUND")</f>
        <v>Fashion Avenue</v>
      </c>
      <c r="Q2061" s="13" t="str">
        <f>_xlfn.XLOOKUP(tblTransactions[[#This Row],[tenant_id]],tblTenants[tenant_id],tblTenants[category],"NOT FOUND")</f>
        <v>Accessories</v>
      </c>
    </row>
    <row r="2062" spans="1:17">
      <c r="A2062" t="s">
        <v>2106</v>
      </c>
      <c r="B2062" s="2">
        <v>45669</v>
      </c>
      <c r="C2062">
        <v>19</v>
      </c>
      <c r="D2062" t="s">
        <v>70</v>
      </c>
      <c r="E2062" t="s">
        <v>32</v>
      </c>
      <c r="F2062" s="7">
        <v>2163.06</v>
      </c>
      <c r="G2062" s="10">
        <v>0.2</v>
      </c>
      <c r="H2062" s="7">
        <v>1730.45</v>
      </c>
      <c r="I2062">
        <v>1</v>
      </c>
      <c r="J2062" t="s">
        <v>16</v>
      </c>
      <c r="K2062" s="13">
        <f>ROUND(tblTransactions[[#This Row],[gross_sales_inr]]*(1-tblTransactions[[#This Row],[discount_pct]]),2)</f>
        <v>1730.45</v>
      </c>
      <c r="L2062" t="str">
        <f>IF(ABS(tblTransactions[[#This Row],[net_sales_inr]]-tblTransactions[[#This Row],[Recalc_Net_Sales]])&lt;0.02,"OK","CHECK")</f>
        <v>OK</v>
      </c>
      <c r="M2062" s="14">
        <f>DATE(YEAR(tblTransactions[[#This Row],[date]]),MONTH(tblTransactions[[#This Row],[date]]),1)</f>
        <v>45658</v>
      </c>
      <c r="N2062" t="str">
        <f>IF(WEEKDAY(tblTransactions[[#This Row],[date]],2)&gt;5,"Weekend","Weekday")</f>
        <v>Weekend</v>
      </c>
      <c r="O206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62" s="13" t="str">
        <f>_xlfn.XLOOKUP(tblTransactions[[#This Row],[tenant_id]],tblTenants[tenant_id],tblTenants[zone],"NOT FOUND")</f>
        <v>Food Court</v>
      </c>
      <c r="Q2062" s="13" t="str">
        <f>_xlfn.XLOOKUP(tblTransactions[[#This Row],[tenant_id]],tblTenants[tenant_id],tblTenants[category],"NOT FOUND")</f>
        <v>Quick Service</v>
      </c>
    </row>
    <row r="2063" spans="1:17">
      <c r="A2063" t="s">
        <v>2107</v>
      </c>
      <c r="B2063" s="2">
        <v>45803</v>
      </c>
      <c r="C2063">
        <v>21</v>
      </c>
      <c r="D2063" t="s">
        <v>204</v>
      </c>
      <c r="E2063" t="s">
        <v>12</v>
      </c>
      <c r="F2063" s="7">
        <v>427.96</v>
      </c>
      <c r="G2063" s="10">
        <v>0.2</v>
      </c>
      <c r="H2063" s="7">
        <v>342.37</v>
      </c>
      <c r="I2063">
        <v>3</v>
      </c>
      <c r="J2063" t="s">
        <v>16</v>
      </c>
      <c r="K2063" s="13">
        <f>ROUND(tblTransactions[[#This Row],[gross_sales_inr]]*(1-tblTransactions[[#This Row],[discount_pct]]),2)</f>
        <v>342.37</v>
      </c>
      <c r="L2063" t="str">
        <f>IF(ABS(tblTransactions[[#This Row],[net_sales_inr]]-tblTransactions[[#This Row],[Recalc_Net_Sales]])&lt;0.02,"OK","CHECK")</f>
        <v>OK</v>
      </c>
      <c r="M2063" s="14">
        <f>DATE(YEAR(tblTransactions[[#This Row],[date]]),MONTH(tblTransactions[[#This Row],[date]]),1)</f>
        <v>45778</v>
      </c>
      <c r="N2063" t="str">
        <f>IF(WEEKDAY(tblTransactions[[#This Row],[date]],2)&gt;5,"Weekend","Weekday")</f>
        <v>Weekday</v>
      </c>
      <c r="O206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63" s="13" t="str">
        <f>_xlfn.XLOOKUP(tblTransactions[[#This Row],[tenant_id]],tblTenants[tenant_id],tblTenants[zone],"NOT FOUND")</f>
        <v>Home &amp; Living</v>
      </c>
      <c r="Q2063" s="13" t="str">
        <f>_xlfn.XLOOKUP(tblTransactions[[#This Row],[tenant_id]],tblTenants[tenant_id],tblTenants[category],"NOT FOUND")</f>
        <v>Home Decor</v>
      </c>
    </row>
    <row r="2064" spans="1:17">
      <c r="A2064" t="s">
        <v>2108</v>
      </c>
      <c r="B2064" s="2">
        <v>45835</v>
      </c>
      <c r="C2064">
        <v>16</v>
      </c>
      <c r="D2064" t="s">
        <v>85</v>
      </c>
      <c r="E2064" t="s">
        <v>12</v>
      </c>
      <c r="F2064" s="7">
        <v>1256.48</v>
      </c>
      <c r="G2064" s="10">
        <v>0</v>
      </c>
      <c r="H2064" s="7">
        <v>1256.48</v>
      </c>
      <c r="I2064">
        <v>1</v>
      </c>
      <c r="J2064" t="s">
        <v>13</v>
      </c>
      <c r="K2064" s="13">
        <f>ROUND(tblTransactions[[#This Row],[gross_sales_inr]]*(1-tblTransactions[[#This Row],[discount_pct]]),2)</f>
        <v>1256.48</v>
      </c>
      <c r="L2064" t="str">
        <f>IF(ABS(tblTransactions[[#This Row],[net_sales_inr]]-tblTransactions[[#This Row],[Recalc_Net_Sales]])&lt;0.02,"OK","CHECK")</f>
        <v>OK</v>
      </c>
      <c r="M2064" s="14">
        <f>DATE(YEAR(tblTransactions[[#This Row],[date]]),MONTH(tblTransactions[[#This Row],[date]]),1)</f>
        <v>45809</v>
      </c>
      <c r="N2064" t="str">
        <f>IF(WEEKDAY(tblTransactions[[#This Row],[date]],2)&gt;5,"Weekend","Weekday")</f>
        <v>Weekday</v>
      </c>
      <c r="O2064" s="13" t="str">
        <f>IF(tblTransactions[[#This Row],[discount_pct]]=0,"0%",IF(tblTransactions[[#This Row],[discount_pct]]&lt;=10%,"1–
10%",IF(tblTransactions[[#This Row],[discount_pct]]&lt;=20%,"11–20%","&gt;20%")))</f>
        <v>0%</v>
      </c>
      <c r="P2064" s="13" t="str">
        <f>_xlfn.XLOOKUP(tblTransactions[[#This Row],[tenant_id]],tblTenants[tenant_id],tblTenants[zone],"NOT FOUND")</f>
        <v>Home &amp; Living</v>
      </c>
      <c r="Q2064" s="13" t="str">
        <f>_xlfn.XLOOKUP(tblTransactions[[#This Row],[tenant_id]],tblTenants[tenant_id],tblTenants[category],"NOT FOUND")</f>
        <v>Electronics</v>
      </c>
    </row>
    <row r="2065" spans="1:17">
      <c r="A2065" t="s">
        <v>2109</v>
      </c>
      <c r="B2065" s="2">
        <v>45814</v>
      </c>
      <c r="C2065">
        <v>20</v>
      </c>
      <c r="D2065" t="s">
        <v>41</v>
      </c>
      <c r="E2065" t="s">
        <v>12</v>
      </c>
      <c r="F2065" s="7">
        <v>378.84</v>
      </c>
      <c r="G2065" s="10">
        <v>0.1</v>
      </c>
      <c r="H2065" s="7">
        <v>340.96</v>
      </c>
      <c r="I2065">
        <v>1</v>
      </c>
      <c r="J2065" t="s">
        <v>13</v>
      </c>
      <c r="K2065" s="13">
        <f>ROUND(tblTransactions[[#This Row],[gross_sales_inr]]*(1-tblTransactions[[#This Row],[discount_pct]]),2)</f>
        <v>340.96</v>
      </c>
      <c r="L2065" t="str">
        <f>IF(ABS(tblTransactions[[#This Row],[net_sales_inr]]-tblTransactions[[#This Row],[Recalc_Net_Sales]])&lt;0.02,"OK","CHECK")</f>
        <v>OK</v>
      </c>
      <c r="M2065" s="14">
        <f>DATE(YEAR(tblTransactions[[#This Row],[date]]),MONTH(tblTransactions[[#This Row],[date]]),1)</f>
        <v>45809</v>
      </c>
      <c r="N2065" t="str">
        <f>IF(WEEKDAY(tblTransactions[[#This Row],[date]],2)&gt;5,"Weekend","Weekday")</f>
        <v>Weekday</v>
      </c>
      <c r="O206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65" s="13" t="str">
        <f>_xlfn.XLOOKUP(tblTransactions[[#This Row],[tenant_id]],tblTenants[tenant_id],tblTenants[zone],"NOT FOUND")</f>
        <v>Fashion Avenue</v>
      </c>
      <c r="Q2065" s="13" t="str">
        <f>_xlfn.XLOOKUP(tblTransactions[[#This Row],[tenant_id]],tblTenants[tenant_id],tblTenants[category],"NOT FOUND")</f>
        <v>Clothing</v>
      </c>
    </row>
    <row r="2066" spans="1:17">
      <c r="A2066" t="s">
        <v>2110</v>
      </c>
      <c r="B2066" s="2">
        <v>45688</v>
      </c>
      <c r="C2066">
        <v>10</v>
      </c>
      <c r="D2066" t="s">
        <v>204</v>
      </c>
      <c r="E2066" t="s">
        <v>32</v>
      </c>
      <c r="F2066" s="7">
        <v>2610.06</v>
      </c>
      <c r="G2066" s="10">
        <v>0</v>
      </c>
      <c r="H2066" s="7">
        <v>2610.06</v>
      </c>
      <c r="I2066">
        <v>1</v>
      </c>
      <c r="J2066" t="s">
        <v>13</v>
      </c>
      <c r="K2066" s="13">
        <f>ROUND(tblTransactions[[#This Row],[gross_sales_inr]]*(1-tblTransactions[[#This Row],[discount_pct]]),2)</f>
        <v>2610.06</v>
      </c>
      <c r="L2066" t="str">
        <f>IF(ABS(tblTransactions[[#This Row],[net_sales_inr]]-tblTransactions[[#This Row],[Recalc_Net_Sales]])&lt;0.02,"OK","CHECK")</f>
        <v>OK</v>
      </c>
      <c r="M2066" s="14">
        <f>DATE(YEAR(tblTransactions[[#This Row],[date]]),MONTH(tblTransactions[[#This Row],[date]]),1)</f>
        <v>45658</v>
      </c>
      <c r="N2066" t="str">
        <f>IF(WEEKDAY(tblTransactions[[#This Row],[date]],2)&gt;5,"Weekend","Weekday")</f>
        <v>Weekday</v>
      </c>
      <c r="O2066" s="13" t="str">
        <f>IF(tblTransactions[[#This Row],[discount_pct]]=0,"0%",IF(tblTransactions[[#This Row],[discount_pct]]&lt;=10%,"1–
10%",IF(tblTransactions[[#This Row],[discount_pct]]&lt;=20%,"11–20%","&gt;20%")))</f>
        <v>0%</v>
      </c>
      <c r="P2066" s="13" t="str">
        <f>_xlfn.XLOOKUP(tblTransactions[[#This Row],[tenant_id]],tblTenants[tenant_id],tblTenants[zone],"NOT FOUND")</f>
        <v>Home &amp; Living</v>
      </c>
      <c r="Q2066" s="13" t="str">
        <f>_xlfn.XLOOKUP(tblTransactions[[#This Row],[tenant_id]],tblTenants[tenant_id],tblTenants[category],"NOT FOUND")</f>
        <v>Home Decor</v>
      </c>
    </row>
    <row r="2067" spans="1:17">
      <c r="A2067" t="s">
        <v>2111</v>
      </c>
      <c r="B2067" s="2">
        <v>45811</v>
      </c>
      <c r="C2067">
        <v>20</v>
      </c>
      <c r="D2067" t="s">
        <v>23</v>
      </c>
      <c r="E2067" t="s">
        <v>12</v>
      </c>
      <c r="F2067" s="7">
        <v>881.22</v>
      </c>
      <c r="G2067" s="10">
        <v>0.3</v>
      </c>
      <c r="H2067" s="7">
        <v>616.85</v>
      </c>
      <c r="I2067">
        <v>1</v>
      </c>
      <c r="J2067" t="s">
        <v>13</v>
      </c>
      <c r="K2067" s="13">
        <f>ROUND(tblTransactions[[#This Row],[gross_sales_inr]]*(1-tblTransactions[[#This Row],[discount_pct]]),2)</f>
        <v>616.85</v>
      </c>
      <c r="L2067" t="str">
        <f>IF(ABS(tblTransactions[[#This Row],[net_sales_inr]]-tblTransactions[[#This Row],[Recalc_Net_Sales]])&lt;0.02,"OK","CHECK")</f>
        <v>OK</v>
      </c>
      <c r="M2067" s="14">
        <f>DATE(YEAR(tblTransactions[[#This Row],[date]]),MONTH(tblTransactions[[#This Row],[date]]),1)</f>
        <v>45809</v>
      </c>
      <c r="N2067" t="str">
        <f>IF(WEEKDAY(tblTransactions[[#This Row],[date]],2)&gt;5,"Weekend","Weekday")</f>
        <v>Weekday</v>
      </c>
      <c r="O206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067" s="13" t="str">
        <f>_xlfn.XLOOKUP(tblTransactions[[#This Row],[tenant_id]],tblTenants[tenant_id],tblTenants[zone],"NOT FOUND")</f>
        <v>Entertainment</v>
      </c>
      <c r="Q2067" s="13" t="str">
        <f>_xlfn.XLOOKUP(tblTransactions[[#This Row],[tenant_id]],tblTenants[tenant_id],tblTenants[category],"NOT FOUND")</f>
        <v>Cinema</v>
      </c>
    </row>
    <row r="2068" spans="1:17">
      <c r="A2068" t="s">
        <v>2112</v>
      </c>
      <c r="B2068" s="2">
        <v>45669</v>
      </c>
      <c r="C2068">
        <v>19</v>
      </c>
      <c r="D2068" t="s">
        <v>48</v>
      </c>
      <c r="E2068" t="s">
        <v>12</v>
      </c>
      <c r="F2068" s="7">
        <v>541.38</v>
      </c>
      <c r="G2068" s="10">
        <v>0.1</v>
      </c>
      <c r="H2068" s="7">
        <v>487.24</v>
      </c>
      <c r="I2068">
        <v>1</v>
      </c>
      <c r="J2068" t="s">
        <v>16</v>
      </c>
      <c r="K2068" s="13">
        <f>ROUND(tblTransactions[[#This Row],[gross_sales_inr]]*(1-tblTransactions[[#This Row],[discount_pct]]),2)</f>
        <v>487.24</v>
      </c>
      <c r="L2068" t="str">
        <f>IF(ABS(tblTransactions[[#This Row],[net_sales_inr]]-tblTransactions[[#This Row],[Recalc_Net_Sales]])&lt;0.02,"OK","CHECK")</f>
        <v>OK</v>
      </c>
      <c r="M2068" s="14">
        <f>DATE(YEAR(tblTransactions[[#This Row],[date]]),MONTH(tblTransactions[[#This Row],[date]]),1)</f>
        <v>45658</v>
      </c>
      <c r="N2068" t="str">
        <f>IF(WEEKDAY(tblTransactions[[#This Row],[date]],2)&gt;5,"Weekend","Weekday")</f>
        <v>Weekend</v>
      </c>
      <c r="O206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68" s="13" t="str">
        <f>_xlfn.XLOOKUP(tblTransactions[[#This Row],[tenant_id]],tblTenants[tenant_id],tblTenants[zone],"NOT FOUND")</f>
        <v>Beauty &amp; Wellness</v>
      </c>
      <c r="Q2068" s="13" t="str">
        <f>_xlfn.XLOOKUP(tblTransactions[[#This Row],[tenant_id]],tblTenants[tenant_id],tblTenants[category],"NOT FOUND")</f>
        <v>Wellness</v>
      </c>
    </row>
    <row r="2069" spans="1:17">
      <c r="A2069" t="s">
        <v>2113</v>
      </c>
      <c r="B2069" s="2">
        <v>45819</v>
      </c>
      <c r="C2069">
        <v>11</v>
      </c>
      <c r="D2069" t="s">
        <v>27</v>
      </c>
      <c r="E2069" t="s">
        <v>32</v>
      </c>
      <c r="F2069" s="7">
        <v>2055.46</v>
      </c>
      <c r="G2069" s="10">
        <v>0.1</v>
      </c>
      <c r="H2069" s="7">
        <v>1849.91</v>
      </c>
      <c r="I2069">
        <v>3</v>
      </c>
      <c r="J2069" t="s">
        <v>16</v>
      </c>
      <c r="K2069" s="13">
        <f>ROUND(tblTransactions[[#This Row],[gross_sales_inr]]*(1-tblTransactions[[#This Row],[discount_pct]]),2)</f>
        <v>1849.91</v>
      </c>
      <c r="L2069" t="str">
        <f>IF(ABS(tblTransactions[[#This Row],[net_sales_inr]]-tblTransactions[[#This Row],[Recalc_Net_Sales]])&lt;0.02,"OK","CHECK")</f>
        <v>OK</v>
      </c>
      <c r="M2069" s="14">
        <f>DATE(YEAR(tblTransactions[[#This Row],[date]]),MONTH(tblTransactions[[#This Row],[date]]),1)</f>
        <v>45809</v>
      </c>
      <c r="N2069" t="str">
        <f>IF(WEEKDAY(tblTransactions[[#This Row],[date]],2)&gt;5,"Weekend","Weekday")</f>
        <v>Weekday</v>
      </c>
      <c r="O206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69" s="13" t="str">
        <f>_xlfn.XLOOKUP(tblTransactions[[#This Row],[tenant_id]],tblTenants[tenant_id],tblTenants[zone],"NOT FOUND")</f>
        <v>Beauty &amp; Wellness</v>
      </c>
      <c r="Q2069" s="13" t="str">
        <f>_xlfn.XLOOKUP(tblTransactions[[#This Row],[tenant_id]],tblTenants[tenant_id],tblTenants[category],"NOT FOUND")</f>
        <v>Wellness</v>
      </c>
    </row>
    <row r="2070" spans="1:17">
      <c r="A2070" t="s">
        <v>2114</v>
      </c>
      <c r="B2070" s="2">
        <v>45705</v>
      </c>
      <c r="C2070">
        <v>12</v>
      </c>
      <c r="D2070" t="s">
        <v>48</v>
      </c>
      <c r="E2070" t="s">
        <v>12</v>
      </c>
      <c r="F2070" s="7">
        <v>1649.1</v>
      </c>
      <c r="G2070" s="10">
        <v>0.15</v>
      </c>
      <c r="H2070" s="7">
        <v>1401.73</v>
      </c>
      <c r="I2070">
        <v>3</v>
      </c>
      <c r="J2070" t="s">
        <v>16</v>
      </c>
      <c r="K2070" s="13">
        <f>ROUND(tblTransactions[[#This Row],[gross_sales_inr]]*(1-tblTransactions[[#This Row],[discount_pct]]),2)</f>
        <v>1401.74</v>
      </c>
      <c r="L2070" t="str">
        <f>IF(ABS(tblTransactions[[#This Row],[net_sales_inr]]-tblTransactions[[#This Row],[Recalc_Net_Sales]])&lt;0.02,"OK","CHECK")</f>
        <v>OK</v>
      </c>
      <c r="M2070" s="14">
        <f>DATE(YEAR(tblTransactions[[#This Row],[date]]),MONTH(tblTransactions[[#This Row],[date]]),1)</f>
        <v>45689</v>
      </c>
      <c r="N2070" t="str">
        <f>IF(WEEKDAY(tblTransactions[[#This Row],[date]],2)&gt;5,"Weekend","Weekday")</f>
        <v>Weekday</v>
      </c>
      <c r="O207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70" s="13" t="str">
        <f>_xlfn.XLOOKUP(tblTransactions[[#This Row],[tenant_id]],tblTenants[tenant_id],tblTenants[zone],"NOT FOUND")</f>
        <v>Beauty &amp; Wellness</v>
      </c>
      <c r="Q2070" s="13" t="str">
        <f>_xlfn.XLOOKUP(tblTransactions[[#This Row],[tenant_id]],tblTenants[tenant_id],tblTenants[category],"NOT FOUND")</f>
        <v>Wellness</v>
      </c>
    </row>
    <row r="2071" spans="1:17">
      <c r="A2071" t="s">
        <v>2115</v>
      </c>
      <c r="B2071" s="2">
        <v>45717</v>
      </c>
      <c r="C2071">
        <v>17</v>
      </c>
      <c r="D2071" t="s">
        <v>29</v>
      </c>
      <c r="E2071" t="s">
        <v>12</v>
      </c>
      <c r="F2071" s="7">
        <v>1243.53</v>
      </c>
      <c r="G2071" s="10">
        <v>0.05</v>
      </c>
      <c r="H2071" s="7">
        <v>1181.3499999999999</v>
      </c>
      <c r="I2071">
        <v>4</v>
      </c>
      <c r="J2071" t="s">
        <v>13</v>
      </c>
      <c r="K2071" s="13">
        <f>ROUND(tblTransactions[[#This Row],[gross_sales_inr]]*(1-tblTransactions[[#This Row],[discount_pct]]),2)</f>
        <v>1181.3499999999999</v>
      </c>
      <c r="L2071" t="str">
        <f>IF(ABS(tblTransactions[[#This Row],[net_sales_inr]]-tblTransactions[[#This Row],[Recalc_Net_Sales]])&lt;0.02,"OK","CHECK")</f>
        <v>OK</v>
      </c>
      <c r="M2071" s="14">
        <f>DATE(YEAR(tblTransactions[[#This Row],[date]]),MONTH(tblTransactions[[#This Row],[date]]),1)</f>
        <v>45717</v>
      </c>
      <c r="N2071" t="str">
        <f>IF(WEEKDAY(tblTransactions[[#This Row],[date]],2)&gt;5,"Weekend","Weekday")</f>
        <v>Weekend</v>
      </c>
      <c r="O207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71" s="13" t="str">
        <f>_xlfn.XLOOKUP(tblTransactions[[#This Row],[tenant_id]],tblTenants[tenant_id],tblTenants[zone],"NOT FOUND")</f>
        <v>Entertainment</v>
      </c>
      <c r="Q2071" s="13" t="str">
        <f>_xlfn.XLOOKUP(tblTransactions[[#This Row],[tenant_id]],tblTenants[tenant_id],tblTenants[category],"NOT FOUND")</f>
        <v>Cinema</v>
      </c>
    </row>
    <row r="2072" spans="1:17">
      <c r="A2072" t="s">
        <v>2116</v>
      </c>
      <c r="B2072" s="2">
        <v>45665</v>
      </c>
      <c r="C2072">
        <v>22</v>
      </c>
      <c r="D2072" t="s">
        <v>61</v>
      </c>
      <c r="E2072" t="s">
        <v>51</v>
      </c>
      <c r="F2072" s="7">
        <v>1071.47</v>
      </c>
      <c r="G2072" s="10">
        <v>0.15</v>
      </c>
      <c r="H2072" s="7">
        <v>910.75</v>
      </c>
      <c r="I2072">
        <v>4</v>
      </c>
      <c r="J2072" t="s">
        <v>16</v>
      </c>
      <c r="K2072" s="13">
        <f>ROUND(tblTransactions[[#This Row],[gross_sales_inr]]*(1-tblTransactions[[#This Row],[discount_pct]]),2)</f>
        <v>910.75</v>
      </c>
      <c r="L2072" t="str">
        <f>IF(ABS(tblTransactions[[#This Row],[net_sales_inr]]-tblTransactions[[#This Row],[Recalc_Net_Sales]])&lt;0.02,"OK","CHECK")</f>
        <v>OK</v>
      </c>
      <c r="M2072" s="14">
        <f>DATE(YEAR(tblTransactions[[#This Row],[date]]),MONTH(tblTransactions[[#This Row],[date]]),1)</f>
        <v>45658</v>
      </c>
      <c r="N2072" t="str">
        <f>IF(WEEKDAY(tblTransactions[[#This Row],[date]],2)&gt;5,"Weekend","Weekday")</f>
        <v>Weekday</v>
      </c>
      <c r="O207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72" s="13" t="str">
        <f>_xlfn.XLOOKUP(tblTransactions[[#This Row],[tenant_id]],tblTenants[tenant_id],tblTenants[zone],"NOT FOUND")</f>
        <v>Food Court</v>
      </c>
      <c r="Q2072" s="13" t="str">
        <f>_xlfn.XLOOKUP(tblTransactions[[#This Row],[tenant_id]],tblTenants[tenant_id],tblTenants[category],"NOT FOUND")</f>
        <v>Quick Service</v>
      </c>
    </row>
    <row r="2073" spans="1:17">
      <c r="A2073" t="s">
        <v>2117</v>
      </c>
      <c r="B2073" s="2">
        <v>45777</v>
      </c>
      <c r="C2073">
        <v>14</v>
      </c>
      <c r="D2073" t="s">
        <v>204</v>
      </c>
      <c r="E2073" t="s">
        <v>51</v>
      </c>
      <c r="F2073" s="7">
        <v>521.95000000000005</v>
      </c>
      <c r="G2073" s="10">
        <v>0.05</v>
      </c>
      <c r="H2073" s="7">
        <v>495.85</v>
      </c>
      <c r="I2073">
        <v>3</v>
      </c>
      <c r="J2073" t="s">
        <v>16</v>
      </c>
      <c r="K2073" s="13">
        <f>ROUND(tblTransactions[[#This Row],[gross_sales_inr]]*(1-tblTransactions[[#This Row],[discount_pct]]),2)</f>
        <v>495.85</v>
      </c>
      <c r="L2073" t="str">
        <f>IF(ABS(tblTransactions[[#This Row],[net_sales_inr]]-tblTransactions[[#This Row],[Recalc_Net_Sales]])&lt;0.02,"OK","CHECK")</f>
        <v>OK</v>
      </c>
      <c r="M2073" s="14">
        <f>DATE(YEAR(tblTransactions[[#This Row],[date]]),MONTH(tblTransactions[[#This Row],[date]]),1)</f>
        <v>45748</v>
      </c>
      <c r="N2073" t="str">
        <f>IF(WEEKDAY(tblTransactions[[#This Row],[date]],2)&gt;5,"Weekend","Weekday")</f>
        <v>Weekday</v>
      </c>
      <c r="O207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73" s="13" t="str">
        <f>_xlfn.XLOOKUP(tblTransactions[[#This Row],[tenant_id]],tblTenants[tenant_id],tblTenants[zone],"NOT FOUND")</f>
        <v>Home &amp; Living</v>
      </c>
      <c r="Q2073" s="13" t="str">
        <f>_xlfn.XLOOKUP(tblTransactions[[#This Row],[tenant_id]],tblTenants[tenant_id],tblTenants[category],"NOT FOUND")</f>
        <v>Home Decor</v>
      </c>
    </row>
    <row r="2074" spans="1:17">
      <c r="A2074" t="s">
        <v>2118</v>
      </c>
      <c r="B2074" s="2">
        <v>45832</v>
      </c>
      <c r="C2074">
        <v>15</v>
      </c>
      <c r="D2074" t="s">
        <v>85</v>
      </c>
      <c r="E2074" t="s">
        <v>12</v>
      </c>
      <c r="F2074" s="7">
        <v>1869.86</v>
      </c>
      <c r="G2074" s="10">
        <v>0</v>
      </c>
      <c r="H2074" s="7">
        <v>1869.86</v>
      </c>
      <c r="I2074">
        <v>2</v>
      </c>
      <c r="J2074" t="s">
        <v>13</v>
      </c>
      <c r="K2074" s="13">
        <f>ROUND(tblTransactions[[#This Row],[gross_sales_inr]]*(1-tblTransactions[[#This Row],[discount_pct]]),2)</f>
        <v>1869.86</v>
      </c>
      <c r="L2074" t="str">
        <f>IF(ABS(tblTransactions[[#This Row],[net_sales_inr]]-tblTransactions[[#This Row],[Recalc_Net_Sales]])&lt;0.02,"OK","CHECK")</f>
        <v>OK</v>
      </c>
      <c r="M2074" s="14">
        <f>DATE(YEAR(tblTransactions[[#This Row],[date]]),MONTH(tblTransactions[[#This Row],[date]]),1)</f>
        <v>45809</v>
      </c>
      <c r="N2074" t="str">
        <f>IF(WEEKDAY(tblTransactions[[#This Row],[date]],2)&gt;5,"Weekend","Weekday")</f>
        <v>Weekday</v>
      </c>
      <c r="O2074" s="13" t="str">
        <f>IF(tblTransactions[[#This Row],[discount_pct]]=0,"0%",IF(tblTransactions[[#This Row],[discount_pct]]&lt;=10%,"1–
10%",IF(tblTransactions[[#This Row],[discount_pct]]&lt;=20%,"11–20%","&gt;20%")))</f>
        <v>0%</v>
      </c>
      <c r="P2074" s="13" t="str">
        <f>_xlfn.XLOOKUP(tblTransactions[[#This Row],[tenant_id]],tblTenants[tenant_id],tblTenants[zone],"NOT FOUND")</f>
        <v>Home &amp; Living</v>
      </c>
      <c r="Q2074" s="13" t="str">
        <f>_xlfn.XLOOKUP(tblTransactions[[#This Row],[tenant_id]],tblTenants[tenant_id],tblTenants[category],"NOT FOUND")</f>
        <v>Electronics</v>
      </c>
    </row>
    <row r="2075" spans="1:17">
      <c r="A2075" t="s">
        <v>2119</v>
      </c>
      <c r="B2075" s="2">
        <v>45821</v>
      </c>
      <c r="C2075">
        <v>22</v>
      </c>
      <c r="D2075" t="s">
        <v>55</v>
      </c>
      <c r="E2075" t="s">
        <v>32</v>
      </c>
      <c r="F2075" s="7">
        <v>1036.3399999999999</v>
      </c>
      <c r="G2075" s="10">
        <v>0</v>
      </c>
      <c r="H2075" s="7">
        <v>1036.3399999999999</v>
      </c>
      <c r="I2075">
        <v>4</v>
      </c>
      <c r="J2075" t="s">
        <v>16</v>
      </c>
      <c r="K2075" s="13">
        <f>ROUND(tblTransactions[[#This Row],[gross_sales_inr]]*(1-tblTransactions[[#This Row],[discount_pct]]),2)</f>
        <v>1036.3399999999999</v>
      </c>
      <c r="L2075" t="str">
        <f>IF(ABS(tblTransactions[[#This Row],[net_sales_inr]]-tblTransactions[[#This Row],[Recalc_Net_Sales]])&lt;0.02,"OK","CHECK")</f>
        <v>OK</v>
      </c>
      <c r="M2075" s="14">
        <f>DATE(YEAR(tblTransactions[[#This Row],[date]]),MONTH(tblTransactions[[#This Row],[date]]),1)</f>
        <v>45809</v>
      </c>
      <c r="N2075" t="str">
        <f>IF(WEEKDAY(tblTransactions[[#This Row],[date]],2)&gt;5,"Weekend","Weekday")</f>
        <v>Weekday</v>
      </c>
      <c r="O2075" s="13" t="str">
        <f>IF(tblTransactions[[#This Row],[discount_pct]]=0,"0%",IF(tblTransactions[[#This Row],[discount_pct]]&lt;=10%,"1–
10%",IF(tblTransactions[[#This Row],[discount_pct]]&lt;=20%,"11–20%","&gt;20%")))</f>
        <v>0%</v>
      </c>
      <c r="P2075" s="13" t="str">
        <f>_xlfn.XLOOKUP(tblTransactions[[#This Row],[tenant_id]],tblTenants[tenant_id],tblTenants[zone],"NOT FOUND")</f>
        <v>Food Court</v>
      </c>
      <c r="Q2075" s="13" t="str">
        <f>_xlfn.XLOOKUP(tblTransactions[[#This Row],[tenant_id]],tblTenants[tenant_id],tblTenants[category],"NOT FOUND")</f>
        <v>Quick Service</v>
      </c>
    </row>
    <row r="2076" spans="1:17">
      <c r="A2076" t="s">
        <v>2120</v>
      </c>
      <c r="B2076" s="2">
        <v>45778</v>
      </c>
      <c r="C2076">
        <v>16</v>
      </c>
      <c r="D2076" t="s">
        <v>43</v>
      </c>
      <c r="E2076" t="s">
        <v>12</v>
      </c>
      <c r="F2076" s="7">
        <v>347.23</v>
      </c>
      <c r="G2076" s="10">
        <v>0.15</v>
      </c>
      <c r="H2076" s="7">
        <v>295.14999999999998</v>
      </c>
      <c r="I2076">
        <v>2</v>
      </c>
      <c r="J2076" t="s">
        <v>13</v>
      </c>
      <c r="K2076" s="13">
        <f>ROUND(tblTransactions[[#This Row],[gross_sales_inr]]*(1-tblTransactions[[#This Row],[discount_pct]]),2)</f>
        <v>295.14999999999998</v>
      </c>
      <c r="L2076" t="str">
        <f>IF(ABS(tblTransactions[[#This Row],[net_sales_inr]]-tblTransactions[[#This Row],[Recalc_Net_Sales]])&lt;0.02,"OK","CHECK")</f>
        <v>OK</v>
      </c>
      <c r="M2076" s="14">
        <f>DATE(YEAR(tblTransactions[[#This Row],[date]]),MONTH(tblTransactions[[#This Row],[date]]),1)</f>
        <v>45778</v>
      </c>
      <c r="N2076" t="str">
        <f>IF(WEEKDAY(tblTransactions[[#This Row],[date]],2)&gt;5,"Weekend","Weekday")</f>
        <v>Weekday</v>
      </c>
      <c r="O207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76" s="13" t="str">
        <f>_xlfn.XLOOKUP(tblTransactions[[#This Row],[tenant_id]],tblTenants[tenant_id],tblTenants[zone],"NOT FOUND")</f>
        <v>Food Court</v>
      </c>
      <c r="Q2076" s="13" t="str">
        <f>_xlfn.XLOOKUP(tblTransactions[[#This Row],[tenant_id]],tblTenants[tenant_id],tblTenants[category],"NOT FOUND")</f>
        <v>Casual Dining</v>
      </c>
    </row>
    <row r="2077" spans="1:17">
      <c r="A2077" t="s">
        <v>2121</v>
      </c>
      <c r="B2077" s="2">
        <v>45720</v>
      </c>
      <c r="C2077">
        <v>17</v>
      </c>
      <c r="D2077" t="s">
        <v>98</v>
      </c>
      <c r="E2077" t="s">
        <v>21</v>
      </c>
      <c r="F2077" s="7">
        <v>1215.49</v>
      </c>
      <c r="G2077" s="10">
        <v>0</v>
      </c>
      <c r="H2077" s="7">
        <v>1215.49</v>
      </c>
      <c r="I2077">
        <v>1</v>
      </c>
      <c r="J2077" t="s">
        <v>13</v>
      </c>
      <c r="K2077" s="13">
        <f>ROUND(tblTransactions[[#This Row],[gross_sales_inr]]*(1-tblTransactions[[#This Row],[discount_pct]]),2)</f>
        <v>1215.49</v>
      </c>
      <c r="L2077" t="str">
        <f>IF(ABS(tblTransactions[[#This Row],[net_sales_inr]]-tblTransactions[[#This Row],[Recalc_Net_Sales]])&lt;0.02,"OK","CHECK")</f>
        <v>OK</v>
      </c>
      <c r="M2077" s="14">
        <f>DATE(YEAR(tblTransactions[[#This Row],[date]]),MONTH(tblTransactions[[#This Row],[date]]),1)</f>
        <v>45717</v>
      </c>
      <c r="N2077" t="str">
        <f>IF(WEEKDAY(tblTransactions[[#This Row],[date]],2)&gt;5,"Weekend","Weekday")</f>
        <v>Weekday</v>
      </c>
      <c r="O2077" s="13" t="str">
        <f>IF(tblTransactions[[#This Row],[discount_pct]]=0,"0%",IF(tblTransactions[[#This Row],[discount_pct]]&lt;=10%,"1–
10%",IF(tblTransactions[[#This Row],[discount_pct]]&lt;=20%,"11–20%","&gt;20%")))</f>
        <v>0%</v>
      </c>
      <c r="P2077" s="13" t="str">
        <f>_xlfn.XLOOKUP(tblTransactions[[#This Row],[tenant_id]],tblTenants[tenant_id],tblTenants[zone],"NOT FOUND")</f>
        <v>Fashion Avenue</v>
      </c>
      <c r="Q2077" s="13" t="str">
        <f>_xlfn.XLOOKUP(tblTransactions[[#This Row],[tenant_id]],tblTenants[tenant_id],tblTenants[category],"NOT FOUND")</f>
        <v>Accessories</v>
      </c>
    </row>
    <row r="2078" spans="1:17">
      <c r="A2078" t="s">
        <v>2122</v>
      </c>
      <c r="B2078" s="2">
        <v>45698</v>
      </c>
      <c r="C2078">
        <v>18</v>
      </c>
      <c r="D2078" t="s">
        <v>61</v>
      </c>
      <c r="E2078" t="s">
        <v>12</v>
      </c>
      <c r="F2078" s="7">
        <v>913.47</v>
      </c>
      <c r="G2078" s="10">
        <v>0</v>
      </c>
      <c r="H2078" s="7">
        <v>913.47</v>
      </c>
      <c r="I2078">
        <v>3</v>
      </c>
      <c r="J2078" t="s">
        <v>13</v>
      </c>
      <c r="K2078" s="13">
        <f>ROUND(tblTransactions[[#This Row],[gross_sales_inr]]*(1-tblTransactions[[#This Row],[discount_pct]]),2)</f>
        <v>913.47</v>
      </c>
      <c r="L2078" t="str">
        <f>IF(ABS(tblTransactions[[#This Row],[net_sales_inr]]-tblTransactions[[#This Row],[Recalc_Net_Sales]])&lt;0.02,"OK","CHECK")</f>
        <v>OK</v>
      </c>
      <c r="M2078" s="14">
        <f>DATE(YEAR(tblTransactions[[#This Row],[date]]),MONTH(tblTransactions[[#This Row],[date]]),1)</f>
        <v>45689</v>
      </c>
      <c r="N2078" t="str">
        <f>IF(WEEKDAY(tblTransactions[[#This Row],[date]],2)&gt;5,"Weekend","Weekday")</f>
        <v>Weekday</v>
      </c>
      <c r="O2078" s="13" t="str">
        <f>IF(tblTransactions[[#This Row],[discount_pct]]=0,"0%",IF(tblTransactions[[#This Row],[discount_pct]]&lt;=10%,"1–
10%",IF(tblTransactions[[#This Row],[discount_pct]]&lt;=20%,"11–20%","&gt;20%")))</f>
        <v>0%</v>
      </c>
      <c r="P2078" s="13" t="str">
        <f>_xlfn.XLOOKUP(tblTransactions[[#This Row],[tenant_id]],tblTenants[tenant_id],tblTenants[zone],"NOT FOUND")</f>
        <v>Food Court</v>
      </c>
      <c r="Q2078" s="13" t="str">
        <f>_xlfn.XLOOKUP(tblTransactions[[#This Row],[tenant_id]],tblTenants[tenant_id],tblTenants[category],"NOT FOUND")</f>
        <v>Quick Service</v>
      </c>
    </row>
    <row r="2079" spans="1:17">
      <c r="A2079" t="s">
        <v>2123</v>
      </c>
      <c r="B2079" s="2">
        <v>45698</v>
      </c>
      <c r="C2079">
        <v>16</v>
      </c>
      <c r="D2079" t="s">
        <v>98</v>
      </c>
      <c r="E2079" t="s">
        <v>21</v>
      </c>
      <c r="F2079" s="7">
        <v>707.06</v>
      </c>
      <c r="G2079" s="10">
        <v>0</v>
      </c>
      <c r="H2079" s="7">
        <v>707.06</v>
      </c>
      <c r="I2079">
        <v>1</v>
      </c>
      <c r="J2079" t="s">
        <v>16</v>
      </c>
      <c r="K2079" s="13">
        <f>ROUND(tblTransactions[[#This Row],[gross_sales_inr]]*(1-tblTransactions[[#This Row],[discount_pct]]),2)</f>
        <v>707.06</v>
      </c>
      <c r="L2079" t="str">
        <f>IF(ABS(tblTransactions[[#This Row],[net_sales_inr]]-tblTransactions[[#This Row],[Recalc_Net_Sales]])&lt;0.02,"OK","CHECK")</f>
        <v>OK</v>
      </c>
      <c r="M2079" s="14">
        <f>DATE(YEAR(tblTransactions[[#This Row],[date]]),MONTH(tblTransactions[[#This Row],[date]]),1)</f>
        <v>45689</v>
      </c>
      <c r="N2079" t="str">
        <f>IF(WEEKDAY(tblTransactions[[#This Row],[date]],2)&gt;5,"Weekend","Weekday")</f>
        <v>Weekday</v>
      </c>
      <c r="O2079" s="13" t="str">
        <f>IF(tblTransactions[[#This Row],[discount_pct]]=0,"0%",IF(tblTransactions[[#This Row],[discount_pct]]&lt;=10%,"1–
10%",IF(tblTransactions[[#This Row],[discount_pct]]&lt;=20%,"11–20%","&gt;20%")))</f>
        <v>0%</v>
      </c>
      <c r="P2079" s="13" t="str">
        <f>_xlfn.XLOOKUP(tblTransactions[[#This Row],[tenant_id]],tblTenants[tenant_id],tblTenants[zone],"NOT FOUND")</f>
        <v>Fashion Avenue</v>
      </c>
      <c r="Q2079" s="13" t="str">
        <f>_xlfn.XLOOKUP(tblTransactions[[#This Row],[tenant_id]],tblTenants[tenant_id],tblTenants[category],"NOT FOUND")</f>
        <v>Accessories</v>
      </c>
    </row>
    <row r="2080" spans="1:17">
      <c r="A2080" t="s">
        <v>2124</v>
      </c>
      <c r="B2080" s="2">
        <v>45717</v>
      </c>
      <c r="C2080">
        <v>22</v>
      </c>
      <c r="D2080" t="s">
        <v>23</v>
      </c>
      <c r="E2080" t="s">
        <v>12</v>
      </c>
      <c r="F2080" s="7">
        <v>644.14</v>
      </c>
      <c r="G2080" s="10">
        <v>0.1</v>
      </c>
      <c r="H2080" s="7">
        <v>579.73</v>
      </c>
      <c r="I2080">
        <v>4</v>
      </c>
      <c r="J2080" t="s">
        <v>16</v>
      </c>
      <c r="K2080" s="13">
        <f>ROUND(tblTransactions[[#This Row],[gross_sales_inr]]*(1-tblTransactions[[#This Row],[discount_pct]]),2)</f>
        <v>579.73</v>
      </c>
      <c r="L2080" t="str">
        <f>IF(ABS(tblTransactions[[#This Row],[net_sales_inr]]-tblTransactions[[#This Row],[Recalc_Net_Sales]])&lt;0.02,"OK","CHECK")</f>
        <v>OK</v>
      </c>
      <c r="M2080" s="14">
        <f>DATE(YEAR(tblTransactions[[#This Row],[date]]),MONTH(tblTransactions[[#This Row],[date]]),1)</f>
        <v>45717</v>
      </c>
      <c r="N2080" t="str">
        <f>IF(WEEKDAY(tblTransactions[[#This Row],[date]],2)&gt;5,"Weekend","Weekday")</f>
        <v>Weekend</v>
      </c>
      <c r="O208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80" s="13" t="str">
        <f>_xlfn.XLOOKUP(tblTransactions[[#This Row],[tenant_id]],tblTenants[tenant_id],tblTenants[zone],"NOT FOUND")</f>
        <v>Entertainment</v>
      </c>
      <c r="Q2080" s="13" t="str">
        <f>_xlfn.XLOOKUP(tblTransactions[[#This Row],[tenant_id]],tblTenants[tenant_id],tblTenants[category],"NOT FOUND")</f>
        <v>Cinema</v>
      </c>
    </row>
    <row r="2081" spans="1:17">
      <c r="A2081" t="s">
        <v>2125</v>
      </c>
      <c r="B2081" s="2">
        <v>45680</v>
      </c>
      <c r="C2081">
        <v>17</v>
      </c>
      <c r="D2081" t="s">
        <v>23</v>
      </c>
      <c r="E2081" t="s">
        <v>32</v>
      </c>
      <c r="F2081" s="7">
        <v>2131.19</v>
      </c>
      <c r="G2081" s="10">
        <v>0.2</v>
      </c>
      <c r="H2081" s="7">
        <v>1704.95</v>
      </c>
      <c r="I2081">
        <v>1</v>
      </c>
      <c r="J2081" t="s">
        <v>13</v>
      </c>
      <c r="K2081" s="13">
        <f>ROUND(tblTransactions[[#This Row],[gross_sales_inr]]*(1-tblTransactions[[#This Row],[discount_pct]]),2)</f>
        <v>1704.95</v>
      </c>
      <c r="L2081" t="str">
        <f>IF(ABS(tblTransactions[[#This Row],[net_sales_inr]]-tblTransactions[[#This Row],[Recalc_Net_Sales]])&lt;0.02,"OK","CHECK")</f>
        <v>OK</v>
      </c>
      <c r="M2081" s="14">
        <f>DATE(YEAR(tblTransactions[[#This Row],[date]]),MONTH(tblTransactions[[#This Row],[date]]),1)</f>
        <v>45658</v>
      </c>
      <c r="N2081" t="str">
        <f>IF(WEEKDAY(tblTransactions[[#This Row],[date]],2)&gt;5,"Weekend","Weekday")</f>
        <v>Weekday</v>
      </c>
      <c r="O208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81" s="13" t="str">
        <f>_xlfn.XLOOKUP(tblTransactions[[#This Row],[tenant_id]],tblTenants[tenant_id],tblTenants[zone],"NOT FOUND")</f>
        <v>Entertainment</v>
      </c>
      <c r="Q2081" s="13" t="str">
        <f>_xlfn.XLOOKUP(tblTransactions[[#This Row],[tenant_id]],tblTenants[tenant_id],tblTenants[category],"NOT FOUND")</f>
        <v>Cinema</v>
      </c>
    </row>
    <row r="2082" spans="1:17">
      <c r="A2082" t="s">
        <v>2126</v>
      </c>
      <c r="B2082" s="2">
        <v>45816</v>
      </c>
      <c r="C2082">
        <v>10</v>
      </c>
      <c r="D2082" t="s">
        <v>104</v>
      </c>
      <c r="E2082" t="s">
        <v>12</v>
      </c>
      <c r="F2082" s="7">
        <v>2099.4299999999998</v>
      </c>
      <c r="G2082" s="10">
        <v>0.1</v>
      </c>
      <c r="H2082" s="7">
        <v>1889.49</v>
      </c>
      <c r="I2082">
        <v>2</v>
      </c>
      <c r="J2082" t="s">
        <v>16</v>
      </c>
      <c r="K2082" s="13">
        <f>ROUND(tblTransactions[[#This Row],[gross_sales_inr]]*(1-tblTransactions[[#This Row],[discount_pct]]),2)</f>
        <v>1889.49</v>
      </c>
      <c r="L2082" t="str">
        <f>IF(ABS(tblTransactions[[#This Row],[net_sales_inr]]-tblTransactions[[#This Row],[Recalc_Net_Sales]])&lt;0.02,"OK","CHECK")</f>
        <v>OK</v>
      </c>
      <c r="M2082" s="14">
        <f>DATE(YEAR(tblTransactions[[#This Row],[date]]),MONTH(tblTransactions[[#This Row],[date]]),1)</f>
        <v>45809</v>
      </c>
      <c r="N2082" t="str">
        <f>IF(WEEKDAY(tblTransactions[[#This Row],[date]],2)&gt;5,"Weekend","Weekday")</f>
        <v>Weekend</v>
      </c>
      <c r="O208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82" s="13" t="str">
        <f>_xlfn.XLOOKUP(tblTransactions[[#This Row],[tenant_id]],tblTenants[tenant_id],tblTenants[zone],"NOT FOUND")</f>
        <v>Entertainment</v>
      </c>
      <c r="Q2082" s="13" t="str">
        <f>_xlfn.XLOOKUP(tblTransactions[[#This Row],[tenant_id]],tblTenants[tenant_id],tblTenants[category],"NOT FOUND")</f>
        <v>Family Entertainment</v>
      </c>
    </row>
    <row r="2083" spans="1:17">
      <c r="A2083" t="s">
        <v>2127</v>
      </c>
      <c r="B2083" s="2">
        <v>45787</v>
      </c>
      <c r="C2083">
        <v>17</v>
      </c>
      <c r="D2083" t="s">
        <v>70</v>
      </c>
      <c r="E2083" t="s">
        <v>51</v>
      </c>
      <c r="F2083" s="7">
        <v>489.34</v>
      </c>
      <c r="G2083" s="10">
        <v>0</v>
      </c>
      <c r="H2083" s="7">
        <v>489.34</v>
      </c>
      <c r="I2083">
        <v>1</v>
      </c>
      <c r="J2083" t="s">
        <v>13</v>
      </c>
      <c r="K2083" s="13">
        <f>ROUND(tblTransactions[[#This Row],[gross_sales_inr]]*(1-tblTransactions[[#This Row],[discount_pct]]),2)</f>
        <v>489.34</v>
      </c>
      <c r="L2083" t="str">
        <f>IF(ABS(tblTransactions[[#This Row],[net_sales_inr]]-tblTransactions[[#This Row],[Recalc_Net_Sales]])&lt;0.02,"OK","CHECK")</f>
        <v>OK</v>
      </c>
      <c r="M2083" s="14">
        <f>DATE(YEAR(tblTransactions[[#This Row],[date]]),MONTH(tblTransactions[[#This Row],[date]]),1)</f>
        <v>45778</v>
      </c>
      <c r="N2083" t="str">
        <f>IF(WEEKDAY(tblTransactions[[#This Row],[date]],2)&gt;5,"Weekend","Weekday")</f>
        <v>Weekend</v>
      </c>
      <c r="O2083" s="13" t="str">
        <f>IF(tblTransactions[[#This Row],[discount_pct]]=0,"0%",IF(tblTransactions[[#This Row],[discount_pct]]&lt;=10%,"1–
10%",IF(tblTransactions[[#This Row],[discount_pct]]&lt;=20%,"11–20%","&gt;20%")))</f>
        <v>0%</v>
      </c>
      <c r="P2083" s="13" t="str">
        <f>_xlfn.XLOOKUP(tblTransactions[[#This Row],[tenant_id]],tblTenants[tenant_id],tblTenants[zone],"NOT FOUND")</f>
        <v>Food Court</v>
      </c>
      <c r="Q2083" s="13" t="str">
        <f>_xlfn.XLOOKUP(tblTransactions[[#This Row],[tenant_id]],tblTenants[tenant_id],tblTenants[category],"NOT FOUND")</f>
        <v>Quick Service</v>
      </c>
    </row>
    <row r="2084" spans="1:17">
      <c r="A2084" t="s">
        <v>2128</v>
      </c>
      <c r="B2084" s="2">
        <v>45733</v>
      </c>
      <c r="C2084">
        <v>16</v>
      </c>
      <c r="D2084" t="s">
        <v>72</v>
      </c>
      <c r="E2084" t="s">
        <v>12</v>
      </c>
      <c r="F2084" s="7">
        <v>1442.52</v>
      </c>
      <c r="G2084" s="10">
        <v>0</v>
      </c>
      <c r="H2084" s="7">
        <v>1442.52</v>
      </c>
      <c r="I2084">
        <v>3</v>
      </c>
      <c r="J2084" t="s">
        <v>13</v>
      </c>
      <c r="K2084" s="13">
        <f>ROUND(tblTransactions[[#This Row],[gross_sales_inr]]*(1-tblTransactions[[#This Row],[discount_pct]]),2)</f>
        <v>1442.52</v>
      </c>
      <c r="L2084" t="str">
        <f>IF(ABS(tblTransactions[[#This Row],[net_sales_inr]]-tblTransactions[[#This Row],[Recalc_Net_Sales]])&lt;0.02,"OK","CHECK")</f>
        <v>OK</v>
      </c>
      <c r="M2084" s="14">
        <f>DATE(YEAR(tblTransactions[[#This Row],[date]]),MONTH(tblTransactions[[#This Row],[date]]),1)</f>
        <v>45717</v>
      </c>
      <c r="N2084" t="str">
        <f>IF(WEEKDAY(tblTransactions[[#This Row],[date]],2)&gt;5,"Weekend","Weekday")</f>
        <v>Weekday</v>
      </c>
      <c r="O2084" s="13" t="str">
        <f>IF(tblTransactions[[#This Row],[discount_pct]]=0,"0%",IF(tblTransactions[[#This Row],[discount_pct]]&lt;=10%,"1–
10%",IF(tblTransactions[[#This Row],[discount_pct]]&lt;=20%,"11–20%","&gt;20%")))</f>
        <v>0%</v>
      </c>
      <c r="P2084" s="13" t="str">
        <f>_xlfn.XLOOKUP(tblTransactions[[#This Row],[tenant_id]],tblTenants[tenant_id],tblTenants[zone],"NOT FOUND")</f>
        <v>Entertainment</v>
      </c>
      <c r="Q2084" s="13" t="str">
        <f>_xlfn.XLOOKUP(tblTransactions[[#This Row],[tenant_id]],tblTenants[tenant_id],tblTenants[category],"NOT FOUND")</f>
        <v>Arcade</v>
      </c>
    </row>
    <row r="2085" spans="1:17">
      <c r="A2085" t="s">
        <v>2129</v>
      </c>
      <c r="B2085" s="2">
        <v>45716</v>
      </c>
      <c r="C2085">
        <v>14</v>
      </c>
      <c r="D2085" t="s">
        <v>70</v>
      </c>
      <c r="E2085" t="s">
        <v>32</v>
      </c>
      <c r="F2085" s="7">
        <v>631.72</v>
      </c>
      <c r="G2085" s="10">
        <v>0</v>
      </c>
      <c r="H2085" s="7">
        <v>631.72</v>
      </c>
      <c r="I2085">
        <v>2</v>
      </c>
      <c r="J2085" t="s">
        <v>16</v>
      </c>
      <c r="K2085" s="13">
        <f>ROUND(tblTransactions[[#This Row],[gross_sales_inr]]*(1-tblTransactions[[#This Row],[discount_pct]]),2)</f>
        <v>631.72</v>
      </c>
      <c r="L2085" t="str">
        <f>IF(ABS(tblTransactions[[#This Row],[net_sales_inr]]-tblTransactions[[#This Row],[Recalc_Net_Sales]])&lt;0.02,"OK","CHECK")</f>
        <v>OK</v>
      </c>
      <c r="M2085" s="14">
        <f>DATE(YEAR(tblTransactions[[#This Row],[date]]),MONTH(tblTransactions[[#This Row],[date]]),1)</f>
        <v>45689</v>
      </c>
      <c r="N2085" t="str">
        <f>IF(WEEKDAY(tblTransactions[[#This Row],[date]],2)&gt;5,"Weekend","Weekday")</f>
        <v>Weekday</v>
      </c>
      <c r="O2085" s="13" t="str">
        <f>IF(tblTransactions[[#This Row],[discount_pct]]=0,"0%",IF(tblTransactions[[#This Row],[discount_pct]]&lt;=10%,"1–
10%",IF(tblTransactions[[#This Row],[discount_pct]]&lt;=20%,"11–20%","&gt;20%")))</f>
        <v>0%</v>
      </c>
      <c r="P2085" s="13" t="str">
        <f>_xlfn.XLOOKUP(tblTransactions[[#This Row],[tenant_id]],tblTenants[tenant_id],tblTenants[zone],"NOT FOUND")</f>
        <v>Food Court</v>
      </c>
      <c r="Q2085" s="13" t="str">
        <f>_xlfn.XLOOKUP(tblTransactions[[#This Row],[tenant_id]],tblTenants[tenant_id],tblTenants[category],"NOT FOUND")</f>
        <v>Quick Service</v>
      </c>
    </row>
    <row r="2086" spans="1:17">
      <c r="A2086" t="s">
        <v>2130</v>
      </c>
      <c r="B2086" s="2">
        <v>45759</v>
      </c>
      <c r="C2086">
        <v>18</v>
      </c>
      <c r="D2086" t="s">
        <v>63</v>
      </c>
      <c r="E2086" t="s">
        <v>12</v>
      </c>
      <c r="F2086" s="7">
        <v>1902.84</v>
      </c>
      <c r="G2086" s="10">
        <v>0.1</v>
      </c>
      <c r="H2086" s="7">
        <v>1712.56</v>
      </c>
      <c r="I2086">
        <v>3</v>
      </c>
      <c r="J2086" t="s">
        <v>13</v>
      </c>
      <c r="K2086" s="13">
        <f>ROUND(tblTransactions[[#This Row],[gross_sales_inr]]*(1-tblTransactions[[#This Row],[discount_pct]]),2)</f>
        <v>1712.56</v>
      </c>
      <c r="L2086" t="str">
        <f>IF(ABS(tblTransactions[[#This Row],[net_sales_inr]]-tblTransactions[[#This Row],[Recalc_Net_Sales]])&lt;0.02,"OK","CHECK")</f>
        <v>OK</v>
      </c>
      <c r="M2086" s="14">
        <f>DATE(YEAR(tblTransactions[[#This Row],[date]]),MONTH(tblTransactions[[#This Row],[date]]),1)</f>
        <v>45748</v>
      </c>
      <c r="N2086" t="str">
        <f>IF(WEEKDAY(tblTransactions[[#This Row],[date]],2)&gt;5,"Weekend","Weekday")</f>
        <v>Weekend</v>
      </c>
      <c r="O208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86" s="13" t="str">
        <f>_xlfn.XLOOKUP(tblTransactions[[#This Row],[tenant_id]],tblTenants[tenant_id],tblTenants[zone],"NOT FOUND")</f>
        <v>Entertainment</v>
      </c>
      <c r="Q2086" s="13" t="str">
        <f>_xlfn.XLOOKUP(tblTransactions[[#This Row],[tenant_id]],tblTenants[tenant_id],tblTenants[category],"NOT FOUND")</f>
        <v>Family Entertainment</v>
      </c>
    </row>
    <row r="2087" spans="1:17">
      <c r="A2087" t="s">
        <v>2131</v>
      </c>
      <c r="B2087" s="2">
        <v>45734</v>
      </c>
      <c r="C2087">
        <v>15</v>
      </c>
      <c r="D2087" t="s">
        <v>27</v>
      </c>
      <c r="E2087" t="s">
        <v>12</v>
      </c>
      <c r="F2087" s="7">
        <v>1194.94</v>
      </c>
      <c r="G2087" s="10">
        <v>0.05</v>
      </c>
      <c r="H2087" s="7">
        <v>1135.19</v>
      </c>
      <c r="I2087">
        <v>5</v>
      </c>
      <c r="J2087" t="s">
        <v>13</v>
      </c>
      <c r="K2087" s="13">
        <f>ROUND(tblTransactions[[#This Row],[gross_sales_inr]]*(1-tblTransactions[[#This Row],[discount_pct]]),2)</f>
        <v>1135.19</v>
      </c>
      <c r="L2087" t="str">
        <f>IF(ABS(tblTransactions[[#This Row],[net_sales_inr]]-tblTransactions[[#This Row],[Recalc_Net_Sales]])&lt;0.02,"OK","CHECK")</f>
        <v>OK</v>
      </c>
      <c r="M2087" s="14">
        <f>DATE(YEAR(tblTransactions[[#This Row],[date]]),MONTH(tblTransactions[[#This Row],[date]]),1)</f>
        <v>45717</v>
      </c>
      <c r="N2087" t="str">
        <f>IF(WEEKDAY(tblTransactions[[#This Row],[date]],2)&gt;5,"Weekend","Weekday")</f>
        <v>Weekday</v>
      </c>
      <c r="O208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87" s="13" t="str">
        <f>_xlfn.XLOOKUP(tblTransactions[[#This Row],[tenant_id]],tblTenants[tenant_id],tblTenants[zone],"NOT FOUND")</f>
        <v>Beauty &amp; Wellness</v>
      </c>
      <c r="Q2087" s="13" t="str">
        <f>_xlfn.XLOOKUP(tblTransactions[[#This Row],[tenant_id]],tblTenants[tenant_id],tblTenants[category],"NOT FOUND")</f>
        <v>Wellness</v>
      </c>
    </row>
    <row r="2088" spans="1:17">
      <c r="A2088" t="s">
        <v>2132</v>
      </c>
      <c r="B2088" s="2">
        <v>45678</v>
      </c>
      <c r="C2088">
        <v>16</v>
      </c>
      <c r="D2088" t="s">
        <v>23</v>
      </c>
      <c r="E2088" t="s">
        <v>32</v>
      </c>
      <c r="F2088" s="7">
        <v>1690.22</v>
      </c>
      <c r="G2088" s="10">
        <v>0.15</v>
      </c>
      <c r="H2088" s="7">
        <v>1436.69</v>
      </c>
      <c r="I2088">
        <v>1</v>
      </c>
      <c r="J2088" t="s">
        <v>13</v>
      </c>
      <c r="K2088" s="13">
        <f>ROUND(tblTransactions[[#This Row],[gross_sales_inr]]*(1-tblTransactions[[#This Row],[discount_pct]]),2)</f>
        <v>1436.69</v>
      </c>
      <c r="L2088" t="str">
        <f>IF(ABS(tblTransactions[[#This Row],[net_sales_inr]]-tblTransactions[[#This Row],[Recalc_Net_Sales]])&lt;0.02,"OK","CHECK")</f>
        <v>OK</v>
      </c>
      <c r="M2088" s="14">
        <f>DATE(YEAR(tblTransactions[[#This Row],[date]]),MONTH(tblTransactions[[#This Row],[date]]),1)</f>
        <v>45658</v>
      </c>
      <c r="N2088" t="str">
        <f>IF(WEEKDAY(tblTransactions[[#This Row],[date]],2)&gt;5,"Weekend","Weekday")</f>
        <v>Weekday</v>
      </c>
      <c r="O208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88" s="13" t="str">
        <f>_xlfn.XLOOKUP(tblTransactions[[#This Row],[tenant_id]],tblTenants[tenant_id],tblTenants[zone],"NOT FOUND")</f>
        <v>Entertainment</v>
      </c>
      <c r="Q2088" s="13" t="str">
        <f>_xlfn.XLOOKUP(tblTransactions[[#This Row],[tenant_id]],tblTenants[tenant_id],tblTenants[category],"NOT FOUND")</f>
        <v>Cinema</v>
      </c>
    </row>
    <row r="2089" spans="1:17">
      <c r="A2089" t="s">
        <v>2133</v>
      </c>
      <c r="B2089" s="2">
        <v>45677</v>
      </c>
      <c r="C2089">
        <v>22</v>
      </c>
      <c r="D2089" t="s">
        <v>87</v>
      </c>
      <c r="E2089" t="s">
        <v>12</v>
      </c>
      <c r="F2089" s="7">
        <v>2233.31</v>
      </c>
      <c r="G2089" s="10">
        <v>0.05</v>
      </c>
      <c r="H2089" s="7">
        <v>2121.64</v>
      </c>
      <c r="I2089">
        <v>2</v>
      </c>
      <c r="J2089" t="s">
        <v>13</v>
      </c>
      <c r="K2089" s="13">
        <f>ROUND(tblTransactions[[#This Row],[gross_sales_inr]]*(1-tblTransactions[[#This Row],[discount_pct]]),2)</f>
        <v>2121.64</v>
      </c>
      <c r="L2089" t="str">
        <f>IF(ABS(tblTransactions[[#This Row],[net_sales_inr]]-tblTransactions[[#This Row],[Recalc_Net_Sales]])&lt;0.02,"OK","CHECK")</f>
        <v>OK</v>
      </c>
      <c r="M2089" s="14">
        <f>DATE(YEAR(tblTransactions[[#This Row],[date]]),MONTH(tblTransactions[[#This Row],[date]]),1)</f>
        <v>45658</v>
      </c>
      <c r="N2089" t="str">
        <f>IF(WEEKDAY(tblTransactions[[#This Row],[date]],2)&gt;5,"Weekend","Weekday")</f>
        <v>Weekday</v>
      </c>
      <c r="O208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89" s="13" t="str">
        <f>_xlfn.XLOOKUP(tblTransactions[[#This Row],[tenant_id]],tblTenants[tenant_id],tblTenants[zone],"NOT FOUND")</f>
        <v>Fashion Avenue</v>
      </c>
      <c r="Q2089" s="13" t="str">
        <f>_xlfn.XLOOKUP(tblTransactions[[#This Row],[tenant_id]],tblTenants[tenant_id],tblTenants[category],"NOT FOUND")</f>
        <v>Footwear</v>
      </c>
    </row>
    <row r="2090" spans="1:17">
      <c r="A2090" t="s">
        <v>2134</v>
      </c>
      <c r="B2090" s="2">
        <v>45793</v>
      </c>
      <c r="C2090">
        <v>21</v>
      </c>
      <c r="D2090" t="s">
        <v>43</v>
      </c>
      <c r="E2090" t="s">
        <v>32</v>
      </c>
      <c r="F2090" s="7">
        <v>1466.02</v>
      </c>
      <c r="G2090" s="10">
        <v>0</v>
      </c>
      <c r="H2090" s="7">
        <v>1466.02</v>
      </c>
      <c r="I2090">
        <v>3</v>
      </c>
      <c r="J2090" t="s">
        <v>16</v>
      </c>
      <c r="K2090" s="13">
        <f>ROUND(tblTransactions[[#This Row],[gross_sales_inr]]*(1-tblTransactions[[#This Row],[discount_pct]]),2)</f>
        <v>1466.02</v>
      </c>
      <c r="L2090" t="str">
        <f>IF(ABS(tblTransactions[[#This Row],[net_sales_inr]]-tblTransactions[[#This Row],[Recalc_Net_Sales]])&lt;0.02,"OK","CHECK")</f>
        <v>OK</v>
      </c>
      <c r="M2090" s="14">
        <f>DATE(YEAR(tblTransactions[[#This Row],[date]]),MONTH(tblTransactions[[#This Row],[date]]),1)</f>
        <v>45778</v>
      </c>
      <c r="N2090" t="str">
        <f>IF(WEEKDAY(tblTransactions[[#This Row],[date]],2)&gt;5,"Weekend","Weekday")</f>
        <v>Weekday</v>
      </c>
      <c r="O2090" s="13" t="str">
        <f>IF(tblTransactions[[#This Row],[discount_pct]]=0,"0%",IF(tblTransactions[[#This Row],[discount_pct]]&lt;=10%,"1–
10%",IF(tblTransactions[[#This Row],[discount_pct]]&lt;=20%,"11–20%","&gt;20%")))</f>
        <v>0%</v>
      </c>
      <c r="P2090" s="13" t="str">
        <f>_xlfn.XLOOKUP(tblTransactions[[#This Row],[tenant_id]],tblTenants[tenant_id],tblTenants[zone],"NOT FOUND")</f>
        <v>Food Court</v>
      </c>
      <c r="Q2090" s="13" t="str">
        <f>_xlfn.XLOOKUP(tblTransactions[[#This Row],[tenant_id]],tblTenants[tenant_id],tblTenants[category],"NOT FOUND")</f>
        <v>Casual Dining</v>
      </c>
    </row>
    <row r="2091" spans="1:17">
      <c r="A2091" t="s">
        <v>2135</v>
      </c>
      <c r="B2091" s="2">
        <v>45792</v>
      </c>
      <c r="C2091">
        <v>17</v>
      </c>
      <c r="D2091" t="s">
        <v>104</v>
      </c>
      <c r="E2091" t="s">
        <v>32</v>
      </c>
      <c r="F2091" s="7">
        <v>883.49</v>
      </c>
      <c r="G2091" s="10">
        <v>0.1</v>
      </c>
      <c r="H2091" s="7">
        <v>795.14</v>
      </c>
      <c r="I2091">
        <v>4</v>
      </c>
      <c r="J2091" t="s">
        <v>16</v>
      </c>
      <c r="K2091" s="13">
        <f>ROUND(tblTransactions[[#This Row],[gross_sales_inr]]*(1-tblTransactions[[#This Row],[discount_pct]]),2)</f>
        <v>795.14</v>
      </c>
      <c r="L2091" t="str">
        <f>IF(ABS(tblTransactions[[#This Row],[net_sales_inr]]-tblTransactions[[#This Row],[Recalc_Net_Sales]])&lt;0.02,"OK","CHECK")</f>
        <v>OK</v>
      </c>
      <c r="M2091" s="14">
        <f>DATE(YEAR(tblTransactions[[#This Row],[date]]),MONTH(tblTransactions[[#This Row],[date]]),1)</f>
        <v>45778</v>
      </c>
      <c r="N2091" t="str">
        <f>IF(WEEKDAY(tblTransactions[[#This Row],[date]],2)&gt;5,"Weekend","Weekday")</f>
        <v>Weekday</v>
      </c>
      <c r="O209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91" s="13" t="str">
        <f>_xlfn.XLOOKUP(tblTransactions[[#This Row],[tenant_id]],tblTenants[tenant_id],tblTenants[zone],"NOT FOUND")</f>
        <v>Entertainment</v>
      </c>
      <c r="Q2091" s="13" t="str">
        <f>_xlfn.XLOOKUP(tblTransactions[[#This Row],[tenant_id]],tblTenants[tenant_id],tblTenants[category],"NOT FOUND")</f>
        <v>Family Entertainment</v>
      </c>
    </row>
    <row r="2092" spans="1:17">
      <c r="A2092" t="s">
        <v>2136</v>
      </c>
      <c r="B2092" s="2">
        <v>45694</v>
      </c>
      <c r="C2092">
        <v>14</v>
      </c>
      <c r="D2092" t="s">
        <v>61</v>
      </c>
      <c r="E2092" t="s">
        <v>32</v>
      </c>
      <c r="F2092" s="7">
        <v>2048.2399999999998</v>
      </c>
      <c r="G2092" s="10">
        <v>0</v>
      </c>
      <c r="H2092" s="7">
        <v>2048.2399999999998</v>
      </c>
      <c r="I2092">
        <v>5</v>
      </c>
      <c r="J2092" t="s">
        <v>13</v>
      </c>
      <c r="K2092" s="13">
        <f>ROUND(tblTransactions[[#This Row],[gross_sales_inr]]*(1-tblTransactions[[#This Row],[discount_pct]]),2)</f>
        <v>2048.2399999999998</v>
      </c>
      <c r="L2092" t="str">
        <f>IF(ABS(tblTransactions[[#This Row],[net_sales_inr]]-tblTransactions[[#This Row],[Recalc_Net_Sales]])&lt;0.02,"OK","CHECK")</f>
        <v>OK</v>
      </c>
      <c r="M2092" s="14">
        <f>DATE(YEAR(tblTransactions[[#This Row],[date]]),MONTH(tblTransactions[[#This Row],[date]]),1)</f>
        <v>45689</v>
      </c>
      <c r="N2092" t="str">
        <f>IF(WEEKDAY(tblTransactions[[#This Row],[date]],2)&gt;5,"Weekend","Weekday")</f>
        <v>Weekday</v>
      </c>
      <c r="O2092" s="13" t="str">
        <f>IF(tblTransactions[[#This Row],[discount_pct]]=0,"0%",IF(tblTransactions[[#This Row],[discount_pct]]&lt;=10%,"1–
10%",IF(tblTransactions[[#This Row],[discount_pct]]&lt;=20%,"11–20%","&gt;20%")))</f>
        <v>0%</v>
      </c>
      <c r="P2092" s="13" t="str">
        <f>_xlfn.XLOOKUP(tblTransactions[[#This Row],[tenant_id]],tblTenants[tenant_id],tblTenants[zone],"NOT FOUND")</f>
        <v>Food Court</v>
      </c>
      <c r="Q2092" s="13" t="str">
        <f>_xlfn.XLOOKUP(tblTransactions[[#This Row],[tenant_id]],tblTenants[tenant_id],tblTenants[category],"NOT FOUND")</f>
        <v>Quick Service</v>
      </c>
    </row>
    <row r="2093" spans="1:17">
      <c r="A2093" t="s">
        <v>2137</v>
      </c>
      <c r="B2093" s="2">
        <v>45820</v>
      </c>
      <c r="C2093">
        <v>20</v>
      </c>
      <c r="D2093" t="s">
        <v>80</v>
      </c>
      <c r="E2093" t="s">
        <v>12</v>
      </c>
      <c r="F2093" s="7">
        <v>2288.66</v>
      </c>
      <c r="G2093" s="10">
        <v>0.05</v>
      </c>
      <c r="H2093" s="7">
        <v>2174.23</v>
      </c>
      <c r="I2093">
        <v>1</v>
      </c>
      <c r="J2093" t="s">
        <v>16</v>
      </c>
      <c r="K2093" s="13">
        <f>ROUND(tblTransactions[[#This Row],[gross_sales_inr]]*(1-tblTransactions[[#This Row],[discount_pct]]),2)</f>
        <v>2174.23</v>
      </c>
      <c r="L2093" t="str">
        <f>IF(ABS(tblTransactions[[#This Row],[net_sales_inr]]-tblTransactions[[#This Row],[Recalc_Net_Sales]])&lt;0.02,"OK","CHECK")</f>
        <v>OK</v>
      </c>
      <c r="M2093" s="14">
        <f>DATE(YEAR(tblTransactions[[#This Row],[date]]),MONTH(tblTransactions[[#This Row],[date]]),1)</f>
        <v>45809</v>
      </c>
      <c r="N2093" t="str">
        <f>IF(WEEKDAY(tblTransactions[[#This Row],[date]],2)&gt;5,"Weekend","Weekday")</f>
        <v>Weekday</v>
      </c>
      <c r="O209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93" s="13" t="str">
        <f>_xlfn.XLOOKUP(tblTransactions[[#This Row],[tenant_id]],tblTenants[tenant_id],tblTenants[zone],"NOT FOUND")</f>
        <v>Food Court</v>
      </c>
      <c r="Q2093" s="13" t="str">
        <f>_xlfn.XLOOKUP(tblTransactions[[#This Row],[tenant_id]],tblTenants[tenant_id],tblTenants[category],"NOT FOUND")</f>
        <v>Casual Dining</v>
      </c>
    </row>
    <row r="2094" spans="1:17">
      <c r="A2094" t="s">
        <v>2138</v>
      </c>
      <c r="B2094" s="2">
        <v>45804</v>
      </c>
      <c r="C2094">
        <v>16</v>
      </c>
      <c r="D2094" t="s">
        <v>85</v>
      </c>
      <c r="E2094" t="s">
        <v>12</v>
      </c>
      <c r="F2094" s="7">
        <v>1094.51</v>
      </c>
      <c r="G2094" s="10">
        <v>0.15</v>
      </c>
      <c r="H2094" s="7">
        <v>930.33</v>
      </c>
      <c r="I2094">
        <v>6</v>
      </c>
      <c r="J2094" t="s">
        <v>16</v>
      </c>
      <c r="K2094" s="13">
        <f>ROUND(tblTransactions[[#This Row],[gross_sales_inr]]*(1-tblTransactions[[#This Row],[discount_pct]]),2)</f>
        <v>930.33</v>
      </c>
      <c r="L2094" t="str">
        <f>IF(ABS(tblTransactions[[#This Row],[net_sales_inr]]-tblTransactions[[#This Row],[Recalc_Net_Sales]])&lt;0.02,"OK","CHECK")</f>
        <v>OK</v>
      </c>
      <c r="M2094" s="14">
        <f>DATE(YEAR(tblTransactions[[#This Row],[date]]),MONTH(tblTransactions[[#This Row],[date]]),1)</f>
        <v>45778</v>
      </c>
      <c r="N2094" t="str">
        <f>IF(WEEKDAY(tblTransactions[[#This Row],[date]],2)&gt;5,"Weekend","Weekday")</f>
        <v>Weekday</v>
      </c>
      <c r="O209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094" s="13" t="str">
        <f>_xlfn.XLOOKUP(tblTransactions[[#This Row],[tenant_id]],tblTenants[tenant_id],tblTenants[zone],"NOT FOUND")</f>
        <v>Home &amp; Living</v>
      </c>
      <c r="Q2094" s="13" t="str">
        <f>_xlfn.XLOOKUP(tblTransactions[[#This Row],[tenant_id]],tblTenants[tenant_id],tblTenants[category],"NOT FOUND")</f>
        <v>Electronics</v>
      </c>
    </row>
    <row r="2095" spans="1:17">
      <c r="A2095" t="s">
        <v>2139</v>
      </c>
      <c r="B2095" s="2">
        <v>45749</v>
      </c>
      <c r="C2095">
        <v>17</v>
      </c>
      <c r="D2095" t="s">
        <v>61</v>
      </c>
      <c r="E2095" t="s">
        <v>12</v>
      </c>
      <c r="F2095" s="7">
        <v>2300.46</v>
      </c>
      <c r="G2095" s="10">
        <v>0</v>
      </c>
      <c r="H2095" s="7">
        <v>2300.46</v>
      </c>
      <c r="I2095">
        <v>3</v>
      </c>
      <c r="J2095" t="s">
        <v>16</v>
      </c>
      <c r="K2095" s="13">
        <f>ROUND(tblTransactions[[#This Row],[gross_sales_inr]]*(1-tblTransactions[[#This Row],[discount_pct]]),2)</f>
        <v>2300.46</v>
      </c>
      <c r="L2095" t="str">
        <f>IF(ABS(tblTransactions[[#This Row],[net_sales_inr]]-tblTransactions[[#This Row],[Recalc_Net_Sales]])&lt;0.02,"OK","CHECK")</f>
        <v>OK</v>
      </c>
      <c r="M2095" s="14">
        <f>DATE(YEAR(tblTransactions[[#This Row],[date]]),MONTH(tblTransactions[[#This Row],[date]]),1)</f>
        <v>45748</v>
      </c>
      <c r="N2095" t="str">
        <f>IF(WEEKDAY(tblTransactions[[#This Row],[date]],2)&gt;5,"Weekend","Weekday")</f>
        <v>Weekday</v>
      </c>
      <c r="O2095" s="13" t="str">
        <f>IF(tblTransactions[[#This Row],[discount_pct]]=0,"0%",IF(tblTransactions[[#This Row],[discount_pct]]&lt;=10%,"1–
10%",IF(tblTransactions[[#This Row],[discount_pct]]&lt;=20%,"11–20%","&gt;20%")))</f>
        <v>0%</v>
      </c>
      <c r="P2095" s="13" t="str">
        <f>_xlfn.XLOOKUP(tblTransactions[[#This Row],[tenant_id]],tblTenants[tenant_id],tblTenants[zone],"NOT FOUND")</f>
        <v>Food Court</v>
      </c>
      <c r="Q2095" s="13" t="str">
        <f>_xlfn.XLOOKUP(tblTransactions[[#This Row],[tenant_id]],tblTenants[tenant_id],tblTenants[category],"NOT FOUND")</f>
        <v>Quick Service</v>
      </c>
    </row>
    <row r="2096" spans="1:17">
      <c r="A2096" t="s">
        <v>2140</v>
      </c>
      <c r="B2096" s="2">
        <v>45673</v>
      </c>
      <c r="C2096">
        <v>17</v>
      </c>
      <c r="D2096" t="s">
        <v>18</v>
      </c>
      <c r="E2096" t="s">
        <v>12</v>
      </c>
      <c r="F2096" s="7">
        <v>944.09</v>
      </c>
      <c r="G2096" s="10">
        <v>0</v>
      </c>
      <c r="H2096" s="7">
        <v>944.09</v>
      </c>
      <c r="I2096">
        <v>4</v>
      </c>
      <c r="J2096" t="s">
        <v>13</v>
      </c>
      <c r="K2096" s="13">
        <f>ROUND(tblTransactions[[#This Row],[gross_sales_inr]]*(1-tblTransactions[[#This Row],[discount_pct]]),2)</f>
        <v>944.09</v>
      </c>
      <c r="L2096" t="str">
        <f>IF(ABS(tblTransactions[[#This Row],[net_sales_inr]]-tblTransactions[[#This Row],[Recalc_Net_Sales]])&lt;0.02,"OK","CHECK")</f>
        <v>OK</v>
      </c>
      <c r="M2096" s="14">
        <f>DATE(YEAR(tblTransactions[[#This Row],[date]]),MONTH(tblTransactions[[#This Row],[date]]),1)</f>
        <v>45658</v>
      </c>
      <c r="N2096" t="str">
        <f>IF(WEEKDAY(tblTransactions[[#This Row],[date]],2)&gt;5,"Weekend","Weekday")</f>
        <v>Weekday</v>
      </c>
      <c r="O2096" s="13" t="str">
        <f>IF(tblTransactions[[#This Row],[discount_pct]]=0,"0%",IF(tblTransactions[[#This Row],[discount_pct]]&lt;=10%,"1–
10%",IF(tblTransactions[[#This Row],[discount_pct]]&lt;=20%,"11–20%","&gt;20%")))</f>
        <v>0%</v>
      </c>
      <c r="P2096" s="13" t="str">
        <f>_xlfn.XLOOKUP(tblTransactions[[#This Row],[tenant_id]],tblTenants[tenant_id],tblTenants[zone],"NOT FOUND")</f>
        <v>Beauty &amp; Wellness</v>
      </c>
      <c r="Q2096" s="13" t="str">
        <f>_xlfn.XLOOKUP(tblTransactions[[#This Row],[tenant_id]],tblTenants[tenant_id],tblTenants[category],"NOT FOUND")</f>
        <v>Beauty</v>
      </c>
    </row>
    <row r="2097" spans="1:17">
      <c r="A2097" t="s">
        <v>2141</v>
      </c>
      <c r="B2097" s="2">
        <v>45709</v>
      </c>
      <c r="C2097">
        <v>10</v>
      </c>
      <c r="D2097" t="s">
        <v>25</v>
      </c>
      <c r="E2097" t="s">
        <v>32</v>
      </c>
      <c r="F2097" s="7">
        <v>646.61</v>
      </c>
      <c r="G2097" s="10">
        <v>0.05</v>
      </c>
      <c r="H2097" s="7">
        <v>614.28</v>
      </c>
      <c r="I2097">
        <v>1</v>
      </c>
      <c r="J2097" t="s">
        <v>16</v>
      </c>
      <c r="K2097" s="13">
        <f>ROUND(tblTransactions[[#This Row],[gross_sales_inr]]*(1-tblTransactions[[#This Row],[discount_pct]]),2)</f>
        <v>614.28</v>
      </c>
      <c r="L2097" t="str">
        <f>IF(ABS(tblTransactions[[#This Row],[net_sales_inr]]-tblTransactions[[#This Row],[Recalc_Net_Sales]])&lt;0.02,"OK","CHECK")</f>
        <v>OK</v>
      </c>
      <c r="M2097" s="14">
        <f>DATE(YEAR(tblTransactions[[#This Row],[date]]),MONTH(tblTransactions[[#This Row],[date]]),1)</f>
        <v>45689</v>
      </c>
      <c r="N2097" t="str">
        <f>IF(WEEKDAY(tblTransactions[[#This Row],[date]],2)&gt;5,"Weekend","Weekday")</f>
        <v>Weekday</v>
      </c>
      <c r="O209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97" s="13" t="str">
        <f>_xlfn.XLOOKUP(tblTransactions[[#This Row],[tenant_id]],tblTenants[tenant_id],tblTenants[zone],"NOT FOUND")</f>
        <v>Beauty &amp; Wellness</v>
      </c>
      <c r="Q2097" s="13" t="str">
        <f>_xlfn.XLOOKUP(tblTransactions[[#This Row],[tenant_id]],tblTenants[tenant_id],tblTenants[category],"NOT FOUND")</f>
        <v>Beauty</v>
      </c>
    </row>
    <row r="2098" spans="1:17">
      <c r="A2098" t="s">
        <v>2142</v>
      </c>
      <c r="B2098" s="2">
        <v>45775</v>
      </c>
      <c r="C2098">
        <v>14</v>
      </c>
      <c r="D2098" t="s">
        <v>59</v>
      </c>
      <c r="E2098" t="s">
        <v>12</v>
      </c>
      <c r="F2098" s="7">
        <v>325.25</v>
      </c>
      <c r="G2098" s="10">
        <v>0.1</v>
      </c>
      <c r="H2098" s="7">
        <v>292.73</v>
      </c>
      <c r="I2098">
        <v>3</v>
      </c>
      <c r="J2098" t="s">
        <v>16</v>
      </c>
      <c r="K2098" s="13">
        <f>ROUND(tblTransactions[[#This Row],[gross_sales_inr]]*(1-tblTransactions[[#This Row],[discount_pct]]),2)</f>
        <v>292.73</v>
      </c>
      <c r="L2098" t="str">
        <f>IF(ABS(tblTransactions[[#This Row],[net_sales_inr]]-tblTransactions[[#This Row],[Recalc_Net_Sales]])&lt;0.02,"OK","CHECK")</f>
        <v>OK</v>
      </c>
      <c r="M2098" s="14">
        <f>DATE(YEAR(tblTransactions[[#This Row],[date]]),MONTH(tblTransactions[[#This Row],[date]]),1)</f>
        <v>45748</v>
      </c>
      <c r="N2098" t="str">
        <f>IF(WEEKDAY(tblTransactions[[#This Row],[date]],2)&gt;5,"Weekend","Weekday")</f>
        <v>Weekday</v>
      </c>
      <c r="O209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098" s="13" t="str">
        <f>_xlfn.XLOOKUP(tblTransactions[[#This Row],[tenant_id]],tblTenants[tenant_id],tblTenants[zone],"NOT FOUND")</f>
        <v>Fashion Avenue</v>
      </c>
      <c r="Q2098" s="13" t="str">
        <f>_xlfn.XLOOKUP(tblTransactions[[#This Row],[tenant_id]],tblTenants[tenant_id],tblTenants[category],"NOT FOUND")</f>
        <v>Footwear</v>
      </c>
    </row>
    <row r="2099" spans="1:17">
      <c r="A2099" t="s">
        <v>2143</v>
      </c>
      <c r="B2099" s="2">
        <v>45708</v>
      </c>
      <c r="C2099">
        <v>17</v>
      </c>
      <c r="D2099" t="s">
        <v>29</v>
      </c>
      <c r="E2099" t="s">
        <v>32</v>
      </c>
      <c r="F2099" s="7">
        <v>1117.3499999999999</v>
      </c>
      <c r="G2099" s="10">
        <v>0</v>
      </c>
      <c r="H2099" s="7">
        <v>1117.3499999999999</v>
      </c>
      <c r="I2099">
        <v>1</v>
      </c>
      <c r="J2099" t="s">
        <v>13</v>
      </c>
      <c r="K2099" s="13">
        <f>ROUND(tblTransactions[[#This Row],[gross_sales_inr]]*(1-tblTransactions[[#This Row],[discount_pct]]),2)</f>
        <v>1117.3499999999999</v>
      </c>
      <c r="L2099" t="str">
        <f>IF(ABS(tblTransactions[[#This Row],[net_sales_inr]]-tblTransactions[[#This Row],[Recalc_Net_Sales]])&lt;0.02,"OK","CHECK")</f>
        <v>OK</v>
      </c>
      <c r="M2099" s="14">
        <f>DATE(YEAR(tblTransactions[[#This Row],[date]]),MONTH(tblTransactions[[#This Row],[date]]),1)</f>
        <v>45689</v>
      </c>
      <c r="N2099" t="str">
        <f>IF(WEEKDAY(tblTransactions[[#This Row],[date]],2)&gt;5,"Weekend","Weekday")</f>
        <v>Weekday</v>
      </c>
      <c r="O2099" s="13" t="str">
        <f>IF(tblTransactions[[#This Row],[discount_pct]]=0,"0%",IF(tblTransactions[[#This Row],[discount_pct]]&lt;=10%,"1–
10%",IF(tblTransactions[[#This Row],[discount_pct]]&lt;=20%,"11–20%","&gt;20%")))</f>
        <v>0%</v>
      </c>
      <c r="P2099" s="13" t="str">
        <f>_xlfn.XLOOKUP(tblTransactions[[#This Row],[tenant_id]],tblTenants[tenant_id],tblTenants[zone],"NOT FOUND")</f>
        <v>Entertainment</v>
      </c>
      <c r="Q2099" s="13" t="str">
        <f>_xlfn.XLOOKUP(tblTransactions[[#This Row],[tenant_id]],tblTenants[tenant_id],tblTenants[category],"NOT FOUND")</f>
        <v>Cinema</v>
      </c>
    </row>
    <row r="2100" spans="1:17">
      <c r="A2100" t="s">
        <v>2144</v>
      </c>
      <c r="B2100" s="2">
        <v>45757</v>
      </c>
      <c r="C2100">
        <v>19</v>
      </c>
      <c r="D2100" t="s">
        <v>48</v>
      </c>
      <c r="E2100" t="s">
        <v>32</v>
      </c>
      <c r="F2100" s="7">
        <v>750.73</v>
      </c>
      <c r="G2100" s="10">
        <v>0.05</v>
      </c>
      <c r="H2100" s="7">
        <v>713.19</v>
      </c>
      <c r="I2100">
        <v>3</v>
      </c>
      <c r="J2100" t="s">
        <v>13</v>
      </c>
      <c r="K2100" s="13">
        <f>ROUND(tblTransactions[[#This Row],[gross_sales_inr]]*(1-tblTransactions[[#This Row],[discount_pct]]),2)</f>
        <v>713.19</v>
      </c>
      <c r="L2100" t="str">
        <f>IF(ABS(tblTransactions[[#This Row],[net_sales_inr]]-tblTransactions[[#This Row],[Recalc_Net_Sales]])&lt;0.02,"OK","CHECK")</f>
        <v>OK</v>
      </c>
      <c r="M2100" s="14">
        <f>DATE(YEAR(tblTransactions[[#This Row],[date]]),MONTH(tblTransactions[[#This Row],[date]]),1)</f>
        <v>45748</v>
      </c>
      <c r="N2100" t="str">
        <f>IF(WEEKDAY(tblTransactions[[#This Row],[date]],2)&gt;5,"Weekend","Weekday")</f>
        <v>Weekday</v>
      </c>
      <c r="O210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00" s="13" t="str">
        <f>_xlfn.XLOOKUP(tblTransactions[[#This Row],[tenant_id]],tblTenants[tenant_id],tblTenants[zone],"NOT FOUND")</f>
        <v>Beauty &amp; Wellness</v>
      </c>
      <c r="Q2100" s="13" t="str">
        <f>_xlfn.XLOOKUP(tblTransactions[[#This Row],[tenant_id]],tblTenants[tenant_id],tblTenants[category],"NOT FOUND")</f>
        <v>Wellness</v>
      </c>
    </row>
    <row r="2101" spans="1:17">
      <c r="A2101" t="s">
        <v>2145</v>
      </c>
      <c r="B2101" s="2">
        <v>45663</v>
      </c>
      <c r="C2101">
        <v>12</v>
      </c>
      <c r="D2101" t="s">
        <v>45</v>
      </c>
      <c r="E2101" t="s">
        <v>21</v>
      </c>
      <c r="F2101" s="7">
        <v>2145.15</v>
      </c>
      <c r="G2101" s="10">
        <v>0</v>
      </c>
      <c r="H2101" s="7">
        <v>2145.15</v>
      </c>
      <c r="I2101">
        <v>2</v>
      </c>
      <c r="J2101" t="s">
        <v>16</v>
      </c>
      <c r="K2101" s="13">
        <f>ROUND(tblTransactions[[#This Row],[gross_sales_inr]]*(1-tblTransactions[[#This Row],[discount_pct]]),2)</f>
        <v>2145.15</v>
      </c>
      <c r="L2101" t="str">
        <f>IF(ABS(tblTransactions[[#This Row],[net_sales_inr]]-tblTransactions[[#This Row],[Recalc_Net_Sales]])&lt;0.02,"OK","CHECK")</f>
        <v>OK</v>
      </c>
      <c r="M2101" s="14">
        <f>DATE(YEAR(tblTransactions[[#This Row],[date]]),MONTH(tblTransactions[[#This Row],[date]]),1)</f>
        <v>45658</v>
      </c>
      <c r="N2101" t="str">
        <f>IF(WEEKDAY(tblTransactions[[#This Row],[date]],2)&gt;5,"Weekend","Weekday")</f>
        <v>Weekday</v>
      </c>
      <c r="O2101" s="13" t="str">
        <f>IF(tblTransactions[[#This Row],[discount_pct]]=0,"0%",IF(tblTransactions[[#This Row],[discount_pct]]&lt;=10%,"1–
10%",IF(tblTransactions[[#This Row],[discount_pct]]&lt;=20%,"11–20%","&gt;20%")))</f>
        <v>0%</v>
      </c>
      <c r="P2101" s="13" t="str">
        <f>_xlfn.XLOOKUP(tblTransactions[[#This Row],[tenant_id]],tblTenants[tenant_id],tblTenants[zone],"NOT FOUND")</f>
        <v>Home &amp; Living</v>
      </c>
      <c r="Q2101" s="13" t="str">
        <f>_xlfn.XLOOKUP(tblTransactions[[#This Row],[tenant_id]],tblTenants[tenant_id],tblTenants[category],"NOT FOUND")</f>
        <v>Home Decor</v>
      </c>
    </row>
    <row r="2102" spans="1:17">
      <c r="A2102" t="s">
        <v>2146</v>
      </c>
      <c r="B2102" s="2">
        <v>45765</v>
      </c>
      <c r="C2102">
        <v>18</v>
      </c>
      <c r="D2102" t="s">
        <v>63</v>
      </c>
      <c r="E2102" t="s">
        <v>32</v>
      </c>
      <c r="F2102" s="7">
        <v>1361.39</v>
      </c>
      <c r="G2102" s="10">
        <v>0.05</v>
      </c>
      <c r="H2102" s="7">
        <v>1293.32</v>
      </c>
      <c r="I2102">
        <v>3</v>
      </c>
      <c r="J2102" t="s">
        <v>16</v>
      </c>
      <c r="K2102" s="13">
        <f>ROUND(tblTransactions[[#This Row],[gross_sales_inr]]*(1-tblTransactions[[#This Row],[discount_pct]]),2)</f>
        <v>1293.32</v>
      </c>
      <c r="L2102" t="str">
        <f>IF(ABS(tblTransactions[[#This Row],[net_sales_inr]]-tblTransactions[[#This Row],[Recalc_Net_Sales]])&lt;0.02,"OK","CHECK")</f>
        <v>OK</v>
      </c>
      <c r="M2102" s="14">
        <f>DATE(YEAR(tblTransactions[[#This Row],[date]]),MONTH(tblTransactions[[#This Row],[date]]),1)</f>
        <v>45748</v>
      </c>
      <c r="N2102" t="str">
        <f>IF(WEEKDAY(tblTransactions[[#This Row],[date]],2)&gt;5,"Weekend","Weekday")</f>
        <v>Weekday</v>
      </c>
      <c r="O210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02" s="13" t="str">
        <f>_xlfn.XLOOKUP(tblTransactions[[#This Row],[tenant_id]],tblTenants[tenant_id],tblTenants[zone],"NOT FOUND")</f>
        <v>Entertainment</v>
      </c>
      <c r="Q2102" s="13" t="str">
        <f>_xlfn.XLOOKUP(tblTransactions[[#This Row],[tenant_id]],tblTenants[tenant_id],tblTenants[category],"NOT FOUND")</f>
        <v>Family Entertainment</v>
      </c>
    </row>
    <row r="2103" spans="1:17">
      <c r="A2103" t="s">
        <v>2147</v>
      </c>
      <c r="B2103" s="2">
        <v>45739</v>
      </c>
      <c r="C2103">
        <v>18</v>
      </c>
      <c r="D2103" t="s">
        <v>29</v>
      </c>
      <c r="E2103" t="s">
        <v>21</v>
      </c>
      <c r="F2103" s="7">
        <v>1288.29</v>
      </c>
      <c r="G2103" s="10">
        <v>0</v>
      </c>
      <c r="H2103" s="7">
        <v>1288.29</v>
      </c>
      <c r="I2103">
        <v>3</v>
      </c>
      <c r="J2103" t="s">
        <v>13</v>
      </c>
      <c r="K2103" s="13">
        <f>ROUND(tblTransactions[[#This Row],[gross_sales_inr]]*(1-tblTransactions[[#This Row],[discount_pct]]),2)</f>
        <v>1288.29</v>
      </c>
      <c r="L2103" t="str">
        <f>IF(ABS(tblTransactions[[#This Row],[net_sales_inr]]-tblTransactions[[#This Row],[Recalc_Net_Sales]])&lt;0.02,"OK","CHECK")</f>
        <v>OK</v>
      </c>
      <c r="M2103" s="14">
        <f>DATE(YEAR(tblTransactions[[#This Row],[date]]),MONTH(tblTransactions[[#This Row],[date]]),1)</f>
        <v>45717</v>
      </c>
      <c r="N2103" t="str">
        <f>IF(WEEKDAY(tblTransactions[[#This Row],[date]],2)&gt;5,"Weekend","Weekday")</f>
        <v>Weekend</v>
      </c>
      <c r="O2103" s="13" t="str">
        <f>IF(tblTransactions[[#This Row],[discount_pct]]=0,"0%",IF(tblTransactions[[#This Row],[discount_pct]]&lt;=10%,"1–
10%",IF(tblTransactions[[#This Row],[discount_pct]]&lt;=20%,"11–20%","&gt;20%")))</f>
        <v>0%</v>
      </c>
      <c r="P2103" s="13" t="str">
        <f>_xlfn.XLOOKUP(tblTransactions[[#This Row],[tenant_id]],tblTenants[tenant_id],tblTenants[zone],"NOT FOUND")</f>
        <v>Entertainment</v>
      </c>
      <c r="Q2103" s="13" t="str">
        <f>_xlfn.XLOOKUP(tblTransactions[[#This Row],[tenant_id]],tblTenants[tenant_id],tblTenants[category],"NOT FOUND")</f>
        <v>Cinema</v>
      </c>
    </row>
    <row r="2104" spans="1:17">
      <c r="A2104" t="s">
        <v>2148</v>
      </c>
      <c r="B2104" s="2">
        <v>45698</v>
      </c>
      <c r="C2104">
        <v>11</v>
      </c>
      <c r="D2104" t="s">
        <v>80</v>
      </c>
      <c r="E2104" t="s">
        <v>12</v>
      </c>
      <c r="F2104" s="7">
        <v>2086.38</v>
      </c>
      <c r="G2104" s="10">
        <v>0</v>
      </c>
      <c r="H2104" s="7">
        <v>2086.38</v>
      </c>
      <c r="I2104">
        <v>2</v>
      </c>
      <c r="J2104" t="s">
        <v>16</v>
      </c>
      <c r="K2104" s="13">
        <f>ROUND(tblTransactions[[#This Row],[gross_sales_inr]]*(1-tblTransactions[[#This Row],[discount_pct]]),2)</f>
        <v>2086.38</v>
      </c>
      <c r="L2104" t="str">
        <f>IF(ABS(tblTransactions[[#This Row],[net_sales_inr]]-tblTransactions[[#This Row],[Recalc_Net_Sales]])&lt;0.02,"OK","CHECK")</f>
        <v>OK</v>
      </c>
      <c r="M2104" s="14">
        <f>DATE(YEAR(tblTransactions[[#This Row],[date]]),MONTH(tblTransactions[[#This Row],[date]]),1)</f>
        <v>45689</v>
      </c>
      <c r="N2104" t="str">
        <f>IF(WEEKDAY(tblTransactions[[#This Row],[date]],2)&gt;5,"Weekend","Weekday")</f>
        <v>Weekday</v>
      </c>
      <c r="O2104" s="13" t="str">
        <f>IF(tblTransactions[[#This Row],[discount_pct]]=0,"0%",IF(tblTransactions[[#This Row],[discount_pct]]&lt;=10%,"1–
10%",IF(tblTransactions[[#This Row],[discount_pct]]&lt;=20%,"11–20%","&gt;20%")))</f>
        <v>0%</v>
      </c>
      <c r="P2104" s="13" t="str">
        <f>_xlfn.XLOOKUP(tblTransactions[[#This Row],[tenant_id]],tblTenants[tenant_id],tblTenants[zone],"NOT FOUND")</f>
        <v>Food Court</v>
      </c>
      <c r="Q2104" s="13" t="str">
        <f>_xlfn.XLOOKUP(tblTransactions[[#This Row],[tenant_id]],tblTenants[tenant_id],tblTenants[category],"NOT FOUND")</f>
        <v>Casual Dining</v>
      </c>
    </row>
    <row r="2105" spans="1:17">
      <c r="A2105" t="s">
        <v>2149</v>
      </c>
      <c r="B2105" s="2">
        <v>45727</v>
      </c>
      <c r="C2105">
        <v>10</v>
      </c>
      <c r="D2105" t="s">
        <v>104</v>
      </c>
      <c r="E2105" t="s">
        <v>32</v>
      </c>
      <c r="F2105" s="7">
        <v>1288.92</v>
      </c>
      <c r="G2105" s="10">
        <v>0</v>
      </c>
      <c r="H2105" s="7">
        <v>1288.92</v>
      </c>
      <c r="I2105">
        <v>4</v>
      </c>
      <c r="J2105" t="s">
        <v>13</v>
      </c>
      <c r="K2105" s="13">
        <f>ROUND(tblTransactions[[#This Row],[gross_sales_inr]]*(1-tblTransactions[[#This Row],[discount_pct]]),2)</f>
        <v>1288.92</v>
      </c>
      <c r="L2105" t="str">
        <f>IF(ABS(tblTransactions[[#This Row],[net_sales_inr]]-tblTransactions[[#This Row],[Recalc_Net_Sales]])&lt;0.02,"OK","CHECK")</f>
        <v>OK</v>
      </c>
      <c r="M2105" s="14">
        <f>DATE(YEAR(tblTransactions[[#This Row],[date]]),MONTH(tblTransactions[[#This Row],[date]]),1)</f>
        <v>45717</v>
      </c>
      <c r="N2105" t="str">
        <f>IF(WEEKDAY(tblTransactions[[#This Row],[date]],2)&gt;5,"Weekend","Weekday")</f>
        <v>Weekday</v>
      </c>
      <c r="O2105" s="13" t="str">
        <f>IF(tblTransactions[[#This Row],[discount_pct]]=0,"0%",IF(tblTransactions[[#This Row],[discount_pct]]&lt;=10%,"1–
10%",IF(tblTransactions[[#This Row],[discount_pct]]&lt;=20%,"11–20%","&gt;20%")))</f>
        <v>0%</v>
      </c>
      <c r="P2105" s="13" t="str">
        <f>_xlfn.XLOOKUP(tblTransactions[[#This Row],[tenant_id]],tblTenants[tenant_id],tblTenants[zone],"NOT FOUND")</f>
        <v>Entertainment</v>
      </c>
      <c r="Q2105" s="13" t="str">
        <f>_xlfn.XLOOKUP(tblTransactions[[#This Row],[tenant_id]],tblTenants[tenant_id],tblTenants[category],"NOT FOUND")</f>
        <v>Family Entertainment</v>
      </c>
    </row>
    <row r="2106" spans="1:17">
      <c r="A2106" t="s">
        <v>2150</v>
      </c>
      <c r="B2106" s="2">
        <v>45758</v>
      </c>
      <c r="C2106">
        <v>18</v>
      </c>
      <c r="D2106" t="s">
        <v>98</v>
      </c>
      <c r="E2106" t="s">
        <v>12</v>
      </c>
      <c r="F2106" s="7">
        <v>440.74</v>
      </c>
      <c r="G2106" s="10">
        <v>0.15</v>
      </c>
      <c r="H2106" s="7">
        <v>374.63</v>
      </c>
      <c r="I2106">
        <v>1</v>
      </c>
      <c r="J2106" t="s">
        <v>13</v>
      </c>
      <c r="K2106" s="13">
        <f>ROUND(tblTransactions[[#This Row],[gross_sales_inr]]*(1-tblTransactions[[#This Row],[discount_pct]]),2)</f>
        <v>374.63</v>
      </c>
      <c r="L2106" t="str">
        <f>IF(ABS(tblTransactions[[#This Row],[net_sales_inr]]-tblTransactions[[#This Row],[Recalc_Net_Sales]])&lt;0.02,"OK","CHECK")</f>
        <v>OK</v>
      </c>
      <c r="M2106" s="14">
        <f>DATE(YEAR(tblTransactions[[#This Row],[date]]),MONTH(tblTransactions[[#This Row],[date]]),1)</f>
        <v>45748</v>
      </c>
      <c r="N2106" t="str">
        <f>IF(WEEKDAY(tblTransactions[[#This Row],[date]],2)&gt;5,"Weekend","Weekday")</f>
        <v>Weekday</v>
      </c>
      <c r="O210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06" s="13" t="str">
        <f>_xlfn.XLOOKUP(tblTransactions[[#This Row],[tenant_id]],tblTenants[tenant_id],tblTenants[zone],"NOT FOUND")</f>
        <v>Fashion Avenue</v>
      </c>
      <c r="Q2106" s="13" t="str">
        <f>_xlfn.XLOOKUP(tblTransactions[[#This Row],[tenant_id]],tblTenants[tenant_id],tblTenants[category],"NOT FOUND")</f>
        <v>Accessories</v>
      </c>
    </row>
    <row r="2107" spans="1:17">
      <c r="A2107" t="s">
        <v>2151</v>
      </c>
      <c r="B2107" s="2">
        <v>45811</v>
      </c>
      <c r="C2107">
        <v>12</v>
      </c>
      <c r="D2107" t="s">
        <v>57</v>
      </c>
      <c r="E2107" t="s">
        <v>32</v>
      </c>
      <c r="F2107" s="7">
        <v>1232.31</v>
      </c>
      <c r="G2107" s="10">
        <v>0.1</v>
      </c>
      <c r="H2107" s="7">
        <v>1109.08</v>
      </c>
      <c r="I2107">
        <v>6</v>
      </c>
      <c r="J2107" t="s">
        <v>13</v>
      </c>
      <c r="K2107" s="13">
        <f>ROUND(tblTransactions[[#This Row],[gross_sales_inr]]*(1-tblTransactions[[#This Row],[discount_pct]]),2)</f>
        <v>1109.08</v>
      </c>
      <c r="L2107" t="str">
        <f>IF(ABS(tblTransactions[[#This Row],[net_sales_inr]]-tblTransactions[[#This Row],[Recalc_Net_Sales]])&lt;0.02,"OK","CHECK")</f>
        <v>OK</v>
      </c>
      <c r="M2107" s="14">
        <f>DATE(YEAR(tblTransactions[[#This Row],[date]]),MONTH(tblTransactions[[#This Row],[date]]),1)</f>
        <v>45809</v>
      </c>
      <c r="N2107" t="str">
        <f>IF(WEEKDAY(tblTransactions[[#This Row],[date]],2)&gt;5,"Weekend","Weekday")</f>
        <v>Weekday</v>
      </c>
      <c r="O210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07" s="13" t="str">
        <f>_xlfn.XLOOKUP(tblTransactions[[#This Row],[tenant_id]],tblTenants[tenant_id],tblTenants[zone],"NOT FOUND")</f>
        <v>Food Court</v>
      </c>
      <c r="Q2107" s="13" t="str">
        <f>_xlfn.XLOOKUP(tblTransactions[[#This Row],[tenant_id]],tblTenants[tenant_id],tblTenants[category],"NOT FOUND")</f>
        <v>Casual Dining</v>
      </c>
    </row>
    <row r="2108" spans="1:17">
      <c r="A2108" t="s">
        <v>2152</v>
      </c>
      <c r="B2108" s="2">
        <v>45719</v>
      </c>
      <c r="C2108">
        <v>15</v>
      </c>
      <c r="D2108" t="s">
        <v>72</v>
      </c>
      <c r="E2108" t="s">
        <v>32</v>
      </c>
      <c r="F2108" s="7">
        <v>775.6</v>
      </c>
      <c r="G2108" s="10">
        <v>0</v>
      </c>
      <c r="H2108" s="7">
        <v>775.6</v>
      </c>
      <c r="I2108">
        <v>6</v>
      </c>
      <c r="J2108" t="s">
        <v>16</v>
      </c>
      <c r="K2108" s="13">
        <f>ROUND(tblTransactions[[#This Row],[gross_sales_inr]]*(1-tblTransactions[[#This Row],[discount_pct]]),2)</f>
        <v>775.6</v>
      </c>
      <c r="L2108" t="str">
        <f>IF(ABS(tblTransactions[[#This Row],[net_sales_inr]]-tblTransactions[[#This Row],[Recalc_Net_Sales]])&lt;0.02,"OK","CHECK")</f>
        <v>OK</v>
      </c>
      <c r="M2108" s="14">
        <f>DATE(YEAR(tblTransactions[[#This Row],[date]]),MONTH(tblTransactions[[#This Row],[date]]),1)</f>
        <v>45717</v>
      </c>
      <c r="N2108" t="str">
        <f>IF(WEEKDAY(tblTransactions[[#This Row],[date]],2)&gt;5,"Weekend","Weekday")</f>
        <v>Weekday</v>
      </c>
      <c r="O2108" s="13" t="str">
        <f>IF(tblTransactions[[#This Row],[discount_pct]]=0,"0%",IF(tblTransactions[[#This Row],[discount_pct]]&lt;=10%,"1–
10%",IF(tblTransactions[[#This Row],[discount_pct]]&lt;=20%,"11–20%","&gt;20%")))</f>
        <v>0%</v>
      </c>
      <c r="P2108" s="13" t="str">
        <f>_xlfn.XLOOKUP(tblTransactions[[#This Row],[tenant_id]],tblTenants[tenant_id],tblTenants[zone],"NOT FOUND")</f>
        <v>Entertainment</v>
      </c>
      <c r="Q2108" s="13" t="str">
        <f>_xlfn.XLOOKUP(tblTransactions[[#This Row],[tenant_id]],tblTenants[tenant_id],tblTenants[category],"NOT FOUND")</f>
        <v>Arcade</v>
      </c>
    </row>
    <row r="2109" spans="1:17">
      <c r="A2109" t="s">
        <v>2153</v>
      </c>
      <c r="B2109" s="2">
        <v>45801</v>
      </c>
      <c r="C2109">
        <v>14</v>
      </c>
      <c r="D2109" t="s">
        <v>72</v>
      </c>
      <c r="E2109" t="s">
        <v>32</v>
      </c>
      <c r="F2109" s="7">
        <v>967.96</v>
      </c>
      <c r="G2109" s="10">
        <v>0</v>
      </c>
      <c r="H2109" s="7">
        <v>967.96</v>
      </c>
      <c r="I2109">
        <v>2</v>
      </c>
      <c r="J2109" t="s">
        <v>16</v>
      </c>
      <c r="K2109" s="13">
        <f>ROUND(tblTransactions[[#This Row],[gross_sales_inr]]*(1-tblTransactions[[#This Row],[discount_pct]]),2)</f>
        <v>967.96</v>
      </c>
      <c r="L2109" t="str">
        <f>IF(ABS(tblTransactions[[#This Row],[net_sales_inr]]-tblTransactions[[#This Row],[Recalc_Net_Sales]])&lt;0.02,"OK","CHECK")</f>
        <v>OK</v>
      </c>
      <c r="M2109" s="14">
        <f>DATE(YEAR(tblTransactions[[#This Row],[date]]),MONTH(tblTransactions[[#This Row],[date]]),1)</f>
        <v>45778</v>
      </c>
      <c r="N2109" t="str">
        <f>IF(WEEKDAY(tblTransactions[[#This Row],[date]],2)&gt;5,"Weekend","Weekday")</f>
        <v>Weekend</v>
      </c>
      <c r="O2109" s="13" t="str">
        <f>IF(tblTransactions[[#This Row],[discount_pct]]=0,"0%",IF(tblTransactions[[#This Row],[discount_pct]]&lt;=10%,"1–
10%",IF(tblTransactions[[#This Row],[discount_pct]]&lt;=20%,"11–20%","&gt;20%")))</f>
        <v>0%</v>
      </c>
      <c r="P2109" s="13" t="str">
        <f>_xlfn.XLOOKUP(tblTransactions[[#This Row],[tenant_id]],tblTenants[tenant_id],tblTenants[zone],"NOT FOUND")</f>
        <v>Entertainment</v>
      </c>
      <c r="Q2109" s="13" t="str">
        <f>_xlfn.XLOOKUP(tblTransactions[[#This Row],[tenant_id]],tblTenants[tenant_id],tblTenants[category],"NOT FOUND")</f>
        <v>Arcade</v>
      </c>
    </row>
    <row r="2110" spans="1:17">
      <c r="A2110" t="s">
        <v>2154</v>
      </c>
      <c r="B2110" s="2">
        <v>45681</v>
      </c>
      <c r="C2110">
        <v>15</v>
      </c>
      <c r="D2110" t="s">
        <v>48</v>
      </c>
      <c r="E2110" t="s">
        <v>32</v>
      </c>
      <c r="F2110" s="7">
        <v>504.99</v>
      </c>
      <c r="G2110" s="10">
        <v>0</v>
      </c>
      <c r="H2110" s="7">
        <v>504.99</v>
      </c>
      <c r="I2110">
        <v>3</v>
      </c>
      <c r="J2110" t="s">
        <v>13</v>
      </c>
      <c r="K2110" s="13">
        <f>ROUND(tblTransactions[[#This Row],[gross_sales_inr]]*(1-tblTransactions[[#This Row],[discount_pct]]),2)</f>
        <v>504.99</v>
      </c>
      <c r="L2110" t="str">
        <f>IF(ABS(tblTransactions[[#This Row],[net_sales_inr]]-tblTransactions[[#This Row],[Recalc_Net_Sales]])&lt;0.02,"OK","CHECK")</f>
        <v>OK</v>
      </c>
      <c r="M2110" s="14">
        <f>DATE(YEAR(tblTransactions[[#This Row],[date]]),MONTH(tblTransactions[[#This Row],[date]]),1)</f>
        <v>45658</v>
      </c>
      <c r="N2110" t="str">
        <f>IF(WEEKDAY(tblTransactions[[#This Row],[date]],2)&gt;5,"Weekend","Weekday")</f>
        <v>Weekday</v>
      </c>
      <c r="O2110" s="13" t="str">
        <f>IF(tblTransactions[[#This Row],[discount_pct]]=0,"0%",IF(tblTransactions[[#This Row],[discount_pct]]&lt;=10%,"1–
10%",IF(tblTransactions[[#This Row],[discount_pct]]&lt;=20%,"11–20%","&gt;20%")))</f>
        <v>0%</v>
      </c>
      <c r="P2110" s="13" t="str">
        <f>_xlfn.XLOOKUP(tblTransactions[[#This Row],[tenant_id]],tblTenants[tenant_id],tblTenants[zone],"NOT FOUND")</f>
        <v>Beauty &amp; Wellness</v>
      </c>
      <c r="Q2110" s="13" t="str">
        <f>_xlfn.XLOOKUP(tblTransactions[[#This Row],[tenant_id]],tblTenants[tenant_id],tblTenants[category],"NOT FOUND")</f>
        <v>Wellness</v>
      </c>
    </row>
    <row r="2111" spans="1:17">
      <c r="A2111" t="s">
        <v>2155</v>
      </c>
      <c r="B2111" s="2">
        <v>45792</v>
      </c>
      <c r="C2111">
        <v>10</v>
      </c>
      <c r="D2111" t="s">
        <v>57</v>
      </c>
      <c r="E2111" t="s">
        <v>12</v>
      </c>
      <c r="F2111" s="7">
        <v>1349.35</v>
      </c>
      <c r="G2111" s="10">
        <v>0</v>
      </c>
      <c r="H2111" s="7">
        <v>1349.35</v>
      </c>
      <c r="I2111">
        <v>5</v>
      </c>
      <c r="J2111" t="s">
        <v>16</v>
      </c>
      <c r="K2111" s="13">
        <f>ROUND(tblTransactions[[#This Row],[gross_sales_inr]]*(1-tblTransactions[[#This Row],[discount_pct]]),2)</f>
        <v>1349.35</v>
      </c>
      <c r="L2111" t="str">
        <f>IF(ABS(tblTransactions[[#This Row],[net_sales_inr]]-tblTransactions[[#This Row],[Recalc_Net_Sales]])&lt;0.02,"OK","CHECK")</f>
        <v>OK</v>
      </c>
      <c r="M2111" s="14">
        <f>DATE(YEAR(tblTransactions[[#This Row],[date]]),MONTH(tblTransactions[[#This Row],[date]]),1)</f>
        <v>45778</v>
      </c>
      <c r="N2111" t="str">
        <f>IF(WEEKDAY(tblTransactions[[#This Row],[date]],2)&gt;5,"Weekend","Weekday")</f>
        <v>Weekday</v>
      </c>
      <c r="O2111" s="13" t="str">
        <f>IF(tblTransactions[[#This Row],[discount_pct]]=0,"0%",IF(tblTransactions[[#This Row],[discount_pct]]&lt;=10%,"1–
10%",IF(tblTransactions[[#This Row],[discount_pct]]&lt;=20%,"11–20%","&gt;20%")))</f>
        <v>0%</v>
      </c>
      <c r="P2111" s="13" t="str">
        <f>_xlfn.XLOOKUP(tblTransactions[[#This Row],[tenant_id]],tblTenants[tenant_id],tblTenants[zone],"NOT FOUND")</f>
        <v>Food Court</v>
      </c>
      <c r="Q2111" s="13" t="str">
        <f>_xlfn.XLOOKUP(tblTransactions[[#This Row],[tenant_id]],tblTenants[tenant_id],tblTenants[category],"NOT FOUND")</f>
        <v>Casual Dining</v>
      </c>
    </row>
    <row r="2112" spans="1:17">
      <c r="A2112" t="s">
        <v>2156</v>
      </c>
      <c r="B2112" s="2">
        <v>45815</v>
      </c>
      <c r="C2112">
        <v>21</v>
      </c>
      <c r="D2112" t="s">
        <v>31</v>
      </c>
      <c r="E2112" t="s">
        <v>12</v>
      </c>
      <c r="F2112" s="7">
        <v>704.96</v>
      </c>
      <c r="G2112" s="10">
        <v>0</v>
      </c>
      <c r="H2112" s="7">
        <v>704.96</v>
      </c>
      <c r="I2112">
        <v>4</v>
      </c>
      <c r="J2112" t="s">
        <v>13</v>
      </c>
      <c r="K2112" s="13">
        <f>ROUND(tblTransactions[[#This Row],[gross_sales_inr]]*(1-tblTransactions[[#This Row],[discount_pct]]),2)</f>
        <v>704.96</v>
      </c>
      <c r="L2112" t="str">
        <f>IF(ABS(tblTransactions[[#This Row],[net_sales_inr]]-tblTransactions[[#This Row],[Recalc_Net_Sales]])&lt;0.02,"OK","CHECK")</f>
        <v>OK</v>
      </c>
      <c r="M2112" s="14">
        <f>DATE(YEAR(tblTransactions[[#This Row],[date]]),MONTH(tblTransactions[[#This Row],[date]]),1)</f>
        <v>45809</v>
      </c>
      <c r="N2112" t="str">
        <f>IF(WEEKDAY(tblTransactions[[#This Row],[date]],2)&gt;5,"Weekend","Weekday")</f>
        <v>Weekend</v>
      </c>
      <c r="O2112" s="13" t="str">
        <f>IF(tblTransactions[[#This Row],[discount_pct]]=0,"0%",IF(tblTransactions[[#This Row],[discount_pct]]&lt;=10%,"1–
10%",IF(tblTransactions[[#This Row],[discount_pct]]&lt;=20%,"11–20%","&gt;20%")))</f>
        <v>0%</v>
      </c>
      <c r="P2112" s="13" t="str">
        <f>_xlfn.XLOOKUP(tblTransactions[[#This Row],[tenant_id]],tblTenants[tenant_id],tblTenants[zone],"NOT FOUND")</f>
        <v>Entertainment</v>
      </c>
      <c r="Q2112" s="13" t="str">
        <f>_xlfn.XLOOKUP(tblTransactions[[#This Row],[tenant_id]],tblTenants[tenant_id],tblTenants[category],"NOT FOUND")</f>
        <v>Arcade</v>
      </c>
    </row>
    <row r="2113" spans="1:17">
      <c r="A2113" t="s">
        <v>2157</v>
      </c>
      <c r="B2113" s="2">
        <v>45686</v>
      </c>
      <c r="C2113">
        <v>19</v>
      </c>
      <c r="D2113" t="s">
        <v>11</v>
      </c>
      <c r="E2113" t="s">
        <v>32</v>
      </c>
      <c r="F2113" s="7">
        <v>1126.23</v>
      </c>
      <c r="G2113" s="10">
        <v>0</v>
      </c>
      <c r="H2113" s="7">
        <v>1126.23</v>
      </c>
      <c r="I2113">
        <v>1</v>
      </c>
      <c r="J2113" t="s">
        <v>13</v>
      </c>
      <c r="K2113" s="13">
        <f>ROUND(tblTransactions[[#This Row],[gross_sales_inr]]*(1-tblTransactions[[#This Row],[discount_pct]]),2)</f>
        <v>1126.23</v>
      </c>
      <c r="L2113" t="str">
        <f>IF(ABS(tblTransactions[[#This Row],[net_sales_inr]]-tblTransactions[[#This Row],[Recalc_Net_Sales]])&lt;0.02,"OK","CHECK")</f>
        <v>OK</v>
      </c>
      <c r="M2113" s="14">
        <f>DATE(YEAR(tblTransactions[[#This Row],[date]]),MONTH(tblTransactions[[#This Row],[date]]),1)</f>
        <v>45658</v>
      </c>
      <c r="N2113" t="str">
        <f>IF(WEEKDAY(tblTransactions[[#This Row],[date]],2)&gt;5,"Weekend","Weekday")</f>
        <v>Weekday</v>
      </c>
      <c r="O2113" s="13" t="str">
        <f>IF(tblTransactions[[#This Row],[discount_pct]]=0,"0%",IF(tblTransactions[[#This Row],[discount_pct]]&lt;=10%,"1–
10%",IF(tblTransactions[[#This Row],[discount_pct]]&lt;=20%,"11–20%","&gt;20%")))</f>
        <v>0%</v>
      </c>
      <c r="P2113" s="13" t="str">
        <f>_xlfn.XLOOKUP(tblTransactions[[#This Row],[tenant_id]],tblTenants[tenant_id],tblTenants[zone],"NOT FOUND")</f>
        <v>Home &amp; Living</v>
      </c>
      <c r="Q2113" s="13" t="str">
        <f>_xlfn.XLOOKUP(tblTransactions[[#This Row],[tenant_id]],tblTenants[tenant_id],tblTenants[category],"NOT FOUND")</f>
        <v>Home Decor</v>
      </c>
    </row>
    <row r="2114" spans="1:17">
      <c r="A2114" t="s">
        <v>2158</v>
      </c>
      <c r="B2114" s="2">
        <v>45715</v>
      </c>
      <c r="C2114">
        <v>19</v>
      </c>
      <c r="D2114" t="s">
        <v>85</v>
      </c>
      <c r="E2114" t="s">
        <v>12</v>
      </c>
      <c r="F2114" s="7">
        <v>745.8</v>
      </c>
      <c r="G2114" s="10">
        <v>0.15</v>
      </c>
      <c r="H2114" s="7">
        <v>633.92999999999995</v>
      </c>
      <c r="I2114">
        <v>3</v>
      </c>
      <c r="J2114" t="s">
        <v>13</v>
      </c>
      <c r="K2114" s="13">
        <f>ROUND(tblTransactions[[#This Row],[gross_sales_inr]]*(1-tblTransactions[[#This Row],[discount_pct]]),2)</f>
        <v>633.92999999999995</v>
      </c>
      <c r="L2114" t="str">
        <f>IF(ABS(tblTransactions[[#This Row],[net_sales_inr]]-tblTransactions[[#This Row],[Recalc_Net_Sales]])&lt;0.02,"OK","CHECK")</f>
        <v>OK</v>
      </c>
      <c r="M2114" s="14">
        <f>DATE(YEAR(tblTransactions[[#This Row],[date]]),MONTH(tblTransactions[[#This Row],[date]]),1)</f>
        <v>45689</v>
      </c>
      <c r="N2114" t="str">
        <f>IF(WEEKDAY(tblTransactions[[#This Row],[date]],2)&gt;5,"Weekend","Weekday")</f>
        <v>Weekday</v>
      </c>
      <c r="O211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14" s="13" t="str">
        <f>_xlfn.XLOOKUP(tblTransactions[[#This Row],[tenant_id]],tblTenants[tenant_id],tblTenants[zone],"NOT FOUND")</f>
        <v>Home &amp; Living</v>
      </c>
      <c r="Q2114" s="13" t="str">
        <f>_xlfn.XLOOKUP(tblTransactions[[#This Row],[tenant_id]],tblTenants[tenant_id],tblTenants[category],"NOT FOUND")</f>
        <v>Electronics</v>
      </c>
    </row>
    <row r="2115" spans="1:17">
      <c r="A2115" t="s">
        <v>2159</v>
      </c>
      <c r="B2115" s="2">
        <v>45771</v>
      </c>
      <c r="C2115">
        <v>14</v>
      </c>
      <c r="D2115" t="s">
        <v>29</v>
      </c>
      <c r="E2115" t="s">
        <v>12</v>
      </c>
      <c r="F2115" s="7">
        <v>954.46</v>
      </c>
      <c r="G2115" s="10">
        <v>0.3</v>
      </c>
      <c r="H2115" s="7">
        <v>668.12</v>
      </c>
      <c r="I2115">
        <v>2</v>
      </c>
      <c r="J2115" t="s">
        <v>13</v>
      </c>
      <c r="K2115" s="13">
        <f>ROUND(tblTransactions[[#This Row],[gross_sales_inr]]*(1-tblTransactions[[#This Row],[discount_pct]]),2)</f>
        <v>668.12</v>
      </c>
      <c r="L2115" t="str">
        <f>IF(ABS(tblTransactions[[#This Row],[net_sales_inr]]-tblTransactions[[#This Row],[Recalc_Net_Sales]])&lt;0.02,"OK","CHECK")</f>
        <v>OK</v>
      </c>
      <c r="M2115" s="14">
        <f>DATE(YEAR(tblTransactions[[#This Row],[date]]),MONTH(tblTransactions[[#This Row],[date]]),1)</f>
        <v>45748</v>
      </c>
      <c r="N2115" t="str">
        <f>IF(WEEKDAY(tblTransactions[[#This Row],[date]],2)&gt;5,"Weekend","Weekday")</f>
        <v>Weekday</v>
      </c>
      <c r="O2115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115" s="13" t="str">
        <f>_xlfn.XLOOKUP(tblTransactions[[#This Row],[tenant_id]],tblTenants[tenant_id],tblTenants[zone],"NOT FOUND")</f>
        <v>Entertainment</v>
      </c>
      <c r="Q2115" s="13" t="str">
        <f>_xlfn.XLOOKUP(tblTransactions[[#This Row],[tenant_id]],tblTenants[tenant_id],tblTenants[category],"NOT FOUND")</f>
        <v>Cinema</v>
      </c>
    </row>
    <row r="2116" spans="1:17">
      <c r="A2116" t="s">
        <v>2160</v>
      </c>
      <c r="B2116" s="2">
        <v>45831</v>
      </c>
      <c r="C2116">
        <v>11</v>
      </c>
      <c r="D2116" t="s">
        <v>11</v>
      </c>
      <c r="E2116" t="s">
        <v>32</v>
      </c>
      <c r="F2116" s="7">
        <v>564.30999999999995</v>
      </c>
      <c r="G2116" s="10">
        <v>0</v>
      </c>
      <c r="H2116" s="7">
        <v>564.30999999999995</v>
      </c>
      <c r="I2116">
        <v>3</v>
      </c>
      <c r="J2116" t="s">
        <v>13</v>
      </c>
      <c r="K2116" s="13">
        <f>ROUND(tblTransactions[[#This Row],[gross_sales_inr]]*(1-tblTransactions[[#This Row],[discount_pct]]),2)</f>
        <v>564.30999999999995</v>
      </c>
      <c r="L2116" t="str">
        <f>IF(ABS(tblTransactions[[#This Row],[net_sales_inr]]-tblTransactions[[#This Row],[Recalc_Net_Sales]])&lt;0.02,"OK","CHECK")</f>
        <v>OK</v>
      </c>
      <c r="M2116" s="14">
        <f>DATE(YEAR(tblTransactions[[#This Row],[date]]),MONTH(tblTransactions[[#This Row],[date]]),1)</f>
        <v>45809</v>
      </c>
      <c r="N2116" t="str">
        <f>IF(WEEKDAY(tblTransactions[[#This Row],[date]],2)&gt;5,"Weekend","Weekday")</f>
        <v>Weekday</v>
      </c>
      <c r="O2116" s="13" t="str">
        <f>IF(tblTransactions[[#This Row],[discount_pct]]=0,"0%",IF(tblTransactions[[#This Row],[discount_pct]]&lt;=10%,"1–
10%",IF(tblTransactions[[#This Row],[discount_pct]]&lt;=20%,"11–20%","&gt;20%")))</f>
        <v>0%</v>
      </c>
      <c r="P2116" s="13" t="str">
        <f>_xlfn.XLOOKUP(tblTransactions[[#This Row],[tenant_id]],tblTenants[tenant_id],tblTenants[zone],"NOT FOUND")</f>
        <v>Home &amp; Living</v>
      </c>
      <c r="Q2116" s="13" t="str">
        <f>_xlfn.XLOOKUP(tblTransactions[[#This Row],[tenant_id]],tblTenants[tenant_id],tblTenants[category],"NOT FOUND")</f>
        <v>Home Decor</v>
      </c>
    </row>
    <row r="2117" spans="1:17">
      <c r="A2117" t="s">
        <v>2161</v>
      </c>
      <c r="B2117" s="2">
        <v>45806</v>
      </c>
      <c r="C2117">
        <v>10</v>
      </c>
      <c r="D2117" t="s">
        <v>34</v>
      </c>
      <c r="E2117" t="s">
        <v>51</v>
      </c>
      <c r="F2117" s="7">
        <v>373.13</v>
      </c>
      <c r="G2117" s="10">
        <v>0.15</v>
      </c>
      <c r="H2117" s="7">
        <v>317.16000000000003</v>
      </c>
      <c r="I2117">
        <v>1</v>
      </c>
      <c r="J2117" t="s">
        <v>16</v>
      </c>
      <c r="K2117" s="13">
        <f>ROUND(tblTransactions[[#This Row],[gross_sales_inr]]*(1-tblTransactions[[#This Row],[discount_pct]]),2)</f>
        <v>317.16000000000003</v>
      </c>
      <c r="L2117" t="str">
        <f>IF(ABS(tblTransactions[[#This Row],[net_sales_inr]]-tblTransactions[[#This Row],[Recalc_Net_Sales]])&lt;0.02,"OK","CHECK")</f>
        <v>OK</v>
      </c>
      <c r="M2117" s="14">
        <f>DATE(YEAR(tblTransactions[[#This Row],[date]]),MONTH(tblTransactions[[#This Row],[date]]),1)</f>
        <v>45778</v>
      </c>
      <c r="N2117" t="str">
        <f>IF(WEEKDAY(tblTransactions[[#This Row],[date]],2)&gt;5,"Weekend","Weekday")</f>
        <v>Weekday</v>
      </c>
      <c r="O211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17" s="13" t="str">
        <f>_xlfn.XLOOKUP(tblTransactions[[#This Row],[tenant_id]],tblTenants[tenant_id],tblTenants[zone],"NOT FOUND")</f>
        <v>Home &amp; Living</v>
      </c>
      <c r="Q2117" s="13" t="str">
        <f>_xlfn.XLOOKUP(tblTransactions[[#This Row],[tenant_id]],tblTenants[tenant_id],tblTenants[category],"NOT FOUND")</f>
        <v>Electronics</v>
      </c>
    </row>
    <row r="2118" spans="1:17">
      <c r="A2118" t="s">
        <v>2162</v>
      </c>
      <c r="B2118" s="2">
        <v>45751</v>
      </c>
      <c r="C2118">
        <v>13</v>
      </c>
      <c r="D2118" t="s">
        <v>25</v>
      </c>
      <c r="E2118" t="s">
        <v>32</v>
      </c>
      <c r="F2118" s="7">
        <v>447.83</v>
      </c>
      <c r="G2118" s="10">
        <v>0.3</v>
      </c>
      <c r="H2118" s="7">
        <v>313.48</v>
      </c>
      <c r="I2118">
        <v>1</v>
      </c>
      <c r="J2118" t="s">
        <v>13</v>
      </c>
      <c r="K2118" s="13">
        <f>ROUND(tblTransactions[[#This Row],[gross_sales_inr]]*(1-tblTransactions[[#This Row],[discount_pct]]),2)</f>
        <v>313.48</v>
      </c>
      <c r="L2118" t="str">
        <f>IF(ABS(tblTransactions[[#This Row],[net_sales_inr]]-tblTransactions[[#This Row],[Recalc_Net_Sales]])&lt;0.02,"OK","CHECK")</f>
        <v>OK</v>
      </c>
      <c r="M2118" s="14">
        <f>DATE(YEAR(tblTransactions[[#This Row],[date]]),MONTH(tblTransactions[[#This Row],[date]]),1)</f>
        <v>45748</v>
      </c>
      <c r="N2118" t="str">
        <f>IF(WEEKDAY(tblTransactions[[#This Row],[date]],2)&gt;5,"Weekend","Weekday")</f>
        <v>Weekday</v>
      </c>
      <c r="O2118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118" s="13" t="str">
        <f>_xlfn.XLOOKUP(tblTransactions[[#This Row],[tenant_id]],tblTenants[tenant_id],tblTenants[zone],"NOT FOUND")</f>
        <v>Beauty &amp; Wellness</v>
      </c>
      <c r="Q2118" s="13" t="str">
        <f>_xlfn.XLOOKUP(tblTransactions[[#This Row],[tenant_id]],tblTenants[tenant_id],tblTenants[category],"NOT FOUND")</f>
        <v>Beauty</v>
      </c>
    </row>
    <row r="2119" spans="1:17">
      <c r="A2119" t="s">
        <v>2163</v>
      </c>
      <c r="B2119" s="2">
        <v>45733</v>
      </c>
      <c r="C2119">
        <v>20</v>
      </c>
      <c r="D2119" t="s">
        <v>85</v>
      </c>
      <c r="E2119" t="s">
        <v>51</v>
      </c>
      <c r="F2119" s="7">
        <v>565.4</v>
      </c>
      <c r="G2119" s="10">
        <v>0</v>
      </c>
      <c r="H2119" s="7">
        <v>565.4</v>
      </c>
      <c r="I2119">
        <v>1</v>
      </c>
      <c r="J2119" t="s">
        <v>13</v>
      </c>
      <c r="K2119" s="13">
        <f>ROUND(tblTransactions[[#This Row],[gross_sales_inr]]*(1-tblTransactions[[#This Row],[discount_pct]]),2)</f>
        <v>565.4</v>
      </c>
      <c r="L2119" t="str">
        <f>IF(ABS(tblTransactions[[#This Row],[net_sales_inr]]-tblTransactions[[#This Row],[Recalc_Net_Sales]])&lt;0.02,"OK","CHECK")</f>
        <v>OK</v>
      </c>
      <c r="M2119" s="14">
        <f>DATE(YEAR(tblTransactions[[#This Row],[date]]),MONTH(tblTransactions[[#This Row],[date]]),1)</f>
        <v>45717</v>
      </c>
      <c r="N2119" t="str">
        <f>IF(WEEKDAY(tblTransactions[[#This Row],[date]],2)&gt;5,"Weekend","Weekday")</f>
        <v>Weekday</v>
      </c>
      <c r="O2119" s="13" t="str">
        <f>IF(tblTransactions[[#This Row],[discount_pct]]=0,"0%",IF(tblTransactions[[#This Row],[discount_pct]]&lt;=10%,"1–
10%",IF(tblTransactions[[#This Row],[discount_pct]]&lt;=20%,"11–20%","&gt;20%")))</f>
        <v>0%</v>
      </c>
      <c r="P2119" s="13" t="str">
        <f>_xlfn.XLOOKUP(tblTransactions[[#This Row],[tenant_id]],tblTenants[tenant_id],tblTenants[zone],"NOT FOUND")</f>
        <v>Home &amp; Living</v>
      </c>
      <c r="Q2119" s="13" t="str">
        <f>_xlfn.XLOOKUP(tblTransactions[[#This Row],[tenant_id]],tblTenants[tenant_id],tblTenants[category],"NOT FOUND")</f>
        <v>Electronics</v>
      </c>
    </row>
    <row r="2120" spans="1:17">
      <c r="A2120" t="s">
        <v>2164</v>
      </c>
      <c r="B2120" s="2">
        <v>45772</v>
      </c>
      <c r="C2120">
        <v>21</v>
      </c>
      <c r="D2120" t="s">
        <v>57</v>
      </c>
      <c r="E2120" t="s">
        <v>12</v>
      </c>
      <c r="F2120" s="7">
        <v>801.1</v>
      </c>
      <c r="G2120" s="10">
        <v>0.15</v>
      </c>
      <c r="H2120" s="7">
        <v>680.93</v>
      </c>
      <c r="I2120">
        <v>1</v>
      </c>
      <c r="J2120" t="s">
        <v>13</v>
      </c>
      <c r="K2120" s="13">
        <f>ROUND(tblTransactions[[#This Row],[gross_sales_inr]]*(1-tblTransactions[[#This Row],[discount_pct]]),2)</f>
        <v>680.94</v>
      </c>
      <c r="L2120" t="str">
        <f>IF(ABS(tblTransactions[[#This Row],[net_sales_inr]]-tblTransactions[[#This Row],[Recalc_Net_Sales]])&lt;0.02,"OK","CHECK")</f>
        <v>OK</v>
      </c>
      <c r="M2120" s="14">
        <f>DATE(YEAR(tblTransactions[[#This Row],[date]]),MONTH(tblTransactions[[#This Row],[date]]),1)</f>
        <v>45748</v>
      </c>
      <c r="N2120" t="str">
        <f>IF(WEEKDAY(tblTransactions[[#This Row],[date]],2)&gt;5,"Weekend","Weekday")</f>
        <v>Weekday</v>
      </c>
      <c r="O212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20" s="13" t="str">
        <f>_xlfn.XLOOKUP(tblTransactions[[#This Row],[tenant_id]],tblTenants[tenant_id],tblTenants[zone],"NOT FOUND")</f>
        <v>Food Court</v>
      </c>
      <c r="Q2120" s="13" t="str">
        <f>_xlfn.XLOOKUP(tblTransactions[[#This Row],[tenant_id]],tblTenants[tenant_id],tblTenants[category],"NOT FOUND")</f>
        <v>Casual Dining</v>
      </c>
    </row>
    <row r="2121" spans="1:17">
      <c r="A2121" t="s">
        <v>2165</v>
      </c>
      <c r="B2121" s="2">
        <v>45767</v>
      </c>
      <c r="C2121">
        <v>19</v>
      </c>
      <c r="D2121" t="s">
        <v>23</v>
      </c>
      <c r="E2121" t="s">
        <v>12</v>
      </c>
      <c r="F2121" s="7">
        <v>850.45</v>
      </c>
      <c r="G2121" s="10">
        <v>0</v>
      </c>
      <c r="H2121" s="7">
        <v>850.45</v>
      </c>
      <c r="I2121">
        <v>4</v>
      </c>
      <c r="J2121" t="s">
        <v>13</v>
      </c>
      <c r="K2121" s="13">
        <f>ROUND(tblTransactions[[#This Row],[gross_sales_inr]]*(1-tblTransactions[[#This Row],[discount_pct]]),2)</f>
        <v>850.45</v>
      </c>
      <c r="L2121" t="str">
        <f>IF(ABS(tblTransactions[[#This Row],[net_sales_inr]]-tblTransactions[[#This Row],[Recalc_Net_Sales]])&lt;0.02,"OK","CHECK")</f>
        <v>OK</v>
      </c>
      <c r="M2121" s="14">
        <f>DATE(YEAR(tblTransactions[[#This Row],[date]]),MONTH(tblTransactions[[#This Row],[date]]),1)</f>
        <v>45748</v>
      </c>
      <c r="N2121" t="str">
        <f>IF(WEEKDAY(tblTransactions[[#This Row],[date]],2)&gt;5,"Weekend","Weekday")</f>
        <v>Weekend</v>
      </c>
      <c r="O2121" s="13" t="str">
        <f>IF(tblTransactions[[#This Row],[discount_pct]]=0,"0%",IF(tblTransactions[[#This Row],[discount_pct]]&lt;=10%,"1–
10%",IF(tblTransactions[[#This Row],[discount_pct]]&lt;=20%,"11–20%","&gt;20%")))</f>
        <v>0%</v>
      </c>
      <c r="P2121" s="13" t="str">
        <f>_xlfn.XLOOKUP(tblTransactions[[#This Row],[tenant_id]],tblTenants[tenant_id],tblTenants[zone],"NOT FOUND")</f>
        <v>Entertainment</v>
      </c>
      <c r="Q2121" s="13" t="str">
        <f>_xlfn.XLOOKUP(tblTransactions[[#This Row],[tenant_id]],tblTenants[tenant_id],tblTenants[category],"NOT FOUND")</f>
        <v>Cinema</v>
      </c>
    </row>
    <row r="2122" spans="1:17">
      <c r="A2122" t="s">
        <v>2166</v>
      </c>
      <c r="B2122" s="2">
        <v>45683</v>
      </c>
      <c r="C2122">
        <v>17</v>
      </c>
      <c r="D2122" t="s">
        <v>57</v>
      </c>
      <c r="E2122" t="s">
        <v>12</v>
      </c>
      <c r="F2122" s="7">
        <v>1783.29</v>
      </c>
      <c r="G2122" s="10">
        <v>0</v>
      </c>
      <c r="H2122" s="7">
        <v>1783.29</v>
      </c>
      <c r="I2122">
        <v>3</v>
      </c>
      <c r="J2122" t="s">
        <v>16</v>
      </c>
      <c r="K2122" s="13">
        <f>ROUND(tblTransactions[[#This Row],[gross_sales_inr]]*(1-tblTransactions[[#This Row],[discount_pct]]),2)</f>
        <v>1783.29</v>
      </c>
      <c r="L2122" t="str">
        <f>IF(ABS(tblTransactions[[#This Row],[net_sales_inr]]-tblTransactions[[#This Row],[Recalc_Net_Sales]])&lt;0.02,"OK","CHECK")</f>
        <v>OK</v>
      </c>
      <c r="M2122" s="14">
        <f>DATE(YEAR(tblTransactions[[#This Row],[date]]),MONTH(tblTransactions[[#This Row],[date]]),1)</f>
        <v>45658</v>
      </c>
      <c r="N2122" t="str">
        <f>IF(WEEKDAY(tblTransactions[[#This Row],[date]],2)&gt;5,"Weekend","Weekday")</f>
        <v>Weekend</v>
      </c>
      <c r="O2122" s="13" t="str">
        <f>IF(tblTransactions[[#This Row],[discount_pct]]=0,"0%",IF(tblTransactions[[#This Row],[discount_pct]]&lt;=10%,"1–
10%",IF(tblTransactions[[#This Row],[discount_pct]]&lt;=20%,"11–20%","&gt;20%")))</f>
        <v>0%</v>
      </c>
      <c r="P2122" s="13" t="str">
        <f>_xlfn.XLOOKUP(tblTransactions[[#This Row],[tenant_id]],tblTenants[tenant_id],tblTenants[zone],"NOT FOUND")</f>
        <v>Food Court</v>
      </c>
      <c r="Q2122" s="13" t="str">
        <f>_xlfn.XLOOKUP(tblTransactions[[#This Row],[tenant_id]],tblTenants[tenant_id],tblTenants[category],"NOT FOUND")</f>
        <v>Casual Dining</v>
      </c>
    </row>
    <row r="2123" spans="1:17">
      <c r="A2123" t="s">
        <v>2167</v>
      </c>
      <c r="B2123" s="2">
        <v>45707</v>
      </c>
      <c r="C2123">
        <v>13</v>
      </c>
      <c r="D2123" t="s">
        <v>31</v>
      </c>
      <c r="E2123" t="s">
        <v>32</v>
      </c>
      <c r="F2123" s="7">
        <v>1837.54</v>
      </c>
      <c r="G2123" s="10">
        <v>0</v>
      </c>
      <c r="H2123" s="7">
        <v>1837.54</v>
      </c>
      <c r="I2123">
        <v>2</v>
      </c>
      <c r="J2123" t="s">
        <v>16</v>
      </c>
      <c r="K2123" s="13">
        <f>ROUND(tblTransactions[[#This Row],[gross_sales_inr]]*(1-tblTransactions[[#This Row],[discount_pct]]),2)</f>
        <v>1837.54</v>
      </c>
      <c r="L2123" t="str">
        <f>IF(ABS(tblTransactions[[#This Row],[net_sales_inr]]-tblTransactions[[#This Row],[Recalc_Net_Sales]])&lt;0.02,"OK","CHECK")</f>
        <v>OK</v>
      </c>
      <c r="M2123" s="14">
        <f>DATE(YEAR(tblTransactions[[#This Row],[date]]),MONTH(tblTransactions[[#This Row],[date]]),1)</f>
        <v>45689</v>
      </c>
      <c r="N2123" t="str">
        <f>IF(WEEKDAY(tblTransactions[[#This Row],[date]],2)&gt;5,"Weekend","Weekday")</f>
        <v>Weekday</v>
      </c>
      <c r="O2123" s="13" t="str">
        <f>IF(tblTransactions[[#This Row],[discount_pct]]=0,"0%",IF(tblTransactions[[#This Row],[discount_pct]]&lt;=10%,"1–
10%",IF(tblTransactions[[#This Row],[discount_pct]]&lt;=20%,"11–20%","&gt;20%")))</f>
        <v>0%</v>
      </c>
      <c r="P2123" s="13" t="str">
        <f>_xlfn.XLOOKUP(tblTransactions[[#This Row],[tenant_id]],tblTenants[tenant_id],tblTenants[zone],"NOT FOUND")</f>
        <v>Entertainment</v>
      </c>
      <c r="Q2123" s="13" t="str">
        <f>_xlfn.XLOOKUP(tblTransactions[[#This Row],[tenant_id]],tblTenants[tenant_id],tblTenants[category],"NOT FOUND")</f>
        <v>Arcade</v>
      </c>
    </row>
    <row r="2124" spans="1:17">
      <c r="A2124" t="s">
        <v>2168</v>
      </c>
      <c r="B2124" s="2">
        <v>45734</v>
      </c>
      <c r="C2124">
        <v>11</v>
      </c>
      <c r="D2124" t="s">
        <v>41</v>
      </c>
      <c r="E2124" t="s">
        <v>51</v>
      </c>
      <c r="F2124" s="7">
        <v>2063.9899999999998</v>
      </c>
      <c r="G2124" s="10">
        <v>0.05</v>
      </c>
      <c r="H2124" s="7">
        <v>1960.79</v>
      </c>
      <c r="I2124">
        <v>1</v>
      </c>
      <c r="J2124" t="s">
        <v>13</v>
      </c>
      <c r="K2124" s="13">
        <f>ROUND(tblTransactions[[#This Row],[gross_sales_inr]]*(1-tblTransactions[[#This Row],[discount_pct]]),2)</f>
        <v>1960.79</v>
      </c>
      <c r="L2124" t="str">
        <f>IF(ABS(tblTransactions[[#This Row],[net_sales_inr]]-tblTransactions[[#This Row],[Recalc_Net_Sales]])&lt;0.02,"OK","CHECK")</f>
        <v>OK</v>
      </c>
      <c r="M2124" s="14">
        <f>DATE(YEAR(tblTransactions[[#This Row],[date]]),MONTH(tblTransactions[[#This Row],[date]]),1)</f>
        <v>45717</v>
      </c>
      <c r="N2124" t="str">
        <f>IF(WEEKDAY(tblTransactions[[#This Row],[date]],2)&gt;5,"Weekend","Weekday")</f>
        <v>Weekday</v>
      </c>
      <c r="O212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24" s="13" t="str">
        <f>_xlfn.XLOOKUP(tblTransactions[[#This Row],[tenant_id]],tblTenants[tenant_id],tblTenants[zone],"NOT FOUND")</f>
        <v>Fashion Avenue</v>
      </c>
      <c r="Q2124" s="13" t="str">
        <f>_xlfn.XLOOKUP(tblTransactions[[#This Row],[tenant_id]],tblTenants[tenant_id],tblTenants[category],"NOT FOUND")</f>
        <v>Clothing</v>
      </c>
    </row>
    <row r="2125" spans="1:17">
      <c r="A2125" t="s">
        <v>2169</v>
      </c>
      <c r="B2125" s="2">
        <v>45787</v>
      </c>
      <c r="C2125">
        <v>11</v>
      </c>
      <c r="D2125" t="s">
        <v>18</v>
      </c>
      <c r="E2125" t="s">
        <v>12</v>
      </c>
      <c r="F2125" s="7">
        <v>2126.8000000000002</v>
      </c>
      <c r="G2125" s="10">
        <v>0.15</v>
      </c>
      <c r="H2125" s="7">
        <v>1807.78</v>
      </c>
      <c r="I2125">
        <v>6</v>
      </c>
      <c r="J2125" t="s">
        <v>13</v>
      </c>
      <c r="K2125" s="13">
        <f>ROUND(tblTransactions[[#This Row],[gross_sales_inr]]*(1-tblTransactions[[#This Row],[discount_pct]]),2)</f>
        <v>1807.78</v>
      </c>
      <c r="L2125" t="str">
        <f>IF(ABS(tblTransactions[[#This Row],[net_sales_inr]]-tblTransactions[[#This Row],[Recalc_Net_Sales]])&lt;0.02,"OK","CHECK")</f>
        <v>OK</v>
      </c>
      <c r="M2125" s="14">
        <f>DATE(YEAR(tblTransactions[[#This Row],[date]]),MONTH(tblTransactions[[#This Row],[date]]),1)</f>
        <v>45778</v>
      </c>
      <c r="N2125" t="str">
        <f>IF(WEEKDAY(tblTransactions[[#This Row],[date]],2)&gt;5,"Weekend","Weekday")</f>
        <v>Weekend</v>
      </c>
      <c r="O212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25" s="13" t="str">
        <f>_xlfn.XLOOKUP(tblTransactions[[#This Row],[tenant_id]],tblTenants[tenant_id],tblTenants[zone],"NOT FOUND")</f>
        <v>Beauty &amp; Wellness</v>
      </c>
      <c r="Q2125" s="13" t="str">
        <f>_xlfn.XLOOKUP(tblTransactions[[#This Row],[tenant_id]],tblTenants[tenant_id],tblTenants[category],"NOT FOUND")</f>
        <v>Beauty</v>
      </c>
    </row>
    <row r="2126" spans="1:17">
      <c r="A2126" t="s">
        <v>2170</v>
      </c>
      <c r="B2126" s="2">
        <v>45690</v>
      </c>
      <c r="C2126">
        <v>10</v>
      </c>
      <c r="D2126" t="s">
        <v>55</v>
      </c>
      <c r="E2126" t="s">
        <v>12</v>
      </c>
      <c r="F2126" s="7">
        <v>953.91</v>
      </c>
      <c r="G2126" s="10">
        <v>0.1</v>
      </c>
      <c r="H2126" s="7">
        <v>858.52</v>
      </c>
      <c r="I2126">
        <v>2</v>
      </c>
      <c r="J2126" t="s">
        <v>16</v>
      </c>
      <c r="K2126" s="13">
        <f>ROUND(tblTransactions[[#This Row],[gross_sales_inr]]*(1-tblTransactions[[#This Row],[discount_pct]]),2)</f>
        <v>858.52</v>
      </c>
      <c r="L2126" t="str">
        <f>IF(ABS(tblTransactions[[#This Row],[net_sales_inr]]-tblTransactions[[#This Row],[Recalc_Net_Sales]])&lt;0.02,"OK","CHECK")</f>
        <v>OK</v>
      </c>
      <c r="M2126" s="14">
        <f>DATE(YEAR(tblTransactions[[#This Row],[date]]),MONTH(tblTransactions[[#This Row],[date]]),1)</f>
        <v>45689</v>
      </c>
      <c r="N2126" t="str">
        <f>IF(WEEKDAY(tblTransactions[[#This Row],[date]],2)&gt;5,"Weekend","Weekday")</f>
        <v>Weekend</v>
      </c>
      <c r="O212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26" s="13" t="str">
        <f>_xlfn.XLOOKUP(tblTransactions[[#This Row],[tenant_id]],tblTenants[tenant_id],tblTenants[zone],"NOT FOUND")</f>
        <v>Food Court</v>
      </c>
      <c r="Q2126" s="13" t="str">
        <f>_xlfn.XLOOKUP(tblTransactions[[#This Row],[tenant_id]],tblTenants[tenant_id],tblTenants[category],"NOT FOUND")</f>
        <v>Quick Service</v>
      </c>
    </row>
    <row r="2127" spans="1:17">
      <c r="A2127" t="s">
        <v>2171</v>
      </c>
      <c r="B2127" s="2">
        <v>45747</v>
      </c>
      <c r="C2127">
        <v>22</v>
      </c>
      <c r="D2127" t="s">
        <v>59</v>
      </c>
      <c r="E2127" t="s">
        <v>32</v>
      </c>
      <c r="F2127" s="7">
        <v>1888.82</v>
      </c>
      <c r="G2127" s="10">
        <v>0.05</v>
      </c>
      <c r="H2127" s="7">
        <v>1794.38</v>
      </c>
      <c r="I2127">
        <v>3</v>
      </c>
      <c r="J2127" t="s">
        <v>13</v>
      </c>
      <c r="K2127" s="13">
        <f>ROUND(tblTransactions[[#This Row],[gross_sales_inr]]*(1-tblTransactions[[#This Row],[discount_pct]]),2)</f>
        <v>1794.38</v>
      </c>
      <c r="L2127" t="str">
        <f>IF(ABS(tblTransactions[[#This Row],[net_sales_inr]]-tblTransactions[[#This Row],[Recalc_Net_Sales]])&lt;0.02,"OK","CHECK")</f>
        <v>OK</v>
      </c>
      <c r="M2127" s="14">
        <f>DATE(YEAR(tblTransactions[[#This Row],[date]]),MONTH(tblTransactions[[#This Row],[date]]),1)</f>
        <v>45717</v>
      </c>
      <c r="N2127" t="str">
        <f>IF(WEEKDAY(tblTransactions[[#This Row],[date]],2)&gt;5,"Weekend","Weekday")</f>
        <v>Weekday</v>
      </c>
      <c r="O212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27" s="13" t="str">
        <f>_xlfn.XLOOKUP(tblTransactions[[#This Row],[tenant_id]],tblTenants[tenant_id],tblTenants[zone],"NOT FOUND")</f>
        <v>Fashion Avenue</v>
      </c>
      <c r="Q2127" s="13" t="str">
        <f>_xlfn.XLOOKUP(tblTransactions[[#This Row],[tenant_id]],tblTenants[tenant_id],tblTenants[category],"NOT FOUND")</f>
        <v>Footwear</v>
      </c>
    </row>
    <row r="2128" spans="1:17">
      <c r="A2128" t="s">
        <v>2172</v>
      </c>
      <c r="B2128" s="2">
        <v>45788</v>
      </c>
      <c r="C2128">
        <v>20</v>
      </c>
      <c r="D2128" t="s">
        <v>85</v>
      </c>
      <c r="E2128" t="s">
        <v>12</v>
      </c>
      <c r="F2128" s="7">
        <v>755.06</v>
      </c>
      <c r="G2128" s="10">
        <v>0</v>
      </c>
      <c r="H2128" s="7">
        <v>755.06</v>
      </c>
      <c r="I2128">
        <v>3</v>
      </c>
      <c r="J2128" t="s">
        <v>16</v>
      </c>
      <c r="K2128" s="13">
        <f>ROUND(tblTransactions[[#This Row],[gross_sales_inr]]*(1-tblTransactions[[#This Row],[discount_pct]]),2)</f>
        <v>755.06</v>
      </c>
      <c r="L2128" t="str">
        <f>IF(ABS(tblTransactions[[#This Row],[net_sales_inr]]-tblTransactions[[#This Row],[Recalc_Net_Sales]])&lt;0.02,"OK","CHECK")</f>
        <v>OK</v>
      </c>
      <c r="M2128" s="14">
        <f>DATE(YEAR(tblTransactions[[#This Row],[date]]),MONTH(tblTransactions[[#This Row],[date]]),1)</f>
        <v>45778</v>
      </c>
      <c r="N2128" t="str">
        <f>IF(WEEKDAY(tblTransactions[[#This Row],[date]],2)&gt;5,"Weekend","Weekday")</f>
        <v>Weekend</v>
      </c>
      <c r="O2128" s="13" t="str">
        <f>IF(tblTransactions[[#This Row],[discount_pct]]=0,"0%",IF(tblTransactions[[#This Row],[discount_pct]]&lt;=10%,"1–
10%",IF(tblTransactions[[#This Row],[discount_pct]]&lt;=20%,"11–20%","&gt;20%")))</f>
        <v>0%</v>
      </c>
      <c r="P2128" s="13" t="str">
        <f>_xlfn.XLOOKUP(tblTransactions[[#This Row],[tenant_id]],tblTenants[tenant_id],tblTenants[zone],"NOT FOUND")</f>
        <v>Home &amp; Living</v>
      </c>
      <c r="Q2128" s="13" t="str">
        <f>_xlfn.XLOOKUP(tblTransactions[[#This Row],[tenant_id]],tblTenants[tenant_id],tblTenants[category],"NOT FOUND")</f>
        <v>Electronics</v>
      </c>
    </row>
    <row r="2129" spans="1:17">
      <c r="A2129" t="s">
        <v>2173</v>
      </c>
      <c r="B2129" s="2">
        <v>45781</v>
      </c>
      <c r="C2129">
        <v>21</v>
      </c>
      <c r="D2129" t="s">
        <v>43</v>
      </c>
      <c r="E2129" t="s">
        <v>12</v>
      </c>
      <c r="F2129" s="7">
        <v>2837.82</v>
      </c>
      <c r="G2129" s="10">
        <v>0.1</v>
      </c>
      <c r="H2129" s="7">
        <v>2554.04</v>
      </c>
      <c r="I2129">
        <v>6</v>
      </c>
      <c r="J2129" t="s">
        <v>13</v>
      </c>
      <c r="K2129" s="13">
        <f>ROUND(tblTransactions[[#This Row],[gross_sales_inr]]*(1-tblTransactions[[#This Row],[discount_pct]]),2)</f>
        <v>2554.04</v>
      </c>
      <c r="L2129" t="str">
        <f>IF(ABS(tblTransactions[[#This Row],[net_sales_inr]]-tblTransactions[[#This Row],[Recalc_Net_Sales]])&lt;0.02,"OK","CHECK")</f>
        <v>OK</v>
      </c>
      <c r="M2129" s="14">
        <f>DATE(YEAR(tblTransactions[[#This Row],[date]]),MONTH(tblTransactions[[#This Row],[date]]),1)</f>
        <v>45778</v>
      </c>
      <c r="N2129" t="str">
        <f>IF(WEEKDAY(tblTransactions[[#This Row],[date]],2)&gt;5,"Weekend","Weekday")</f>
        <v>Weekend</v>
      </c>
      <c r="O212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29" s="13" t="str">
        <f>_xlfn.XLOOKUP(tblTransactions[[#This Row],[tenant_id]],tblTenants[tenant_id],tblTenants[zone],"NOT FOUND")</f>
        <v>Food Court</v>
      </c>
      <c r="Q2129" s="13" t="str">
        <f>_xlfn.XLOOKUP(tblTransactions[[#This Row],[tenant_id]],tblTenants[tenant_id],tblTenants[category],"NOT FOUND")</f>
        <v>Casual Dining</v>
      </c>
    </row>
    <row r="2130" spans="1:17">
      <c r="A2130" t="s">
        <v>2174</v>
      </c>
      <c r="B2130" s="2">
        <v>45804</v>
      </c>
      <c r="C2130">
        <v>15</v>
      </c>
      <c r="D2130" t="s">
        <v>18</v>
      </c>
      <c r="E2130" t="s">
        <v>12</v>
      </c>
      <c r="F2130" s="7">
        <v>583.91999999999996</v>
      </c>
      <c r="G2130" s="10">
        <v>0</v>
      </c>
      <c r="H2130" s="7">
        <v>583.91999999999996</v>
      </c>
      <c r="I2130">
        <v>3</v>
      </c>
      <c r="J2130" t="s">
        <v>13</v>
      </c>
      <c r="K2130" s="13">
        <f>ROUND(tblTransactions[[#This Row],[gross_sales_inr]]*(1-tblTransactions[[#This Row],[discount_pct]]),2)</f>
        <v>583.91999999999996</v>
      </c>
      <c r="L2130" t="str">
        <f>IF(ABS(tblTransactions[[#This Row],[net_sales_inr]]-tblTransactions[[#This Row],[Recalc_Net_Sales]])&lt;0.02,"OK","CHECK")</f>
        <v>OK</v>
      </c>
      <c r="M2130" s="14">
        <f>DATE(YEAR(tblTransactions[[#This Row],[date]]),MONTH(tblTransactions[[#This Row],[date]]),1)</f>
        <v>45778</v>
      </c>
      <c r="N2130" t="str">
        <f>IF(WEEKDAY(tblTransactions[[#This Row],[date]],2)&gt;5,"Weekend","Weekday")</f>
        <v>Weekday</v>
      </c>
      <c r="O2130" s="13" t="str">
        <f>IF(tblTransactions[[#This Row],[discount_pct]]=0,"0%",IF(tblTransactions[[#This Row],[discount_pct]]&lt;=10%,"1–
10%",IF(tblTransactions[[#This Row],[discount_pct]]&lt;=20%,"11–20%","&gt;20%")))</f>
        <v>0%</v>
      </c>
      <c r="P2130" s="13" t="str">
        <f>_xlfn.XLOOKUP(tblTransactions[[#This Row],[tenant_id]],tblTenants[tenant_id],tblTenants[zone],"NOT FOUND")</f>
        <v>Beauty &amp; Wellness</v>
      </c>
      <c r="Q2130" s="13" t="str">
        <f>_xlfn.XLOOKUP(tblTransactions[[#This Row],[tenant_id]],tblTenants[tenant_id],tblTenants[category],"NOT FOUND")</f>
        <v>Beauty</v>
      </c>
    </row>
    <row r="2131" spans="1:17">
      <c r="A2131" t="s">
        <v>2175</v>
      </c>
      <c r="B2131" s="2">
        <v>45667</v>
      </c>
      <c r="C2131">
        <v>14</v>
      </c>
      <c r="D2131" t="s">
        <v>80</v>
      </c>
      <c r="E2131" t="s">
        <v>32</v>
      </c>
      <c r="F2131" s="7">
        <v>2499.6799999999998</v>
      </c>
      <c r="G2131" s="10">
        <v>0</v>
      </c>
      <c r="H2131" s="7">
        <v>2499.6799999999998</v>
      </c>
      <c r="I2131">
        <v>2</v>
      </c>
      <c r="J2131" t="s">
        <v>13</v>
      </c>
      <c r="K2131" s="13">
        <f>ROUND(tblTransactions[[#This Row],[gross_sales_inr]]*(1-tblTransactions[[#This Row],[discount_pct]]),2)</f>
        <v>2499.6799999999998</v>
      </c>
      <c r="L2131" t="str">
        <f>IF(ABS(tblTransactions[[#This Row],[net_sales_inr]]-tblTransactions[[#This Row],[Recalc_Net_Sales]])&lt;0.02,"OK","CHECK")</f>
        <v>OK</v>
      </c>
      <c r="M2131" s="14">
        <f>DATE(YEAR(tblTransactions[[#This Row],[date]]),MONTH(tblTransactions[[#This Row],[date]]),1)</f>
        <v>45658</v>
      </c>
      <c r="N2131" t="str">
        <f>IF(WEEKDAY(tblTransactions[[#This Row],[date]],2)&gt;5,"Weekend","Weekday")</f>
        <v>Weekday</v>
      </c>
      <c r="O2131" s="13" t="str">
        <f>IF(tblTransactions[[#This Row],[discount_pct]]=0,"0%",IF(tblTransactions[[#This Row],[discount_pct]]&lt;=10%,"1–
10%",IF(tblTransactions[[#This Row],[discount_pct]]&lt;=20%,"11–20%","&gt;20%")))</f>
        <v>0%</v>
      </c>
      <c r="P2131" s="13" t="str">
        <f>_xlfn.XLOOKUP(tblTransactions[[#This Row],[tenant_id]],tblTenants[tenant_id],tblTenants[zone],"NOT FOUND")</f>
        <v>Food Court</v>
      </c>
      <c r="Q2131" s="13" t="str">
        <f>_xlfn.XLOOKUP(tblTransactions[[#This Row],[tenant_id]],tblTenants[tenant_id],tblTenants[category],"NOT FOUND")</f>
        <v>Casual Dining</v>
      </c>
    </row>
    <row r="2132" spans="1:17">
      <c r="A2132" t="s">
        <v>2176</v>
      </c>
      <c r="B2132" s="2">
        <v>45783</v>
      </c>
      <c r="C2132">
        <v>16</v>
      </c>
      <c r="D2132" t="s">
        <v>41</v>
      </c>
      <c r="E2132" t="s">
        <v>32</v>
      </c>
      <c r="F2132" s="7">
        <v>1505.4</v>
      </c>
      <c r="G2132" s="10">
        <v>0.15</v>
      </c>
      <c r="H2132" s="7">
        <v>1279.5899999999999</v>
      </c>
      <c r="I2132">
        <v>3</v>
      </c>
      <c r="J2132" t="s">
        <v>16</v>
      </c>
      <c r="K2132" s="13">
        <f>ROUND(tblTransactions[[#This Row],[gross_sales_inr]]*(1-tblTransactions[[#This Row],[discount_pct]]),2)</f>
        <v>1279.5899999999999</v>
      </c>
      <c r="L2132" t="str">
        <f>IF(ABS(tblTransactions[[#This Row],[net_sales_inr]]-tblTransactions[[#This Row],[Recalc_Net_Sales]])&lt;0.02,"OK","CHECK")</f>
        <v>OK</v>
      </c>
      <c r="M2132" s="14">
        <f>DATE(YEAR(tblTransactions[[#This Row],[date]]),MONTH(tblTransactions[[#This Row],[date]]),1)</f>
        <v>45778</v>
      </c>
      <c r="N2132" t="str">
        <f>IF(WEEKDAY(tblTransactions[[#This Row],[date]],2)&gt;5,"Weekend","Weekday")</f>
        <v>Weekday</v>
      </c>
      <c r="O213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32" s="13" t="str">
        <f>_xlfn.XLOOKUP(tblTransactions[[#This Row],[tenant_id]],tblTenants[tenant_id],tblTenants[zone],"NOT FOUND")</f>
        <v>Fashion Avenue</v>
      </c>
      <c r="Q2132" s="13" t="str">
        <f>_xlfn.XLOOKUP(tblTransactions[[#This Row],[tenant_id]],tblTenants[tenant_id],tblTenants[category],"NOT FOUND")</f>
        <v>Clothing</v>
      </c>
    </row>
    <row r="2133" spans="1:17">
      <c r="A2133" t="s">
        <v>2177</v>
      </c>
      <c r="B2133" s="2">
        <v>45715</v>
      </c>
      <c r="C2133">
        <v>18</v>
      </c>
      <c r="D2133" t="s">
        <v>34</v>
      </c>
      <c r="E2133" t="s">
        <v>32</v>
      </c>
      <c r="F2133" s="7">
        <v>377.74</v>
      </c>
      <c r="G2133" s="10">
        <v>0.2</v>
      </c>
      <c r="H2133" s="7">
        <v>302.19</v>
      </c>
      <c r="I2133">
        <v>1</v>
      </c>
      <c r="J2133" t="s">
        <v>13</v>
      </c>
      <c r="K2133" s="13">
        <f>ROUND(tblTransactions[[#This Row],[gross_sales_inr]]*(1-tblTransactions[[#This Row],[discount_pct]]),2)</f>
        <v>302.19</v>
      </c>
      <c r="L2133" t="str">
        <f>IF(ABS(tblTransactions[[#This Row],[net_sales_inr]]-tblTransactions[[#This Row],[Recalc_Net_Sales]])&lt;0.02,"OK","CHECK")</f>
        <v>OK</v>
      </c>
      <c r="M2133" s="14">
        <f>DATE(YEAR(tblTransactions[[#This Row],[date]]),MONTH(tblTransactions[[#This Row],[date]]),1)</f>
        <v>45689</v>
      </c>
      <c r="N2133" t="str">
        <f>IF(WEEKDAY(tblTransactions[[#This Row],[date]],2)&gt;5,"Weekend","Weekday")</f>
        <v>Weekday</v>
      </c>
      <c r="O213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33" s="13" t="str">
        <f>_xlfn.XLOOKUP(tblTransactions[[#This Row],[tenant_id]],tblTenants[tenant_id],tblTenants[zone],"NOT FOUND")</f>
        <v>Home &amp; Living</v>
      </c>
      <c r="Q2133" s="13" t="str">
        <f>_xlfn.XLOOKUP(tblTransactions[[#This Row],[tenant_id]],tblTenants[tenant_id],tblTenants[category],"NOT FOUND")</f>
        <v>Electronics</v>
      </c>
    </row>
    <row r="2134" spans="1:17">
      <c r="A2134" t="s">
        <v>2178</v>
      </c>
      <c r="B2134" s="2">
        <v>45668</v>
      </c>
      <c r="C2134">
        <v>10</v>
      </c>
      <c r="D2134" t="s">
        <v>59</v>
      </c>
      <c r="E2134" t="s">
        <v>32</v>
      </c>
      <c r="F2134" s="7">
        <v>575.97</v>
      </c>
      <c r="G2134" s="10">
        <v>0.1</v>
      </c>
      <c r="H2134" s="7">
        <v>518.37</v>
      </c>
      <c r="I2134">
        <v>1</v>
      </c>
      <c r="J2134" t="s">
        <v>13</v>
      </c>
      <c r="K2134" s="13">
        <f>ROUND(tblTransactions[[#This Row],[gross_sales_inr]]*(1-tblTransactions[[#This Row],[discount_pct]]),2)</f>
        <v>518.37</v>
      </c>
      <c r="L2134" t="str">
        <f>IF(ABS(tblTransactions[[#This Row],[net_sales_inr]]-tblTransactions[[#This Row],[Recalc_Net_Sales]])&lt;0.02,"OK","CHECK")</f>
        <v>OK</v>
      </c>
      <c r="M2134" s="14">
        <f>DATE(YEAR(tblTransactions[[#This Row],[date]]),MONTH(tblTransactions[[#This Row],[date]]),1)</f>
        <v>45658</v>
      </c>
      <c r="N2134" t="str">
        <f>IF(WEEKDAY(tblTransactions[[#This Row],[date]],2)&gt;5,"Weekend","Weekday")</f>
        <v>Weekend</v>
      </c>
      <c r="O213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34" s="13" t="str">
        <f>_xlfn.XLOOKUP(tblTransactions[[#This Row],[tenant_id]],tblTenants[tenant_id],tblTenants[zone],"NOT FOUND")</f>
        <v>Fashion Avenue</v>
      </c>
      <c r="Q2134" s="13" t="str">
        <f>_xlfn.XLOOKUP(tblTransactions[[#This Row],[tenant_id]],tblTenants[tenant_id],tblTenants[category],"NOT FOUND")</f>
        <v>Footwear</v>
      </c>
    </row>
    <row r="2135" spans="1:17">
      <c r="A2135" t="s">
        <v>2179</v>
      </c>
      <c r="B2135" s="2">
        <v>45662</v>
      </c>
      <c r="C2135">
        <v>22</v>
      </c>
      <c r="D2135" t="s">
        <v>63</v>
      </c>
      <c r="E2135" t="s">
        <v>32</v>
      </c>
      <c r="F2135" s="7">
        <v>1940.79</v>
      </c>
      <c r="G2135" s="10">
        <v>0.05</v>
      </c>
      <c r="H2135" s="7">
        <v>1843.75</v>
      </c>
      <c r="I2135">
        <v>2</v>
      </c>
      <c r="J2135" t="s">
        <v>16</v>
      </c>
      <c r="K2135" s="13">
        <f>ROUND(tblTransactions[[#This Row],[gross_sales_inr]]*(1-tblTransactions[[#This Row],[discount_pct]]),2)</f>
        <v>1843.75</v>
      </c>
      <c r="L2135" t="str">
        <f>IF(ABS(tblTransactions[[#This Row],[net_sales_inr]]-tblTransactions[[#This Row],[Recalc_Net_Sales]])&lt;0.02,"OK","CHECK")</f>
        <v>OK</v>
      </c>
      <c r="M2135" s="14">
        <f>DATE(YEAR(tblTransactions[[#This Row],[date]]),MONTH(tblTransactions[[#This Row],[date]]),1)</f>
        <v>45658</v>
      </c>
      <c r="N2135" t="str">
        <f>IF(WEEKDAY(tblTransactions[[#This Row],[date]],2)&gt;5,"Weekend","Weekday")</f>
        <v>Weekend</v>
      </c>
      <c r="O213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35" s="13" t="str">
        <f>_xlfn.XLOOKUP(tblTransactions[[#This Row],[tenant_id]],tblTenants[tenant_id],tblTenants[zone],"NOT FOUND")</f>
        <v>Entertainment</v>
      </c>
      <c r="Q2135" s="13" t="str">
        <f>_xlfn.XLOOKUP(tblTransactions[[#This Row],[tenant_id]],tblTenants[tenant_id],tblTenants[category],"NOT FOUND")</f>
        <v>Family Entertainment</v>
      </c>
    </row>
    <row r="2136" spans="1:17">
      <c r="A2136" t="s">
        <v>2180</v>
      </c>
      <c r="B2136" s="2">
        <v>45765</v>
      </c>
      <c r="C2136">
        <v>11</v>
      </c>
      <c r="D2136" t="s">
        <v>72</v>
      </c>
      <c r="E2136" t="s">
        <v>51</v>
      </c>
      <c r="F2136" s="7">
        <v>2393.35</v>
      </c>
      <c r="G2136" s="10">
        <v>0</v>
      </c>
      <c r="H2136" s="7">
        <v>2393.35</v>
      </c>
      <c r="I2136">
        <v>5</v>
      </c>
      <c r="J2136" t="s">
        <v>16</v>
      </c>
      <c r="K2136" s="13">
        <f>ROUND(tblTransactions[[#This Row],[gross_sales_inr]]*(1-tblTransactions[[#This Row],[discount_pct]]),2)</f>
        <v>2393.35</v>
      </c>
      <c r="L2136" t="str">
        <f>IF(ABS(tblTransactions[[#This Row],[net_sales_inr]]-tblTransactions[[#This Row],[Recalc_Net_Sales]])&lt;0.02,"OK","CHECK")</f>
        <v>OK</v>
      </c>
      <c r="M2136" s="14">
        <f>DATE(YEAR(tblTransactions[[#This Row],[date]]),MONTH(tblTransactions[[#This Row],[date]]),1)</f>
        <v>45748</v>
      </c>
      <c r="N2136" t="str">
        <f>IF(WEEKDAY(tblTransactions[[#This Row],[date]],2)&gt;5,"Weekend","Weekday")</f>
        <v>Weekday</v>
      </c>
      <c r="O2136" s="13" t="str">
        <f>IF(tblTransactions[[#This Row],[discount_pct]]=0,"0%",IF(tblTransactions[[#This Row],[discount_pct]]&lt;=10%,"1–
10%",IF(tblTransactions[[#This Row],[discount_pct]]&lt;=20%,"11–20%","&gt;20%")))</f>
        <v>0%</v>
      </c>
      <c r="P2136" s="13" t="str">
        <f>_xlfn.XLOOKUP(tblTransactions[[#This Row],[tenant_id]],tblTenants[tenant_id],tblTenants[zone],"NOT FOUND")</f>
        <v>Entertainment</v>
      </c>
      <c r="Q2136" s="13" t="str">
        <f>_xlfn.XLOOKUP(tblTransactions[[#This Row],[tenant_id]],tblTenants[tenant_id],tblTenants[category],"NOT FOUND")</f>
        <v>Arcade</v>
      </c>
    </row>
    <row r="2137" spans="1:17">
      <c r="A2137" t="s">
        <v>2181</v>
      </c>
      <c r="B2137" s="2">
        <v>45692</v>
      </c>
      <c r="C2137">
        <v>13</v>
      </c>
      <c r="D2137" t="s">
        <v>85</v>
      </c>
      <c r="E2137" t="s">
        <v>51</v>
      </c>
      <c r="F2137" s="7">
        <v>418.73</v>
      </c>
      <c r="G2137" s="10">
        <v>0</v>
      </c>
      <c r="H2137" s="7">
        <v>418.73</v>
      </c>
      <c r="I2137">
        <v>5</v>
      </c>
      <c r="J2137" t="s">
        <v>13</v>
      </c>
      <c r="K2137" s="13">
        <f>ROUND(tblTransactions[[#This Row],[gross_sales_inr]]*(1-tblTransactions[[#This Row],[discount_pct]]),2)</f>
        <v>418.73</v>
      </c>
      <c r="L2137" t="str">
        <f>IF(ABS(tblTransactions[[#This Row],[net_sales_inr]]-tblTransactions[[#This Row],[Recalc_Net_Sales]])&lt;0.02,"OK","CHECK")</f>
        <v>OK</v>
      </c>
      <c r="M2137" s="14">
        <f>DATE(YEAR(tblTransactions[[#This Row],[date]]),MONTH(tblTransactions[[#This Row],[date]]),1)</f>
        <v>45689</v>
      </c>
      <c r="N2137" t="str">
        <f>IF(WEEKDAY(tblTransactions[[#This Row],[date]],2)&gt;5,"Weekend","Weekday")</f>
        <v>Weekday</v>
      </c>
      <c r="O2137" s="13" t="str">
        <f>IF(tblTransactions[[#This Row],[discount_pct]]=0,"0%",IF(tblTransactions[[#This Row],[discount_pct]]&lt;=10%,"1–
10%",IF(tblTransactions[[#This Row],[discount_pct]]&lt;=20%,"11–20%","&gt;20%")))</f>
        <v>0%</v>
      </c>
      <c r="P2137" s="13" t="str">
        <f>_xlfn.XLOOKUP(tblTransactions[[#This Row],[tenant_id]],tblTenants[tenant_id],tblTenants[zone],"NOT FOUND")</f>
        <v>Home &amp; Living</v>
      </c>
      <c r="Q2137" s="13" t="str">
        <f>_xlfn.XLOOKUP(tblTransactions[[#This Row],[tenant_id]],tblTenants[tenant_id],tblTenants[category],"NOT FOUND")</f>
        <v>Electronics</v>
      </c>
    </row>
    <row r="2138" spans="1:17">
      <c r="A2138" t="s">
        <v>2182</v>
      </c>
      <c r="B2138" s="2">
        <v>45686</v>
      </c>
      <c r="C2138">
        <v>10</v>
      </c>
      <c r="D2138" t="s">
        <v>23</v>
      </c>
      <c r="E2138" t="s">
        <v>21</v>
      </c>
      <c r="F2138" s="7">
        <v>325.27</v>
      </c>
      <c r="G2138" s="10">
        <v>0.3</v>
      </c>
      <c r="H2138" s="7">
        <v>227.69</v>
      </c>
      <c r="I2138">
        <v>2</v>
      </c>
      <c r="J2138" t="s">
        <v>13</v>
      </c>
      <c r="K2138" s="13">
        <f>ROUND(tblTransactions[[#This Row],[gross_sales_inr]]*(1-tblTransactions[[#This Row],[discount_pct]]),2)</f>
        <v>227.69</v>
      </c>
      <c r="L2138" t="str">
        <f>IF(ABS(tblTransactions[[#This Row],[net_sales_inr]]-tblTransactions[[#This Row],[Recalc_Net_Sales]])&lt;0.02,"OK","CHECK")</f>
        <v>OK</v>
      </c>
      <c r="M2138" s="14">
        <f>DATE(YEAR(tblTransactions[[#This Row],[date]]),MONTH(tblTransactions[[#This Row],[date]]),1)</f>
        <v>45658</v>
      </c>
      <c r="N2138" t="str">
        <f>IF(WEEKDAY(tblTransactions[[#This Row],[date]],2)&gt;5,"Weekend","Weekday")</f>
        <v>Weekday</v>
      </c>
      <c r="O2138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138" s="13" t="str">
        <f>_xlfn.XLOOKUP(tblTransactions[[#This Row],[tenant_id]],tblTenants[tenant_id],tblTenants[zone],"NOT FOUND")</f>
        <v>Entertainment</v>
      </c>
      <c r="Q2138" s="13" t="str">
        <f>_xlfn.XLOOKUP(tblTransactions[[#This Row],[tenant_id]],tblTenants[tenant_id],tblTenants[category],"NOT FOUND")</f>
        <v>Cinema</v>
      </c>
    </row>
    <row r="2139" spans="1:17">
      <c r="A2139" t="s">
        <v>2183</v>
      </c>
      <c r="B2139" s="2">
        <v>45725</v>
      </c>
      <c r="C2139">
        <v>18</v>
      </c>
      <c r="D2139" t="s">
        <v>72</v>
      </c>
      <c r="E2139" t="s">
        <v>12</v>
      </c>
      <c r="F2139" s="7">
        <v>2849.35</v>
      </c>
      <c r="G2139" s="10">
        <v>0.05</v>
      </c>
      <c r="H2139" s="7">
        <v>2706.88</v>
      </c>
      <c r="I2139">
        <v>2</v>
      </c>
      <c r="J2139" t="s">
        <v>13</v>
      </c>
      <c r="K2139" s="13">
        <f>ROUND(tblTransactions[[#This Row],[gross_sales_inr]]*(1-tblTransactions[[#This Row],[discount_pct]]),2)</f>
        <v>2706.88</v>
      </c>
      <c r="L2139" t="str">
        <f>IF(ABS(tblTransactions[[#This Row],[net_sales_inr]]-tblTransactions[[#This Row],[Recalc_Net_Sales]])&lt;0.02,"OK","CHECK")</f>
        <v>OK</v>
      </c>
      <c r="M2139" s="14">
        <f>DATE(YEAR(tblTransactions[[#This Row],[date]]),MONTH(tblTransactions[[#This Row],[date]]),1)</f>
        <v>45717</v>
      </c>
      <c r="N2139" t="str">
        <f>IF(WEEKDAY(tblTransactions[[#This Row],[date]],2)&gt;5,"Weekend","Weekday")</f>
        <v>Weekend</v>
      </c>
      <c r="O213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39" s="13" t="str">
        <f>_xlfn.XLOOKUP(tblTransactions[[#This Row],[tenant_id]],tblTenants[tenant_id],tblTenants[zone],"NOT FOUND")</f>
        <v>Entertainment</v>
      </c>
      <c r="Q2139" s="13" t="str">
        <f>_xlfn.XLOOKUP(tblTransactions[[#This Row],[tenant_id]],tblTenants[tenant_id],tblTenants[category],"NOT FOUND")</f>
        <v>Arcade</v>
      </c>
    </row>
    <row r="2140" spans="1:17">
      <c r="A2140" t="s">
        <v>2184</v>
      </c>
      <c r="B2140" s="2">
        <v>45722</v>
      </c>
      <c r="C2140">
        <v>18</v>
      </c>
      <c r="D2140" t="s">
        <v>43</v>
      </c>
      <c r="E2140" t="s">
        <v>51</v>
      </c>
      <c r="F2140" s="7">
        <v>256.02999999999997</v>
      </c>
      <c r="G2140" s="10">
        <v>0</v>
      </c>
      <c r="H2140" s="7">
        <v>256.02999999999997</v>
      </c>
      <c r="I2140">
        <v>3</v>
      </c>
      <c r="J2140" t="s">
        <v>13</v>
      </c>
      <c r="K2140" s="13">
        <f>ROUND(tblTransactions[[#This Row],[gross_sales_inr]]*(1-tblTransactions[[#This Row],[discount_pct]]),2)</f>
        <v>256.02999999999997</v>
      </c>
      <c r="L2140" t="str">
        <f>IF(ABS(tblTransactions[[#This Row],[net_sales_inr]]-tblTransactions[[#This Row],[Recalc_Net_Sales]])&lt;0.02,"OK","CHECK")</f>
        <v>OK</v>
      </c>
      <c r="M2140" s="14">
        <f>DATE(YEAR(tblTransactions[[#This Row],[date]]),MONTH(tblTransactions[[#This Row],[date]]),1)</f>
        <v>45717</v>
      </c>
      <c r="N2140" t="str">
        <f>IF(WEEKDAY(tblTransactions[[#This Row],[date]],2)&gt;5,"Weekend","Weekday")</f>
        <v>Weekday</v>
      </c>
      <c r="O2140" s="13" t="str">
        <f>IF(tblTransactions[[#This Row],[discount_pct]]=0,"0%",IF(tblTransactions[[#This Row],[discount_pct]]&lt;=10%,"1–
10%",IF(tblTransactions[[#This Row],[discount_pct]]&lt;=20%,"11–20%","&gt;20%")))</f>
        <v>0%</v>
      </c>
      <c r="P2140" s="13" t="str">
        <f>_xlfn.XLOOKUP(tblTransactions[[#This Row],[tenant_id]],tblTenants[tenant_id],tblTenants[zone],"NOT FOUND")</f>
        <v>Food Court</v>
      </c>
      <c r="Q2140" s="13" t="str">
        <f>_xlfn.XLOOKUP(tblTransactions[[#This Row],[tenant_id]],tblTenants[tenant_id],tblTenants[category],"NOT FOUND")</f>
        <v>Casual Dining</v>
      </c>
    </row>
    <row r="2141" spans="1:17">
      <c r="A2141" t="s">
        <v>2185</v>
      </c>
      <c r="B2141" s="2">
        <v>45777</v>
      </c>
      <c r="C2141">
        <v>22</v>
      </c>
      <c r="D2141" t="s">
        <v>85</v>
      </c>
      <c r="E2141" t="s">
        <v>12</v>
      </c>
      <c r="F2141" s="7">
        <v>784.36</v>
      </c>
      <c r="G2141" s="10">
        <v>0.15</v>
      </c>
      <c r="H2141" s="7">
        <v>666.71</v>
      </c>
      <c r="I2141">
        <v>2</v>
      </c>
      <c r="J2141" t="s">
        <v>16</v>
      </c>
      <c r="K2141" s="13">
        <f>ROUND(tblTransactions[[#This Row],[gross_sales_inr]]*(1-tblTransactions[[#This Row],[discount_pct]]),2)</f>
        <v>666.71</v>
      </c>
      <c r="L2141" t="str">
        <f>IF(ABS(tblTransactions[[#This Row],[net_sales_inr]]-tblTransactions[[#This Row],[Recalc_Net_Sales]])&lt;0.02,"OK","CHECK")</f>
        <v>OK</v>
      </c>
      <c r="M2141" s="14">
        <f>DATE(YEAR(tblTransactions[[#This Row],[date]]),MONTH(tblTransactions[[#This Row],[date]]),1)</f>
        <v>45748</v>
      </c>
      <c r="N2141" t="str">
        <f>IF(WEEKDAY(tblTransactions[[#This Row],[date]],2)&gt;5,"Weekend","Weekday")</f>
        <v>Weekday</v>
      </c>
      <c r="O214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41" s="13" t="str">
        <f>_xlfn.XLOOKUP(tblTransactions[[#This Row],[tenant_id]],tblTenants[tenant_id],tblTenants[zone],"NOT FOUND")</f>
        <v>Home &amp; Living</v>
      </c>
      <c r="Q2141" s="13" t="str">
        <f>_xlfn.XLOOKUP(tblTransactions[[#This Row],[tenant_id]],tblTenants[tenant_id],tblTenants[category],"NOT FOUND")</f>
        <v>Electronics</v>
      </c>
    </row>
    <row r="2142" spans="1:17">
      <c r="A2142" t="s">
        <v>2186</v>
      </c>
      <c r="B2142" s="2">
        <v>45722</v>
      </c>
      <c r="C2142">
        <v>16</v>
      </c>
      <c r="D2142" t="s">
        <v>18</v>
      </c>
      <c r="E2142" t="s">
        <v>12</v>
      </c>
      <c r="F2142" s="7">
        <v>1875.57</v>
      </c>
      <c r="G2142" s="10">
        <v>0.1</v>
      </c>
      <c r="H2142" s="7">
        <v>1688.01</v>
      </c>
      <c r="I2142">
        <v>5</v>
      </c>
      <c r="J2142" t="s">
        <v>16</v>
      </c>
      <c r="K2142" s="13">
        <f>ROUND(tblTransactions[[#This Row],[gross_sales_inr]]*(1-tblTransactions[[#This Row],[discount_pct]]),2)</f>
        <v>1688.01</v>
      </c>
      <c r="L2142" t="str">
        <f>IF(ABS(tblTransactions[[#This Row],[net_sales_inr]]-tblTransactions[[#This Row],[Recalc_Net_Sales]])&lt;0.02,"OK","CHECK")</f>
        <v>OK</v>
      </c>
      <c r="M2142" s="14">
        <f>DATE(YEAR(tblTransactions[[#This Row],[date]]),MONTH(tblTransactions[[#This Row],[date]]),1)</f>
        <v>45717</v>
      </c>
      <c r="N2142" t="str">
        <f>IF(WEEKDAY(tblTransactions[[#This Row],[date]],2)&gt;5,"Weekend","Weekday")</f>
        <v>Weekday</v>
      </c>
      <c r="O214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42" s="13" t="str">
        <f>_xlfn.XLOOKUP(tblTransactions[[#This Row],[tenant_id]],tblTenants[tenant_id],tblTenants[zone],"NOT FOUND")</f>
        <v>Beauty &amp; Wellness</v>
      </c>
      <c r="Q2142" s="13" t="str">
        <f>_xlfn.XLOOKUP(tblTransactions[[#This Row],[tenant_id]],tblTenants[tenant_id],tblTenants[category],"NOT FOUND")</f>
        <v>Beauty</v>
      </c>
    </row>
    <row r="2143" spans="1:17">
      <c r="A2143" t="s">
        <v>2187</v>
      </c>
      <c r="B2143" s="2">
        <v>45825</v>
      </c>
      <c r="C2143">
        <v>14</v>
      </c>
      <c r="D2143" t="s">
        <v>53</v>
      </c>
      <c r="E2143" t="s">
        <v>32</v>
      </c>
      <c r="F2143" s="7">
        <v>890.97</v>
      </c>
      <c r="G2143" s="10">
        <v>0</v>
      </c>
      <c r="H2143" s="7">
        <v>890.97</v>
      </c>
      <c r="I2143">
        <v>4</v>
      </c>
      <c r="J2143" t="s">
        <v>13</v>
      </c>
      <c r="K2143" s="13">
        <f>ROUND(tblTransactions[[#This Row],[gross_sales_inr]]*(1-tblTransactions[[#This Row],[discount_pct]]),2)</f>
        <v>890.97</v>
      </c>
      <c r="L2143" t="str">
        <f>IF(ABS(tblTransactions[[#This Row],[net_sales_inr]]-tblTransactions[[#This Row],[Recalc_Net_Sales]])&lt;0.02,"OK","CHECK")</f>
        <v>OK</v>
      </c>
      <c r="M2143" s="14">
        <f>DATE(YEAR(tblTransactions[[#This Row],[date]]),MONTH(tblTransactions[[#This Row],[date]]),1)</f>
        <v>45809</v>
      </c>
      <c r="N2143" t="str">
        <f>IF(WEEKDAY(tblTransactions[[#This Row],[date]],2)&gt;5,"Weekend","Weekday")</f>
        <v>Weekday</v>
      </c>
      <c r="O2143" s="13" t="str">
        <f>IF(tblTransactions[[#This Row],[discount_pct]]=0,"0%",IF(tblTransactions[[#This Row],[discount_pct]]&lt;=10%,"1–
10%",IF(tblTransactions[[#This Row],[discount_pct]]&lt;=20%,"11–20%","&gt;20%")))</f>
        <v>0%</v>
      </c>
      <c r="P2143" s="13" t="str">
        <f>_xlfn.XLOOKUP(tblTransactions[[#This Row],[tenant_id]],tblTenants[tenant_id],tblTenants[zone],"NOT FOUND")</f>
        <v>Beauty &amp; Wellness</v>
      </c>
      <c r="Q2143" s="13" t="str">
        <f>_xlfn.XLOOKUP(tblTransactions[[#This Row],[tenant_id]],tblTenants[tenant_id],tblTenants[category],"NOT FOUND")</f>
        <v>Beauty</v>
      </c>
    </row>
    <row r="2144" spans="1:17">
      <c r="A2144" t="s">
        <v>2188</v>
      </c>
      <c r="B2144" s="2">
        <v>45680</v>
      </c>
      <c r="C2144">
        <v>13</v>
      </c>
      <c r="D2144" t="s">
        <v>98</v>
      </c>
      <c r="E2144" t="s">
        <v>12</v>
      </c>
      <c r="F2144" s="7">
        <v>2048.61</v>
      </c>
      <c r="G2144" s="10">
        <v>0</v>
      </c>
      <c r="H2144" s="7">
        <v>2048.61</v>
      </c>
      <c r="I2144">
        <v>1</v>
      </c>
      <c r="J2144" t="s">
        <v>13</v>
      </c>
      <c r="K2144" s="13">
        <f>ROUND(tblTransactions[[#This Row],[gross_sales_inr]]*(1-tblTransactions[[#This Row],[discount_pct]]),2)</f>
        <v>2048.61</v>
      </c>
      <c r="L2144" t="str">
        <f>IF(ABS(tblTransactions[[#This Row],[net_sales_inr]]-tblTransactions[[#This Row],[Recalc_Net_Sales]])&lt;0.02,"OK","CHECK")</f>
        <v>OK</v>
      </c>
      <c r="M2144" s="14">
        <f>DATE(YEAR(tblTransactions[[#This Row],[date]]),MONTH(tblTransactions[[#This Row],[date]]),1)</f>
        <v>45658</v>
      </c>
      <c r="N2144" t="str">
        <f>IF(WEEKDAY(tblTransactions[[#This Row],[date]],2)&gt;5,"Weekend","Weekday")</f>
        <v>Weekday</v>
      </c>
      <c r="O2144" s="13" t="str">
        <f>IF(tblTransactions[[#This Row],[discount_pct]]=0,"0%",IF(tblTransactions[[#This Row],[discount_pct]]&lt;=10%,"1–
10%",IF(tblTransactions[[#This Row],[discount_pct]]&lt;=20%,"11–20%","&gt;20%")))</f>
        <v>0%</v>
      </c>
      <c r="P2144" s="13" t="str">
        <f>_xlfn.XLOOKUP(tblTransactions[[#This Row],[tenant_id]],tblTenants[tenant_id],tblTenants[zone],"NOT FOUND")</f>
        <v>Fashion Avenue</v>
      </c>
      <c r="Q2144" s="13" t="str">
        <f>_xlfn.XLOOKUP(tblTransactions[[#This Row],[tenant_id]],tblTenants[tenant_id],tblTenants[category],"NOT FOUND")</f>
        <v>Accessories</v>
      </c>
    </row>
    <row r="2145" spans="1:17">
      <c r="A2145" t="s">
        <v>2189</v>
      </c>
      <c r="B2145" s="2">
        <v>45746</v>
      </c>
      <c r="C2145">
        <v>22</v>
      </c>
      <c r="D2145" t="s">
        <v>41</v>
      </c>
      <c r="E2145" t="s">
        <v>32</v>
      </c>
      <c r="F2145" s="7">
        <v>668.5</v>
      </c>
      <c r="G2145" s="10">
        <v>0</v>
      </c>
      <c r="H2145" s="7">
        <v>668.5</v>
      </c>
      <c r="I2145">
        <v>1</v>
      </c>
      <c r="J2145" t="s">
        <v>16</v>
      </c>
      <c r="K2145" s="13">
        <f>ROUND(tblTransactions[[#This Row],[gross_sales_inr]]*(1-tblTransactions[[#This Row],[discount_pct]]),2)</f>
        <v>668.5</v>
      </c>
      <c r="L2145" t="str">
        <f>IF(ABS(tblTransactions[[#This Row],[net_sales_inr]]-tblTransactions[[#This Row],[Recalc_Net_Sales]])&lt;0.02,"OK","CHECK")</f>
        <v>OK</v>
      </c>
      <c r="M2145" s="14">
        <f>DATE(YEAR(tblTransactions[[#This Row],[date]]),MONTH(tblTransactions[[#This Row],[date]]),1)</f>
        <v>45717</v>
      </c>
      <c r="N2145" t="str">
        <f>IF(WEEKDAY(tblTransactions[[#This Row],[date]],2)&gt;5,"Weekend","Weekday")</f>
        <v>Weekend</v>
      </c>
      <c r="O2145" s="13" t="str">
        <f>IF(tblTransactions[[#This Row],[discount_pct]]=0,"0%",IF(tblTransactions[[#This Row],[discount_pct]]&lt;=10%,"1–
10%",IF(tblTransactions[[#This Row],[discount_pct]]&lt;=20%,"11–20%","&gt;20%")))</f>
        <v>0%</v>
      </c>
      <c r="P2145" s="13" t="str">
        <f>_xlfn.XLOOKUP(tblTransactions[[#This Row],[tenant_id]],tblTenants[tenant_id],tblTenants[zone],"NOT FOUND")</f>
        <v>Fashion Avenue</v>
      </c>
      <c r="Q2145" s="13" t="str">
        <f>_xlfn.XLOOKUP(tblTransactions[[#This Row],[tenant_id]],tblTenants[tenant_id],tblTenants[category],"NOT FOUND")</f>
        <v>Clothing</v>
      </c>
    </row>
    <row r="2146" spans="1:17">
      <c r="A2146" t="s">
        <v>2190</v>
      </c>
      <c r="B2146" s="2">
        <v>45737</v>
      </c>
      <c r="C2146">
        <v>21</v>
      </c>
      <c r="D2146" t="s">
        <v>104</v>
      </c>
      <c r="E2146" t="s">
        <v>32</v>
      </c>
      <c r="F2146" s="7">
        <v>2455.25</v>
      </c>
      <c r="G2146" s="10">
        <v>0.1</v>
      </c>
      <c r="H2146" s="7">
        <v>2209.7199999999998</v>
      </c>
      <c r="I2146">
        <v>5</v>
      </c>
      <c r="J2146" t="s">
        <v>16</v>
      </c>
      <c r="K2146" s="13">
        <f>ROUND(tblTransactions[[#This Row],[gross_sales_inr]]*(1-tblTransactions[[#This Row],[discount_pct]]),2)</f>
        <v>2209.73</v>
      </c>
      <c r="L2146" t="str">
        <f>IF(ABS(tblTransactions[[#This Row],[net_sales_inr]]-tblTransactions[[#This Row],[Recalc_Net_Sales]])&lt;0.02,"OK","CHECK")</f>
        <v>OK</v>
      </c>
      <c r="M2146" s="14">
        <f>DATE(YEAR(tblTransactions[[#This Row],[date]]),MONTH(tblTransactions[[#This Row],[date]]),1)</f>
        <v>45717</v>
      </c>
      <c r="N2146" t="str">
        <f>IF(WEEKDAY(tblTransactions[[#This Row],[date]],2)&gt;5,"Weekend","Weekday")</f>
        <v>Weekday</v>
      </c>
      <c r="O214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46" s="13" t="str">
        <f>_xlfn.XLOOKUP(tblTransactions[[#This Row],[tenant_id]],tblTenants[tenant_id],tblTenants[zone],"NOT FOUND")</f>
        <v>Entertainment</v>
      </c>
      <c r="Q2146" s="13" t="str">
        <f>_xlfn.XLOOKUP(tblTransactions[[#This Row],[tenant_id]],tblTenants[tenant_id],tblTenants[category],"NOT FOUND")</f>
        <v>Family Entertainment</v>
      </c>
    </row>
    <row r="2147" spans="1:17">
      <c r="A2147" t="s">
        <v>2191</v>
      </c>
      <c r="B2147" s="2">
        <v>45706</v>
      </c>
      <c r="C2147">
        <v>20</v>
      </c>
      <c r="D2147" t="s">
        <v>27</v>
      </c>
      <c r="E2147" t="s">
        <v>21</v>
      </c>
      <c r="F2147" s="7">
        <v>276.54000000000002</v>
      </c>
      <c r="G2147" s="10">
        <v>0</v>
      </c>
      <c r="H2147" s="7">
        <v>276.54000000000002</v>
      </c>
      <c r="I2147">
        <v>1</v>
      </c>
      <c r="J2147" t="s">
        <v>13</v>
      </c>
      <c r="K2147" s="13">
        <f>ROUND(tblTransactions[[#This Row],[gross_sales_inr]]*(1-tblTransactions[[#This Row],[discount_pct]]),2)</f>
        <v>276.54000000000002</v>
      </c>
      <c r="L2147" t="str">
        <f>IF(ABS(tblTransactions[[#This Row],[net_sales_inr]]-tblTransactions[[#This Row],[Recalc_Net_Sales]])&lt;0.02,"OK","CHECK")</f>
        <v>OK</v>
      </c>
      <c r="M2147" s="14">
        <f>DATE(YEAR(tblTransactions[[#This Row],[date]]),MONTH(tblTransactions[[#This Row],[date]]),1)</f>
        <v>45689</v>
      </c>
      <c r="N2147" t="str">
        <f>IF(WEEKDAY(tblTransactions[[#This Row],[date]],2)&gt;5,"Weekend","Weekday")</f>
        <v>Weekday</v>
      </c>
      <c r="O2147" s="13" t="str">
        <f>IF(tblTransactions[[#This Row],[discount_pct]]=0,"0%",IF(tblTransactions[[#This Row],[discount_pct]]&lt;=10%,"1–
10%",IF(tblTransactions[[#This Row],[discount_pct]]&lt;=20%,"11–20%","&gt;20%")))</f>
        <v>0%</v>
      </c>
      <c r="P2147" s="13" t="str">
        <f>_xlfn.XLOOKUP(tblTransactions[[#This Row],[tenant_id]],tblTenants[tenant_id],tblTenants[zone],"NOT FOUND")</f>
        <v>Beauty &amp; Wellness</v>
      </c>
      <c r="Q2147" s="13" t="str">
        <f>_xlfn.XLOOKUP(tblTransactions[[#This Row],[tenant_id]],tblTenants[tenant_id],tblTenants[category],"NOT FOUND")</f>
        <v>Wellness</v>
      </c>
    </row>
    <row r="2148" spans="1:17">
      <c r="A2148" t="s">
        <v>2192</v>
      </c>
      <c r="B2148" s="2">
        <v>45794</v>
      </c>
      <c r="C2148">
        <v>14</v>
      </c>
      <c r="D2148" t="s">
        <v>23</v>
      </c>
      <c r="E2148" t="s">
        <v>21</v>
      </c>
      <c r="F2148" s="7">
        <v>1852.16</v>
      </c>
      <c r="G2148" s="10">
        <v>0.1</v>
      </c>
      <c r="H2148" s="7">
        <v>1666.94</v>
      </c>
      <c r="I2148">
        <v>3</v>
      </c>
      <c r="J2148" t="s">
        <v>13</v>
      </c>
      <c r="K2148" s="13">
        <f>ROUND(tblTransactions[[#This Row],[gross_sales_inr]]*(1-tblTransactions[[#This Row],[discount_pct]]),2)</f>
        <v>1666.94</v>
      </c>
      <c r="L2148" t="str">
        <f>IF(ABS(tblTransactions[[#This Row],[net_sales_inr]]-tblTransactions[[#This Row],[Recalc_Net_Sales]])&lt;0.02,"OK","CHECK")</f>
        <v>OK</v>
      </c>
      <c r="M2148" s="14">
        <f>DATE(YEAR(tblTransactions[[#This Row],[date]]),MONTH(tblTransactions[[#This Row],[date]]),1)</f>
        <v>45778</v>
      </c>
      <c r="N2148" t="str">
        <f>IF(WEEKDAY(tblTransactions[[#This Row],[date]],2)&gt;5,"Weekend","Weekday")</f>
        <v>Weekend</v>
      </c>
      <c r="O214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48" s="13" t="str">
        <f>_xlfn.XLOOKUP(tblTransactions[[#This Row],[tenant_id]],tblTenants[tenant_id],tblTenants[zone],"NOT FOUND")</f>
        <v>Entertainment</v>
      </c>
      <c r="Q2148" s="13" t="str">
        <f>_xlfn.XLOOKUP(tblTransactions[[#This Row],[tenant_id]],tblTenants[tenant_id],tblTenants[category],"NOT FOUND")</f>
        <v>Cinema</v>
      </c>
    </row>
    <row r="2149" spans="1:17">
      <c r="A2149" t="s">
        <v>2193</v>
      </c>
      <c r="B2149" s="2">
        <v>45813</v>
      </c>
      <c r="C2149">
        <v>12</v>
      </c>
      <c r="D2149" t="s">
        <v>34</v>
      </c>
      <c r="E2149" t="s">
        <v>12</v>
      </c>
      <c r="F2149" s="7">
        <v>876.79</v>
      </c>
      <c r="G2149" s="10">
        <v>0.05</v>
      </c>
      <c r="H2149" s="7">
        <v>832.95</v>
      </c>
      <c r="I2149">
        <v>5</v>
      </c>
      <c r="J2149" t="s">
        <v>16</v>
      </c>
      <c r="K2149" s="13">
        <f>ROUND(tblTransactions[[#This Row],[gross_sales_inr]]*(1-tblTransactions[[#This Row],[discount_pct]]),2)</f>
        <v>832.95</v>
      </c>
      <c r="L2149" t="str">
        <f>IF(ABS(tblTransactions[[#This Row],[net_sales_inr]]-tblTransactions[[#This Row],[Recalc_Net_Sales]])&lt;0.02,"OK","CHECK")</f>
        <v>OK</v>
      </c>
      <c r="M2149" s="14">
        <f>DATE(YEAR(tblTransactions[[#This Row],[date]]),MONTH(tblTransactions[[#This Row],[date]]),1)</f>
        <v>45809</v>
      </c>
      <c r="N2149" t="str">
        <f>IF(WEEKDAY(tblTransactions[[#This Row],[date]],2)&gt;5,"Weekend","Weekday")</f>
        <v>Weekday</v>
      </c>
      <c r="O214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49" s="13" t="str">
        <f>_xlfn.XLOOKUP(tblTransactions[[#This Row],[tenant_id]],tblTenants[tenant_id],tblTenants[zone],"NOT FOUND")</f>
        <v>Home &amp; Living</v>
      </c>
      <c r="Q2149" s="13" t="str">
        <f>_xlfn.XLOOKUP(tblTransactions[[#This Row],[tenant_id]],tblTenants[tenant_id],tblTenants[category],"NOT FOUND")</f>
        <v>Electronics</v>
      </c>
    </row>
    <row r="2150" spans="1:17">
      <c r="A2150" t="s">
        <v>2194</v>
      </c>
      <c r="B2150" s="2">
        <v>45771</v>
      </c>
      <c r="C2150">
        <v>21</v>
      </c>
      <c r="D2150" t="s">
        <v>41</v>
      </c>
      <c r="E2150" t="s">
        <v>12</v>
      </c>
      <c r="F2150" s="7">
        <v>683.63</v>
      </c>
      <c r="G2150" s="10">
        <v>0.1</v>
      </c>
      <c r="H2150" s="7">
        <v>615.27</v>
      </c>
      <c r="I2150">
        <v>2</v>
      </c>
      <c r="J2150" t="s">
        <v>13</v>
      </c>
      <c r="K2150" s="13">
        <f>ROUND(tblTransactions[[#This Row],[gross_sales_inr]]*(1-tblTransactions[[#This Row],[discount_pct]]),2)</f>
        <v>615.27</v>
      </c>
      <c r="L2150" t="str">
        <f>IF(ABS(tblTransactions[[#This Row],[net_sales_inr]]-tblTransactions[[#This Row],[Recalc_Net_Sales]])&lt;0.02,"OK","CHECK")</f>
        <v>OK</v>
      </c>
      <c r="M2150" s="14">
        <f>DATE(YEAR(tblTransactions[[#This Row],[date]]),MONTH(tblTransactions[[#This Row],[date]]),1)</f>
        <v>45748</v>
      </c>
      <c r="N2150" t="str">
        <f>IF(WEEKDAY(tblTransactions[[#This Row],[date]],2)&gt;5,"Weekend","Weekday")</f>
        <v>Weekday</v>
      </c>
      <c r="O215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50" s="13" t="str">
        <f>_xlfn.XLOOKUP(tblTransactions[[#This Row],[tenant_id]],tblTenants[tenant_id],tblTenants[zone],"NOT FOUND")</f>
        <v>Fashion Avenue</v>
      </c>
      <c r="Q2150" s="13" t="str">
        <f>_xlfn.XLOOKUP(tblTransactions[[#This Row],[tenant_id]],tblTenants[tenant_id],tblTenants[category],"NOT FOUND")</f>
        <v>Clothing</v>
      </c>
    </row>
    <row r="2151" spans="1:17">
      <c r="A2151" t="s">
        <v>2195</v>
      </c>
      <c r="B2151" s="2">
        <v>45789</v>
      </c>
      <c r="C2151">
        <v>13</v>
      </c>
      <c r="D2151" t="s">
        <v>41</v>
      </c>
      <c r="E2151" t="s">
        <v>12</v>
      </c>
      <c r="F2151" s="7">
        <v>407.15</v>
      </c>
      <c r="G2151" s="10">
        <v>0</v>
      </c>
      <c r="H2151" s="7">
        <v>407.15</v>
      </c>
      <c r="I2151">
        <v>1</v>
      </c>
      <c r="J2151" t="s">
        <v>16</v>
      </c>
      <c r="K2151" s="13">
        <f>ROUND(tblTransactions[[#This Row],[gross_sales_inr]]*(1-tblTransactions[[#This Row],[discount_pct]]),2)</f>
        <v>407.15</v>
      </c>
      <c r="L2151" t="str">
        <f>IF(ABS(tblTransactions[[#This Row],[net_sales_inr]]-tblTransactions[[#This Row],[Recalc_Net_Sales]])&lt;0.02,"OK","CHECK")</f>
        <v>OK</v>
      </c>
      <c r="M2151" s="14">
        <f>DATE(YEAR(tblTransactions[[#This Row],[date]]),MONTH(tblTransactions[[#This Row],[date]]),1)</f>
        <v>45778</v>
      </c>
      <c r="N2151" t="str">
        <f>IF(WEEKDAY(tblTransactions[[#This Row],[date]],2)&gt;5,"Weekend","Weekday")</f>
        <v>Weekday</v>
      </c>
      <c r="O2151" s="13" t="str">
        <f>IF(tblTransactions[[#This Row],[discount_pct]]=0,"0%",IF(tblTransactions[[#This Row],[discount_pct]]&lt;=10%,"1–
10%",IF(tblTransactions[[#This Row],[discount_pct]]&lt;=20%,"11–20%","&gt;20%")))</f>
        <v>0%</v>
      </c>
      <c r="P2151" s="13" t="str">
        <f>_xlfn.XLOOKUP(tblTransactions[[#This Row],[tenant_id]],tblTenants[tenant_id],tblTenants[zone],"NOT FOUND")</f>
        <v>Fashion Avenue</v>
      </c>
      <c r="Q2151" s="13" t="str">
        <f>_xlfn.XLOOKUP(tblTransactions[[#This Row],[tenant_id]],tblTenants[tenant_id],tblTenants[category],"NOT FOUND")</f>
        <v>Clothing</v>
      </c>
    </row>
    <row r="2152" spans="1:17">
      <c r="A2152" t="s">
        <v>2196</v>
      </c>
      <c r="B2152" s="2">
        <v>45745</v>
      </c>
      <c r="C2152">
        <v>10</v>
      </c>
      <c r="D2152" t="s">
        <v>31</v>
      </c>
      <c r="E2152" t="s">
        <v>32</v>
      </c>
      <c r="F2152" s="7">
        <v>1149.6199999999999</v>
      </c>
      <c r="G2152" s="10">
        <v>0.1</v>
      </c>
      <c r="H2152" s="7">
        <v>1034.6600000000001</v>
      </c>
      <c r="I2152">
        <v>1</v>
      </c>
      <c r="J2152" t="s">
        <v>13</v>
      </c>
      <c r="K2152" s="13">
        <f>ROUND(tblTransactions[[#This Row],[gross_sales_inr]]*(1-tblTransactions[[#This Row],[discount_pct]]),2)</f>
        <v>1034.6600000000001</v>
      </c>
      <c r="L2152" t="str">
        <f>IF(ABS(tblTransactions[[#This Row],[net_sales_inr]]-tblTransactions[[#This Row],[Recalc_Net_Sales]])&lt;0.02,"OK","CHECK")</f>
        <v>OK</v>
      </c>
      <c r="M2152" s="14">
        <f>DATE(YEAR(tblTransactions[[#This Row],[date]]),MONTH(tblTransactions[[#This Row],[date]]),1)</f>
        <v>45717</v>
      </c>
      <c r="N2152" t="str">
        <f>IF(WEEKDAY(tblTransactions[[#This Row],[date]],2)&gt;5,"Weekend","Weekday")</f>
        <v>Weekend</v>
      </c>
      <c r="O215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52" s="13" t="str">
        <f>_xlfn.XLOOKUP(tblTransactions[[#This Row],[tenant_id]],tblTenants[tenant_id],tblTenants[zone],"NOT FOUND")</f>
        <v>Entertainment</v>
      </c>
      <c r="Q2152" s="13" t="str">
        <f>_xlfn.XLOOKUP(tblTransactions[[#This Row],[tenant_id]],tblTenants[tenant_id],tblTenants[category],"NOT FOUND")</f>
        <v>Arcade</v>
      </c>
    </row>
    <row r="2153" spans="1:17">
      <c r="A2153" t="s">
        <v>2197</v>
      </c>
      <c r="B2153" s="2">
        <v>45690</v>
      </c>
      <c r="C2153">
        <v>21</v>
      </c>
      <c r="D2153" t="s">
        <v>204</v>
      </c>
      <c r="E2153" t="s">
        <v>12</v>
      </c>
      <c r="F2153" s="7">
        <v>1862.9</v>
      </c>
      <c r="G2153" s="10">
        <v>0.1</v>
      </c>
      <c r="H2153" s="7">
        <v>1676.61</v>
      </c>
      <c r="I2153">
        <v>1</v>
      </c>
      <c r="J2153" t="s">
        <v>13</v>
      </c>
      <c r="K2153" s="13">
        <f>ROUND(tblTransactions[[#This Row],[gross_sales_inr]]*(1-tblTransactions[[#This Row],[discount_pct]]),2)</f>
        <v>1676.61</v>
      </c>
      <c r="L2153" t="str">
        <f>IF(ABS(tblTransactions[[#This Row],[net_sales_inr]]-tblTransactions[[#This Row],[Recalc_Net_Sales]])&lt;0.02,"OK","CHECK")</f>
        <v>OK</v>
      </c>
      <c r="M2153" s="14">
        <f>DATE(YEAR(tblTransactions[[#This Row],[date]]),MONTH(tblTransactions[[#This Row],[date]]),1)</f>
        <v>45689</v>
      </c>
      <c r="N2153" t="str">
        <f>IF(WEEKDAY(tblTransactions[[#This Row],[date]],2)&gt;5,"Weekend","Weekday")</f>
        <v>Weekend</v>
      </c>
      <c r="O215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53" s="13" t="str">
        <f>_xlfn.XLOOKUP(tblTransactions[[#This Row],[tenant_id]],tblTenants[tenant_id],tblTenants[zone],"NOT FOUND")</f>
        <v>Home &amp; Living</v>
      </c>
      <c r="Q2153" s="13" t="str">
        <f>_xlfn.XLOOKUP(tblTransactions[[#This Row],[tenant_id]],tblTenants[tenant_id],tblTenants[category],"NOT FOUND")</f>
        <v>Home Decor</v>
      </c>
    </row>
    <row r="2154" spans="1:17">
      <c r="A2154" t="s">
        <v>2198</v>
      </c>
      <c r="B2154" s="2">
        <v>45720</v>
      </c>
      <c r="C2154">
        <v>18</v>
      </c>
      <c r="D2154" t="s">
        <v>29</v>
      </c>
      <c r="E2154" t="s">
        <v>21</v>
      </c>
      <c r="F2154" s="7">
        <v>328.66</v>
      </c>
      <c r="G2154" s="10">
        <v>0.3</v>
      </c>
      <c r="H2154" s="7">
        <v>230.06</v>
      </c>
      <c r="I2154">
        <v>2</v>
      </c>
      <c r="J2154" t="s">
        <v>16</v>
      </c>
      <c r="K2154" s="13">
        <f>ROUND(tblTransactions[[#This Row],[gross_sales_inr]]*(1-tblTransactions[[#This Row],[discount_pct]]),2)</f>
        <v>230.06</v>
      </c>
      <c r="L2154" t="str">
        <f>IF(ABS(tblTransactions[[#This Row],[net_sales_inr]]-tblTransactions[[#This Row],[Recalc_Net_Sales]])&lt;0.02,"OK","CHECK")</f>
        <v>OK</v>
      </c>
      <c r="M2154" s="14">
        <f>DATE(YEAR(tblTransactions[[#This Row],[date]]),MONTH(tblTransactions[[#This Row],[date]]),1)</f>
        <v>45717</v>
      </c>
      <c r="N2154" t="str">
        <f>IF(WEEKDAY(tblTransactions[[#This Row],[date]],2)&gt;5,"Weekend","Weekday")</f>
        <v>Weekday</v>
      </c>
      <c r="O215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154" s="13" t="str">
        <f>_xlfn.XLOOKUP(tblTransactions[[#This Row],[tenant_id]],tblTenants[tenant_id],tblTenants[zone],"NOT FOUND")</f>
        <v>Entertainment</v>
      </c>
      <c r="Q2154" s="13" t="str">
        <f>_xlfn.XLOOKUP(tblTransactions[[#This Row],[tenant_id]],tblTenants[tenant_id],tblTenants[category],"NOT FOUND")</f>
        <v>Cinema</v>
      </c>
    </row>
    <row r="2155" spans="1:17">
      <c r="A2155" t="s">
        <v>2199</v>
      </c>
      <c r="B2155" s="2">
        <v>45720</v>
      </c>
      <c r="C2155">
        <v>10</v>
      </c>
      <c r="D2155" t="s">
        <v>43</v>
      </c>
      <c r="E2155" t="s">
        <v>32</v>
      </c>
      <c r="F2155" s="7">
        <v>596.6</v>
      </c>
      <c r="G2155" s="10">
        <v>0</v>
      </c>
      <c r="H2155" s="7">
        <v>596.6</v>
      </c>
      <c r="I2155">
        <v>3</v>
      </c>
      <c r="J2155" t="s">
        <v>13</v>
      </c>
      <c r="K2155" s="13">
        <f>ROUND(tblTransactions[[#This Row],[gross_sales_inr]]*(1-tblTransactions[[#This Row],[discount_pct]]),2)</f>
        <v>596.6</v>
      </c>
      <c r="L2155" t="str">
        <f>IF(ABS(tblTransactions[[#This Row],[net_sales_inr]]-tblTransactions[[#This Row],[Recalc_Net_Sales]])&lt;0.02,"OK","CHECK")</f>
        <v>OK</v>
      </c>
      <c r="M2155" s="14">
        <f>DATE(YEAR(tblTransactions[[#This Row],[date]]),MONTH(tblTransactions[[#This Row],[date]]),1)</f>
        <v>45717</v>
      </c>
      <c r="N2155" t="str">
        <f>IF(WEEKDAY(tblTransactions[[#This Row],[date]],2)&gt;5,"Weekend","Weekday")</f>
        <v>Weekday</v>
      </c>
      <c r="O2155" s="13" t="str">
        <f>IF(tblTransactions[[#This Row],[discount_pct]]=0,"0%",IF(tblTransactions[[#This Row],[discount_pct]]&lt;=10%,"1–
10%",IF(tblTransactions[[#This Row],[discount_pct]]&lt;=20%,"11–20%","&gt;20%")))</f>
        <v>0%</v>
      </c>
      <c r="P2155" s="13" t="str">
        <f>_xlfn.XLOOKUP(tblTransactions[[#This Row],[tenant_id]],tblTenants[tenant_id],tblTenants[zone],"NOT FOUND")</f>
        <v>Food Court</v>
      </c>
      <c r="Q2155" s="13" t="str">
        <f>_xlfn.XLOOKUP(tblTransactions[[#This Row],[tenant_id]],tblTenants[tenant_id],tblTenants[category],"NOT FOUND")</f>
        <v>Casual Dining</v>
      </c>
    </row>
    <row r="2156" spans="1:17">
      <c r="A2156" t="s">
        <v>2200</v>
      </c>
      <c r="B2156" s="2">
        <v>45747</v>
      </c>
      <c r="C2156">
        <v>10</v>
      </c>
      <c r="D2156" t="s">
        <v>57</v>
      </c>
      <c r="E2156" t="s">
        <v>12</v>
      </c>
      <c r="F2156" s="7">
        <v>925.87</v>
      </c>
      <c r="G2156" s="10">
        <v>0.05</v>
      </c>
      <c r="H2156" s="7">
        <v>879.58</v>
      </c>
      <c r="I2156">
        <v>6</v>
      </c>
      <c r="J2156" t="s">
        <v>16</v>
      </c>
      <c r="K2156" s="13">
        <f>ROUND(tblTransactions[[#This Row],[gross_sales_inr]]*(1-tblTransactions[[#This Row],[discount_pct]]),2)</f>
        <v>879.58</v>
      </c>
      <c r="L2156" t="str">
        <f>IF(ABS(tblTransactions[[#This Row],[net_sales_inr]]-tblTransactions[[#This Row],[Recalc_Net_Sales]])&lt;0.02,"OK","CHECK")</f>
        <v>OK</v>
      </c>
      <c r="M2156" s="14">
        <f>DATE(YEAR(tblTransactions[[#This Row],[date]]),MONTH(tblTransactions[[#This Row],[date]]),1)</f>
        <v>45717</v>
      </c>
      <c r="N2156" t="str">
        <f>IF(WEEKDAY(tblTransactions[[#This Row],[date]],2)&gt;5,"Weekend","Weekday")</f>
        <v>Weekday</v>
      </c>
      <c r="O215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56" s="13" t="str">
        <f>_xlfn.XLOOKUP(tblTransactions[[#This Row],[tenant_id]],tblTenants[tenant_id],tblTenants[zone],"NOT FOUND")</f>
        <v>Food Court</v>
      </c>
      <c r="Q2156" s="13" t="str">
        <f>_xlfn.XLOOKUP(tblTransactions[[#This Row],[tenant_id]],tblTenants[tenant_id],tblTenants[category],"NOT FOUND")</f>
        <v>Casual Dining</v>
      </c>
    </row>
    <row r="2157" spans="1:17">
      <c r="A2157" t="s">
        <v>2201</v>
      </c>
      <c r="B2157" s="2">
        <v>45815</v>
      </c>
      <c r="C2157">
        <v>12</v>
      </c>
      <c r="D2157" t="s">
        <v>53</v>
      </c>
      <c r="E2157" t="s">
        <v>12</v>
      </c>
      <c r="F2157" s="7">
        <v>1460.11</v>
      </c>
      <c r="G2157" s="10">
        <v>0</v>
      </c>
      <c r="H2157" s="7">
        <v>1460.11</v>
      </c>
      <c r="I2157">
        <v>1</v>
      </c>
      <c r="J2157" t="s">
        <v>13</v>
      </c>
      <c r="K2157" s="13">
        <f>ROUND(tblTransactions[[#This Row],[gross_sales_inr]]*(1-tblTransactions[[#This Row],[discount_pct]]),2)</f>
        <v>1460.11</v>
      </c>
      <c r="L2157" t="str">
        <f>IF(ABS(tblTransactions[[#This Row],[net_sales_inr]]-tblTransactions[[#This Row],[Recalc_Net_Sales]])&lt;0.02,"OK","CHECK")</f>
        <v>OK</v>
      </c>
      <c r="M2157" s="14">
        <f>DATE(YEAR(tblTransactions[[#This Row],[date]]),MONTH(tblTransactions[[#This Row],[date]]),1)</f>
        <v>45809</v>
      </c>
      <c r="N2157" t="str">
        <f>IF(WEEKDAY(tblTransactions[[#This Row],[date]],2)&gt;5,"Weekend","Weekday")</f>
        <v>Weekend</v>
      </c>
      <c r="O2157" s="13" t="str">
        <f>IF(tblTransactions[[#This Row],[discount_pct]]=0,"0%",IF(tblTransactions[[#This Row],[discount_pct]]&lt;=10%,"1–
10%",IF(tblTransactions[[#This Row],[discount_pct]]&lt;=20%,"11–20%","&gt;20%")))</f>
        <v>0%</v>
      </c>
      <c r="P2157" s="13" t="str">
        <f>_xlfn.XLOOKUP(tblTransactions[[#This Row],[tenant_id]],tblTenants[tenant_id],tblTenants[zone],"NOT FOUND")</f>
        <v>Beauty &amp; Wellness</v>
      </c>
      <c r="Q2157" s="13" t="str">
        <f>_xlfn.XLOOKUP(tblTransactions[[#This Row],[tenant_id]],tblTenants[tenant_id],tblTenants[category],"NOT FOUND")</f>
        <v>Beauty</v>
      </c>
    </row>
    <row r="2158" spans="1:17">
      <c r="A2158" t="s">
        <v>2202</v>
      </c>
      <c r="B2158" s="2">
        <v>45701</v>
      </c>
      <c r="C2158">
        <v>22</v>
      </c>
      <c r="D2158" t="s">
        <v>29</v>
      </c>
      <c r="E2158" t="s">
        <v>51</v>
      </c>
      <c r="F2158" s="7">
        <v>1623.57</v>
      </c>
      <c r="G2158" s="10">
        <v>0.05</v>
      </c>
      <c r="H2158" s="7">
        <v>1542.39</v>
      </c>
      <c r="I2158">
        <v>1</v>
      </c>
      <c r="J2158" t="s">
        <v>13</v>
      </c>
      <c r="K2158" s="13">
        <f>ROUND(tblTransactions[[#This Row],[gross_sales_inr]]*(1-tblTransactions[[#This Row],[discount_pct]]),2)</f>
        <v>1542.39</v>
      </c>
      <c r="L2158" t="str">
        <f>IF(ABS(tblTransactions[[#This Row],[net_sales_inr]]-tblTransactions[[#This Row],[Recalc_Net_Sales]])&lt;0.02,"OK","CHECK")</f>
        <v>OK</v>
      </c>
      <c r="M2158" s="14">
        <f>DATE(YEAR(tblTransactions[[#This Row],[date]]),MONTH(tblTransactions[[#This Row],[date]]),1)</f>
        <v>45689</v>
      </c>
      <c r="N2158" t="str">
        <f>IF(WEEKDAY(tblTransactions[[#This Row],[date]],2)&gt;5,"Weekend","Weekday")</f>
        <v>Weekday</v>
      </c>
      <c r="O215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58" s="13" t="str">
        <f>_xlfn.XLOOKUP(tblTransactions[[#This Row],[tenant_id]],tblTenants[tenant_id],tblTenants[zone],"NOT FOUND")</f>
        <v>Entertainment</v>
      </c>
      <c r="Q2158" s="13" t="str">
        <f>_xlfn.XLOOKUP(tblTransactions[[#This Row],[tenant_id]],tblTenants[tenant_id],tblTenants[category],"NOT FOUND")</f>
        <v>Cinema</v>
      </c>
    </row>
    <row r="2159" spans="1:17">
      <c r="A2159" t="s">
        <v>2203</v>
      </c>
      <c r="B2159" s="2">
        <v>45695</v>
      </c>
      <c r="C2159">
        <v>16</v>
      </c>
      <c r="D2159" t="s">
        <v>11</v>
      </c>
      <c r="E2159" t="s">
        <v>12</v>
      </c>
      <c r="F2159" s="7">
        <v>2199.41</v>
      </c>
      <c r="G2159" s="10">
        <v>0.3</v>
      </c>
      <c r="H2159" s="7">
        <v>1539.59</v>
      </c>
      <c r="I2159">
        <v>3</v>
      </c>
      <c r="J2159" t="s">
        <v>13</v>
      </c>
      <c r="K2159" s="13">
        <f>ROUND(tblTransactions[[#This Row],[gross_sales_inr]]*(1-tblTransactions[[#This Row],[discount_pct]]),2)</f>
        <v>1539.59</v>
      </c>
      <c r="L2159" t="str">
        <f>IF(ABS(tblTransactions[[#This Row],[net_sales_inr]]-tblTransactions[[#This Row],[Recalc_Net_Sales]])&lt;0.02,"OK","CHECK")</f>
        <v>OK</v>
      </c>
      <c r="M2159" s="14">
        <f>DATE(YEAR(tblTransactions[[#This Row],[date]]),MONTH(tblTransactions[[#This Row],[date]]),1)</f>
        <v>45689</v>
      </c>
      <c r="N2159" t="str">
        <f>IF(WEEKDAY(tblTransactions[[#This Row],[date]],2)&gt;5,"Weekend","Weekday")</f>
        <v>Weekday</v>
      </c>
      <c r="O2159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159" s="13" t="str">
        <f>_xlfn.XLOOKUP(tblTransactions[[#This Row],[tenant_id]],tblTenants[tenant_id],tblTenants[zone],"NOT FOUND")</f>
        <v>Home &amp; Living</v>
      </c>
      <c r="Q2159" s="13" t="str">
        <f>_xlfn.XLOOKUP(tblTransactions[[#This Row],[tenant_id]],tblTenants[tenant_id],tblTenants[category],"NOT FOUND")</f>
        <v>Home Decor</v>
      </c>
    </row>
    <row r="2160" spans="1:17">
      <c r="A2160" t="s">
        <v>2204</v>
      </c>
      <c r="B2160" s="2">
        <v>45783</v>
      </c>
      <c r="C2160">
        <v>22</v>
      </c>
      <c r="D2160" t="s">
        <v>25</v>
      </c>
      <c r="E2160" t="s">
        <v>12</v>
      </c>
      <c r="F2160" s="7">
        <v>3729.85</v>
      </c>
      <c r="G2160" s="10">
        <v>0</v>
      </c>
      <c r="H2160" s="7">
        <v>3729.85</v>
      </c>
      <c r="I2160">
        <v>5</v>
      </c>
      <c r="J2160" t="s">
        <v>13</v>
      </c>
      <c r="K2160" s="13">
        <f>ROUND(tblTransactions[[#This Row],[gross_sales_inr]]*(1-tblTransactions[[#This Row],[discount_pct]]),2)</f>
        <v>3729.85</v>
      </c>
      <c r="L2160" t="str">
        <f>IF(ABS(tblTransactions[[#This Row],[net_sales_inr]]-tblTransactions[[#This Row],[Recalc_Net_Sales]])&lt;0.02,"OK","CHECK")</f>
        <v>OK</v>
      </c>
      <c r="M2160" s="14">
        <f>DATE(YEAR(tblTransactions[[#This Row],[date]]),MONTH(tblTransactions[[#This Row],[date]]),1)</f>
        <v>45778</v>
      </c>
      <c r="N2160" t="str">
        <f>IF(WEEKDAY(tblTransactions[[#This Row],[date]],2)&gt;5,"Weekend","Weekday")</f>
        <v>Weekday</v>
      </c>
      <c r="O2160" s="13" t="str">
        <f>IF(tblTransactions[[#This Row],[discount_pct]]=0,"0%",IF(tblTransactions[[#This Row],[discount_pct]]&lt;=10%,"1–
10%",IF(tblTransactions[[#This Row],[discount_pct]]&lt;=20%,"11–20%","&gt;20%")))</f>
        <v>0%</v>
      </c>
      <c r="P2160" s="13" t="str">
        <f>_xlfn.XLOOKUP(tblTransactions[[#This Row],[tenant_id]],tblTenants[tenant_id],tblTenants[zone],"NOT FOUND")</f>
        <v>Beauty &amp; Wellness</v>
      </c>
      <c r="Q2160" s="13" t="str">
        <f>_xlfn.XLOOKUP(tblTransactions[[#This Row],[tenant_id]],tblTenants[tenant_id],tblTenants[category],"NOT FOUND")</f>
        <v>Beauty</v>
      </c>
    </row>
    <row r="2161" spans="1:17">
      <c r="A2161" t="s">
        <v>2205</v>
      </c>
      <c r="B2161" s="2">
        <v>45673</v>
      </c>
      <c r="C2161">
        <v>13</v>
      </c>
      <c r="D2161" t="s">
        <v>122</v>
      </c>
      <c r="E2161" t="s">
        <v>12</v>
      </c>
      <c r="F2161" s="7">
        <v>1284.92</v>
      </c>
      <c r="G2161" s="10">
        <v>0.1</v>
      </c>
      <c r="H2161" s="7">
        <v>1156.43</v>
      </c>
      <c r="I2161">
        <v>2</v>
      </c>
      <c r="J2161" t="s">
        <v>13</v>
      </c>
      <c r="K2161" s="13">
        <f>ROUND(tblTransactions[[#This Row],[gross_sales_inr]]*(1-tblTransactions[[#This Row],[discount_pct]]),2)</f>
        <v>1156.43</v>
      </c>
      <c r="L2161" t="str">
        <f>IF(ABS(tblTransactions[[#This Row],[net_sales_inr]]-tblTransactions[[#This Row],[Recalc_Net_Sales]])&lt;0.02,"OK","CHECK")</f>
        <v>OK</v>
      </c>
      <c r="M2161" s="14">
        <f>DATE(YEAR(tblTransactions[[#This Row],[date]]),MONTH(tblTransactions[[#This Row],[date]]),1)</f>
        <v>45658</v>
      </c>
      <c r="N2161" t="str">
        <f>IF(WEEKDAY(tblTransactions[[#This Row],[date]],2)&gt;5,"Weekend","Weekday")</f>
        <v>Weekday</v>
      </c>
      <c r="O216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61" s="13" t="str">
        <f>_xlfn.XLOOKUP(tblTransactions[[#This Row],[tenant_id]],tblTenants[tenant_id],tblTenants[zone],"NOT FOUND")</f>
        <v>Beauty &amp; Wellness</v>
      </c>
      <c r="Q2161" s="13" t="str">
        <f>_xlfn.XLOOKUP(tblTransactions[[#This Row],[tenant_id]],tblTenants[tenant_id],tblTenants[category],"NOT FOUND")</f>
        <v>Wellness</v>
      </c>
    </row>
    <row r="2162" spans="1:17">
      <c r="A2162" t="s">
        <v>2206</v>
      </c>
      <c r="B2162" s="2">
        <v>45693</v>
      </c>
      <c r="C2162">
        <v>19</v>
      </c>
      <c r="D2162" t="s">
        <v>43</v>
      </c>
      <c r="E2162" t="s">
        <v>32</v>
      </c>
      <c r="F2162" s="7">
        <v>1102.3499999999999</v>
      </c>
      <c r="G2162" s="10">
        <v>0</v>
      </c>
      <c r="H2162" s="7">
        <v>1102.3499999999999</v>
      </c>
      <c r="I2162">
        <v>3</v>
      </c>
      <c r="J2162" t="s">
        <v>13</v>
      </c>
      <c r="K2162" s="13">
        <f>ROUND(tblTransactions[[#This Row],[gross_sales_inr]]*(1-tblTransactions[[#This Row],[discount_pct]]),2)</f>
        <v>1102.3499999999999</v>
      </c>
      <c r="L2162" t="str">
        <f>IF(ABS(tblTransactions[[#This Row],[net_sales_inr]]-tblTransactions[[#This Row],[Recalc_Net_Sales]])&lt;0.02,"OK","CHECK")</f>
        <v>OK</v>
      </c>
      <c r="M2162" s="14">
        <f>DATE(YEAR(tblTransactions[[#This Row],[date]]),MONTH(tblTransactions[[#This Row],[date]]),1)</f>
        <v>45689</v>
      </c>
      <c r="N2162" t="str">
        <f>IF(WEEKDAY(tblTransactions[[#This Row],[date]],2)&gt;5,"Weekend","Weekday")</f>
        <v>Weekday</v>
      </c>
      <c r="O2162" s="13" t="str">
        <f>IF(tblTransactions[[#This Row],[discount_pct]]=0,"0%",IF(tblTransactions[[#This Row],[discount_pct]]&lt;=10%,"1–
10%",IF(tblTransactions[[#This Row],[discount_pct]]&lt;=20%,"11–20%","&gt;20%")))</f>
        <v>0%</v>
      </c>
      <c r="P2162" s="13" t="str">
        <f>_xlfn.XLOOKUP(tblTransactions[[#This Row],[tenant_id]],tblTenants[tenant_id],tblTenants[zone],"NOT FOUND")</f>
        <v>Food Court</v>
      </c>
      <c r="Q2162" s="13" t="str">
        <f>_xlfn.XLOOKUP(tblTransactions[[#This Row],[tenant_id]],tblTenants[tenant_id],tblTenants[category],"NOT FOUND")</f>
        <v>Casual Dining</v>
      </c>
    </row>
    <row r="2163" spans="1:17">
      <c r="A2163" t="s">
        <v>2207</v>
      </c>
      <c r="B2163" s="2">
        <v>45658</v>
      </c>
      <c r="C2163">
        <v>12</v>
      </c>
      <c r="D2163" t="s">
        <v>63</v>
      </c>
      <c r="E2163" t="s">
        <v>32</v>
      </c>
      <c r="F2163" s="7">
        <v>2505.67</v>
      </c>
      <c r="G2163" s="10">
        <v>0.2</v>
      </c>
      <c r="H2163" s="7">
        <v>2004.54</v>
      </c>
      <c r="I2163">
        <v>6</v>
      </c>
      <c r="J2163" t="s">
        <v>13</v>
      </c>
      <c r="K2163" s="13">
        <f>ROUND(tblTransactions[[#This Row],[gross_sales_inr]]*(1-tblTransactions[[#This Row],[discount_pct]]),2)</f>
        <v>2004.54</v>
      </c>
      <c r="L2163" t="str">
        <f>IF(ABS(tblTransactions[[#This Row],[net_sales_inr]]-tblTransactions[[#This Row],[Recalc_Net_Sales]])&lt;0.02,"OK","CHECK")</f>
        <v>OK</v>
      </c>
      <c r="M2163" s="14">
        <f>DATE(YEAR(tblTransactions[[#This Row],[date]]),MONTH(tblTransactions[[#This Row],[date]]),1)</f>
        <v>45658</v>
      </c>
      <c r="N2163" t="str">
        <f>IF(WEEKDAY(tblTransactions[[#This Row],[date]],2)&gt;5,"Weekend","Weekday")</f>
        <v>Weekday</v>
      </c>
      <c r="O216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63" s="13" t="str">
        <f>_xlfn.XLOOKUP(tblTransactions[[#This Row],[tenant_id]],tblTenants[tenant_id],tblTenants[zone],"NOT FOUND")</f>
        <v>Entertainment</v>
      </c>
      <c r="Q2163" s="13" t="str">
        <f>_xlfn.XLOOKUP(tblTransactions[[#This Row],[tenant_id]],tblTenants[tenant_id],tblTenants[category],"NOT FOUND")</f>
        <v>Family Entertainment</v>
      </c>
    </row>
    <row r="2164" spans="1:17">
      <c r="A2164" t="s">
        <v>2208</v>
      </c>
      <c r="B2164" s="2">
        <v>45709</v>
      </c>
      <c r="C2164">
        <v>10</v>
      </c>
      <c r="D2164" t="s">
        <v>18</v>
      </c>
      <c r="E2164" t="s">
        <v>21</v>
      </c>
      <c r="F2164" s="7">
        <v>3495.36</v>
      </c>
      <c r="G2164" s="10">
        <v>0.1</v>
      </c>
      <c r="H2164" s="7">
        <v>3145.82</v>
      </c>
      <c r="I2164">
        <v>4</v>
      </c>
      <c r="J2164" t="s">
        <v>16</v>
      </c>
      <c r="K2164" s="13">
        <f>ROUND(tblTransactions[[#This Row],[gross_sales_inr]]*(1-tblTransactions[[#This Row],[discount_pct]]),2)</f>
        <v>3145.82</v>
      </c>
      <c r="L2164" t="str">
        <f>IF(ABS(tblTransactions[[#This Row],[net_sales_inr]]-tblTransactions[[#This Row],[Recalc_Net_Sales]])&lt;0.02,"OK","CHECK")</f>
        <v>OK</v>
      </c>
      <c r="M2164" s="14">
        <f>DATE(YEAR(tblTransactions[[#This Row],[date]]),MONTH(tblTransactions[[#This Row],[date]]),1)</f>
        <v>45689</v>
      </c>
      <c r="N2164" t="str">
        <f>IF(WEEKDAY(tblTransactions[[#This Row],[date]],2)&gt;5,"Weekend","Weekday")</f>
        <v>Weekday</v>
      </c>
      <c r="O216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64" s="13" t="str">
        <f>_xlfn.XLOOKUP(tblTransactions[[#This Row],[tenant_id]],tblTenants[tenant_id],tblTenants[zone],"NOT FOUND")</f>
        <v>Beauty &amp; Wellness</v>
      </c>
      <c r="Q2164" s="13" t="str">
        <f>_xlfn.XLOOKUP(tblTransactions[[#This Row],[tenant_id]],tblTenants[tenant_id],tblTenants[category],"NOT FOUND")</f>
        <v>Beauty</v>
      </c>
    </row>
    <row r="2165" spans="1:17">
      <c r="A2165" t="s">
        <v>2209</v>
      </c>
      <c r="B2165" s="2">
        <v>45747</v>
      </c>
      <c r="C2165">
        <v>13</v>
      </c>
      <c r="D2165" t="s">
        <v>63</v>
      </c>
      <c r="E2165" t="s">
        <v>12</v>
      </c>
      <c r="F2165" s="7">
        <v>889.05</v>
      </c>
      <c r="G2165" s="10">
        <v>0.2</v>
      </c>
      <c r="H2165" s="7">
        <v>711.24</v>
      </c>
      <c r="I2165">
        <v>1</v>
      </c>
      <c r="J2165" t="s">
        <v>13</v>
      </c>
      <c r="K2165" s="13">
        <f>ROUND(tblTransactions[[#This Row],[gross_sales_inr]]*(1-tblTransactions[[#This Row],[discount_pct]]),2)</f>
        <v>711.24</v>
      </c>
      <c r="L2165" t="str">
        <f>IF(ABS(tblTransactions[[#This Row],[net_sales_inr]]-tblTransactions[[#This Row],[Recalc_Net_Sales]])&lt;0.02,"OK","CHECK")</f>
        <v>OK</v>
      </c>
      <c r="M2165" s="14">
        <f>DATE(YEAR(tblTransactions[[#This Row],[date]]),MONTH(tblTransactions[[#This Row],[date]]),1)</f>
        <v>45717</v>
      </c>
      <c r="N2165" t="str">
        <f>IF(WEEKDAY(tblTransactions[[#This Row],[date]],2)&gt;5,"Weekend","Weekday")</f>
        <v>Weekday</v>
      </c>
      <c r="O216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65" s="13" t="str">
        <f>_xlfn.XLOOKUP(tblTransactions[[#This Row],[tenant_id]],tblTenants[tenant_id],tblTenants[zone],"NOT FOUND")</f>
        <v>Entertainment</v>
      </c>
      <c r="Q2165" s="13" t="str">
        <f>_xlfn.XLOOKUP(tblTransactions[[#This Row],[tenant_id]],tblTenants[tenant_id],tblTenants[category],"NOT FOUND")</f>
        <v>Family Entertainment</v>
      </c>
    </row>
    <row r="2166" spans="1:17">
      <c r="A2166" t="s">
        <v>2210</v>
      </c>
      <c r="B2166" s="2">
        <v>45662</v>
      </c>
      <c r="C2166">
        <v>19</v>
      </c>
      <c r="D2166" t="s">
        <v>23</v>
      </c>
      <c r="E2166" t="s">
        <v>12</v>
      </c>
      <c r="F2166" s="7">
        <v>621.52</v>
      </c>
      <c r="G2166" s="10">
        <v>0.05</v>
      </c>
      <c r="H2166" s="7">
        <v>590.44000000000005</v>
      </c>
      <c r="I2166">
        <v>4</v>
      </c>
      <c r="J2166" t="s">
        <v>13</v>
      </c>
      <c r="K2166" s="13">
        <f>ROUND(tblTransactions[[#This Row],[gross_sales_inr]]*(1-tblTransactions[[#This Row],[discount_pct]]),2)</f>
        <v>590.44000000000005</v>
      </c>
      <c r="L2166" t="str">
        <f>IF(ABS(tblTransactions[[#This Row],[net_sales_inr]]-tblTransactions[[#This Row],[Recalc_Net_Sales]])&lt;0.02,"OK","CHECK")</f>
        <v>OK</v>
      </c>
      <c r="M2166" s="14">
        <f>DATE(YEAR(tblTransactions[[#This Row],[date]]),MONTH(tblTransactions[[#This Row],[date]]),1)</f>
        <v>45658</v>
      </c>
      <c r="N2166" t="str">
        <f>IF(WEEKDAY(tblTransactions[[#This Row],[date]],2)&gt;5,"Weekend","Weekday")</f>
        <v>Weekend</v>
      </c>
      <c r="O216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66" s="13" t="str">
        <f>_xlfn.XLOOKUP(tblTransactions[[#This Row],[tenant_id]],tblTenants[tenant_id],tblTenants[zone],"NOT FOUND")</f>
        <v>Entertainment</v>
      </c>
      <c r="Q2166" s="13" t="str">
        <f>_xlfn.XLOOKUP(tblTransactions[[#This Row],[tenant_id]],tblTenants[tenant_id],tblTenants[category],"NOT FOUND")</f>
        <v>Cinema</v>
      </c>
    </row>
    <row r="2167" spans="1:17">
      <c r="A2167" t="s">
        <v>2211</v>
      </c>
      <c r="B2167" s="2">
        <v>45692</v>
      </c>
      <c r="C2167">
        <v>16</v>
      </c>
      <c r="D2167" t="s">
        <v>72</v>
      </c>
      <c r="E2167" t="s">
        <v>32</v>
      </c>
      <c r="F2167" s="7">
        <v>441.31</v>
      </c>
      <c r="G2167" s="10">
        <v>0.2</v>
      </c>
      <c r="H2167" s="7">
        <v>353.05</v>
      </c>
      <c r="I2167">
        <v>3</v>
      </c>
      <c r="J2167" t="s">
        <v>13</v>
      </c>
      <c r="K2167" s="13">
        <f>ROUND(tblTransactions[[#This Row],[gross_sales_inr]]*(1-tblTransactions[[#This Row],[discount_pct]]),2)</f>
        <v>353.05</v>
      </c>
      <c r="L2167" t="str">
        <f>IF(ABS(tblTransactions[[#This Row],[net_sales_inr]]-tblTransactions[[#This Row],[Recalc_Net_Sales]])&lt;0.02,"OK","CHECK")</f>
        <v>OK</v>
      </c>
      <c r="M2167" s="14">
        <f>DATE(YEAR(tblTransactions[[#This Row],[date]]),MONTH(tblTransactions[[#This Row],[date]]),1)</f>
        <v>45689</v>
      </c>
      <c r="N2167" t="str">
        <f>IF(WEEKDAY(tblTransactions[[#This Row],[date]],2)&gt;5,"Weekend","Weekday")</f>
        <v>Weekday</v>
      </c>
      <c r="O216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67" s="13" t="str">
        <f>_xlfn.XLOOKUP(tblTransactions[[#This Row],[tenant_id]],tblTenants[tenant_id],tblTenants[zone],"NOT FOUND")</f>
        <v>Entertainment</v>
      </c>
      <c r="Q2167" s="13" t="str">
        <f>_xlfn.XLOOKUP(tblTransactions[[#This Row],[tenant_id]],tblTenants[tenant_id],tblTenants[category],"NOT FOUND")</f>
        <v>Arcade</v>
      </c>
    </row>
    <row r="2168" spans="1:17">
      <c r="A2168" t="s">
        <v>2212</v>
      </c>
      <c r="B2168" s="2">
        <v>45775</v>
      </c>
      <c r="C2168">
        <v>22</v>
      </c>
      <c r="D2168" t="s">
        <v>53</v>
      </c>
      <c r="E2168" t="s">
        <v>21</v>
      </c>
      <c r="F2168" s="7">
        <v>2742.3</v>
      </c>
      <c r="G2168" s="10">
        <v>0</v>
      </c>
      <c r="H2168" s="7">
        <v>2742.3</v>
      </c>
      <c r="I2168">
        <v>3</v>
      </c>
      <c r="J2168" t="s">
        <v>13</v>
      </c>
      <c r="K2168" s="13">
        <f>ROUND(tblTransactions[[#This Row],[gross_sales_inr]]*(1-tblTransactions[[#This Row],[discount_pct]]),2)</f>
        <v>2742.3</v>
      </c>
      <c r="L2168" t="str">
        <f>IF(ABS(tblTransactions[[#This Row],[net_sales_inr]]-tblTransactions[[#This Row],[Recalc_Net_Sales]])&lt;0.02,"OK","CHECK")</f>
        <v>OK</v>
      </c>
      <c r="M2168" s="14">
        <f>DATE(YEAR(tblTransactions[[#This Row],[date]]),MONTH(tblTransactions[[#This Row],[date]]),1)</f>
        <v>45748</v>
      </c>
      <c r="N2168" t="str">
        <f>IF(WEEKDAY(tblTransactions[[#This Row],[date]],2)&gt;5,"Weekend","Weekday")</f>
        <v>Weekday</v>
      </c>
      <c r="O2168" s="13" t="str">
        <f>IF(tblTransactions[[#This Row],[discount_pct]]=0,"0%",IF(tblTransactions[[#This Row],[discount_pct]]&lt;=10%,"1–
10%",IF(tblTransactions[[#This Row],[discount_pct]]&lt;=20%,"11–20%","&gt;20%")))</f>
        <v>0%</v>
      </c>
      <c r="P2168" s="13" t="str">
        <f>_xlfn.XLOOKUP(tblTransactions[[#This Row],[tenant_id]],tblTenants[tenant_id],tblTenants[zone],"NOT FOUND")</f>
        <v>Beauty &amp; Wellness</v>
      </c>
      <c r="Q2168" s="13" t="str">
        <f>_xlfn.XLOOKUP(tblTransactions[[#This Row],[tenant_id]],tblTenants[tenant_id],tblTenants[category],"NOT FOUND")</f>
        <v>Beauty</v>
      </c>
    </row>
    <row r="2169" spans="1:17">
      <c r="A2169" t="s">
        <v>2213</v>
      </c>
      <c r="B2169" s="2">
        <v>45830</v>
      </c>
      <c r="C2169">
        <v>15</v>
      </c>
      <c r="D2169" t="s">
        <v>70</v>
      </c>
      <c r="E2169" t="s">
        <v>32</v>
      </c>
      <c r="F2169" s="7">
        <v>1071.08</v>
      </c>
      <c r="G2169" s="10">
        <v>0</v>
      </c>
      <c r="H2169" s="7">
        <v>1071.08</v>
      </c>
      <c r="I2169">
        <v>2</v>
      </c>
      <c r="J2169" t="s">
        <v>16</v>
      </c>
      <c r="K2169" s="13">
        <f>ROUND(tblTransactions[[#This Row],[gross_sales_inr]]*(1-tblTransactions[[#This Row],[discount_pct]]),2)</f>
        <v>1071.08</v>
      </c>
      <c r="L2169" t="str">
        <f>IF(ABS(tblTransactions[[#This Row],[net_sales_inr]]-tblTransactions[[#This Row],[Recalc_Net_Sales]])&lt;0.02,"OK","CHECK")</f>
        <v>OK</v>
      </c>
      <c r="M2169" s="14">
        <f>DATE(YEAR(tblTransactions[[#This Row],[date]]),MONTH(tblTransactions[[#This Row],[date]]),1)</f>
        <v>45809</v>
      </c>
      <c r="N2169" t="str">
        <f>IF(WEEKDAY(tblTransactions[[#This Row],[date]],2)&gt;5,"Weekend","Weekday")</f>
        <v>Weekend</v>
      </c>
      <c r="O2169" s="13" t="str">
        <f>IF(tblTransactions[[#This Row],[discount_pct]]=0,"0%",IF(tblTransactions[[#This Row],[discount_pct]]&lt;=10%,"1–
10%",IF(tblTransactions[[#This Row],[discount_pct]]&lt;=20%,"11–20%","&gt;20%")))</f>
        <v>0%</v>
      </c>
      <c r="P2169" s="13" t="str">
        <f>_xlfn.XLOOKUP(tblTransactions[[#This Row],[tenant_id]],tblTenants[tenant_id],tblTenants[zone],"NOT FOUND")</f>
        <v>Food Court</v>
      </c>
      <c r="Q2169" s="13" t="str">
        <f>_xlfn.XLOOKUP(tblTransactions[[#This Row],[tenant_id]],tblTenants[tenant_id],tblTenants[category],"NOT FOUND")</f>
        <v>Quick Service</v>
      </c>
    </row>
    <row r="2170" spans="1:17">
      <c r="A2170" t="s">
        <v>2214</v>
      </c>
      <c r="B2170" s="2">
        <v>45663</v>
      </c>
      <c r="C2170">
        <v>14</v>
      </c>
      <c r="D2170" t="s">
        <v>85</v>
      </c>
      <c r="E2170" t="s">
        <v>12</v>
      </c>
      <c r="F2170" s="7">
        <v>1236.96</v>
      </c>
      <c r="G2170" s="10">
        <v>0.15</v>
      </c>
      <c r="H2170" s="7">
        <v>1051.42</v>
      </c>
      <c r="I2170">
        <v>1</v>
      </c>
      <c r="J2170" t="s">
        <v>13</v>
      </c>
      <c r="K2170" s="13">
        <f>ROUND(tblTransactions[[#This Row],[gross_sales_inr]]*(1-tblTransactions[[#This Row],[discount_pct]]),2)</f>
        <v>1051.42</v>
      </c>
      <c r="L2170" t="str">
        <f>IF(ABS(tblTransactions[[#This Row],[net_sales_inr]]-tblTransactions[[#This Row],[Recalc_Net_Sales]])&lt;0.02,"OK","CHECK")</f>
        <v>OK</v>
      </c>
      <c r="M2170" s="14">
        <f>DATE(YEAR(tblTransactions[[#This Row],[date]]),MONTH(tblTransactions[[#This Row],[date]]),1)</f>
        <v>45658</v>
      </c>
      <c r="N2170" t="str">
        <f>IF(WEEKDAY(tblTransactions[[#This Row],[date]],2)&gt;5,"Weekend","Weekday")</f>
        <v>Weekday</v>
      </c>
      <c r="O217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70" s="13" t="str">
        <f>_xlfn.XLOOKUP(tblTransactions[[#This Row],[tenant_id]],tblTenants[tenant_id],tblTenants[zone],"NOT FOUND")</f>
        <v>Home &amp; Living</v>
      </c>
      <c r="Q2170" s="13" t="str">
        <f>_xlfn.XLOOKUP(tblTransactions[[#This Row],[tenant_id]],tblTenants[tenant_id],tblTenants[category],"NOT FOUND")</f>
        <v>Electronics</v>
      </c>
    </row>
    <row r="2171" spans="1:17">
      <c r="A2171" t="s">
        <v>2215</v>
      </c>
      <c r="B2171" s="2">
        <v>45708</v>
      </c>
      <c r="C2171">
        <v>15</v>
      </c>
      <c r="D2171" t="s">
        <v>43</v>
      </c>
      <c r="E2171" t="s">
        <v>32</v>
      </c>
      <c r="F2171" s="7">
        <v>3327.72</v>
      </c>
      <c r="G2171" s="10">
        <v>0.1</v>
      </c>
      <c r="H2171" s="7">
        <v>2994.95</v>
      </c>
      <c r="I2171">
        <v>1</v>
      </c>
      <c r="J2171" t="s">
        <v>16</v>
      </c>
      <c r="K2171" s="13">
        <f>ROUND(tblTransactions[[#This Row],[gross_sales_inr]]*(1-tblTransactions[[#This Row],[discount_pct]]),2)</f>
        <v>2994.95</v>
      </c>
      <c r="L2171" t="str">
        <f>IF(ABS(tblTransactions[[#This Row],[net_sales_inr]]-tblTransactions[[#This Row],[Recalc_Net_Sales]])&lt;0.02,"OK","CHECK")</f>
        <v>OK</v>
      </c>
      <c r="M2171" s="14">
        <f>DATE(YEAR(tblTransactions[[#This Row],[date]]),MONTH(tblTransactions[[#This Row],[date]]),1)</f>
        <v>45689</v>
      </c>
      <c r="N2171" t="str">
        <f>IF(WEEKDAY(tblTransactions[[#This Row],[date]],2)&gt;5,"Weekend","Weekday")</f>
        <v>Weekday</v>
      </c>
      <c r="O217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71" s="13" t="str">
        <f>_xlfn.XLOOKUP(tblTransactions[[#This Row],[tenant_id]],tblTenants[tenant_id],tblTenants[zone],"NOT FOUND")</f>
        <v>Food Court</v>
      </c>
      <c r="Q2171" s="13" t="str">
        <f>_xlfn.XLOOKUP(tblTransactions[[#This Row],[tenant_id]],tblTenants[tenant_id],tblTenants[category],"NOT FOUND")</f>
        <v>Casual Dining</v>
      </c>
    </row>
    <row r="2172" spans="1:17">
      <c r="A2172" t="s">
        <v>2216</v>
      </c>
      <c r="B2172" s="2">
        <v>45711</v>
      </c>
      <c r="C2172">
        <v>10</v>
      </c>
      <c r="D2172" t="s">
        <v>204</v>
      </c>
      <c r="E2172" t="s">
        <v>32</v>
      </c>
      <c r="F2172" s="7">
        <v>2345.9</v>
      </c>
      <c r="G2172" s="10">
        <v>0</v>
      </c>
      <c r="H2172" s="7">
        <v>2345.9</v>
      </c>
      <c r="I2172">
        <v>4</v>
      </c>
      <c r="J2172" t="s">
        <v>13</v>
      </c>
      <c r="K2172" s="13">
        <f>ROUND(tblTransactions[[#This Row],[gross_sales_inr]]*(1-tblTransactions[[#This Row],[discount_pct]]),2)</f>
        <v>2345.9</v>
      </c>
      <c r="L2172" t="str">
        <f>IF(ABS(tblTransactions[[#This Row],[net_sales_inr]]-tblTransactions[[#This Row],[Recalc_Net_Sales]])&lt;0.02,"OK","CHECK")</f>
        <v>OK</v>
      </c>
      <c r="M2172" s="14">
        <f>DATE(YEAR(tblTransactions[[#This Row],[date]]),MONTH(tblTransactions[[#This Row],[date]]),1)</f>
        <v>45689</v>
      </c>
      <c r="N2172" t="str">
        <f>IF(WEEKDAY(tblTransactions[[#This Row],[date]],2)&gt;5,"Weekend","Weekday")</f>
        <v>Weekend</v>
      </c>
      <c r="O2172" s="13" t="str">
        <f>IF(tblTransactions[[#This Row],[discount_pct]]=0,"0%",IF(tblTransactions[[#This Row],[discount_pct]]&lt;=10%,"1–
10%",IF(tblTransactions[[#This Row],[discount_pct]]&lt;=20%,"11–20%","&gt;20%")))</f>
        <v>0%</v>
      </c>
      <c r="P2172" s="13" t="str">
        <f>_xlfn.XLOOKUP(tblTransactions[[#This Row],[tenant_id]],tblTenants[tenant_id],tblTenants[zone],"NOT FOUND")</f>
        <v>Home &amp; Living</v>
      </c>
      <c r="Q2172" s="13" t="str">
        <f>_xlfn.XLOOKUP(tblTransactions[[#This Row],[tenant_id]],tblTenants[tenant_id],tblTenants[category],"NOT FOUND")</f>
        <v>Home Decor</v>
      </c>
    </row>
    <row r="2173" spans="1:17">
      <c r="A2173" t="s">
        <v>2217</v>
      </c>
      <c r="B2173" s="2">
        <v>45784</v>
      </c>
      <c r="C2173">
        <v>16</v>
      </c>
      <c r="D2173" t="s">
        <v>85</v>
      </c>
      <c r="E2173" t="s">
        <v>32</v>
      </c>
      <c r="F2173" s="7">
        <v>776.11</v>
      </c>
      <c r="G2173" s="10">
        <v>0</v>
      </c>
      <c r="H2173" s="7">
        <v>776.11</v>
      </c>
      <c r="I2173">
        <v>1</v>
      </c>
      <c r="J2173" t="s">
        <v>16</v>
      </c>
      <c r="K2173" s="13">
        <f>ROUND(tblTransactions[[#This Row],[gross_sales_inr]]*(1-tblTransactions[[#This Row],[discount_pct]]),2)</f>
        <v>776.11</v>
      </c>
      <c r="L2173" t="str">
        <f>IF(ABS(tblTransactions[[#This Row],[net_sales_inr]]-tblTransactions[[#This Row],[Recalc_Net_Sales]])&lt;0.02,"OK","CHECK")</f>
        <v>OK</v>
      </c>
      <c r="M2173" s="14">
        <f>DATE(YEAR(tblTransactions[[#This Row],[date]]),MONTH(tblTransactions[[#This Row],[date]]),1)</f>
        <v>45778</v>
      </c>
      <c r="N2173" t="str">
        <f>IF(WEEKDAY(tblTransactions[[#This Row],[date]],2)&gt;5,"Weekend","Weekday")</f>
        <v>Weekday</v>
      </c>
      <c r="O2173" s="13" t="str">
        <f>IF(tblTransactions[[#This Row],[discount_pct]]=0,"0%",IF(tblTransactions[[#This Row],[discount_pct]]&lt;=10%,"1–
10%",IF(tblTransactions[[#This Row],[discount_pct]]&lt;=20%,"11–20%","&gt;20%")))</f>
        <v>0%</v>
      </c>
      <c r="P2173" s="13" t="str">
        <f>_xlfn.XLOOKUP(tblTransactions[[#This Row],[tenant_id]],tblTenants[tenant_id],tblTenants[zone],"NOT FOUND")</f>
        <v>Home &amp; Living</v>
      </c>
      <c r="Q2173" s="13" t="str">
        <f>_xlfn.XLOOKUP(tblTransactions[[#This Row],[tenant_id]],tblTenants[tenant_id],tblTenants[category],"NOT FOUND")</f>
        <v>Electronics</v>
      </c>
    </row>
    <row r="2174" spans="1:17">
      <c r="A2174" t="s">
        <v>2218</v>
      </c>
      <c r="B2174" s="2">
        <v>45825</v>
      </c>
      <c r="C2174">
        <v>16</v>
      </c>
      <c r="D2174" t="s">
        <v>53</v>
      </c>
      <c r="E2174" t="s">
        <v>12</v>
      </c>
      <c r="F2174" s="7">
        <v>756.59</v>
      </c>
      <c r="G2174" s="10">
        <v>0</v>
      </c>
      <c r="H2174" s="7">
        <v>756.59</v>
      </c>
      <c r="I2174">
        <v>2</v>
      </c>
      <c r="J2174" t="s">
        <v>16</v>
      </c>
      <c r="K2174" s="13">
        <f>ROUND(tblTransactions[[#This Row],[gross_sales_inr]]*(1-tblTransactions[[#This Row],[discount_pct]]),2)</f>
        <v>756.59</v>
      </c>
      <c r="L2174" t="str">
        <f>IF(ABS(tblTransactions[[#This Row],[net_sales_inr]]-tblTransactions[[#This Row],[Recalc_Net_Sales]])&lt;0.02,"OK","CHECK")</f>
        <v>OK</v>
      </c>
      <c r="M2174" s="14">
        <f>DATE(YEAR(tblTransactions[[#This Row],[date]]),MONTH(tblTransactions[[#This Row],[date]]),1)</f>
        <v>45809</v>
      </c>
      <c r="N2174" t="str">
        <f>IF(WEEKDAY(tblTransactions[[#This Row],[date]],2)&gt;5,"Weekend","Weekday")</f>
        <v>Weekday</v>
      </c>
      <c r="O2174" s="13" t="str">
        <f>IF(tblTransactions[[#This Row],[discount_pct]]=0,"0%",IF(tblTransactions[[#This Row],[discount_pct]]&lt;=10%,"1–
10%",IF(tblTransactions[[#This Row],[discount_pct]]&lt;=20%,"11–20%","&gt;20%")))</f>
        <v>0%</v>
      </c>
      <c r="P2174" s="13" t="str">
        <f>_xlfn.XLOOKUP(tblTransactions[[#This Row],[tenant_id]],tblTenants[tenant_id],tblTenants[zone],"NOT FOUND")</f>
        <v>Beauty &amp; Wellness</v>
      </c>
      <c r="Q2174" s="13" t="str">
        <f>_xlfn.XLOOKUP(tblTransactions[[#This Row],[tenant_id]],tblTenants[tenant_id],tblTenants[category],"NOT FOUND")</f>
        <v>Beauty</v>
      </c>
    </row>
    <row r="2175" spans="1:17">
      <c r="A2175" t="s">
        <v>2219</v>
      </c>
      <c r="B2175" s="2">
        <v>45828</v>
      </c>
      <c r="C2175">
        <v>15</v>
      </c>
      <c r="D2175" t="s">
        <v>20</v>
      </c>
      <c r="E2175" t="s">
        <v>12</v>
      </c>
      <c r="F2175" s="7">
        <v>2051.23</v>
      </c>
      <c r="G2175" s="10">
        <v>0.1</v>
      </c>
      <c r="H2175" s="7">
        <v>1846.11</v>
      </c>
      <c r="I2175">
        <v>1</v>
      </c>
      <c r="J2175" t="s">
        <v>16</v>
      </c>
      <c r="K2175" s="13">
        <f>ROUND(tblTransactions[[#This Row],[gross_sales_inr]]*(1-tblTransactions[[#This Row],[discount_pct]]),2)</f>
        <v>1846.11</v>
      </c>
      <c r="L2175" t="str">
        <f>IF(ABS(tblTransactions[[#This Row],[net_sales_inr]]-tblTransactions[[#This Row],[Recalc_Net_Sales]])&lt;0.02,"OK","CHECK")</f>
        <v>OK</v>
      </c>
      <c r="M2175" s="14">
        <f>DATE(YEAR(tblTransactions[[#This Row],[date]]),MONTH(tblTransactions[[#This Row],[date]]),1)</f>
        <v>45809</v>
      </c>
      <c r="N2175" t="str">
        <f>IF(WEEKDAY(tblTransactions[[#This Row],[date]],2)&gt;5,"Weekend","Weekday")</f>
        <v>Weekday</v>
      </c>
      <c r="O217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75" s="13" t="str">
        <f>_xlfn.XLOOKUP(tblTransactions[[#This Row],[tenant_id]],tblTenants[tenant_id],tblTenants[zone],"NOT FOUND")</f>
        <v>Fashion Avenue</v>
      </c>
      <c r="Q2175" s="13" t="str">
        <f>_xlfn.XLOOKUP(tblTransactions[[#This Row],[tenant_id]],tblTenants[tenant_id],tblTenants[category],"NOT FOUND")</f>
        <v>Accessories</v>
      </c>
    </row>
    <row r="2176" spans="1:17">
      <c r="A2176" t="s">
        <v>2220</v>
      </c>
      <c r="B2176" s="2">
        <v>45743</v>
      </c>
      <c r="C2176">
        <v>11</v>
      </c>
      <c r="D2176" t="s">
        <v>11</v>
      </c>
      <c r="E2176" t="s">
        <v>21</v>
      </c>
      <c r="F2176" s="7">
        <v>975.29</v>
      </c>
      <c r="G2176" s="10">
        <v>0</v>
      </c>
      <c r="H2176" s="7">
        <v>975.29</v>
      </c>
      <c r="I2176">
        <v>5</v>
      </c>
      <c r="J2176" t="s">
        <v>13</v>
      </c>
      <c r="K2176" s="13">
        <f>ROUND(tblTransactions[[#This Row],[gross_sales_inr]]*(1-tblTransactions[[#This Row],[discount_pct]]),2)</f>
        <v>975.29</v>
      </c>
      <c r="L2176" t="str">
        <f>IF(ABS(tblTransactions[[#This Row],[net_sales_inr]]-tblTransactions[[#This Row],[Recalc_Net_Sales]])&lt;0.02,"OK","CHECK")</f>
        <v>OK</v>
      </c>
      <c r="M2176" s="14">
        <f>DATE(YEAR(tblTransactions[[#This Row],[date]]),MONTH(tblTransactions[[#This Row],[date]]),1)</f>
        <v>45717</v>
      </c>
      <c r="N2176" t="str">
        <f>IF(WEEKDAY(tblTransactions[[#This Row],[date]],2)&gt;5,"Weekend","Weekday")</f>
        <v>Weekday</v>
      </c>
      <c r="O2176" s="13" t="str">
        <f>IF(tblTransactions[[#This Row],[discount_pct]]=0,"0%",IF(tblTransactions[[#This Row],[discount_pct]]&lt;=10%,"1–
10%",IF(tblTransactions[[#This Row],[discount_pct]]&lt;=20%,"11–20%","&gt;20%")))</f>
        <v>0%</v>
      </c>
      <c r="P2176" s="13" t="str">
        <f>_xlfn.XLOOKUP(tblTransactions[[#This Row],[tenant_id]],tblTenants[tenant_id],tblTenants[zone],"NOT FOUND")</f>
        <v>Home &amp; Living</v>
      </c>
      <c r="Q2176" s="13" t="str">
        <f>_xlfn.XLOOKUP(tblTransactions[[#This Row],[tenant_id]],tblTenants[tenant_id],tblTenants[category],"NOT FOUND")</f>
        <v>Home Decor</v>
      </c>
    </row>
    <row r="2177" spans="1:17">
      <c r="A2177" t="s">
        <v>2221</v>
      </c>
      <c r="B2177" s="2">
        <v>45783</v>
      </c>
      <c r="C2177">
        <v>16</v>
      </c>
      <c r="D2177" t="s">
        <v>98</v>
      </c>
      <c r="E2177" t="s">
        <v>12</v>
      </c>
      <c r="F2177" s="7">
        <v>1325.37</v>
      </c>
      <c r="G2177" s="10">
        <v>0.2</v>
      </c>
      <c r="H2177" s="7">
        <v>1060.3</v>
      </c>
      <c r="I2177">
        <v>2</v>
      </c>
      <c r="J2177" t="s">
        <v>16</v>
      </c>
      <c r="K2177" s="13">
        <f>ROUND(tblTransactions[[#This Row],[gross_sales_inr]]*(1-tblTransactions[[#This Row],[discount_pct]]),2)</f>
        <v>1060.3</v>
      </c>
      <c r="L2177" t="str">
        <f>IF(ABS(tblTransactions[[#This Row],[net_sales_inr]]-tblTransactions[[#This Row],[Recalc_Net_Sales]])&lt;0.02,"OK","CHECK")</f>
        <v>OK</v>
      </c>
      <c r="M2177" s="14">
        <f>DATE(YEAR(tblTransactions[[#This Row],[date]]),MONTH(tblTransactions[[#This Row],[date]]),1)</f>
        <v>45778</v>
      </c>
      <c r="N2177" t="str">
        <f>IF(WEEKDAY(tblTransactions[[#This Row],[date]],2)&gt;5,"Weekend","Weekday")</f>
        <v>Weekday</v>
      </c>
      <c r="O217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77" s="13" t="str">
        <f>_xlfn.XLOOKUP(tblTransactions[[#This Row],[tenant_id]],tblTenants[tenant_id],tblTenants[zone],"NOT FOUND")</f>
        <v>Fashion Avenue</v>
      </c>
      <c r="Q2177" s="13" t="str">
        <f>_xlfn.XLOOKUP(tblTransactions[[#This Row],[tenant_id]],tblTenants[tenant_id],tblTenants[category],"NOT FOUND")</f>
        <v>Accessories</v>
      </c>
    </row>
    <row r="2178" spans="1:17">
      <c r="A2178" t="s">
        <v>2222</v>
      </c>
      <c r="B2178" s="2">
        <v>45670</v>
      </c>
      <c r="C2178">
        <v>17</v>
      </c>
      <c r="D2178" t="s">
        <v>53</v>
      </c>
      <c r="E2178" t="s">
        <v>51</v>
      </c>
      <c r="F2178" s="7">
        <v>716.69</v>
      </c>
      <c r="G2178" s="10">
        <v>0.15</v>
      </c>
      <c r="H2178" s="7">
        <v>609.19000000000005</v>
      </c>
      <c r="I2178">
        <v>1</v>
      </c>
      <c r="J2178" t="s">
        <v>16</v>
      </c>
      <c r="K2178" s="13">
        <f>ROUND(tblTransactions[[#This Row],[gross_sales_inr]]*(1-tblTransactions[[#This Row],[discount_pct]]),2)</f>
        <v>609.19000000000005</v>
      </c>
      <c r="L2178" t="str">
        <f>IF(ABS(tblTransactions[[#This Row],[net_sales_inr]]-tblTransactions[[#This Row],[Recalc_Net_Sales]])&lt;0.02,"OK","CHECK")</f>
        <v>OK</v>
      </c>
      <c r="M2178" s="14">
        <f>DATE(YEAR(tblTransactions[[#This Row],[date]]),MONTH(tblTransactions[[#This Row],[date]]),1)</f>
        <v>45658</v>
      </c>
      <c r="N2178" t="str">
        <f>IF(WEEKDAY(tblTransactions[[#This Row],[date]],2)&gt;5,"Weekend","Weekday")</f>
        <v>Weekday</v>
      </c>
      <c r="O217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78" s="13" t="str">
        <f>_xlfn.XLOOKUP(tblTransactions[[#This Row],[tenant_id]],tblTenants[tenant_id],tblTenants[zone],"NOT FOUND")</f>
        <v>Beauty &amp; Wellness</v>
      </c>
      <c r="Q2178" s="13" t="str">
        <f>_xlfn.XLOOKUP(tblTransactions[[#This Row],[tenant_id]],tblTenants[tenant_id],tblTenants[category],"NOT FOUND")</f>
        <v>Beauty</v>
      </c>
    </row>
    <row r="2179" spans="1:17">
      <c r="A2179" t="s">
        <v>2223</v>
      </c>
      <c r="B2179" s="2">
        <v>45711</v>
      </c>
      <c r="C2179">
        <v>18</v>
      </c>
      <c r="D2179" t="s">
        <v>98</v>
      </c>
      <c r="E2179" t="s">
        <v>12</v>
      </c>
      <c r="F2179" s="7">
        <v>1939.32</v>
      </c>
      <c r="G2179" s="10">
        <v>0.2</v>
      </c>
      <c r="H2179" s="7">
        <v>1551.46</v>
      </c>
      <c r="I2179">
        <v>2</v>
      </c>
      <c r="J2179" t="s">
        <v>13</v>
      </c>
      <c r="K2179" s="13">
        <f>ROUND(tblTransactions[[#This Row],[gross_sales_inr]]*(1-tblTransactions[[#This Row],[discount_pct]]),2)</f>
        <v>1551.46</v>
      </c>
      <c r="L2179" t="str">
        <f>IF(ABS(tblTransactions[[#This Row],[net_sales_inr]]-tblTransactions[[#This Row],[Recalc_Net_Sales]])&lt;0.02,"OK","CHECK")</f>
        <v>OK</v>
      </c>
      <c r="M2179" s="14">
        <f>DATE(YEAR(tblTransactions[[#This Row],[date]]),MONTH(tblTransactions[[#This Row],[date]]),1)</f>
        <v>45689</v>
      </c>
      <c r="N2179" t="str">
        <f>IF(WEEKDAY(tblTransactions[[#This Row],[date]],2)&gt;5,"Weekend","Weekday")</f>
        <v>Weekend</v>
      </c>
      <c r="O217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79" s="13" t="str">
        <f>_xlfn.XLOOKUP(tblTransactions[[#This Row],[tenant_id]],tblTenants[tenant_id],tblTenants[zone],"NOT FOUND")</f>
        <v>Fashion Avenue</v>
      </c>
      <c r="Q2179" s="13" t="str">
        <f>_xlfn.XLOOKUP(tblTransactions[[#This Row],[tenant_id]],tblTenants[tenant_id],tblTenants[category],"NOT FOUND")</f>
        <v>Accessories</v>
      </c>
    </row>
    <row r="2180" spans="1:17">
      <c r="A2180" t="s">
        <v>2224</v>
      </c>
      <c r="B2180" s="2">
        <v>45739</v>
      </c>
      <c r="C2180">
        <v>18</v>
      </c>
      <c r="D2180" t="s">
        <v>41</v>
      </c>
      <c r="E2180" t="s">
        <v>12</v>
      </c>
      <c r="F2180" s="7">
        <v>760.82</v>
      </c>
      <c r="G2180" s="10">
        <v>0</v>
      </c>
      <c r="H2180" s="7">
        <v>760.82</v>
      </c>
      <c r="I2180">
        <v>3</v>
      </c>
      <c r="J2180" t="s">
        <v>13</v>
      </c>
      <c r="K2180" s="13">
        <f>ROUND(tblTransactions[[#This Row],[gross_sales_inr]]*(1-tblTransactions[[#This Row],[discount_pct]]),2)</f>
        <v>760.82</v>
      </c>
      <c r="L2180" t="str">
        <f>IF(ABS(tblTransactions[[#This Row],[net_sales_inr]]-tblTransactions[[#This Row],[Recalc_Net_Sales]])&lt;0.02,"OK","CHECK")</f>
        <v>OK</v>
      </c>
      <c r="M2180" s="14">
        <f>DATE(YEAR(tblTransactions[[#This Row],[date]]),MONTH(tblTransactions[[#This Row],[date]]),1)</f>
        <v>45717</v>
      </c>
      <c r="N2180" t="str">
        <f>IF(WEEKDAY(tblTransactions[[#This Row],[date]],2)&gt;5,"Weekend","Weekday")</f>
        <v>Weekend</v>
      </c>
      <c r="O2180" s="13" t="str">
        <f>IF(tblTransactions[[#This Row],[discount_pct]]=0,"0%",IF(tblTransactions[[#This Row],[discount_pct]]&lt;=10%,"1–
10%",IF(tblTransactions[[#This Row],[discount_pct]]&lt;=20%,"11–20%","&gt;20%")))</f>
        <v>0%</v>
      </c>
      <c r="P2180" s="13" t="str">
        <f>_xlfn.XLOOKUP(tblTransactions[[#This Row],[tenant_id]],tblTenants[tenant_id],tblTenants[zone],"NOT FOUND")</f>
        <v>Fashion Avenue</v>
      </c>
      <c r="Q2180" s="13" t="str">
        <f>_xlfn.XLOOKUP(tblTransactions[[#This Row],[tenant_id]],tblTenants[tenant_id],tblTenants[category],"NOT FOUND")</f>
        <v>Clothing</v>
      </c>
    </row>
    <row r="2181" spans="1:17">
      <c r="A2181" t="s">
        <v>2225</v>
      </c>
      <c r="B2181" s="2">
        <v>45693</v>
      </c>
      <c r="C2181">
        <v>12</v>
      </c>
      <c r="D2181" t="s">
        <v>80</v>
      </c>
      <c r="E2181" t="s">
        <v>32</v>
      </c>
      <c r="F2181" s="7">
        <v>1357.57</v>
      </c>
      <c r="G2181" s="10">
        <v>0.2</v>
      </c>
      <c r="H2181" s="7">
        <v>1086.06</v>
      </c>
      <c r="I2181">
        <v>2</v>
      </c>
      <c r="J2181" t="s">
        <v>16</v>
      </c>
      <c r="K2181" s="13">
        <f>ROUND(tblTransactions[[#This Row],[gross_sales_inr]]*(1-tblTransactions[[#This Row],[discount_pct]]),2)</f>
        <v>1086.06</v>
      </c>
      <c r="L2181" t="str">
        <f>IF(ABS(tblTransactions[[#This Row],[net_sales_inr]]-tblTransactions[[#This Row],[Recalc_Net_Sales]])&lt;0.02,"OK","CHECK")</f>
        <v>OK</v>
      </c>
      <c r="M2181" s="14">
        <f>DATE(YEAR(tblTransactions[[#This Row],[date]]),MONTH(tblTransactions[[#This Row],[date]]),1)</f>
        <v>45689</v>
      </c>
      <c r="N2181" t="str">
        <f>IF(WEEKDAY(tblTransactions[[#This Row],[date]],2)&gt;5,"Weekend","Weekday")</f>
        <v>Weekday</v>
      </c>
      <c r="O218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81" s="13" t="str">
        <f>_xlfn.XLOOKUP(tblTransactions[[#This Row],[tenant_id]],tblTenants[tenant_id],tblTenants[zone],"NOT FOUND")</f>
        <v>Food Court</v>
      </c>
      <c r="Q2181" s="13" t="str">
        <f>_xlfn.XLOOKUP(tblTransactions[[#This Row],[tenant_id]],tblTenants[tenant_id],tblTenants[category],"NOT FOUND")</f>
        <v>Casual Dining</v>
      </c>
    </row>
    <row r="2182" spans="1:17">
      <c r="A2182" t="s">
        <v>2226</v>
      </c>
      <c r="B2182" s="2">
        <v>45794</v>
      </c>
      <c r="C2182">
        <v>22</v>
      </c>
      <c r="D2182" t="s">
        <v>53</v>
      </c>
      <c r="E2182" t="s">
        <v>12</v>
      </c>
      <c r="F2182" s="7">
        <v>2957.53</v>
      </c>
      <c r="G2182" s="10">
        <v>0</v>
      </c>
      <c r="H2182" s="7">
        <v>2957.53</v>
      </c>
      <c r="I2182">
        <v>1</v>
      </c>
      <c r="J2182" t="s">
        <v>16</v>
      </c>
      <c r="K2182" s="13">
        <f>ROUND(tblTransactions[[#This Row],[gross_sales_inr]]*(1-tblTransactions[[#This Row],[discount_pct]]),2)</f>
        <v>2957.53</v>
      </c>
      <c r="L2182" t="str">
        <f>IF(ABS(tblTransactions[[#This Row],[net_sales_inr]]-tblTransactions[[#This Row],[Recalc_Net_Sales]])&lt;0.02,"OK","CHECK")</f>
        <v>OK</v>
      </c>
      <c r="M2182" s="14">
        <f>DATE(YEAR(tblTransactions[[#This Row],[date]]),MONTH(tblTransactions[[#This Row],[date]]),1)</f>
        <v>45778</v>
      </c>
      <c r="N2182" t="str">
        <f>IF(WEEKDAY(tblTransactions[[#This Row],[date]],2)&gt;5,"Weekend","Weekday")</f>
        <v>Weekend</v>
      </c>
      <c r="O2182" s="13" t="str">
        <f>IF(tblTransactions[[#This Row],[discount_pct]]=0,"0%",IF(tblTransactions[[#This Row],[discount_pct]]&lt;=10%,"1–
10%",IF(tblTransactions[[#This Row],[discount_pct]]&lt;=20%,"11–20%","&gt;20%")))</f>
        <v>0%</v>
      </c>
      <c r="P2182" s="13" t="str">
        <f>_xlfn.XLOOKUP(tblTransactions[[#This Row],[tenant_id]],tblTenants[tenant_id],tblTenants[zone],"NOT FOUND")</f>
        <v>Beauty &amp; Wellness</v>
      </c>
      <c r="Q2182" s="13" t="str">
        <f>_xlfn.XLOOKUP(tblTransactions[[#This Row],[tenant_id]],tblTenants[tenant_id],tblTenants[category],"NOT FOUND")</f>
        <v>Beauty</v>
      </c>
    </row>
    <row r="2183" spans="1:17">
      <c r="A2183" t="s">
        <v>2227</v>
      </c>
      <c r="B2183" s="2">
        <v>45674</v>
      </c>
      <c r="C2183">
        <v>12</v>
      </c>
      <c r="D2183" t="s">
        <v>15</v>
      </c>
      <c r="E2183" t="s">
        <v>32</v>
      </c>
      <c r="F2183" s="7">
        <v>2122.0500000000002</v>
      </c>
      <c r="G2183" s="10">
        <v>0</v>
      </c>
      <c r="H2183" s="7">
        <v>2122.0500000000002</v>
      </c>
      <c r="I2183">
        <v>2</v>
      </c>
      <c r="J2183" t="s">
        <v>13</v>
      </c>
      <c r="K2183" s="13">
        <f>ROUND(tblTransactions[[#This Row],[gross_sales_inr]]*(1-tblTransactions[[#This Row],[discount_pct]]),2)</f>
        <v>2122.0500000000002</v>
      </c>
      <c r="L2183" t="str">
        <f>IF(ABS(tblTransactions[[#This Row],[net_sales_inr]]-tblTransactions[[#This Row],[Recalc_Net_Sales]])&lt;0.02,"OK","CHECK")</f>
        <v>OK</v>
      </c>
      <c r="M2183" s="14">
        <f>DATE(YEAR(tblTransactions[[#This Row],[date]]),MONTH(tblTransactions[[#This Row],[date]]),1)</f>
        <v>45658</v>
      </c>
      <c r="N2183" t="str">
        <f>IF(WEEKDAY(tblTransactions[[#This Row],[date]],2)&gt;5,"Weekend","Weekday")</f>
        <v>Weekday</v>
      </c>
      <c r="O2183" s="13" t="str">
        <f>IF(tblTransactions[[#This Row],[discount_pct]]=0,"0%",IF(tblTransactions[[#This Row],[discount_pct]]&lt;=10%,"1–
10%",IF(tblTransactions[[#This Row],[discount_pct]]&lt;=20%,"11–20%","&gt;20%")))</f>
        <v>0%</v>
      </c>
      <c r="P2183" s="13" t="str">
        <f>_xlfn.XLOOKUP(tblTransactions[[#This Row],[tenant_id]],tblTenants[tenant_id],tblTenants[zone],"NOT FOUND")</f>
        <v>Fashion Avenue</v>
      </c>
      <c r="Q2183" s="13" t="str">
        <f>_xlfn.XLOOKUP(tblTransactions[[#This Row],[tenant_id]],tblTenants[tenant_id],tblTenants[category],"NOT FOUND")</f>
        <v>Accessories</v>
      </c>
    </row>
    <row r="2184" spans="1:17">
      <c r="A2184" t="s">
        <v>2228</v>
      </c>
      <c r="B2184" s="2">
        <v>45773</v>
      </c>
      <c r="C2184">
        <v>19</v>
      </c>
      <c r="D2184" t="s">
        <v>31</v>
      </c>
      <c r="E2184" t="s">
        <v>12</v>
      </c>
      <c r="F2184" s="7">
        <v>993.14</v>
      </c>
      <c r="G2184" s="10">
        <v>0.2</v>
      </c>
      <c r="H2184" s="7">
        <v>794.51</v>
      </c>
      <c r="I2184">
        <v>1</v>
      </c>
      <c r="J2184" t="s">
        <v>13</v>
      </c>
      <c r="K2184" s="13">
        <f>ROUND(tblTransactions[[#This Row],[gross_sales_inr]]*(1-tblTransactions[[#This Row],[discount_pct]]),2)</f>
        <v>794.51</v>
      </c>
      <c r="L2184" t="str">
        <f>IF(ABS(tblTransactions[[#This Row],[net_sales_inr]]-tblTransactions[[#This Row],[Recalc_Net_Sales]])&lt;0.02,"OK","CHECK")</f>
        <v>OK</v>
      </c>
      <c r="M2184" s="14">
        <f>DATE(YEAR(tblTransactions[[#This Row],[date]]),MONTH(tblTransactions[[#This Row],[date]]),1)</f>
        <v>45748</v>
      </c>
      <c r="N2184" t="str">
        <f>IF(WEEKDAY(tblTransactions[[#This Row],[date]],2)&gt;5,"Weekend","Weekday")</f>
        <v>Weekend</v>
      </c>
      <c r="O218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84" s="13" t="str">
        <f>_xlfn.XLOOKUP(tblTransactions[[#This Row],[tenant_id]],tblTenants[tenant_id],tblTenants[zone],"NOT FOUND")</f>
        <v>Entertainment</v>
      </c>
      <c r="Q2184" s="13" t="str">
        <f>_xlfn.XLOOKUP(tblTransactions[[#This Row],[tenant_id]],tblTenants[tenant_id],tblTenants[category],"NOT FOUND")</f>
        <v>Arcade</v>
      </c>
    </row>
    <row r="2185" spans="1:17">
      <c r="A2185" t="s">
        <v>2229</v>
      </c>
      <c r="B2185" s="2">
        <v>45830</v>
      </c>
      <c r="C2185">
        <v>11</v>
      </c>
      <c r="D2185" t="s">
        <v>70</v>
      </c>
      <c r="E2185" t="s">
        <v>32</v>
      </c>
      <c r="F2185" s="7">
        <v>670.93</v>
      </c>
      <c r="G2185" s="10">
        <v>0</v>
      </c>
      <c r="H2185" s="7">
        <v>670.93</v>
      </c>
      <c r="I2185">
        <v>4</v>
      </c>
      <c r="J2185" t="s">
        <v>16</v>
      </c>
      <c r="K2185" s="13">
        <f>ROUND(tblTransactions[[#This Row],[gross_sales_inr]]*(1-tblTransactions[[#This Row],[discount_pct]]),2)</f>
        <v>670.93</v>
      </c>
      <c r="L2185" t="str">
        <f>IF(ABS(tblTransactions[[#This Row],[net_sales_inr]]-tblTransactions[[#This Row],[Recalc_Net_Sales]])&lt;0.02,"OK","CHECK")</f>
        <v>OK</v>
      </c>
      <c r="M2185" s="14">
        <f>DATE(YEAR(tblTransactions[[#This Row],[date]]),MONTH(tblTransactions[[#This Row],[date]]),1)</f>
        <v>45809</v>
      </c>
      <c r="N2185" t="str">
        <f>IF(WEEKDAY(tblTransactions[[#This Row],[date]],2)&gt;5,"Weekend","Weekday")</f>
        <v>Weekend</v>
      </c>
      <c r="O2185" s="13" t="str">
        <f>IF(tblTransactions[[#This Row],[discount_pct]]=0,"0%",IF(tblTransactions[[#This Row],[discount_pct]]&lt;=10%,"1–
10%",IF(tblTransactions[[#This Row],[discount_pct]]&lt;=20%,"11–20%","&gt;20%")))</f>
        <v>0%</v>
      </c>
      <c r="P2185" s="13" t="str">
        <f>_xlfn.XLOOKUP(tblTransactions[[#This Row],[tenant_id]],tblTenants[tenant_id],tblTenants[zone],"NOT FOUND")</f>
        <v>Food Court</v>
      </c>
      <c r="Q2185" s="13" t="str">
        <f>_xlfn.XLOOKUP(tblTransactions[[#This Row],[tenant_id]],tblTenants[tenant_id],tblTenants[category],"NOT FOUND")</f>
        <v>Quick Service</v>
      </c>
    </row>
    <row r="2186" spans="1:17">
      <c r="A2186" t="s">
        <v>2230</v>
      </c>
      <c r="B2186" s="2">
        <v>45822</v>
      </c>
      <c r="C2186">
        <v>17</v>
      </c>
      <c r="D2186" t="s">
        <v>85</v>
      </c>
      <c r="E2186" t="s">
        <v>12</v>
      </c>
      <c r="F2186" s="7">
        <v>1410.6</v>
      </c>
      <c r="G2186" s="10">
        <v>0</v>
      </c>
      <c r="H2186" s="7">
        <v>1410.6</v>
      </c>
      <c r="I2186">
        <v>5</v>
      </c>
      <c r="J2186" t="s">
        <v>13</v>
      </c>
      <c r="K2186" s="13">
        <f>ROUND(tblTransactions[[#This Row],[gross_sales_inr]]*(1-tblTransactions[[#This Row],[discount_pct]]),2)</f>
        <v>1410.6</v>
      </c>
      <c r="L2186" t="str">
        <f>IF(ABS(tblTransactions[[#This Row],[net_sales_inr]]-tblTransactions[[#This Row],[Recalc_Net_Sales]])&lt;0.02,"OK","CHECK")</f>
        <v>OK</v>
      </c>
      <c r="M2186" s="14">
        <f>DATE(YEAR(tblTransactions[[#This Row],[date]]),MONTH(tblTransactions[[#This Row],[date]]),1)</f>
        <v>45809</v>
      </c>
      <c r="N2186" t="str">
        <f>IF(WEEKDAY(tblTransactions[[#This Row],[date]],2)&gt;5,"Weekend","Weekday")</f>
        <v>Weekend</v>
      </c>
      <c r="O2186" s="13" t="str">
        <f>IF(tblTransactions[[#This Row],[discount_pct]]=0,"0%",IF(tblTransactions[[#This Row],[discount_pct]]&lt;=10%,"1–
10%",IF(tblTransactions[[#This Row],[discount_pct]]&lt;=20%,"11–20%","&gt;20%")))</f>
        <v>0%</v>
      </c>
      <c r="P2186" s="13" t="str">
        <f>_xlfn.XLOOKUP(tblTransactions[[#This Row],[tenant_id]],tblTenants[tenant_id],tblTenants[zone],"NOT FOUND")</f>
        <v>Home &amp; Living</v>
      </c>
      <c r="Q2186" s="13" t="str">
        <f>_xlfn.XLOOKUP(tblTransactions[[#This Row],[tenant_id]],tblTenants[tenant_id],tblTenants[category],"NOT FOUND")</f>
        <v>Electronics</v>
      </c>
    </row>
    <row r="2187" spans="1:17">
      <c r="A2187" t="s">
        <v>2231</v>
      </c>
      <c r="B2187" s="2">
        <v>45731</v>
      </c>
      <c r="C2187">
        <v>18</v>
      </c>
      <c r="D2187" t="s">
        <v>204</v>
      </c>
      <c r="E2187" t="s">
        <v>51</v>
      </c>
      <c r="F2187" s="7">
        <v>2094.04</v>
      </c>
      <c r="G2187" s="10">
        <v>0</v>
      </c>
      <c r="H2187" s="7">
        <v>2094.04</v>
      </c>
      <c r="I2187">
        <v>5</v>
      </c>
      <c r="J2187" t="s">
        <v>13</v>
      </c>
      <c r="K2187" s="13">
        <f>ROUND(tblTransactions[[#This Row],[gross_sales_inr]]*(1-tblTransactions[[#This Row],[discount_pct]]),2)</f>
        <v>2094.04</v>
      </c>
      <c r="L2187" t="str">
        <f>IF(ABS(tblTransactions[[#This Row],[net_sales_inr]]-tblTransactions[[#This Row],[Recalc_Net_Sales]])&lt;0.02,"OK","CHECK")</f>
        <v>OK</v>
      </c>
      <c r="M2187" s="14">
        <f>DATE(YEAR(tblTransactions[[#This Row],[date]]),MONTH(tblTransactions[[#This Row],[date]]),1)</f>
        <v>45717</v>
      </c>
      <c r="N2187" t="str">
        <f>IF(WEEKDAY(tblTransactions[[#This Row],[date]],2)&gt;5,"Weekend","Weekday")</f>
        <v>Weekend</v>
      </c>
      <c r="O2187" s="13" t="str">
        <f>IF(tblTransactions[[#This Row],[discount_pct]]=0,"0%",IF(tblTransactions[[#This Row],[discount_pct]]&lt;=10%,"1–
10%",IF(tblTransactions[[#This Row],[discount_pct]]&lt;=20%,"11–20%","&gt;20%")))</f>
        <v>0%</v>
      </c>
      <c r="P2187" s="13" t="str">
        <f>_xlfn.XLOOKUP(tblTransactions[[#This Row],[tenant_id]],tblTenants[tenant_id],tblTenants[zone],"NOT FOUND")</f>
        <v>Home &amp; Living</v>
      </c>
      <c r="Q2187" s="13" t="str">
        <f>_xlfn.XLOOKUP(tblTransactions[[#This Row],[tenant_id]],tblTenants[tenant_id],tblTenants[category],"NOT FOUND")</f>
        <v>Home Decor</v>
      </c>
    </row>
    <row r="2188" spans="1:17">
      <c r="A2188" t="s">
        <v>2232</v>
      </c>
      <c r="B2188" s="2">
        <v>45744</v>
      </c>
      <c r="C2188">
        <v>14</v>
      </c>
      <c r="D2188" t="s">
        <v>122</v>
      </c>
      <c r="E2188" t="s">
        <v>32</v>
      </c>
      <c r="F2188" s="7">
        <v>611.91999999999996</v>
      </c>
      <c r="G2188" s="10">
        <v>0</v>
      </c>
      <c r="H2188" s="7">
        <v>611.91999999999996</v>
      </c>
      <c r="I2188">
        <v>4</v>
      </c>
      <c r="J2188" t="s">
        <v>13</v>
      </c>
      <c r="K2188" s="13">
        <f>ROUND(tblTransactions[[#This Row],[gross_sales_inr]]*(1-tblTransactions[[#This Row],[discount_pct]]),2)</f>
        <v>611.91999999999996</v>
      </c>
      <c r="L2188" t="str">
        <f>IF(ABS(tblTransactions[[#This Row],[net_sales_inr]]-tblTransactions[[#This Row],[Recalc_Net_Sales]])&lt;0.02,"OK","CHECK")</f>
        <v>OK</v>
      </c>
      <c r="M2188" s="14">
        <f>DATE(YEAR(tblTransactions[[#This Row],[date]]),MONTH(tblTransactions[[#This Row],[date]]),1)</f>
        <v>45717</v>
      </c>
      <c r="N2188" t="str">
        <f>IF(WEEKDAY(tblTransactions[[#This Row],[date]],2)&gt;5,"Weekend","Weekday")</f>
        <v>Weekday</v>
      </c>
      <c r="O2188" s="13" t="str">
        <f>IF(tblTransactions[[#This Row],[discount_pct]]=0,"0%",IF(tblTransactions[[#This Row],[discount_pct]]&lt;=10%,"1–
10%",IF(tblTransactions[[#This Row],[discount_pct]]&lt;=20%,"11–20%","&gt;20%")))</f>
        <v>0%</v>
      </c>
      <c r="P2188" s="13" t="str">
        <f>_xlfn.XLOOKUP(tblTransactions[[#This Row],[tenant_id]],tblTenants[tenant_id],tblTenants[zone],"NOT FOUND")</f>
        <v>Beauty &amp; Wellness</v>
      </c>
      <c r="Q2188" s="13" t="str">
        <f>_xlfn.XLOOKUP(tblTransactions[[#This Row],[tenant_id]],tblTenants[tenant_id],tblTenants[category],"NOT FOUND")</f>
        <v>Wellness</v>
      </c>
    </row>
    <row r="2189" spans="1:17">
      <c r="A2189" t="s">
        <v>2233</v>
      </c>
      <c r="B2189" s="2">
        <v>45682</v>
      </c>
      <c r="C2189">
        <v>12</v>
      </c>
      <c r="D2189" t="s">
        <v>34</v>
      </c>
      <c r="E2189" t="s">
        <v>51</v>
      </c>
      <c r="F2189" s="7">
        <v>652.54</v>
      </c>
      <c r="G2189" s="10">
        <v>0</v>
      </c>
      <c r="H2189" s="7">
        <v>652.54</v>
      </c>
      <c r="I2189">
        <v>4</v>
      </c>
      <c r="J2189" t="s">
        <v>13</v>
      </c>
      <c r="K2189" s="13">
        <f>ROUND(tblTransactions[[#This Row],[gross_sales_inr]]*(1-tblTransactions[[#This Row],[discount_pct]]),2)</f>
        <v>652.54</v>
      </c>
      <c r="L2189" t="str">
        <f>IF(ABS(tblTransactions[[#This Row],[net_sales_inr]]-tblTransactions[[#This Row],[Recalc_Net_Sales]])&lt;0.02,"OK","CHECK")</f>
        <v>OK</v>
      </c>
      <c r="M2189" s="14">
        <f>DATE(YEAR(tblTransactions[[#This Row],[date]]),MONTH(tblTransactions[[#This Row],[date]]),1)</f>
        <v>45658</v>
      </c>
      <c r="N2189" t="str">
        <f>IF(WEEKDAY(tblTransactions[[#This Row],[date]],2)&gt;5,"Weekend","Weekday")</f>
        <v>Weekend</v>
      </c>
      <c r="O2189" s="13" t="str">
        <f>IF(tblTransactions[[#This Row],[discount_pct]]=0,"0%",IF(tblTransactions[[#This Row],[discount_pct]]&lt;=10%,"1–
10%",IF(tblTransactions[[#This Row],[discount_pct]]&lt;=20%,"11–20%","&gt;20%")))</f>
        <v>0%</v>
      </c>
      <c r="P2189" s="13" t="str">
        <f>_xlfn.XLOOKUP(tblTransactions[[#This Row],[tenant_id]],tblTenants[tenant_id],tblTenants[zone],"NOT FOUND")</f>
        <v>Home &amp; Living</v>
      </c>
      <c r="Q2189" s="13" t="str">
        <f>_xlfn.XLOOKUP(tblTransactions[[#This Row],[tenant_id]],tblTenants[tenant_id],tblTenants[category],"NOT FOUND")</f>
        <v>Electronics</v>
      </c>
    </row>
    <row r="2190" spans="1:17">
      <c r="A2190" t="s">
        <v>2234</v>
      </c>
      <c r="B2190" s="2">
        <v>45790</v>
      </c>
      <c r="C2190">
        <v>22</v>
      </c>
      <c r="D2190" t="s">
        <v>29</v>
      </c>
      <c r="E2190" t="s">
        <v>12</v>
      </c>
      <c r="F2190" s="7">
        <v>1833.73</v>
      </c>
      <c r="G2190" s="10">
        <v>0</v>
      </c>
      <c r="H2190" s="7">
        <v>1833.73</v>
      </c>
      <c r="I2190">
        <v>1</v>
      </c>
      <c r="J2190" t="s">
        <v>13</v>
      </c>
      <c r="K2190" s="13">
        <f>ROUND(tblTransactions[[#This Row],[gross_sales_inr]]*(1-tblTransactions[[#This Row],[discount_pct]]),2)</f>
        <v>1833.73</v>
      </c>
      <c r="L2190" t="str">
        <f>IF(ABS(tblTransactions[[#This Row],[net_sales_inr]]-tblTransactions[[#This Row],[Recalc_Net_Sales]])&lt;0.02,"OK","CHECK")</f>
        <v>OK</v>
      </c>
      <c r="M2190" s="14">
        <f>DATE(YEAR(tblTransactions[[#This Row],[date]]),MONTH(tblTransactions[[#This Row],[date]]),1)</f>
        <v>45778</v>
      </c>
      <c r="N2190" t="str">
        <f>IF(WEEKDAY(tblTransactions[[#This Row],[date]],2)&gt;5,"Weekend","Weekday")</f>
        <v>Weekday</v>
      </c>
      <c r="O2190" s="13" t="str">
        <f>IF(tblTransactions[[#This Row],[discount_pct]]=0,"0%",IF(tblTransactions[[#This Row],[discount_pct]]&lt;=10%,"1–
10%",IF(tblTransactions[[#This Row],[discount_pct]]&lt;=20%,"11–20%","&gt;20%")))</f>
        <v>0%</v>
      </c>
      <c r="P2190" s="13" t="str">
        <f>_xlfn.XLOOKUP(tblTransactions[[#This Row],[tenant_id]],tblTenants[tenant_id],tblTenants[zone],"NOT FOUND")</f>
        <v>Entertainment</v>
      </c>
      <c r="Q2190" s="13" t="str">
        <f>_xlfn.XLOOKUP(tblTransactions[[#This Row],[tenant_id]],tblTenants[tenant_id],tblTenants[category],"NOT FOUND")</f>
        <v>Cinema</v>
      </c>
    </row>
    <row r="2191" spans="1:17">
      <c r="A2191" t="s">
        <v>2235</v>
      </c>
      <c r="B2191" s="2">
        <v>45691</v>
      </c>
      <c r="C2191">
        <v>14</v>
      </c>
      <c r="D2191" t="s">
        <v>11</v>
      </c>
      <c r="E2191" t="s">
        <v>32</v>
      </c>
      <c r="F2191" s="7">
        <v>3139.44</v>
      </c>
      <c r="G2191" s="10">
        <v>0.1</v>
      </c>
      <c r="H2191" s="7">
        <v>2825.5</v>
      </c>
      <c r="I2191">
        <v>5</v>
      </c>
      <c r="J2191" t="s">
        <v>16</v>
      </c>
      <c r="K2191" s="13">
        <f>ROUND(tblTransactions[[#This Row],[gross_sales_inr]]*(1-tblTransactions[[#This Row],[discount_pct]]),2)</f>
        <v>2825.5</v>
      </c>
      <c r="L2191" t="str">
        <f>IF(ABS(tblTransactions[[#This Row],[net_sales_inr]]-tblTransactions[[#This Row],[Recalc_Net_Sales]])&lt;0.02,"OK","CHECK")</f>
        <v>OK</v>
      </c>
      <c r="M2191" s="14">
        <f>DATE(YEAR(tblTransactions[[#This Row],[date]]),MONTH(tblTransactions[[#This Row],[date]]),1)</f>
        <v>45689</v>
      </c>
      <c r="N2191" t="str">
        <f>IF(WEEKDAY(tblTransactions[[#This Row],[date]],2)&gt;5,"Weekend","Weekday")</f>
        <v>Weekday</v>
      </c>
      <c r="O219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91" s="13" t="str">
        <f>_xlfn.XLOOKUP(tblTransactions[[#This Row],[tenant_id]],tblTenants[tenant_id],tblTenants[zone],"NOT FOUND")</f>
        <v>Home &amp; Living</v>
      </c>
      <c r="Q2191" s="13" t="str">
        <f>_xlfn.XLOOKUP(tblTransactions[[#This Row],[tenant_id]],tblTenants[tenant_id],tblTenants[category],"NOT FOUND")</f>
        <v>Home Decor</v>
      </c>
    </row>
    <row r="2192" spans="1:17">
      <c r="A2192" t="s">
        <v>2236</v>
      </c>
      <c r="B2192" s="2">
        <v>45792</v>
      </c>
      <c r="C2192">
        <v>22</v>
      </c>
      <c r="D2192" t="s">
        <v>25</v>
      </c>
      <c r="E2192" t="s">
        <v>12</v>
      </c>
      <c r="F2192" s="7">
        <v>944.79</v>
      </c>
      <c r="G2192" s="10">
        <v>0.15</v>
      </c>
      <c r="H2192" s="7">
        <v>803.07</v>
      </c>
      <c r="I2192">
        <v>1</v>
      </c>
      <c r="J2192" t="s">
        <v>13</v>
      </c>
      <c r="K2192" s="13">
        <f>ROUND(tblTransactions[[#This Row],[gross_sales_inr]]*(1-tblTransactions[[#This Row],[discount_pct]]),2)</f>
        <v>803.07</v>
      </c>
      <c r="L2192" t="str">
        <f>IF(ABS(tblTransactions[[#This Row],[net_sales_inr]]-tblTransactions[[#This Row],[Recalc_Net_Sales]])&lt;0.02,"OK","CHECK")</f>
        <v>OK</v>
      </c>
      <c r="M2192" s="14">
        <f>DATE(YEAR(tblTransactions[[#This Row],[date]]),MONTH(tblTransactions[[#This Row],[date]]),1)</f>
        <v>45778</v>
      </c>
      <c r="N2192" t="str">
        <f>IF(WEEKDAY(tblTransactions[[#This Row],[date]],2)&gt;5,"Weekend","Weekday")</f>
        <v>Weekday</v>
      </c>
      <c r="O219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92" s="13" t="str">
        <f>_xlfn.XLOOKUP(tblTransactions[[#This Row],[tenant_id]],tblTenants[tenant_id],tblTenants[zone],"NOT FOUND")</f>
        <v>Beauty &amp; Wellness</v>
      </c>
      <c r="Q2192" s="13" t="str">
        <f>_xlfn.XLOOKUP(tblTransactions[[#This Row],[tenant_id]],tblTenants[tenant_id],tblTenants[category],"NOT FOUND")</f>
        <v>Beauty</v>
      </c>
    </row>
    <row r="2193" spans="1:17">
      <c r="A2193" t="s">
        <v>2237</v>
      </c>
      <c r="B2193" s="2">
        <v>45748</v>
      </c>
      <c r="C2193">
        <v>18</v>
      </c>
      <c r="D2193" t="s">
        <v>45</v>
      </c>
      <c r="E2193" t="s">
        <v>32</v>
      </c>
      <c r="F2193" s="7">
        <v>1059.32</v>
      </c>
      <c r="G2193" s="10">
        <v>0</v>
      </c>
      <c r="H2193" s="7">
        <v>1059.32</v>
      </c>
      <c r="I2193">
        <v>2</v>
      </c>
      <c r="J2193" t="s">
        <v>16</v>
      </c>
      <c r="K2193" s="13">
        <f>ROUND(tblTransactions[[#This Row],[gross_sales_inr]]*(1-tblTransactions[[#This Row],[discount_pct]]),2)</f>
        <v>1059.32</v>
      </c>
      <c r="L2193" t="str">
        <f>IF(ABS(tblTransactions[[#This Row],[net_sales_inr]]-tblTransactions[[#This Row],[Recalc_Net_Sales]])&lt;0.02,"OK","CHECK")</f>
        <v>OK</v>
      </c>
      <c r="M2193" s="14">
        <f>DATE(YEAR(tblTransactions[[#This Row],[date]]),MONTH(tblTransactions[[#This Row],[date]]),1)</f>
        <v>45748</v>
      </c>
      <c r="N2193" t="str">
        <f>IF(WEEKDAY(tblTransactions[[#This Row],[date]],2)&gt;5,"Weekend","Weekday")</f>
        <v>Weekday</v>
      </c>
      <c r="O2193" s="13" t="str">
        <f>IF(tblTransactions[[#This Row],[discount_pct]]=0,"0%",IF(tblTransactions[[#This Row],[discount_pct]]&lt;=10%,"1–
10%",IF(tblTransactions[[#This Row],[discount_pct]]&lt;=20%,"11–20%","&gt;20%")))</f>
        <v>0%</v>
      </c>
      <c r="P2193" s="13" t="str">
        <f>_xlfn.XLOOKUP(tblTransactions[[#This Row],[tenant_id]],tblTenants[tenant_id],tblTenants[zone],"NOT FOUND")</f>
        <v>Home &amp; Living</v>
      </c>
      <c r="Q2193" s="13" t="str">
        <f>_xlfn.XLOOKUP(tblTransactions[[#This Row],[tenant_id]],tblTenants[tenant_id],tblTenants[category],"NOT FOUND")</f>
        <v>Home Decor</v>
      </c>
    </row>
    <row r="2194" spans="1:17">
      <c r="A2194" t="s">
        <v>2238</v>
      </c>
      <c r="B2194" s="2">
        <v>45715</v>
      </c>
      <c r="C2194">
        <v>17</v>
      </c>
      <c r="D2194" t="s">
        <v>20</v>
      </c>
      <c r="E2194" t="s">
        <v>12</v>
      </c>
      <c r="F2194" s="7">
        <v>1087.1300000000001</v>
      </c>
      <c r="G2194" s="10">
        <v>0.15</v>
      </c>
      <c r="H2194" s="7">
        <v>924.06</v>
      </c>
      <c r="I2194">
        <v>6</v>
      </c>
      <c r="J2194" t="s">
        <v>13</v>
      </c>
      <c r="K2194" s="13">
        <f>ROUND(tblTransactions[[#This Row],[gross_sales_inr]]*(1-tblTransactions[[#This Row],[discount_pct]]),2)</f>
        <v>924.06</v>
      </c>
      <c r="L2194" t="str">
        <f>IF(ABS(tblTransactions[[#This Row],[net_sales_inr]]-tblTransactions[[#This Row],[Recalc_Net_Sales]])&lt;0.02,"OK","CHECK")</f>
        <v>OK</v>
      </c>
      <c r="M2194" s="14">
        <f>DATE(YEAR(tblTransactions[[#This Row],[date]]),MONTH(tblTransactions[[#This Row],[date]]),1)</f>
        <v>45689</v>
      </c>
      <c r="N2194" t="str">
        <f>IF(WEEKDAY(tblTransactions[[#This Row],[date]],2)&gt;5,"Weekend","Weekday")</f>
        <v>Weekday</v>
      </c>
      <c r="O219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94" s="13" t="str">
        <f>_xlfn.XLOOKUP(tblTransactions[[#This Row],[tenant_id]],tblTenants[tenant_id],tblTenants[zone],"NOT FOUND")</f>
        <v>Fashion Avenue</v>
      </c>
      <c r="Q2194" s="13" t="str">
        <f>_xlfn.XLOOKUP(tblTransactions[[#This Row],[tenant_id]],tblTenants[tenant_id],tblTenants[category],"NOT FOUND")</f>
        <v>Accessories</v>
      </c>
    </row>
    <row r="2195" spans="1:17">
      <c r="A2195" t="s">
        <v>2239</v>
      </c>
      <c r="B2195" s="2">
        <v>45736</v>
      </c>
      <c r="C2195">
        <v>13</v>
      </c>
      <c r="D2195" t="s">
        <v>20</v>
      </c>
      <c r="E2195" t="s">
        <v>21</v>
      </c>
      <c r="F2195" s="7">
        <v>1313.19</v>
      </c>
      <c r="G2195" s="10">
        <v>0</v>
      </c>
      <c r="H2195" s="7">
        <v>1313.19</v>
      </c>
      <c r="I2195">
        <v>1</v>
      </c>
      <c r="J2195" t="s">
        <v>13</v>
      </c>
      <c r="K2195" s="13">
        <f>ROUND(tblTransactions[[#This Row],[gross_sales_inr]]*(1-tblTransactions[[#This Row],[discount_pct]]),2)</f>
        <v>1313.19</v>
      </c>
      <c r="L2195" t="str">
        <f>IF(ABS(tblTransactions[[#This Row],[net_sales_inr]]-tblTransactions[[#This Row],[Recalc_Net_Sales]])&lt;0.02,"OK","CHECK")</f>
        <v>OK</v>
      </c>
      <c r="M2195" s="14">
        <f>DATE(YEAR(tblTransactions[[#This Row],[date]]),MONTH(tblTransactions[[#This Row],[date]]),1)</f>
        <v>45717</v>
      </c>
      <c r="N2195" t="str">
        <f>IF(WEEKDAY(tblTransactions[[#This Row],[date]],2)&gt;5,"Weekend","Weekday")</f>
        <v>Weekday</v>
      </c>
      <c r="O2195" s="13" t="str">
        <f>IF(tblTransactions[[#This Row],[discount_pct]]=0,"0%",IF(tblTransactions[[#This Row],[discount_pct]]&lt;=10%,"1–
10%",IF(tblTransactions[[#This Row],[discount_pct]]&lt;=20%,"11–20%","&gt;20%")))</f>
        <v>0%</v>
      </c>
      <c r="P2195" s="13" t="str">
        <f>_xlfn.XLOOKUP(tblTransactions[[#This Row],[tenant_id]],tblTenants[tenant_id],tblTenants[zone],"NOT FOUND")</f>
        <v>Fashion Avenue</v>
      </c>
      <c r="Q2195" s="13" t="str">
        <f>_xlfn.XLOOKUP(tblTransactions[[#This Row],[tenant_id]],tblTenants[tenant_id],tblTenants[category],"NOT FOUND")</f>
        <v>Accessories</v>
      </c>
    </row>
    <row r="2196" spans="1:17">
      <c r="A2196" t="s">
        <v>2240</v>
      </c>
      <c r="B2196" s="2">
        <v>45680</v>
      </c>
      <c r="C2196">
        <v>15</v>
      </c>
      <c r="D2196" t="s">
        <v>53</v>
      </c>
      <c r="E2196" t="s">
        <v>12</v>
      </c>
      <c r="F2196" s="7">
        <v>3860.11</v>
      </c>
      <c r="G2196" s="10">
        <v>0.15</v>
      </c>
      <c r="H2196" s="7">
        <v>3281.09</v>
      </c>
      <c r="I2196">
        <v>5</v>
      </c>
      <c r="J2196" t="s">
        <v>13</v>
      </c>
      <c r="K2196" s="13">
        <f>ROUND(tblTransactions[[#This Row],[gross_sales_inr]]*(1-tblTransactions[[#This Row],[discount_pct]]),2)</f>
        <v>3281.09</v>
      </c>
      <c r="L2196" t="str">
        <f>IF(ABS(tblTransactions[[#This Row],[net_sales_inr]]-tblTransactions[[#This Row],[Recalc_Net_Sales]])&lt;0.02,"OK","CHECK")</f>
        <v>OK</v>
      </c>
      <c r="M2196" s="14">
        <f>DATE(YEAR(tblTransactions[[#This Row],[date]]),MONTH(tblTransactions[[#This Row],[date]]),1)</f>
        <v>45658</v>
      </c>
      <c r="N2196" t="str">
        <f>IF(WEEKDAY(tblTransactions[[#This Row],[date]],2)&gt;5,"Weekend","Weekday")</f>
        <v>Weekday</v>
      </c>
      <c r="O219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96" s="13" t="str">
        <f>_xlfn.XLOOKUP(tblTransactions[[#This Row],[tenant_id]],tblTenants[tenant_id],tblTenants[zone],"NOT FOUND")</f>
        <v>Beauty &amp; Wellness</v>
      </c>
      <c r="Q2196" s="13" t="str">
        <f>_xlfn.XLOOKUP(tblTransactions[[#This Row],[tenant_id]],tblTenants[tenant_id],tblTenants[category],"NOT FOUND")</f>
        <v>Beauty</v>
      </c>
    </row>
    <row r="2197" spans="1:17">
      <c r="A2197" t="s">
        <v>2241</v>
      </c>
      <c r="B2197" s="2">
        <v>45747</v>
      </c>
      <c r="C2197">
        <v>21</v>
      </c>
      <c r="D2197" t="s">
        <v>15</v>
      </c>
      <c r="E2197" t="s">
        <v>12</v>
      </c>
      <c r="F2197" s="7">
        <v>425.39</v>
      </c>
      <c r="G2197" s="10">
        <v>0</v>
      </c>
      <c r="H2197" s="7">
        <v>425.39</v>
      </c>
      <c r="I2197">
        <v>2</v>
      </c>
      <c r="J2197" t="s">
        <v>13</v>
      </c>
      <c r="K2197" s="13">
        <f>ROUND(tblTransactions[[#This Row],[gross_sales_inr]]*(1-tblTransactions[[#This Row],[discount_pct]]),2)</f>
        <v>425.39</v>
      </c>
      <c r="L2197" t="str">
        <f>IF(ABS(tblTransactions[[#This Row],[net_sales_inr]]-tblTransactions[[#This Row],[Recalc_Net_Sales]])&lt;0.02,"OK","CHECK")</f>
        <v>OK</v>
      </c>
      <c r="M2197" s="14">
        <f>DATE(YEAR(tblTransactions[[#This Row],[date]]),MONTH(tblTransactions[[#This Row],[date]]),1)</f>
        <v>45717</v>
      </c>
      <c r="N2197" t="str">
        <f>IF(WEEKDAY(tblTransactions[[#This Row],[date]],2)&gt;5,"Weekend","Weekday")</f>
        <v>Weekday</v>
      </c>
      <c r="O2197" s="13" t="str">
        <f>IF(tblTransactions[[#This Row],[discount_pct]]=0,"0%",IF(tblTransactions[[#This Row],[discount_pct]]&lt;=10%,"1–
10%",IF(tblTransactions[[#This Row],[discount_pct]]&lt;=20%,"11–20%","&gt;20%")))</f>
        <v>0%</v>
      </c>
      <c r="P2197" s="13" t="str">
        <f>_xlfn.XLOOKUP(tblTransactions[[#This Row],[tenant_id]],tblTenants[tenant_id],tblTenants[zone],"NOT FOUND")</f>
        <v>Fashion Avenue</v>
      </c>
      <c r="Q2197" s="13" t="str">
        <f>_xlfn.XLOOKUP(tblTransactions[[#This Row],[tenant_id]],tblTenants[tenant_id],tblTenants[category],"NOT FOUND")</f>
        <v>Accessories</v>
      </c>
    </row>
    <row r="2198" spans="1:17">
      <c r="A2198" t="s">
        <v>2242</v>
      </c>
      <c r="B2198" s="2">
        <v>45831</v>
      </c>
      <c r="C2198">
        <v>21</v>
      </c>
      <c r="D2198" t="s">
        <v>23</v>
      </c>
      <c r="E2198" t="s">
        <v>32</v>
      </c>
      <c r="F2198" s="7">
        <v>870.72</v>
      </c>
      <c r="G2198" s="10">
        <v>0.15</v>
      </c>
      <c r="H2198" s="7">
        <v>740.11</v>
      </c>
      <c r="I2198">
        <v>2</v>
      </c>
      <c r="J2198" t="s">
        <v>16</v>
      </c>
      <c r="K2198" s="13">
        <f>ROUND(tblTransactions[[#This Row],[gross_sales_inr]]*(1-tblTransactions[[#This Row],[discount_pct]]),2)</f>
        <v>740.11</v>
      </c>
      <c r="L2198" t="str">
        <f>IF(ABS(tblTransactions[[#This Row],[net_sales_inr]]-tblTransactions[[#This Row],[Recalc_Net_Sales]])&lt;0.02,"OK","CHECK")</f>
        <v>OK</v>
      </c>
      <c r="M2198" s="14">
        <f>DATE(YEAR(tblTransactions[[#This Row],[date]]),MONTH(tblTransactions[[#This Row],[date]]),1)</f>
        <v>45809</v>
      </c>
      <c r="N2198" t="str">
        <f>IF(WEEKDAY(tblTransactions[[#This Row],[date]],2)&gt;5,"Weekend","Weekday")</f>
        <v>Weekday</v>
      </c>
      <c r="O219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198" s="13" t="str">
        <f>_xlfn.XLOOKUP(tblTransactions[[#This Row],[tenant_id]],tblTenants[tenant_id],tblTenants[zone],"NOT FOUND")</f>
        <v>Entertainment</v>
      </c>
      <c r="Q2198" s="13" t="str">
        <f>_xlfn.XLOOKUP(tblTransactions[[#This Row],[tenant_id]],tblTenants[tenant_id],tblTenants[category],"NOT FOUND")</f>
        <v>Cinema</v>
      </c>
    </row>
    <row r="2199" spans="1:17">
      <c r="A2199" t="s">
        <v>2243</v>
      </c>
      <c r="B2199" s="2">
        <v>45689</v>
      </c>
      <c r="C2199">
        <v>12</v>
      </c>
      <c r="D2199" t="s">
        <v>61</v>
      </c>
      <c r="E2199" t="s">
        <v>12</v>
      </c>
      <c r="F2199" s="7">
        <v>1316.15</v>
      </c>
      <c r="G2199" s="10">
        <v>0.1</v>
      </c>
      <c r="H2199" s="7">
        <v>1184.54</v>
      </c>
      <c r="I2199">
        <v>4</v>
      </c>
      <c r="J2199" t="s">
        <v>13</v>
      </c>
      <c r="K2199" s="13">
        <f>ROUND(tblTransactions[[#This Row],[gross_sales_inr]]*(1-tblTransactions[[#This Row],[discount_pct]]),2)</f>
        <v>1184.54</v>
      </c>
      <c r="L2199" t="str">
        <f>IF(ABS(tblTransactions[[#This Row],[net_sales_inr]]-tblTransactions[[#This Row],[Recalc_Net_Sales]])&lt;0.02,"OK","CHECK")</f>
        <v>OK</v>
      </c>
      <c r="M2199" s="14">
        <f>DATE(YEAR(tblTransactions[[#This Row],[date]]),MONTH(tblTransactions[[#This Row],[date]]),1)</f>
        <v>45689</v>
      </c>
      <c r="N2199" t="str">
        <f>IF(WEEKDAY(tblTransactions[[#This Row],[date]],2)&gt;5,"Weekend","Weekday")</f>
        <v>Weekend</v>
      </c>
      <c r="O219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199" s="13" t="str">
        <f>_xlfn.XLOOKUP(tblTransactions[[#This Row],[tenant_id]],tblTenants[tenant_id],tblTenants[zone],"NOT FOUND")</f>
        <v>Food Court</v>
      </c>
      <c r="Q2199" s="13" t="str">
        <f>_xlfn.XLOOKUP(tblTransactions[[#This Row],[tenant_id]],tblTenants[tenant_id],tblTenants[category],"NOT FOUND")</f>
        <v>Quick Service</v>
      </c>
    </row>
    <row r="2200" spans="1:17">
      <c r="A2200" t="s">
        <v>2244</v>
      </c>
      <c r="B2200" s="2">
        <v>45709</v>
      </c>
      <c r="C2200">
        <v>11</v>
      </c>
      <c r="D2200" t="s">
        <v>23</v>
      </c>
      <c r="E2200" t="s">
        <v>51</v>
      </c>
      <c r="F2200" s="7">
        <v>1020.7</v>
      </c>
      <c r="G2200" s="10">
        <v>0.3</v>
      </c>
      <c r="H2200" s="7">
        <v>714.49</v>
      </c>
      <c r="I2200">
        <v>1</v>
      </c>
      <c r="J2200" t="s">
        <v>13</v>
      </c>
      <c r="K2200" s="13">
        <f>ROUND(tblTransactions[[#This Row],[gross_sales_inr]]*(1-tblTransactions[[#This Row],[discount_pct]]),2)</f>
        <v>714.49</v>
      </c>
      <c r="L2200" t="str">
        <f>IF(ABS(tblTransactions[[#This Row],[net_sales_inr]]-tblTransactions[[#This Row],[Recalc_Net_Sales]])&lt;0.02,"OK","CHECK")</f>
        <v>OK</v>
      </c>
      <c r="M2200" s="14">
        <f>DATE(YEAR(tblTransactions[[#This Row],[date]]),MONTH(tblTransactions[[#This Row],[date]]),1)</f>
        <v>45689</v>
      </c>
      <c r="N2200" t="str">
        <f>IF(WEEKDAY(tblTransactions[[#This Row],[date]],2)&gt;5,"Weekend","Weekday")</f>
        <v>Weekday</v>
      </c>
      <c r="O220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200" s="13" t="str">
        <f>_xlfn.XLOOKUP(tblTransactions[[#This Row],[tenant_id]],tblTenants[tenant_id],tblTenants[zone],"NOT FOUND")</f>
        <v>Entertainment</v>
      </c>
      <c r="Q2200" s="13" t="str">
        <f>_xlfn.XLOOKUP(tblTransactions[[#This Row],[tenant_id]],tblTenants[tenant_id],tblTenants[category],"NOT FOUND")</f>
        <v>Cinema</v>
      </c>
    </row>
    <row r="2201" spans="1:17">
      <c r="A2201" t="s">
        <v>2245</v>
      </c>
      <c r="B2201" s="2">
        <v>45665</v>
      </c>
      <c r="C2201">
        <v>12</v>
      </c>
      <c r="D2201" t="s">
        <v>72</v>
      </c>
      <c r="E2201" t="s">
        <v>51</v>
      </c>
      <c r="F2201" s="7">
        <v>1432.91</v>
      </c>
      <c r="G2201" s="10">
        <v>0.15</v>
      </c>
      <c r="H2201" s="7">
        <v>1217.97</v>
      </c>
      <c r="I2201">
        <v>6</v>
      </c>
      <c r="J2201" t="s">
        <v>16</v>
      </c>
      <c r="K2201" s="13">
        <f>ROUND(tblTransactions[[#This Row],[gross_sales_inr]]*(1-tblTransactions[[#This Row],[discount_pct]]),2)</f>
        <v>1217.97</v>
      </c>
      <c r="L2201" t="str">
        <f>IF(ABS(tblTransactions[[#This Row],[net_sales_inr]]-tblTransactions[[#This Row],[Recalc_Net_Sales]])&lt;0.02,"OK","CHECK")</f>
        <v>OK</v>
      </c>
      <c r="M2201" s="14">
        <f>DATE(YEAR(tblTransactions[[#This Row],[date]]),MONTH(tblTransactions[[#This Row],[date]]),1)</f>
        <v>45658</v>
      </c>
      <c r="N2201" t="str">
        <f>IF(WEEKDAY(tblTransactions[[#This Row],[date]],2)&gt;5,"Weekend","Weekday")</f>
        <v>Weekday</v>
      </c>
      <c r="O220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01" s="13" t="str">
        <f>_xlfn.XLOOKUP(tblTransactions[[#This Row],[tenant_id]],tblTenants[tenant_id],tblTenants[zone],"NOT FOUND")</f>
        <v>Entertainment</v>
      </c>
      <c r="Q2201" s="13" t="str">
        <f>_xlfn.XLOOKUP(tblTransactions[[#This Row],[tenant_id]],tblTenants[tenant_id],tblTenants[category],"NOT FOUND")</f>
        <v>Arcade</v>
      </c>
    </row>
    <row r="2202" spans="1:17">
      <c r="A2202" t="s">
        <v>2246</v>
      </c>
      <c r="B2202" s="2">
        <v>45738</v>
      </c>
      <c r="C2202">
        <v>12</v>
      </c>
      <c r="D2202" t="s">
        <v>25</v>
      </c>
      <c r="E2202" t="s">
        <v>51</v>
      </c>
      <c r="F2202" s="7">
        <v>825.86</v>
      </c>
      <c r="G2202" s="10">
        <v>0</v>
      </c>
      <c r="H2202" s="7">
        <v>825.86</v>
      </c>
      <c r="I2202">
        <v>3</v>
      </c>
      <c r="J2202" t="s">
        <v>16</v>
      </c>
      <c r="K2202" s="13">
        <f>ROUND(tblTransactions[[#This Row],[gross_sales_inr]]*(1-tblTransactions[[#This Row],[discount_pct]]),2)</f>
        <v>825.86</v>
      </c>
      <c r="L2202" t="str">
        <f>IF(ABS(tblTransactions[[#This Row],[net_sales_inr]]-tblTransactions[[#This Row],[Recalc_Net_Sales]])&lt;0.02,"OK","CHECK")</f>
        <v>OK</v>
      </c>
      <c r="M2202" s="14">
        <f>DATE(YEAR(tblTransactions[[#This Row],[date]]),MONTH(tblTransactions[[#This Row],[date]]),1)</f>
        <v>45717</v>
      </c>
      <c r="N2202" t="str">
        <f>IF(WEEKDAY(tblTransactions[[#This Row],[date]],2)&gt;5,"Weekend","Weekday")</f>
        <v>Weekend</v>
      </c>
      <c r="O2202" s="13" t="str">
        <f>IF(tblTransactions[[#This Row],[discount_pct]]=0,"0%",IF(tblTransactions[[#This Row],[discount_pct]]&lt;=10%,"1–
10%",IF(tblTransactions[[#This Row],[discount_pct]]&lt;=20%,"11–20%","&gt;20%")))</f>
        <v>0%</v>
      </c>
      <c r="P2202" s="13" t="str">
        <f>_xlfn.XLOOKUP(tblTransactions[[#This Row],[tenant_id]],tblTenants[tenant_id],tblTenants[zone],"NOT FOUND")</f>
        <v>Beauty &amp; Wellness</v>
      </c>
      <c r="Q2202" s="13" t="str">
        <f>_xlfn.XLOOKUP(tblTransactions[[#This Row],[tenant_id]],tblTenants[tenant_id],tblTenants[category],"NOT FOUND")</f>
        <v>Beauty</v>
      </c>
    </row>
    <row r="2203" spans="1:17">
      <c r="A2203" t="s">
        <v>2247</v>
      </c>
      <c r="B2203" s="2">
        <v>45684</v>
      </c>
      <c r="C2203">
        <v>22</v>
      </c>
      <c r="D2203" t="s">
        <v>55</v>
      </c>
      <c r="E2203" t="s">
        <v>12</v>
      </c>
      <c r="F2203" s="7">
        <v>1257.24</v>
      </c>
      <c r="G2203" s="10">
        <v>0</v>
      </c>
      <c r="H2203" s="7">
        <v>1257.24</v>
      </c>
      <c r="I2203">
        <v>3</v>
      </c>
      <c r="J2203" t="s">
        <v>13</v>
      </c>
      <c r="K2203" s="13">
        <f>ROUND(tblTransactions[[#This Row],[gross_sales_inr]]*(1-tblTransactions[[#This Row],[discount_pct]]),2)</f>
        <v>1257.24</v>
      </c>
      <c r="L2203" t="str">
        <f>IF(ABS(tblTransactions[[#This Row],[net_sales_inr]]-tblTransactions[[#This Row],[Recalc_Net_Sales]])&lt;0.02,"OK","CHECK")</f>
        <v>OK</v>
      </c>
      <c r="M2203" s="14">
        <f>DATE(YEAR(tblTransactions[[#This Row],[date]]),MONTH(tblTransactions[[#This Row],[date]]),1)</f>
        <v>45658</v>
      </c>
      <c r="N2203" t="str">
        <f>IF(WEEKDAY(tblTransactions[[#This Row],[date]],2)&gt;5,"Weekend","Weekday")</f>
        <v>Weekday</v>
      </c>
      <c r="O2203" s="13" t="str">
        <f>IF(tblTransactions[[#This Row],[discount_pct]]=0,"0%",IF(tblTransactions[[#This Row],[discount_pct]]&lt;=10%,"1–
10%",IF(tblTransactions[[#This Row],[discount_pct]]&lt;=20%,"11–20%","&gt;20%")))</f>
        <v>0%</v>
      </c>
      <c r="P2203" s="13" t="str">
        <f>_xlfn.XLOOKUP(tblTransactions[[#This Row],[tenant_id]],tblTenants[tenant_id],tblTenants[zone],"NOT FOUND")</f>
        <v>Food Court</v>
      </c>
      <c r="Q2203" s="13" t="str">
        <f>_xlfn.XLOOKUP(tblTransactions[[#This Row],[tenant_id]],tblTenants[tenant_id],tblTenants[category],"NOT FOUND")</f>
        <v>Quick Service</v>
      </c>
    </row>
    <row r="2204" spans="1:17">
      <c r="A2204" t="s">
        <v>2248</v>
      </c>
      <c r="B2204" s="2">
        <v>45803</v>
      </c>
      <c r="C2204">
        <v>14</v>
      </c>
      <c r="D2204" t="s">
        <v>34</v>
      </c>
      <c r="E2204" t="s">
        <v>12</v>
      </c>
      <c r="F2204" s="7">
        <v>835.87</v>
      </c>
      <c r="G2204" s="10">
        <v>0</v>
      </c>
      <c r="H2204" s="7">
        <v>835.87</v>
      </c>
      <c r="I2204">
        <v>1</v>
      </c>
      <c r="J2204" t="s">
        <v>16</v>
      </c>
      <c r="K2204" s="13">
        <f>ROUND(tblTransactions[[#This Row],[gross_sales_inr]]*(1-tblTransactions[[#This Row],[discount_pct]]),2)</f>
        <v>835.87</v>
      </c>
      <c r="L2204" t="str">
        <f>IF(ABS(tblTransactions[[#This Row],[net_sales_inr]]-tblTransactions[[#This Row],[Recalc_Net_Sales]])&lt;0.02,"OK","CHECK")</f>
        <v>OK</v>
      </c>
      <c r="M2204" s="14">
        <f>DATE(YEAR(tblTransactions[[#This Row],[date]]),MONTH(tblTransactions[[#This Row],[date]]),1)</f>
        <v>45778</v>
      </c>
      <c r="N2204" t="str">
        <f>IF(WEEKDAY(tblTransactions[[#This Row],[date]],2)&gt;5,"Weekend","Weekday")</f>
        <v>Weekday</v>
      </c>
      <c r="O2204" s="13" t="str">
        <f>IF(tblTransactions[[#This Row],[discount_pct]]=0,"0%",IF(tblTransactions[[#This Row],[discount_pct]]&lt;=10%,"1–
10%",IF(tblTransactions[[#This Row],[discount_pct]]&lt;=20%,"11–20%","&gt;20%")))</f>
        <v>0%</v>
      </c>
      <c r="P2204" s="13" t="str">
        <f>_xlfn.XLOOKUP(tblTransactions[[#This Row],[tenant_id]],tblTenants[tenant_id],tblTenants[zone],"NOT FOUND")</f>
        <v>Home &amp; Living</v>
      </c>
      <c r="Q2204" s="13" t="str">
        <f>_xlfn.XLOOKUP(tblTransactions[[#This Row],[tenant_id]],tblTenants[tenant_id],tblTenants[category],"NOT FOUND")</f>
        <v>Electronics</v>
      </c>
    </row>
    <row r="2205" spans="1:17">
      <c r="A2205" t="s">
        <v>2249</v>
      </c>
      <c r="B2205" s="2">
        <v>45748</v>
      </c>
      <c r="C2205">
        <v>18</v>
      </c>
      <c r="D2205" t="s">
        <v>53</v>
      </c>
      <c r="E2205" t="s">
        <v>12</v>
      </c>
      <c r="F2205" s="7">
        <v>598</v>
      </c>
      <c r="G2205" s="10">
        <v>0</v>
      </c>
      <c r="H2205" s="7">
        <v>598</v>
      </c>
      <c r="I2205">
        <v>6</v>
      </c>
      <c r="J2205" t="s">
        <v>16</v>
      </c>
      <c r="K2205" s="13">
        <f>ROUND(tblTransactions[[#This Row],[gross_sales_inr]]*(1-tblTransactions[[#This Row],[discount_pct]]),2)</f>
        <v>598</v>
      </c>
      <c r="L2205" t="str">
        <f>IF(ABS(tblTransactions[[#This Row],[net_sales_inr]]-tblTransactions[[#This Row],[Recalc_Net_Sales]])&lt;0.02,"OK","CHECK")</f>
        <v>OK</v>
      </c>
      <c r="M2205" s="14">
        <f>DATE(YEAR(tblTransactions[[#This Row],[date]]),MONTH(tblTransactions[[#This Row],[date]]),1)</f>
        <v>45748</v>
      </c>
      <c r="N2205" t="str">
        <f>IF(WEEKDAY(tblTransactions[[#This Row],[date]],2)&gt;5,"Weekend","Weekday")</f>
        <v>Weekday</v>
      </c>
      <c r="O2205" s="13" t="str">
        <f>IF(tblTransactions[[#This Row],[discount_pct]]=0,"0%",IF(tblTransactions[[#This Row],[discount_pct]]&lt;=10%,"1–
10%",IF(tblTransactions[[#This Row],[discount_pct]]&lt;=20%,"11–20%","&gt;20%")))</f>
        <v>0%</v>
      </c>
      <c r="P2205" s="13" t="str">
        <f>_xlfn.XLOOKUP(tblTransactions[[#This Row],[tenant_id]],tblTenants[tenant_id],tblTenants[zone],"NOT FOUND")</f>
        <v>Beauty &amp; Wellness</v>
      </c>
      <c r="Q2205" s="13" t="str">
        <f>_xlfn.XLOOKUP(tblTransactions[[#This Row],[tenant_id]],tblTenants[tenant_id],tblTenants[category],"NOT FOUND")</f>
        <v>Beauty</v>
      </c>
    </row>
    <row r="2206" spans="1:17">
      <c r="A2206" t="s">
        <v>2250</v>
      </c>
      <c r="B2206" s="2">
        <v>45829</v>
      </c>
      <c r="C2206">
        <v>21</v>
      </c>
      <c r="D2206" t="s">
        <v>104</v>
      </c>
      <c r="E2206" t="s">
        <v>12</v>
      </c>
      <c r="F2206" s="7">
        <v>2230.08</v>
      </c>
      <c r="G2206" s="10">
        <v>0.1</v>
      </c>
      <c r="H2206" s="7">
        <v>2007.07</v>
      </c>
      <c r="I2206">
        <v>4</v>
      </c>
      <c r="J2206" t="s">
        <v>13</v>
      </c>
      <c r="K2206" s="13">
        <f>ROUND(tblTransactions[[#This Row],[gross_sales_inr]]*(1-tblTransactions[[#This Row],[discount_pct]]),2)</f>
        <v>2007.07</v>
      </c>
      <c r="L2206" t="str">
        <f>IF(ABS(tblTransactions[[#This Row],[net_sales_inr]]-tblTransactions[[#This Row],[Recalc_Net_Sales]])&lt;0.02,"OK","CHECK")</f>
        <v>OK</v>
      </c>
      <c r="M2206" s="14">
        <f>DATE(YEAR(tblTransactions[[#This Row],[date]]),MONTH(tblTransactions[[#This Row],[date]]),1)</f>
        <v>45809</v>
      </c>
      <c r="N2206" t="str">
        <f>IF(WEEKDAY(tblTransactions[[#This Row],[date]],2)&gt;5,"Weekend","Weekday")</f>
        <v>Weekend</v>
      </c>
      <c r="O220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06" s="13" t="str">
        <f>_xlfn.XLOOKUP(tblTransactions[[#This Row],[tenant_id]],tblTenants[tenant_id],tblTenants[zone],"NOT FOUND")</f>
        <v>Entertainment</v>
      </c>
      <c r="Q2206" s="13" t="str">
        <f>_xlfn.XLOOKUP(tblTransactions[[#This Row],[tenant_id]],tblTenants[tenant_id],tblTenants[category],"NOT FOUND")</f>
        <v>Family Entertainment</v>
      </c>
    </row>
    <row r="2207" spans="1:17">
      <c r="A2207" t="s">
        <v>2251</v>
      </c>
      <c r="B2207" s="2">
        <v>45736</v>
      </c>
      <c r="C2207">
        <v>16</v>
      </c>
      <c r="D2207" t="s">
        <v>48</v>
      </c>
      <c r="E2207" t="s">
        <v>51</v>
      </c>
      <c r="F2207" s="7">
        <v>230.79</v>
      </c>
      <c r="G2207" s="10">
        <v>0.3</v>
      </c>
      <c r="H2207" s="7">
        <v>161.55000000000001</v>
      </c>
      <c r="I2207">
        <v>3</v>
      </c>
      <c r="J2207" t="s">
        <v>13</v>
      </c>
      <c r="K2207" s="13">
        <f>ROUND(tblTransactions[[#This Row],[gross_sales_inr]]*(1-tblTransactions[[#This Row],[discount_pct]]),2)</f>
        <v>161.55000000000001</v>
      </c>
      <c r="L2207" t="str">
        <f>IF(ABS(tblTransactions[[#This Row],[net_sales_inr]]-tblTransactions[[#This Row],[Recalc_Net_Sales]])&lt;0.02,"OK","CHECK")</f>
        <v>OK</v>
      </c>
      <c r="M2207" s="14">
        <f>DATE(YEAR(tblTransactions[[#This Row],[date]]),MONTH(tblTransactions[[#This Row],[date]]),1)</f>
        <v>45717</v>
      </c>
      <c r="N2207" t="str">
        <f>IF(WEEKDAY(tblTransactions[[#This Row],[date]],2)&gt;5,"Weekend","Weekday")</f>
        <v>Weekday</v>
      </c>
      <c r="O220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207" s="13" t="str">
        <f>_xlfn.XLOOKUP(tblTransactions[[#This Row],[tenant_id]],tblTenants[tenant_id],tblTenants[zone],"NOT FOUND")</f>
        <v>Beauty &amp; Wellness</v>
      </c>
      <c r="Q2207" s="13" t="str">
        <f>_xlfn.XLOOKUP(tblTransactions[[#This Row],[tenant_id]],tblTenants[tenant_id],tblTenants[category],"NOT FOUND")</f>
        <v>Wellness</v>
      </c>
    </row>
    <row r="2208" spans="1:17">
      <c r="A2208" t="s">
        <v>2252</v>
      </c>
      <c r="B2208" s="2">
        <v>45763</v>
      </c>
      <c r="C2208">
        <v>16</v>
      </c>
      <c r="D2208" t="s">
        <v>70</v>
      </c>
      <c r="E2208" t="s">
        <v>32</v>
      </c>
      <c r="F2208" s="7">
        <v>385.53</v>
      </c>
      <c r="G2208" s="10">
        <v>0</v>
      </c>
      <c r="H2208" s="7">
        <v>385.53</v>
      </c>
      <c r="I2208">
        <v>3</v>
      </c>
      <c r="J2208" t="s">
        <v>13</v>
      </c>
      <c r="K2208" s="13">
        <f>ROUND(tblTransactions[[#This Row],[gross_sales_inr]]*(1-tblTransactions[[#This Row],[discount_pct]]),2)</f>
        <v>385.53</v>
      </c>
      <c r="L2208" t="str">
        <f>IF(ABS(tblTransactions[[#This Row],[net_sales_inr]]-tblTransactions[[#This Row],[Recalc_Net_Sales]])&lt;0.02,"OK","CHECK")</f>
        <v>OK</v>
      </c>
      <c r="M2208" s="14">
        <f>DATE(YEAR(tblTransactions[[#This Row],[date]]),MONTH(tblTransactions[[#This Row],[date]]),1)</f>
        <v>45748</v>
      </c>
      <c r="N2208" t="str">
        <f>IF(WEEKDAY(tblTransactions[[#This Row],[date]],2)&gt;5,"Weekend","Weekday")</f>
        <v>Weekday</v>
      </c>
      <c r="O2208" s="13" t="str">
        <f>IF(tblTransactions[[#This Row],[discount_pct]]=0,"0%",IF(tblTransactions[[#This Row],[discount_pct]]&lt;=10%,"1–
10%",IF(tblTransactions[[#This Row],[discount_pct]]&lt;=20%,"11–20%","&gt;20%")))</f>
        <v>0%</v>
      </c>
      <c r="P2208" s="13" t="str">
        <f>_xlfn.XLOOKUP(tblTransactions[[#This Row],[tenant_id]],tblTenants[tenant_id],tblTenants[zone],"NOT FOUND")</f>
        <v>Food Court</v>
      </c>
      <c r="Q2208" s="13" t="str">
        <f>_xlfn.XLOOKUP(tblTransactions[[#This Row],[tenant_id]],tblTenants[tenant_id],tblTenants[category],"NOT FOUND")</f>
        <v>Quick Service</v>
      </c>
    </row>
    <row r="2209" spans="1:17">
      <c r="A2209" t="s">
        <v>2253</v>
      </c>
      <c r="B2209" s="2">
        <v>45837</v>
      </c>
      <c r="C2209">
        <v>14</v>
      </c>
      <c r="D2209" t="s">
        <v>23</v>
      </c>
      <c r="E2209" t="s">
        <v>12</v>
      </c>
      <c r="F2209" s="7">
        <v>1363.11</v>
      </c>
      <c r="G2209" s="10">
        <v>0.1</v>
      </c>
      <c r="H2209" s="7">
        <v>1226.8</v>
      </c>
      <c r="I2209">
        <v>3</v>
      </c>
      <c r="J2209" t="s">
        <v>16</v>
      </c>
      <c r="K2209" s="13">
        <f>ROUND(tblTransactions[[#This Row],[gross_sales_inr]]*(1-tblTransactions[[#This Row],[discount_pct]]),2)</f>
        <v>1226.8</v>
      </c>
      <c r="L2209" t="str">
        <f>IF(ABS(tblTransactions[[#This Row],[net_sales_inr]]-tblTransactions[[#This Row],[Recalc_Net_Sales]])&lt;0.02,"OK","CHECK")</f>
        <v>OK</v>
      </c>
      <c r="M2209" s="14">
        <f>DATE(YEAR(tblTransactions[[#This Row],[date]]),MONTH(tblTransactions[[#This Row],[date]]),1)</f>
        <v>45809</v>
      </c>
      <c r="N2209" t="str">
        <f>IF(WEEKDAY(tblTransactions[[#This Row],[date]],2)&gt;5,"Weekend","Weekday")</f>
        <v>Weekend</v>
      </c>
      <c r="O220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09" s="13" t="str">
        <f>_xlfn.XLOOKUP(tblTransactions[[#This Row],[tenant_id]],tblTenants[tenant_id],tblTenants[zone],"NOT FOUND")</f>
        <v>Entertainment</v>
      </c>
      <c r="Q2209" s="13" t="str">
        <f>_xlfn.XLOOKUP(tblTransactions[[#This Row],[tenant_id]],tblTenants[tenant_id],tblTenants[category],"NOT FOUND")</f>
        <v>Cinema</v>
      </c>
    </row>
    <row r="2210" spans="1:17">
      <c r="A2210" t="s">
        <v>2254</v>
      </c>
      <c r="B2210" s="2">
        <v>45666</v>
      </c>
      <c r="C2210">
        <v>12</v>
      </c>
      <c r="D2210" t="s">
        <v>122</v>
      </c>
      <c r="E2210" t="s">
        <v>12</v>
      </c>
      <c r="F2210" s="7">
        <v>610.70000000000005</v>
      </c>
      <c r="G2210" s="10">
        <v>0.1</v>
      </c>
      <c r="H2210" s="7">
        <v>549.63</v>
      </c>
      <c r="I2210">
        <v>1</v>
      </c>
      <c r="J2210" t="s">
        <v>13</v>
      </c>
      <c r="K2210" s="13">
        <f>ROUND(tblTransactions[[#This Row],[gross_sales_inr]]*(1-tblTransactions[[#This Row],[discount_pct]]),2)</f>
        <v>549.63</v>
      </c>
      <c r="L2210" t="str">
        <f>IF(ABS(tblTransactions[[#This Row],[net_sales_inr]]-tblTransactions[[#This Row],[Recalc_Net_Sales]])&lt;0.02,"OK","CHECK")</f>
        <v>OK</v>
      </c>
      <c r="M2210" s="14">
        <f>DATE(YEAR(tblTransactions[[#This Row],[date]]),MONTH(tblTransactions[[#This Row],[date]]),1)</f>
        <v>45658</v>
      </c>
      <c r="N2210" t="str">
        <f>IF(WEEKDAY(tblTransactions[[#This Row],[date]],2)&gt;5,"Weekend","Weekday")</f>
        <v>Weekday</v>
      </c>
      <c r="O221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10" s="13" t="str">
        <f>_xlfn.XLOOKUP(tblTransactions[[#This Row],[tenant_id]],tblTenants[tenant_id],tblTenants[zone],"NOT FOUND")</f>
        <v>Beauty &amp; Wellness</v>
      </c>
      <c r="Q2210" s="13" t="str">
        <f>_xlfn.XLOOKUP(tblTransactions[[#This Row],[tenant_id]],tblTenants[tenant_id],tblTenants[category],"NOT FOUND")</f>
        <v>Wellness</v>
      </c>
    </row>
    <row r="2211" spans="1:17">
      <c r="A2211" t="s">
        <v>2255</v>
      </c>
      <c r="B2211" s="2">
        <v>45684</v>
      </c>
      <c r="C2211">
        <v>22</v>
      </c>
      <c r="D2211" t="s">
        <v>31</v>
      </c>
      <c r="E2211" t="s">
        <v>12</v>
      </c>
      <c r="F2211" s="7">
        <v>1245.3599999999999</v>
      </c>
      <c r="G2211" s="10">
        <v>0.15</v>
      </c>
      <c r="H2211" s="7">
        <v>1058.56</v>
      </c>
      <c r="I2211">
        <v>1</v>
      </c>
      <c r="J2211" t="s">
        <v>13</v>
      </c>
      <c r="K2211" s="13">
        <f>ROUND(tblTransactions[[#This Row],[gross_sales_inr]]*(1-tblTransactions[[#This Row],[discount_pct]]),2)</f>
        <v>1058.56</v>
      </c>
      <c r="L2211" t="str">
        <f>IF(ABS(tblTransactions[[#This Row],[net_sales_inr]]-tblTransactions[[#This Row],[Recalc_Net_Sales]])&lt;0.02,"OK","CHECK")</f>
        <v>OK</v>
      </c>
      <c r="M2211" s="14">
        <f>DATE(YEAR(tblTransactions[[#This Row],[date]]),MONTH(tblTransactions[[#This Row],[date]]),1)</f>
        <v>45658</v>
      </c>
      <c r="N2211" t="str">
        <f>IF(WEEKDAY(tblTransactions[[#This Row],[date]],2)&gt;5,"Weekend","Weekday")</f>
        <v>Weekday</v>
      </c>
      <c r="O221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11" s="13" t="str">
        <f>_xlfn.XLOOKUP(tblTransactions[[#This Row],[tenant_id]],tblTenants[tenant_id],tblTenants[zone],"NOT FOUND")</f>
        <v>Entertainment</v>
      </c>
      <c r="Q2211" s="13" t="str">
        <f>_xlfn.XLOOKUP(tblTransactions[[#This Row],[tenant_id]],tblTenants[tenant_id],tblTenants[category],"NOT FOUND")</f>
        <v>Arcade</v>
      </c>
    </row>
    <row r="2212" spans="1:17">
      <c r="A2212" t="s">
        <v>2256</v>
      </c>
      <c r="B2212" s="2">
        <v>45682</v>
      </c>
      <c r="C2212">
        <v>18</v>
      </c>
      <c r="D2212" t="s">
        <v>20</v>
      </c>
      <c r="E2212" t="s">
        <v>12</v>
      </c>
      <c r="F2212" s="7">
        <v>218.85</v>
      </c>
      <c r="G2212" s="10">
        <v>0.05</v>
      </c>
      <c r="H2212" s="7">
        <v>207.91</v>
      </c>
      <c r="I2212">
        <v>1</v>
      </c>
      <c r="J2212" t="s">
        <v>13</v>
      </c>
      <c r="K2212" s="13">
        <f>ROUND(tblTransactions[[#This Row],[gross_sales_inr]]*(1-tblTransactions[[#This Row],[discount_pct]]),2)</f>
        <v>207.91</v>
      </c>
      <c r="L2212" t="str">
        <f>IF(ABS(tblTransactions[[#This Row],[net_sales_inr]]-tblTransactions[[#This Row],[Recalc_Net_Sales]])&lt;0.02,"OK","CHECK")</f>
        <v>OK</v>
      </c>
      <c r="M2212" s="14">
        <f>DATE(YEAR(tblTransactions[[#This Row],[date]]),MONTH(tblTransactions[[#This Row],[date]]),1)</f>
        <v>45658</v>
      </c>
      <c r="N2212" t="str">
        <f>IF(WEEKDAY(tblTransactions[[#This Row],[date]],2)&gt;5,"Weekend","Weekday")</f>
        <v>Weekend</v>
      </c>
      <c r="O221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12" s="13" t="str">
        <f>_xlfn.XLOOKUP(tblTransactions[[#This Row],[tenant_id]],tblTenants[tenant_id],tblTenants[zone],"NOT FOUND")</f>
        <v>Fashion Avenue</v>
      </c>
      <c r="Q2212" s="13" t="str">
        <f>_xlfn.XLOOKUP(tblTransactions[[#This Row],[tenant_id]],tblTenants[tenant_id],tblTenants[category],"NOT FOUND")</f>
        <v>Accessories</v>
      </c>
    </row>
    <row r="2213" spans="1:17">
      <c r="A2213" t="s">
        <v>2257</v>
      </c>
      <c r="B2213" s="2">
        <v>45779</v>
      </c>
      <c r="C2213">
        <v>10</v>
      </c>
      <c r="D2213" t="s">
        <v>55</v>
      </c>
      <c r="E2213" t="s">
        <v>51</v>
      </c>
      <c r="F2213" s="7">
        <v>592.59</v>
      </c>
      <c r="G2213" s="10">
        <v>0.15</v>
      </c>
      <c r="H2213" s="7">
        <v>503.7</v>
      </c>
      <c r="I2213">
        <v>2</v>
      </c>
      <c r="J2213" t="s">
        <v>16</v>
      </c>
      <c r="K2213" s="13">
        <f>ROUND(tblTransactions[[#This Row],[gross_sales_inr]]*(1-tblTransactions[[#This Row],[discount_pct]]),2)</f>
        <v>503.7</v>
      </c>
      <c r="L2213" t="str">
        <f>IF(ABS(tblTransactions[[#This Row],[net_sales_inr]]-tblTransactions[[#This Row],[Recalc_Net_Sales]])&lt;0.02,"OK","CHECK")</f>
        <v>OK</v>
      </c>
      <c r="M2213" s="14">
        <f>DATE(YEAR(tblTransactions[[#This Row],[date]]),MONTH(tblTransactions[[#This Row],[date]]),1)</f>
        <v>45778</v>
      </c>
      <c r="N2213" t="str">
        <f>IF(WEEKDAY(tblTransactions[[#This Row],[date]],2)&gt;5,"Weekend","Weekday")</f>
        <v>Weekday</v>
      </c>
      <c r="O221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13" s="13" t="str">
        <f>_xlfn.XLOOKUP(tblTransactions[[#This Row],[tenant_id]],tblTenants[tenant_id],tblTenants[zone],"NOT FOUND")</f>
        <v>Food Court</v>
      </c>
      <c r="Q2213" s="13" t="str">
        <f>_xlfn.XLOOKUP(tblTransactions[[#This Row],[tenant_id]],tblTenants[tenant_id],tblTenants[category],"NOT FOUND")</f>
        <v>Quick Service</v>
      </c>
    </row>
    <row r="2214" spans="1:17">
      <c r="A2214" t="s">
        <v>2258</v>
      </c>
      <c r="B2214" s="2">
        <v>45824</v>
      </c>
      <c r="C2214">
        <v>18</v>
      </c>
      <c r="D2214" t="s">
        <v>122</v>
      </c>
      <c r="E2214" t="s">
        <v>12</v>
      </c>
      <c r="F2214" s="7">
        <v>721.01</v>
      </c>
      <c r="G2214" s="10">
        <v>0.2</v>
      </c>
      <c r="H2214" s="7">
        <v>576.80999999999995</v>
      </c>
      <c r="I2214">
        <v>3</v>
      </c>
      <c r="J2214" t="s">
        <v>16</v>
      </c>
      <c r="K2214" s="13">
        <f>ROUND(tblTransactions[[#This Row],[gross_sales_inr]]*(1-tblTransactions[[#This Row],[discount_pct]]),2)</f>
        <v>576.80999999999995</v>
      </c>
      <c r="L2214" t="str">
        <f>IF(ABS(tblTransactions[[#This Row],[net_sales_inr]]-tblTransactions[[#This Row],[Recalc_Net_Sales]])&lt;0.02,"OK","CHECK")</f>
        <v>OK</v>
      </c>
      <c r="M2214" s="14">
        <f>DATE(YEAR(tblTransactions[[#This Row],[date]]),MONTH(tblTransactions[[#This Row],[date]]),1)</f>
        <v>45809</v>
      </c>
      <c r="N2214" t="str">
        <f>IF(WEEKDAY(tblTransactions[[#This Row],[date]],2)&gt;5,"Weekend","Weekday")</f>
        <v>Weekday</v>
      </c>
      <c r="O221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14" s="13" t="str">
        <f>_xlfn.XLOOKUP(tblTransactions[[#This Row],[tenant_id]],tblTenants[tenant_id],tblTenants[zone],"NOT FOUND")</f>
        <v>Beauty &amp; Wellness</v>
      </c>
      <c r="Q2214" s="13" t="str">
        <f>_xlfn.XLOOKUP(tblTransactions[[#This Row],[tenant_id]],tblTenants[tenant_id],tblTenants[category],"NOT FOUND")</f>
        <v>Wellness</v>
      </c>
    </row>
    <row r="2215" spans="1:17">
      <c r="A2215" t="s">
        <v>2259</v>
      </c>
      <c r="B2215" s="2">
        <v>45786</v>
      </c>
      <c r="C2215">
        <v>16</v>
      </c>
      <c r="D2215" t="s">
        <v>27</v>
      </c>
      <c r="E2215" t="s">
        <v>12</v>
      </c>
      <c r="F2215" s="7">
        <v>798.23</v>
      </c>
      <c r="G2215" s="10">
        <v>0</v>
      </c>
      <c r="H2215" s="7">
        <v>798.23</v>
      </c>
      <c r="I2215">
        <v>4</v>
      </c>
      <c r="J2215" t="s">
        <v>13</v>
      </c>
      <c r="K2215" s="13">
        <f>ROUND(tblTransactions[[#This Row],[gross_sales_inr]]*(1-tblTransactions[[#This Row],[discount_pct]]),2)</f>
        <v>798.23</v>
      </c>
      <c r="L2215" t="str">
        <f>IF(ABS(tblTransactions[[#This Row],[net_sales_inr]]-tblTransactions[[#This Row],[Recalc_Net_Sales]])&lt;0.02,"OK","CHECK")</f>
        <v>OK</v>
      </c>
      <c r="M2215" s="14">
        <f>DATE(YEAR(tblTransactions[[#This Row],[date]]),MONTH(tblTransactions[[#This Row],[date]]),1)</f>
        <v>45778</v>
      </c>
      <c r="N2215" t="str">
        <f>IF(WEEKDAY(tblTransactions[[#This Row],[date]],2)&gt;5,"Weekend","Weekday")</f>
        <v>Weekday</v>
      </c>
      <c r="O2215" s="13" t="str">
        <f>IF(tblTransactions[[#This Row],[discount_pct]]=0,"0%",IF(tblTransactions[[#This Row],[discount_pct]]&lt;=10%,"1–
10%",IF(tblTransactions[[#This Row],[discount_pct]]&lt;=20%,"11–20%","&gt;20%")))</f>
        <v>0%</v>
      </c>
      <c r="P2215" s="13" t="str">
        <f>_xlfn.XLOOKUP(tblTransactions[[#This Row],[tenant_id]],tblTenants[tenant_id],tblTenants[zone],"NOT FOUND")</f>
        <v>Beauty &amp; Wellness</v>
      </c>
      <c r="Q2215" s="13" t="str">
        <f>_xlfn.XLOOKUP(tblTransactions[[#This Row],[tenant_id]],tblTenants[tenant_id],tblTenants[category],"NOT FOUND")</f>
        <v>Wellness</v>
      </c>
    </row>
    <row r="2216" spans="1:17">
      <c r="A2216" t="s">
        <v>2260</v>
      </c>
      <c r="B2216" s="2">
        <v>45823</v>
      </c>
      <c r="C2216">
        <v>18</v>
      </c>
      <c r="D2216" t="s">
        <v>27</v>
      </c>
      <c r="E2216" t="s">
        <v>12</v>
      </c>
      <c r="F2216" s="7">
        <v>1312.82</v>
      </c>
      <c r="G2216" s="10">
        <v>0</v>
      </c>
      <c r="H2216" s="7">
        <v>1312.82</v>
      </c>
      <c r="I2216">
        <v>1</v>
      </c>
      <c r="J2216" t="s">
        <v>16</v>
      </c>
      <c r="K2216" s="13">
        <f>ROUND(tblTransactions[[#This Row],[gross_sales_inr]]*(1-tblTransactions[[#This Row],[discount_pct]]),2)</f>
        <v>1312.82</v>
      </c>
      <c r="L2216" t="str">
        <f>IF(ABS(tblTransactions[[#This Row],[net_sales_inr]]-tblTransactions[[#This Row],[Recalc_Net_Sales]])&lt;0.02,"OK","CHECK")</f>
        <v>OK</v>
      </c>
      <c r="M2216" s="14">
        <f>DATE(YEAR(tblTransactions[[#This Row],[date]]),MONTH(tblTransactions[[#This Row],[date]]),1)</f>
        <v>45809</v>
      </c>
      <c r="N2216" t="str">
        <f>IF(WEEKDAY(tblTransactions[[#This Row],[date]],2)&gt;5,"Weekend","Weekday")</f>
        <v>Weekend</v>
      </c>
      <c r="O2216" s="13" t="str">
        <f>IF(tblTransactions[[#This Row],[discount_pct]]=0,"0%",IF(tblTransactions[[#This Row],[discount_pct]]&lt;=10%,"1–
10%",IF(tblTransactions[[#This Row],[discount_pct]]&lt;=20%,"11–20%","&gt;20%")))</f>
        <v>0%</v>
      </c>
      <c r="P2216" s="13" t="str">
        <f>_xlfn.XLOOKUP(tblTransactions[[#This Row],[tenant_id]],tblTenants[tenant_id],tblTenants[zone],"NOT FOUND")</f>
        <v>Beauty &amp; Wellness</v>
      </c>
      <c r="Q2216" s="13" t="str">
        <f>_xlfn.XLOOKUP(tblTransactions[[#This Row],[tenant_id]],tblTenants[tenant_id],tblTenants[category],"NOT FOUND")</f>
        <v>Wellness</v>
      </c>
    </row>
    <row r="2217" spans="1:17">
      <c r="A2217" t="s">
        <v>2261</v>
      </c>
      <c r="B2217" s="2">
        <v>45748</v>
      </c>
      <c r="C2217">
        <v>18</v>
      </c>
      <c r="D2217" t="s">
        <v>36</v>
      </c>
      <c r="E2217" t="s">
        <v>32</v>
      </c>
      <c r="F2217" s="7">
        <v>885.89</v>
      </c>
      <c r="G2217" s="10">
        <v>0.1</v>
      </c>
      <c r="H2217" s="7">
        <v>797.3</v>
      </c>
      <c r="I2217">
        <v>4</v>
      </c>
      <c r="J2217" t="s">
        <v>16</v>
      </c>
      <c r="K2217" s="13">
        <f>ROUND(tblTransactions[[#This Row],[gross_sales_inr]]*(1-tblTransactions[[#This Row],[discount_pct]]),2)</f>
        <v>797.3</v>
      </c>
      <c r="L2217" t="str">
        <f>IF(ABS(tblTransactions[[#This Row],[net_sales_inr]]-tblTransactions[[#This Row],[Recalc_Net_Sales]])&lt;0.02,"OK","CHECK")</f>
        <v>OK</v>
      </c>
      <c r="M2217" s="14">
        <f>DATE(YEAR(tblTransactions[[#This Row],[date]]),MONTH(tblTransactions[[#This Row],[date]]),1)</f>
        <v>45748</v>
      </c>
      <c r="N2217" t="str">
        <f>IF(WEEKDAY(tblTransactions[[#This Row],[date]],2)&gt;5,"Weekend","Weekday")</f>
        <v>Weekday</v>
      </c>
      <c r="O221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17" s="13" t="str">
        <f>_xlfn.XLOOKUP(tblTransactions[[#This Row],[tenant_id]],tblTenants[tenant_id],tblTenants[zone],"NOT FOUND")</f>
        <v>Home &amp; Living</v>
      </c>
      <c r="Q2217" s="13" t="str">
        <f>_xlfn.XLOOKUP(tblTransactions[[#This Row],[tenant_id]],tblTenants[tenant_id],tblTenants[category],"NOT FOUND")</f>
        <v>Electronics</v>
      </c>
    </row>
    <row r="2218" spans="1:17">
      <c r="A2218" t="s">
        <v>2262</v>
      </c>
      <c r="B2218" s="2">
        <v>45734</v>
      </c>
      <c r="C2218">
        <v>13</v>
      </c>
      <c r="D2218" t="s">
        <v>27</v>
      </c>
      <c r="E2218" t="s">
        <v>12</v>
      </c>
      <c r="F2218" s="7">
        <v>763.95</v>
      </c>
      <c r="G2218" s="10">
        <v>0</v>
      </c>
      <c r="H2218" s="7">
        <v>763.95</v>
      </c>
      <c r="I2218">
        <v>4</v>
      </c>
      <c r="J2218" t="s">
        <v>16</v>
      </c>
      <c r="K2218" s="13">
        <f>ROUND(tblTransactions[[#This Row],[gross_sales_inr]]*(1-tblTransactions[[#This Row],[discount_pct]]),2)</f>
        <v>763.95</v>
      </c>
      <c r="L2218" t="str">
        <f>IF(ABS(tblTransactions[[#This Row],[net_sales_inr]]-tblTransactions[[#This Row],[Recalc_Net_Sales]])&lt;0.02,"OK","CHECK")</f>
        <v>OK</v>
      </c>
      <c r="M2218" s="14">
        <f>DATE(YEAR(tblTransactions[[#This Row],[date]]),MONTH(tblTransactions[[#This Row],[date]]),1)</f>
        <v>45717</v>
      </c>
      <c r="N2218" t="str">
        <f>IF(WEEKDAY(tblTransactions[[#This Row],[date]],2)&gt;5,"Weekend","Weekday")</f>
        <v>Weekday</v>
      </c>
      <c r="O2218" s="13" t="str">
        <f>IF(tblTransactions[[#This Row],[discount_pct]]=0,"0%",IF(tblTransactions[[#This Row],[discount_pct]]&lt;=10%,"1–
10%",IF(tblTransactions[[#This Row],[discount_pct]]&lt;=20%,"11–20%","&gt;20%")))</f>
        <v>0%</v>
      </c>
      <c r="P2218" s="13" t="str">
        <f>_xlfn.XLOOKUP(tblTransactions[[#This Row],[tenant_id]],tblTenants[tenant_id],tblTenants[zone],"NOT FOUND")</f>
        <v>Beauty &amp; Wellness</v>
      </c>
      <c r="Q2218" s="13" t="str">
        <f>_xlfn.XLOOKUP(tblTransactions[[#This Row],[tenant_id]],tblTenants[tenant_id],tblTenants[category],"NOT FOUND")</f>
        <v>Wellness</v>
      </c>
    </row>
    <row r="2219" spans="1:17">
      <c r="A2219" t="s">
        <v>2263</v>
      </c>
      <c r="B2219" s="2">
        <v>45837</v>
      </c>
      <c r="C2219">
        <v>15</v>
      </c>
      <c r="D2219" t="s">
        <v>23</v>
      </c>
      <c r="E2219" t="s">
        <v>12</v>
      </c>
      <c r="F2219" s="7">
        <v>643.19000000000005</v>
      </c>
      <c r="G2219" s="10">
        <v>0</v>
      </c>
      <c r="H2219" s="7">
        <v>643.19000000000005</v>
      </c>
      <c r="I2219">
        <v>3</v>
      </c>
      <c r="J2219" t="s">
        <v>13</v>
      </c>
      <c r="K2219" s="13">
        <f>ROUND(tblTransactions[[#This Row],[gross_sales_inr]]*(1-tblTransactions[[#This Row],[discount_pct]]),2)</f>
        <v>643.19000000000005</v>
      </c>
      <c r="L2219" t="str">
        <f>IF(ABS(tblTransactions[[#This Row],[net_sales_inr]]-tblTransactions[[#This Row],[Recalc_Net_Sales]])&lt;0.02,"OK","CHECK")</f>
        <v>OK</v>
      </c>
      <c r="M2219" s="14">
        <f>DATE(YEAR(tblTransactions[[#This Row],[date]]),MONTH(tblTransactions[[#This Row],[date]]),1)</f>
        <v>45809</v>
      </c>
      <c r="N2219" t="str">
        <f>IF(WEEKDAY(tblTransactions[[#This Row],[date]],2)&gt;5,"Weekend","Weekday")</f>
        <v>Weekend</v>
      </c>
      <c r="O2219" s="13" t="str">
        <f>IF(tblTransactions[[#This Row],[discount_pct]]=0,"0%",IF(tblTransactions[[#This Row],[discount_pct]]&lt;=10%,"1–
10%",IF(tblTransactions[[#This Row],[discount_pct]]&lt;=20%,"11–20%","&gt;20%")))</f>
        <v>0%</v>
      </c>
      <c r="P2219" s="13" t="str">
        <f>_xlfn.XLOOKUP(tblTransactions[[#This Row],[tenant_id]],tblTenants[tenant_id],tblTenants[zone],"NOT FOUND")</f>
        <v>Entertainment</v>
      </c>
      <c r="Q2219" s="13" t="str">
        <f>_xlfn.XLOOKUP(tblTransactions[[#This Row],[tenant_id]],tblTenants[tenant_id],tblTenants[category],"NOT FOUND")</f>
        <v>Cinema</v>
      </c>
    </row>
    <row r="2220" spans="1:17">
      <c r="A2220" t="s">
        <v>2264</v>
      </c>
      <c r="B2220" s="2">
        <v>45827</v>
      </c>
      <c r="C2220">
        <v>21</v>
      </c>
      <c r="D2220" t="s">
        <v>87</v>
      </c>
      <c r="E2220" t="s">
        <v>12</v>
      </c>
      <c r="F2220" s="7">
        <v>758.07</v>
      </c>
      <c r="G2220" s="10">
        <v>0.05</v>
      </c>
      <c r="H2220" s="7">
        <v>720.17</v>
      </c>
      <c r="I2220">
        <v>1</v>
      </c>
      <c r="J2220" t="s">
        <v>13</v>
      </c>
      <c r="K2220" s="13">
        <f>ROUND(tblTransactions[[#This Row],[gross_sales_inr]]*(1-tblTransactions[[#This Row],[discount_pct]]),2)</f>
        <v>720.17</v>
      </c>
      <c r="L2220" t="str">
        <f>IF(ABS(tblTransactions[[#This Row],[net_sales_inr]]-tblTransactions[[#This Row],[Recalc_Net_Sales]])&lt;0.02,"OK","CHECK")</f>
        <v>OK</v>
      </c>
      <c r="M2220" s="14">
        <f>DATE(YEAR(tblTransactions[[#This Row],[date]]),MONTH(tblTransactions[[#This Row],[date]]),1)</f>
        <v>45809</v>
      </c>
      <c r="N2220" t="str">
        <f>IF(WEEKDAY(tblTransactions[[#This Row],[date]],2)&gt;5,"Weekend","Weekday")</f>
        <v>Weekday</v>
      </c>
      <c r="O222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20" s="13" t="str">
        <f>_xlfn.XLOOKUP(tblTransactions[[#This Row],[tenant_id]],tblTenants[tenant_id],tblTenants[zone],"NOT FOUND")</f>
        <v>Fashion Avenue</v>
      </c>
      <c r="Q2220" s="13" t="str">
        <f>_xlfn.XLOOKUP(tblTransactions[[#This Row],[tenant_id]],tblTenants[tenant_id],tblTenants[category],"NOT FOUND")</f>
        <v>Footwear</v>
      </c>
    </row>
    <row r="2221" spans="1:17">
      <c r="A2221" t="s">
        <v>2265</v>
      </c>
      <c r="B2221" s="2">
        <v>45834</v>
      </c>
      <c r="C2221">
        <v>17</v>
      </c>
      <c r="D2221" t="s">
        <v>27</v>
      </c>
      <c r="E2221" t="s">
        <v>21</v>
      </c>
      <c r="F2221" s="7">
        <v>1134.9000000000001</v>
      </c>
      <c r="G2221" s="10">
        <v>0.1</v>
      </c>
      <c r="H2221" s="7">
        <v>1021.41</v>
      </c>
      <c r="I2221">
        <v>1</v>
      </c>
      <c r="J2221" t="s">
        <v>13</v>
      </c>
      <c r="K2221" s="13">
        <f>ROUND(tblTransactions[[#This Row],[gross_sales_inr]]*(1-tblTransactions[[#This Row],[discount_pct]]),2)</f>
        <v>1021.41</v>
      </c>
      <c r="L2221" t="str">
        <f>IF(ABS(tblTransactions[[#This Row],[net_sales_inr]]-tblTransactions[[#This Row],[Recalc_Net_Sales]])&lt;0.02,"OK","CHECK")</f>
        <v>OK</v>
      </c>
      <c r="M2221" s="14">
        <f>DATE(YEAR(tblTransactions[[#This Row],[date]]),MONTH(tblTransactions[[#This Row],[date]]),1)</f>
        <v>45809</v>
      </c>
      <c r="N2221" t="str">
        <f>IF(WEEKDAY(tblTransactions[[#This Row],[date]],2)&gt;5,"Weekend","Weekday")</f>
        <v>Weekday</v>
      </c>
      <c r="O222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21" s="13" t="str">
        <f>_xlfn.XLOOKUP(tblTransactions[[#This Row],[tenant_id]],tblTenants[tenant_id],tblTenants[zone],"NOT FOUND")</f>
        <v>Beauty &amp; Wellness</v>
      </c>
      <c r="Q2221" s="13" t="str">
        <f>_xlfn.XLOOKUP(tblTransactions[[#This Row],[tenant_id]],tblTenants[tenant_id],tblTenants[category],"NOT FOUND")</f>
        <v>Wellness</v>
      </c>
    </row>
    <row r="2222" spans="1:17">
      <c r="A2222" t="s">
        <v>2266</v>
      </c>
      <c r="B2222" s="2">
        <v>45681</v>
      </c>
      <c r="C2222">
        <v>17</v>
      </c>
      <c r="D2222" t="s">
        <v>57</v>
      </c>
      <c r="E2222" t="s">
        <v>12</v>
      </c>
      <c r="F2222" s="7">
        <v>339.5</v>
      </c>
      <c r="G2222" s="10">
        <v>0</v>
      </c>
      <c r="H2222" s="7">
        <v>339.5</v>
      </c>
      <c r="I2222">
        <v>3</v>
      </c>
      <c r="J2222" t="s">
        <v>13</v>
      </c>
      <c r="K2222" s="13">
        <f>ROUND(tblTransactions[[#This Row],[gross_sales_inr]]*(1-tblTransactions[[#This Row],[discount_pct]]),2)</f>
        <v>339.5</v>
      </c>
      <c r="L2222" t="str">
        <f>IF(ABS(tblTransactions[[#This Row],[net_sales_inr]]-tblTransactions[[#This Row],[Recalc_Net_Sales]])&lt;0.02,"OK","CHECK")</f>
        <v>OK</v>
      </c>
      <c r="M2222" s="14">
        <f>DATE(YEAR(tblTransactions[[#This Row],[date]]),MONTH(tblTransactions[[#This Row],[date]]),1)</f>
        <v>45658</v>
      </c>
      <c r="N2222" t="str">
        <f>IF(WEEKDAY(tblTransactions[[#This Row],[date]],2)&gt;5,"Weekend","Weekday")</f>
        <v>Weekday</v>
      </c>
      <c r="O2222" s="13" t="str">
        <f>IF(tblTransactions[[#This Row],[discount_pct]]=0,"0%",IF(tblTransactions[[#This Row],[discount_pct]]&lt;=10%,"1–
10%",IF(tblTransactions[[#This Row],[discount_pct]]&lt;=20%,"11–20%","&gt;20%")))</f>
        <v>0%</v>
      </c>
      <c r="P2222" s="13" t="str">
        <f>_xlfn.XLOOKUP(tblTransactions[[#This Row],[tenant_id]],tblTenants[tenant_id],tblTenants[zone],"NOT FOUND")</f>
        <v>Food Court</v>
      </c>
      <c r="Q2222" s="13" t="str">
        <f>_xlfn.XLOOKUP(tblTransactions[[#This Row],[tenant_id]],tblTenants[tenant_id],tblTenants[category],"NOT FOUND")</f>
        <v>Casual Dining</v>
      </c>
    </row>
    <row r="2223" spans="1:17">
      <c r="A2223" t="s">
        <v>2267</v>
      </c>
      <c r="B2223" s="2">
        <v>45712</v>
      </c>
      <c r="C2223">
        <v>11</v>
      </c>
      <c r="D2223" t="s">
        <v>98</v>
      </c>
      <c r="E2223" t="s">
        <v>51</v>
      </c>
      <c r="F2223" s="7">
        <v>979.05</v>
      </c>
      <c r="G2223" s="10">
        <v>0.1</v>
      </c>
      <c r="H2223" s="7">
        <v>881.14</v>
      </c>
      <c r="I2223">
        <v>2</v>
      </c>
      <c r="J2223" t="s">
        <v>13</v>
      </c>
      <c r="K2223" s="13">
        <f>ROUND(tblTransactions[[#This Row],[gross_sales_inr]]*(1-tblTransactions[[#This Row],[discount_pct]]),2)</f>
        <v>881.15</v>
      </c>
      <c r="L2223" t="str">
        <f>IF(ABS(tblTransactions[[#This Row],[net_sales_inr]]-tblTransactions[[#This Row],[Recalc_Net_Sales]])&lt;0.02,"OK","CHECK")</f>
        <v>OK</v>
      </c>
      <c r="M2223" s="14">
        <f>DATE(YEAR(tblTransactions[[#This Row],[date]]),MONTH(tblTransactions[[#This Row],[date]]),1)</f>
        <v>45689</v>
      </c>
      <c r="N2223" t="str">
        <f>IF(WEEKDAY(tblTransactions[[#This Row],[date]],2)&gt;5,"Weekend","Weekday")</f>
        <v>Weekday</v>
      </c>
      <c r="O222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23" s="13" t="str">
        <f>_xlfn.XLOOKUP(tblTransactions[[#This Row],[tenant_id]],tblTenants[tenant_id],tblTenants[zone],"NOT FOUND")</f>
        <v>Fashion Avenue</v>
      </c>
      <c r="Q2223" s="13" t="str">
        <f>_xlfn.XLOOKUP(tblTransactions[[#This Row],[tenant_id]],tblTenants[tenant_id],tblTenants[category],"NOT FOUND")</f>
        <v>Accessories</v>
      </c>
    </row>
    <row r="2224" spans="1:17">
      <c r="A2224" t="s">
        <v>2268</v>
      </c>
      <c r="B2224" s="2">
        <v>45746</v>
      </c>
      <c r="C2224">
        <v>19</v>
      </c>
      <c r="D2224" t="s">
        <v>122</v>
      </c>
      <c r="E2224" t="s">
        <v>51</v>
      </c>
      <c r="F2224" s="7">
        <v>2248.96</v>
      </c>
      <c r="G2224" s="10">
        <v>0</v>
      </c>
      <c r="H2224" s="7">
        <v>2248.96</v>
      </c>
      <c r="I2224">
        <v>3</v>
      </c>
      <c r="J2224" t="s">
        <v>13</v>
      </c>
      <c r="K2224" s="13">
        <f>ROUND(tblTransactions[[#This Row],[gross_sales_inr]]*(1-tblTransactions[[#This Row],[discount_pct]]),2)</f>
        <v>2248.96</v>
      </c>
      <c r="L2224" t="str">
        <f>IF(ABS(tblTransactions[[#This Row],[net_sales_inr]]-tblTransactions[[#This Row],[Recalc_Net_Sales]])&lt;0.02,"OK","CHECK")</f>
        <v>OK</v>
      </c>
      <c r="M2224" s="14">
        <f>DATE(YEAR(tblTransactions[[#This Row],[date]]),MONTH(tblTransactions[[#This Row],[date]]),1)</f>
        <v>45717</v>
      </c>
      <c r="N2224" t="str">
        <f>IF(WEEKDAY(tblTransactions[[#This Row],[date]],2)&gt;5,"Weekend","Weekday")</f>
        <v>Weekend</v>
      </c>
      <c r="O2224" s="13" t="str">
        <f>IF(tblTransactions[[#This Row],[discount_pct]]=0,"0%",IF(tblTransactions[[#This Row],[discount_pct]]&lt;=10%,"1–
10%",IF(tblTransactions[[#This Row],[discount_pct]]&lt;=20%,"11–20%","&gt;20%")))</f>
        <v>0%</v>
      </c>
      <c r="P2224" s="13" t="str">
        <f>_xlfn.XLOOKUP(tblTransactions[[#This Row],[tenant_id]],tblTenants[tenant_id],tblTenants[zone],"NOT FOUND")</f>
        <v>Beauty &amp; Wellness</v>
      </c>
      <c r="Q2224" s="13" t="str">
        <f>_xlfn.XLOOKUP(tblTransactions[[#This Row],[tenant_id]],tblTenants[tenant_id],tblTenants[category],"NOT FOUND")</f>
        <v>Wellness</v>
      </c>
    </row>
    <row r="2225" spans="1:17">
      <c r="A2225" t="s">
        <v>2269</v>
      </c>
      <c r="B2225" s="2">
        <v>45682</v>
      </c>
      <c r="C2225">
        <v>16</v>
      </c>
      <c r="D2225" t="s">
        <v>25</v>
      </c>
      <c r="E2225" t="s">
        <v>12</v>
      </c>
      <c r="F2225" s="7">
        <v>2199.83</v>
      </c>
      <c r="G2225" s="10">
        <v>0</v>
      </c>
      <c r="H2225" s="7">
        <v>2199.83</v>
      </c>
      <c r="I2225">
        <v>1</v>
      </c>
      <c r="J2225" t="s">
        <v>16</v>
      </c>
      <c r="K2225" s="13">
        <f>ROUND(tblTransactions[[#This Row],[gross_sales_inr]]*(1-tblTransactions[[#This Row],[discount_pct]]),2)</f>
        <v>2199.83</v>
      </c>
      <c r="L2225" t="str">
        <f>IF(ABS(tblTransactions[[#This Row],[net_sales_inr]]-tblTransactions[[#This Row],[Recalc_Net_Sales]])&lt;0.02,"OK","CHECK")</f>
        <v>OK</v>
      </c>
      <c r="M2225" s="14">
        <f>DATE(YEAR(tblTransactions[[#This Row],[date]]),MONTH(tblTransactions[[#This Row],[date]]),1)</f>
        <v>45658</v>
      </c>
      <c r="N2225" t="str">
        <f>IF(WEEKDAY(tblTransactions[[#This Row],[date]],2)&gt;5,"Weekend","Weekday")</f>
        <v>Weekend</v>
      </c>
      <c r="O2225" s="13" t="str">
        <f>IF(tblTransactions[[#This Row],[discount_pct]]=0,"0%",IF(tblTransactions[[#This Row],[discount_pct]]&lt;=10%,"1–
10%",IF(tblTransactions[[#This Row],[discount_pct]]&lt;=20%,"11–20%","&gt;20%")))</f>
        <v>0%</v>
      </c>
      <c r="P2225" s="13" t="str">
        <f>_xlfn.XLOOKUP(tblTransactions[[#This Row],[tenant_id]],tblTenants[tenant_id],tblTenants[zone],"NOT FOUND")</f>
        <v>Beauty &amp; Wellness</v>
      </c>
      <c r="Q2225" s="13" t="str">
        <f>_xlfn.XLOOKUP(tblTransactions[[#This Row],[tenant_id]],tblTenants[tenant_id],tblTenants[category],"NOT FOUND")</f>
        <v>Beauty</v>
      </c>
    </row>
    <row r="2226" spans="1:17">
      <c r="A2226" t="s">
        <v>2270</v>
      </c>
      <c r="B2226" s="2">
        <v>45675</v>
      </c>
      <c r="C2226">
        <v>15</v>
      </c>
      <c r="D2226" t="s">
        <v>41</v>
      </c>
      <c r="E2226" t="s">
        <v>21</v>
      </c>
      <c r="F2226" s="7">
        <v>1110.44</v>
      </c>
      <c r="G2226" s="10">
        <v>0</v>
      </c>
      <c r="H2226" s="7">
        <v>1110.44</v>
      </c>
      <c r="I2226">
        <v>1</v>
      </c>
      <c r="J2226" t="s">
        <v>13</v>
      </c>
      <c r="K2226" s="13">
        <f>ROUND(tblTransactions[[#This Row],[gross_sales_inr]]*(1-tblTransactions[[#This Row],[discount_pct]]),2)</f>
        <v>1110.44</v>
      </c>
      <c r="L2226" t="str">
        <f>IF(ABS(tblTransactions[[#This Row],[net_sales_inr]]-tblTransactions[[#This Row],[Recalc_Net_Sales]])&lt;0.02,"OK","CHECK")</f>
        <v>OK</v>
      </c>
      <c r="M2226" s="14">
        <f>DATE(YEAR(tblTransactions[[#This Row],[date]]),MONTH(tblTransactions[[#This Row],[date]]),1)</f>
        <v>45658</v>
      </c>
      <c r="N2226" t="str">
        <f>IF(WEEKDAY(tblTransactions[[#This Row],[date]],2)&gt;5,"Weekend","Weekday")</f>
        <v>Weekend</v>
      </c>
      <c r="O2226" s="13" t="str">
        <f>IF(tblTransactions[[#This Row],[discount_pct]]=0,"0%",IF(tblTransactions[[#This Row],[discount_pct]]&lt;=10%,"1–
10%",IF(tblTransactions[[#This Row],[discount_pct]]&lt;=20%,"11–20%","&gt;20%")))</f>
        <v>0%</v>
      </c>
      <c r="P2226" s="13" t="str">
        <f>_xlfn.XLOOKUP(tblTransactions[[#This Row],[tenant_id]],tblTenants[tenant_id],tblTenants[zone],"NOT FOUND")</f>
        <v>Fashion Avenue</v>
      </c>
      <c r="Q2226" s="13" t="str">
        <f>_xlfn.XLOOKUP(tblTransactions[[#This Row],[tenant_id]],tblTenants[tenant_id],tblTenants[category],"NOT FOUND")</f>
        <v>Clothing</v>
      </c>
    </row>
    <row r="2227" spans="1:17">
      <c r="A2227" t="s">
        <v>2271</v>
      </c>
      <c r="B2227" s="2">
        <v>45807</v>
      </c>
      <c r="C2227">
        <v>15</v>
      </c>
      <c r="D2227" t="s">
        <v>41</v>
      </c>
      <c r="E2227" t="s">
        <v>12</v>
      </c>
      <c r="F2227" s="7">
        <v>621.16999999999996</v>
      </c>
      <c r="G2227" s="10">
        <v>0.05</v>
      </c>
      <c r="H2227" s="7">
        <v>590.11</v>
      </c>
      <c r="I2227">
        <v>1</v>
      </c>
      <c r="J2227" t="s">
        <v>13</v>
      </c>
      <c r="K2227" s="13">
        <f>ROUND(tblTransactions[[#This Row],[gross_sales_inr]]*(1-tblTransactions[[#This Row],[discount_pct]]),2)</f>
        <v>590.11</v>
      </c>
      <c r="L2227" t="str">
        <f>IF(ABS(tblTransactions[[#This Row],[net_sales_inr]]-tblTransactions[[#This Row],[Recalc_Net_Sales]])&lt;0.02,"OK","CHECK")</f>
        <v>OK</v>
      </c>
      <c r="M2227" s="14">
        <f>DATE(YEAR(tblTransactions[[#This Row],[date]]),MONTH(tblTransactions[[#This Row],[date]]),1)</f>
        <v>45778</v>
      </c>
      <c r="N2227" t="str">
        <f>IF(WEEKDAY(tblTransactions[[#This Row],[date]],2)&gt;5,"Weekend","Weekday")</f>
        <v>Weekday</v>
      </c>
      <c r="O222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27" s="13" t="str">
        <f>_xlfn.XLOOKUP(tblTransactions[[#This Row],[tenant_id]],tblTenants[tenant_id],tblTenants[zone],"NOT FOUND")</f>
        <v>Fashion Avenue</v>
      </c>
      <c r="Q2227" s="13" t="str">
        <f>_xlfn.XLOOKUP(tblTransactions[[#This Row],[tenant_id]],tblTenants[tenant_id],tblTenants[category],"NOT FOUND")</f>
        <v>Clothing</v>
      </c>
    </row>
    <row r="2228" spans="1:17">
      <c r="A2228" t="s">
        <v>2272</v>
      </c>
      <c r="B2228" s="2">
        <v>45688</v>
      </c>
      <c r="C2228">
        <v>14</v>
      </c>
      <c r="D2228" t="s">
        <v>43</v>
      </c>
      <c r="E2228" t="s">
        <v>12</v>
      </c>
      <c r="F2228" s="7">
        <v>1627.11</v>
      </c>
      <c r="G2228" s="10">
        <v>0</v>
      </c>
      <c r="H2228" s="7">
        <v>1627.11</v>
      </c>
      <c r="I2228">
        <v>1</v>
      </c>
      <c r="J2228" t="s">
        <v>16</v>
      </c>
      <c r="K2228" s="13">
        <f>ROUND(tblTransactions[[#This Row],[gross_sales_inr]]*(1-tblTransactions[[#This Row],[discount_pct]]),2)</f>
        <v>1627.11</v>
      </c>
      <c r="L2228" t="str">
        <f>IF(ABS(tblTransactions[[#This Row],[net_sales_inr]]-tblTransactions[[#This Row],[Recalc_Net_Sales]])&lt;0.02,"OK","CHECK")</f>
        <v>OK</v>
      </c>
      <c r="M2228" s="14">
        <f>DATE(YEAR(tblTransactions[[#This Row],[date]]),MONTH(tblTransactions[[#This Row],[date]]),1)</f>
        <v>45658</v>
      </c>
      <c r="N2228" t="str">
        <f>IF(WEEKDAY(tblTransactions[[#This Row],[date]],2)&gt;5,"Weekend","Weekday")</f>
        <v>Weekday</v>
      </c>
      <c r="O2228" s="13" t="str">
        <f>IF(tblTransactions[[#This Row],[discount_pct]]=0,"0%",IF(tblTransactions[[#This Row],[discount_pct]]&lt;=10%,"1–
10%",IF(tblTransactions[[#This Row],[discount_pct]]&lt;=20%,"11–20%","&gt;20%")))</f>
        <v>0%</v>
      </c>
      <c r="P2228" s="13" t="str">
        <f>_xlfn.XLOOKUP(tblTransactions[[#This Row],[tenant_id]],tblTenants[tenant_id],tblTenants[zone],"NOT FOUND")</f>
        <v>Food Court</v>
      </c>
      <c r="Q2228" s="13" t="str">
        <f>_xlfn.XLOOKUP(tblTransactions[[#This Row],[tenant_id]],tblTenants[tenant_id],tblTenants[category],"NOT FOUND")</f>
        <v>Casual Dining</v>
      </c>
    </row>
    <row r="2229" spans="1:17">
      <c r="A2229" t="s">
        <v>2273</v>
      </c>
      <c r="B2229" s="2">
        <v>45773</v>
      </c>
      <c r="C2229">
        <v>13</v>
      </c>
      <c r="D2229" t="s">
        <v>104</v>
      </c>
      <c r="E2229" t="s">
        <v>12</v>
      </c>
      <c r="F2229" s="7">
        <v>1310.1099999999999</v>
      </c>
      <c r="G2229" s="10">
        <v>0.1</v>
      </c>
      <c r="H2229" s="7">
        <v>1179.0999999999999</v>
      </c>
      <c r="I2229">
        <v>2</v>
      </c>
      <c r="J2229" t="s">
        <v>16</v>
      </c>
      <c r="K2229" s="13">
        <f>ROUND(tblTransactions[[#This Row],[gross_sales_inr]]*(1-tblTransactions[[#This Row],[discount_pct]]),2)</f>
        <v>1179.0999999999999</v>
      </c>
      <c r="L2229" t="str">
        <f>IF(ABS(tblTransactions[[#This Row],[net_sales_inr]]-tblTransactions[[#This Row],[Recalc_Net_Sales]])&lt;0.02,"OK","CHECK")</f>
        <v>OK</v>
      </c>
      <c r="M2229" s="14">
        <f>DATE(YEAR(tblTransactions[[#This Row],[date]]),MONTH(tblTransactions[[#This Row],[date]]),1)</f>
        <v>45748</v>
      </c>
      <c r="N2229" t="str">
        <f>IF(WEEKDAY(tblTransactions[[#This Row],[date]],2)&gt;5,"Weekend","Weekday")</f>
        <v>Weekend</v>
      </c>
      <c r="O222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29" s="13" t="str">
        <f>_xlfn.XLOOKUP(tblTransactions[[#This Row],[tenant_id]],tblTenants[tenant_id],tblTenants[zone],"NOT FOUND")</f>
        <v>Entertainment</v>
      </c>
      <c r="Q2229" s="13" t="str">
        <f>_xlfn.XLOOKUP(tblTransactions[[#This Row],[tenant_id]],tblTenants[tenant_id],tblTenants[category],"NOT FOUND")</f>
        <v>Family Entertainment</v>
      </c>
    </row>
    <row r="2230" spans="1:17">
      <c r="A2230" t="s">
        <v>2274</v>
      </c>
      <c r="B2230" s="2">
        <v>45810</v>
      </c>
      <c r="C2230">
        <v>12</v>
      </c>
      <c r="D2230" t="s">
        <v>80</v>
      </c>
      <c r="E2230" t="s">
        <v>12</v>
      </c>
      <c r="F2230" s="7">
        <v>1648.39</v>
      </c>
      <c r="G2230" s="10">
        <v>0.2</v>
      </c>
      <c r="H2230" s="7">
        <v>1318.71</v>
      </c>
      <c r="I2230">
        <v>1</v>
      </c>
      <c r="J2230" t="s">
        <v>13</v>
      </c>
      <c r="K2230" s="13">
        <f>ROUND(tblTransactions[[#This Row],[gross_sales_inr]]*(1-tblTransactions[[#This Row],[discount_pct]]),2)</f>
        <v>1318.71</v>
      </c>
      <c r="L2230" t="str">
        <f>IF(ABS(tblTransactions[[#This Row],[net_sales_inr]]-tblTransactions[[#This Row],[Recalc_Net_Sales]])&lt;0.02,"OK","CHECK")</f>
        <v>OK</v>
      </c>
      <c r="M2230" s="14">
        <f>DATE(YEAR(tblTransactions[[#This Row],[date]]),MONTH(tblTransactions[[#This Row],[date]]),1)</f>
        <v>45809</v>
      </c>
      <c r="N2230" t="str">
        <f>IF(WEEKDAY(tblTransactions[[#This Row],[date]],2)&gt;5,"Weekend","Weekday")</f>
        <v>Weekday</v>
      </c>
      <c r="O223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30" s="13" t="str">
        <f>_xlfn.XLOOKUP(tblTransactions[[#This Row],[tenant_id]],tblTenants[tenant_id],tblTenants[zone],"NOT FOUND")</f>
        <v>Food Court</v>
      </c>
      <c r="Q2230" s="13" t="str">
        <f>_xlfn.XLOOKUP(tblTransactions[[#This Row],[tenant_id]],tblTenants[tenant_id],tblTenants[category],"NOT FOUND")</f>
        <v>Casual Dining</v>
      </c>
    </row>
    <row r="2231" spans="1:17">
      <c r="A2231" t="s">
        <v>2275</v>
      </c>
      <c r="B2231" s="2">
        <v>45817</v>
      </c>
      <c r="C2231">
        <v>11</v>
      </c>
      <c r="D2231" t="s">
        <v>87</v>
      </c>
      <c r="E2231" t="s">
        <v>32</v>
      </c>
      <c r="F2231" s="7">
        <v>1260.1300000000001</v>
      </c>
      <c r="G2231" s="10">
        <v>0</v>
      </c>
      <c r="H2231" s="7">
        <v>1260.1300000000001</v>
      </c>
      <c r="I2231">
        <v>3</v>
      </c>
      <c r="J2231" t="s">
        <v>13</v>
      </c>
      <c r="K2231" s="13">
        <f>ROUND(tblTransactions[[#This Row],[gross_sales_inr]]*(1-tblTransactions[[#This Row],[discount_pct]]),2)</f>
        <v>1260.1300000000001</v>
      </c>
      <c r="L2231" t="str">
        <f>IF(ABS(tblTransactions[[#This Row],[net_sales_inr]]-tblTransactions[[#This Row],[Recalc_Net_Sales]])&lt;0.02,"OK","CHECK")</f>
        <v>OK</v>
      </c>
      <c r="M2231" s="14">
        <f>DATE(YEAR(tblTransactions[[#This Row],[date]]),MONTH(tblTransactions[[#This Row],[date]]),1)</f>
        <v>45809</v>
      </c>
      <c r="N2231" t="str">
        <f>IF(WEEKDAY(tblTransactions[[#This Row],[date]],2)&gt;5,"Weekend","Weekday")</f>
        <v>Weekday</v>
      </c>
      <c r="O2231" s="13" t="str">
        <f>IF(tblTransactions[[#This Row],[discount_pct]]=0,"0%",IF(tblTransactions[[#This Row],[discount_pct]]&lt;=10%,"1–
10%",IF(tblTransactions[[#This Row],[discount_pct]]&lt;=20%,"11–20%","&gt;20%")))</f>
        <v>0%</v>
      </c>
      <c r="P2231" s="13" t="str">
        <f>_xlfn.XLOOKUP(tblTransactions[[#This Row],[tenant_id]],tblTenants[tenant_id],tblTenants[zone],"NOT FOUND")</f>
        <v>Fashion Avenue</v>
      </c>
      <c r="Q2231" s="13" t="str">
        <f>_xlfn.XLOOKUP(tblTransactions[[#This Row],[tenant_id]],tblTenants[tenant_id],tblTenants[category],"NOT FOUND")</f>
        <v>Footwear</v>
      </c>
    </row>
    <row r="2232" spans="1:17">
      <c r="A2232" t="s">
        <v>2276</v>
      </c>
      <c r="B2232" s="2">
        <v>45788</v>
      </c>
      <c r="C2232">
        <v>22</v>
      </c>
      <c r="D2232" t="s">
        <v>59</v>
      </c>
      <c r="E2232" t="s">
        <v>12</v>
      </c>
      <c r="F2232" s="7">
        <v>1320.31</v>
      </c>
      <c r="G2232" s="10">
        <v>0</v>
      </c>
      <c r="H2232" s="7">
        <v>1320.31</v>
      </c>
      <c r="I2232">
        <v>5</v>
      </c>
      <c r="J2232" t="s">
        <v>13</v>
      </c>
      <c r="K2232" s="13">
        <f>ROUND(tblTransactions[[#This Row],[gross_sales_inr]]*(1-tblTransactions[[#This Row],[discount_pct]]),2)</f>
        <v>1320.31</v>
      </c>
      <c r="L2232" t="str">
        <f>IF(ABS(tblTransactions[[#This Row],[net_sales_inr]]-tblTransactions[[#This Row],[Recalc_Net_Sales]])&lt;0.02,"OK","CHECK")</f>
        <v>OK</v>
      </c>
      <c r="M2232" s="14">
        <f>DATE(YEAR(tblTransactions[[#This Row],[date]]),MONTH(tblTransactions[[#This Row],[date]]),1)</f>
        <v>45778</v>
      </c>
      <c r="N2232" t="str">
        <f>IF(WEEKDAY(tblTransactions[[#This Row],[date]],2)&gt;5,"Weekend","Weekday")</f>
        <v>Weekend</v>
      </c>
      <c r="O2232" s="13" t="str">
        <f>IF(tblTransactions[[#This Row],[discount_pct]]=0,"0%",IF(tblTransactions[[#This Row],[discount_pct]]&lt;=10%,"1–
10%",IF(tblTransactions[[#This Row],[discount_pct]]&lt;=20%,"11–20%","&gt;20%")))</f>
        <v>0%</v>
      </c>
      <c r="P2232" s="13" t="str">
        <f>_xlfn.XLOOKUP(tblTransactions[[#This Row],[tenant_id]],tblTenants[tenant_id],tblTenants[zone],"NOT FOUND")</f>
        <v>Fashion Avenue</v>
      </c>
      <c r="Q2232" s="13" t="str">
        <f>_xlfn.XLOOKUP(tblTransactions[[#This Row],[tenant_id]],tblTenants[tenant_id],tblTenants[category],"NOT FOUND")</f>
        <v>Footwear</v>
      </c>
    </row>
    <row r="2233" spans="1:17">
      <c r="A2233" t="s">
        <v>2277</v>
      </c>
      <c r="B2233" s="2">
        <v>45798</v>
      </c>
      <c r="C2233">
        <v>20</v>
      </c>
      <c r="D2233" t="s">
        <v>70</v>
      </c>
      <c r="E2233" t="s">
        <v>32</v>
      </c>
      <c r="F2233" s="7">
        <v>2363.61</v>
      </c>
      <c r="G2233" s="10">
        <v>0.05</v>
      </c>
      <c r="H2233" s="7">
        <v>2245.4299999999998</v>
      </c>
      <c r="I2233">
        <v>2</v>
      </c>
      <c r="J2233" t="s">
        <v>13</v>
      </c>
      <c r="K2233" s="13">
        <f>ROUND(tblTransactions[[#This Row],[gross_sales_inr]]*(1-tblTransactions[[#This Row],[discount_pct]]),2)</f>
        <v>2245.4299999999998</v>
      </c>
      <c r="L2233" t="str">
        <f>IF(ABS(tblTransactions[[#This Row],[net_sales_inr]]-tblTransactions[[#This Row],[Recalc_Net_Sales]])&lt;0.02,"OK","CHECK")</f>
        <v>OK</v>
      </c>
      <c r="M2233" s="14">
        <f>DATE(YEAR(tblTransactions[[#This Row],[date]]),MONTH(tblTransactions[[#This Row],[date]]),1)</f>
        <v>45778</v>
      </c>
      <c r="N2233" t="str">
        <f>IF(WEEKDAY(tblTransactions[[#This Row],[date]],2)&gt;5,"Weekend","Weekday")</f>
        <v>Weekday</v>
      </c>
      <c r="O223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33" s="13" t="str">
        <f>_xlfn.XLOOKUP(tblTransactions[[#This Row],[tenant_id]],tblTenants[tenant_id],tblTenants[zone],"NOT FOUND")</f>
        <v>Food Court</v>
      </c>
      <c r="Q2233" s="13" t="str">
        <f>_xlfn.XLOOKUP(tblTransactions[[#This Row],[tenant_id]],tblTenants[tenant_id],tblTenants[category],"NOT FOUND")</f>
        <v>Quick Service</v>
      </c>
    </row>
    <row r="2234" spans="1:17">
      <c r="A2234" t="s">
        <v>2278</v>
      </c>
      <c r="B2234" s="2">
        <v>45673</v>
      </c>
      <c r="C2234">
        <v>12</v>
      </c>
      <c r="D2234" t="s">
        <v>18</v>
      </c>
      <c r="E2234" t="s">
        <v>51</v>
      </c>
      <c r="F2234" s="7">
        <v>1593.86</v>
      </c>
      <c r="G2234" s="10">
        <v>0</v>
      </c>
      <c r="H2234" s="7">
        <v>1593.86</v>
      </c>
      <c r="I2234">
        <v>3</v>
      </c>
      <c r="J2234" t="s">
        <v>13</v>
      </c>
      <c r="K2234" s="13">
        <f>ROUND(tblTransactions[[#This Row],[gross_sales_inr]]*(1-tblTransactions[[#This Row],[discount_pct]]),2)</f>
        <v>1593.86</v>
      </c>
      <c r="L2234" t="str">
        <f>IF(ABS(tblTransactions[[#This Row],[net_sales_inr]]-tblTransactions[[#This Row],[Recalc_Net_Sales]])&lt;0.02,"OK","CHECK")</f>
        <v>OK</v>
      </c>
      <c r="M2234" s="14">
        <f>DATE(YEAR(tblTransactions[[#This Row],[date]]),MONTH(tblTransactions[[#This Row],[date]]),1)</f>
        <v>45658</v>
      </c>
      <c r="N2234" t="str">
        <f>IF(WEEKDAY(tblTransactions[[#This Row],[date]],2)&gt;5,"Weekend","Weekday")</f>
        <v>Weekday</v>
      </c>
      <c r="O2234" s="13" t="str">
        <f>IF(tblTransactions[[#This Row],[discount_pct]]=0,"0%",IF(tblTransactions[[#This Row],[discount_pct]]&lt;=10%,"1–
10%",IF(tblTransactions[[#This Row],[discount_pct]]&lt;=20%,"11–20%","&gt;20%")))</f>
        <v>0%</v>
      </c>
      <c r="P2234" s="13" t="str">
        <f>_xlfn.XLOOKUP(tblTransactions[[#This Row],[tenant_id]],tblTenants[tenant_id],tblTenants[zone],"NOT FOUND")</f>
        <v>Beauty &amp; Wellness</v>
      </c>
      <c r="Q2234" s="13" t="str">
        <f>_xlfn.XLOOKUP(tblTransactions[[#This Row],[tenant_id]],tblTenants[tenant_id],tblTenants[category],"NOT FOUND")</f>
        <v>Beauty</v>
      </c>
    </row>
    <row r="2235" spans="1:17">
      <c r="A2235" t="s">
        <v>2279</v>
      </c>
      <c r="B2235" s="2">
        <v>45832</v>
      </c>
      <c r="C2235">
        <v>16</v>
      </c>
      <c r="D2235" t="s">
        <v>57</v>
      </c>
      <c r="E2235" t="s">
        <v>12</v>
      </c>
      <c r="F2235" s="7">
        <v>941.6</v>
      </c>
      <c r="G2235" s="10">
        <v>0.05</v>
      </c>
      <c r="H2235" s="7">
        <v>894.52</v>
      </c>
      <c r="I2235">
        <v>2</v>
      </c>
      <c r="J2235" t="s">
        <v>13</v>
      </c>
      <c r="K2235" s="13">
        <f>ROUND(tblTransactions[[#This Row],[gross_sales_inr]]*(1-tblTransactions[[#This Row],[discount_pct]]),2)</f>
        <v>894.52</v>
      </c>
      <c r="L2235" t="str">
        <f>IF(ABS(tblTransactions[[#This Row],[net_sales_inr]]-tblTransactions[[#This Row],[Recalc_Net_Sales]])&lt;0.02,"OK","CHECK")</f>
        <v>OK</v>
      </c>
      <c r="M2235" s="14">
        <f>DATE(YEAR(tblTransactions[[#This Row],[date]]),MONTH(tblTransactions[[#This Row],[date]]),1)</f>
        <v>45809</v>
      </c>
      <c r="N2235" t="str">
        <f>IF(WEEKDAY(tblTransactions[[#This Row],[date]],2)&gt;5,"Weekend","Weekday")</f>
        <v>Weekday</v>
      </c>
      <c r="O223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35" s="13" t="str">
        <f>_xlfn.XLOOKUP(tblTransactions[[#This Row],[tenant_id]],tblTenants[tenant_id],tblTenants[zone],"NOT FOUND")</f>
        <v>Food Court</v>
      </c>
      <c r="Q2235" s="13" t="str">
        <f>_xlfn.XLOOKUP(tblTransactions[[#This Row],[tenant_id]],tblTenants[tenant_id],tblTenants[category],"NOT FOUND")</f>
        <v>Casual Dining</v>
      </c>
    </row>
    <row r="2236" spans="1:17">
      <c r="A2236" t="s">
        <v>2280</v>
      </c>
      <c r="B2236" s="2">
        <v>45735</v>
      </c>
      <c r="C2236">
        <v>16</v>
      </c>
      <c r="D2236" t="s">
        <v>204</v>
      </c>
      <c r="E2236" t="s">
        <v>51</v>
      </c>
      <c r="F2236" s="7">
        <v>965.32</v>
      </c>
      <c r="G2236" s="10">
        <v>0.1</v>
      </c>
      <c r="H2236" s="7">
        <v>868.79</v>
      </c>
      <c r="I2236">
        <v>1</v>
      </c>
      <c r="J2236" t="s">
        <v>13</v>
      </c>
      <c r="K2236" s="13">
        <f>ROUND(tblTransactions[[#This Row],[gross_sales_inr]]*(1-tblTransactions[[#This Row],[discount_pct]]),2)</f>
        <v>868.79</v>
      </c>
      <c r="L2236" t="str">
        <f>IF(ABS(tblTransactions[[#This Row],[net_sales_inr]]-tblTransactions[[#This Row],[Recalc_Net_Sales]])&lt;0.02,"OK","CHECK")</f>
        <v>OK</v>
      </c>
      <c r="M2236" s="14">
        <f>DATE(YEAR(tblTransactions[[#This Row],[date]]),MONTH(tblTransactions[[#This Row],[date]]),1)</f>
        <v>45717</v>
      </c>
      <c r="N2236" t="str">
        <f>IF(WEEKDAY(tblTransactions[[#This Row],[date]],2)&gt;5,"Weekend","Weekday")</f>
        <v>Weekday</v>
      </c>
      <c r="O223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36" s="13" t="str">
        <f>_xlfn.XLOOKUP(tblTransactions[[#This Row],[tenant_id]],tblTenants[tenant_id],tblTenants[zone],"NOT FOUND")</f>
        <v>Home &amp; Living</v>
      </c>
      <c r="Q2236" s="13" t="str">
        <f>_xlfn.XLOOKUP(tblTransactions[[#This Row],[tenant_id]],tblTenants[tenant_id],tblTenants[category],"NOT FOUND")</f>
        <v>Home Decor</v>
      </c>
    </row>
    <row r="2237" spans="1:17">
      <c r="A2237" t="s">
        <v>2281</v>
      </c>
      <c r="B2237" s="2">
        <v>45800</v>
      </c>
      <c r="C2237">
        <v>12</v>
      </c>
      <c r="D2237" t="s">
        <v>80</v>
      </c>
      <c r="E2237" t="s">
        <v>12</v>
      </c>
      <c r="F2237" s="7">
        <v>875.08</v>
      </c>
      <c r="G2237" s="10">
        <v>0.1</v>
      </c>
      <c r="H2237" s="7">
        <v>787.57</v>
      </c>
      <c r="I2237">
        <v>4</v>
      </c>
      <c r="J2237" t="s">
        <v>16</v>
      </c>
      <c r="K2237" s="13">
        <f>ROUND(tblTransactions[[#This Row],[gross_sales_inr]]*(1-tblTransactions[[#This Row],[discount_pct]]),2)</f>
        <v>787.57</v>
      </c>
      <c r="L2237" t="str">
        <f>IF(ABS(tblTransactions[[#This Row],[net_sales_inr]]-tblTransactions[[#This Row],[Recalc_Net_Sales]])&lt;0.02,"OK","CHECK")</f>
        <v>OK</v>
      </c>
      <c r="M2237" s="14">
        <f>DATE(YEAR(tblTransactions[[#This Row],[date]]),MONTH(tblTransactions[[#This Row],[date]]),1)</f>
        <v>45778</v>
      </c>
      <c r="N2237" t="str">
        <f>IF(WEEKDAY(tblTransactions[[#This Row],[date]],2)&gt;5,"Weekend","Weekday")</f>
        <v>Weekday</v>
      </c>
      <c r="O223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37" s="13" t="str">
        <f>_xlfn.XLOOKUP(tblTransactions[[#This Row],[tenant_id]],tblTenants[tenant_id],tblTenants[zone],"NOT FOUND")</f>
        <v>Food Court</v>
      </c>
      <c r="Q2237" s="13" t="str">
        <f>_xlfn.XLOOKUP(tblTransactions[[#This Row],[tenant_id]],tblTenants[tenant_id],tblTenants[category],"NOT FOUND")</f>
        <v>Casual Dining</v>
      </c>
    </row>
    <row r="2238" spans="1:17">
      <c r="A2238" t="s">
        <v>2282</v>
      </c>
      <c r="B2238" s="2">
        <v>45811</v>
      </c>
      <c r="C2238">
        <v>21</v>
      </c>
      <c r="D2238" t="s">
        <v>43</v>
      </c>
      <c r="E2238" t="s">
        <v>12</v>
      </c>
      <c r="F2238" s="7">
        <v>1549.64</v>
      </c>
      <c r="G2238" s="10">
        <v>0</v>
      </c>
      <c r="H2238" s="7">
        <v>1549.64</v>
      </c>
      <c r="I2238">
        <v>2</v>
      </c>
      <c r="J2238" t="s">
        <v>13</v>
      </c>
      <c r="K2238" s="13">
        <f>ROUND(tblTransactions[[#This Row],[gross_sales_inr]]*(1-tblTransactions[[#This Row],[discount_pct]]),2)</f>
        <v>1549.64</v>
      </c>
      <c r="L2238" t="str">
        <f>IF(ABS(tblTransactions[[#This Row],[net_sales_inr]]-tblTransactions[[#This Row],[Recalc_Net_Sales]])&lt;0.02,"OK","CHECK")</f>
        <v>OK</v>
      </c>
      <c r="M2238" s="14">
        <f>DATE(YEAR(tblTransactions[[#This Row],[date]]),MONTH(tblTransactions[[#This Row],[date]]),1)</f>
        <v>45809</v>
      </c>
      <c r="N2238" t="str">
        <f>IF(WEEKDAY(tblTransactions[[#This Row],[date]],2)&gt;5,"Weekend","Weekday")</f>
        <v>Weekday</v>
      </c>
      <c r="O2238" s="13" t="str">
        <f>IF(tblTransactions[[#This Row],[discount_pct]]=0,"0%",IF(tblTransactions[[#This Row],[discount_pct]]&lt;=10%,"1–
10%",IF(tblTransactions[[#This Row],[discount_pct]]&lt;=20%,"11–20%","&gt;20%")))</f>
        <v>0%</v>
      </c>
      <c r="P2238" s="13" t="str">
        <f>_xlfn.XLOOKUP(tblTransactions[[#This Row],[tenant_id]],tblTenants[tenant_id],tblTenants[zone],"NOT FOUND")</f>
        <v>Food Court</v>
      </c>
      <c r="Q2238" s="13" t="str">
        <f>_xlfn.XLOOKUP(tblTransactions[[#This Row],[tenant_id]],tblTenants[tenant_id],tblTenants[category],"NOT FOUND")</f>
        <v>Casual Dining</v>
      </c>
    </row>
    <row r="2239" spans="1:17">
      <c r="A2239" t="s">
        <v>2283</v>
      </c>
      <c r="B2239" s="2">
        <v>45708</v>
      </c>
      <c r="C2239">
        <v>11</v>
      </c>
      <c r="D2239" t="s">
        <v>57</v>
      </c>
      <c r="E2239" t="s">
        <v>32</v>
      </c>
      <c r="F2239" s="7">
        <v>292.07</v>
      </c>
      <c r="G2239" s="10">
        <v>0.1</v>
      </c>
      <c r="H2239" s="7">
        <v>262.86</v>
      </c>
      <c r="I2239">
        <v>2</v>
      </c>
      <c r="J2239" t="s">
        <v>13</v>
      </c>
      <c r="K2239" s="13">
        <f>ROUND(tblTransactions[[#This Row],[gross_sales_inr]]*(1-tblTransactions[[#This Row],[discount_pct]]),2)</f>
        <v>262.86</v>
      </c>
      <c r="L2239" t="str">
        <f>IF(ABS(tblTransactions[[#This Row],[net_sales_inr]]-tblTransactions[[#This Row],[Recalc_Net_Sales]])&lt;0.02,"OK","CHECK")</f>
        <v>OK</v>
      </c>
      <c r="M2239" s="14">
        <f>DATE(YEAR(tblTransactions[[#This Row],[date]]),MONTH(tblTransactions[[#This Row],[date]]),1)</f>
        <v>45689</v>
      </c>
      <c r="N2239" t="str">
        <f>IF(WEEKDAY(tblTransactions[[#This Row],[date]],2)&gt;5,"Weekend","Weekday")</f>
        <v>Weekday</v>
      </c>
      <c r="O223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39" s="13" t="str">
        <f>_xlfn.XLOOKUP(tblTransactions[[#This Row],[tenant_id]],tblTenants[tenant_id],tblTenants[zone],"NOT FOUND")</f>
        <v>Food Court</v>
      </c>
      <c r="Q2239" s="13" t="str">
        <f>_xlfn.XLOOKUP(tblTransactions[[#This Row],[tenant_id]],tblTenants[tenant_id],tblTenants[category],"NOT FOUND")</f>
        <v>Casual Dining</v>
      </c>
    </row>
    <row r="2240" spans="1:17">
      <c r="A2240" t="s">
        <v>2284</v>
      </c>
      <c r="B2240" s="2">
        <v>45760</v>
      </c>
      <c r="C2240">
        <v>22</v>
      </c>
      <c r="D2240" t="s">
        <v>87</v>
      </c>
      <c r="E2240" t="s">
        <v>32</v>
      </c>
      <c r="F2240" s="7">
        <v>914.15</v>
      </c>
      <c r="G2240" s="10">
        <v>0.15</v>
      </c>
      <c r="H2240" s="7">
        <v>777.03</v>
      </c>
      <c r="I2240">
        <v>2</v>
      </c>
      <c r="J2240" t="s">
        <v>16</v>
      </c>
      <c r="K2240" s="13">
        <f>ROUND(tblTransactions[[#This Row],[gross_sales_inr]]*(1-tblTransactions[[#This Row],[discount_pct]]),2)</f>
        <v>777.03</v>
      </c>
      <c r="L2240" t="str">
        <f>IF(ABS(tblTransactions[[#This Row],[net_sales_inr]]-tblTransactions[[#This Row],[Recalc_Net_Sales]])&lt;0.02,"OK","CHECK")</f>
        <v>OK</v>
      </c>
      <c r="M2240" s="14">
        <f>DATE(YEAR(tblTransactions[[#This Row],[date]]),MONTH(tblTransactions[[#This Row],[date]]),1)</f>
        <v>45748</v>
      </c>
      <c r="N2240" t="str">
        <f>IF(WEEKDAY(tblTransactions[[#This Row],[date]],2)&gt;5,"Weekend","Weekday")</f>
        <v>Weekend</v>
      </c>
      <c r="O224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40" s="13" t="str">
        <f>_xlfn.XLOOKUP(tblTransactions[[#This Row],[tenant_id]],tblTenants[tenant_id],tblTenants[zone],"NOT FOUND")</f>
        <v>Fashion Avenue</v>
      </c>
      <c r="Q2240" s="13" t="str">
        <f>_xlfn.XLOOKUP(tblTransactions[[#This Row],[tenant_id]],tblTenants[tenant_id],tblTenants[category],"NOT FOUND")</f>
        <v>Footwear</v>
      </c>
    </row>
    <row r="2241" spans="1:17">
      <c r="A2241" t="s">
        <v>2285</v>
      </c>
      <c r="B2241" s="2">
        <v>45669</v>
      </c>
      <c r="C2241">
        <v>11</v>
      </c>
      <c r="D2241" t="s">
        <v>87</v>
      </c>
      <c r="E2241" t="s">
        <v>32</v>
      </c>
      <c r="F2241" s="7">
        <v>426.12</v>
      </c>
      <c r="G2241" s="10">
        <v>0</v>
      </c>
      <c r="H2241" s="7">
        <v>426.12</v>
      </c>
      <c r="I2241">
        <v>1</v>
      </c>
      <c r="J2241" t="s">
        <v>13</v>
      </c>
      <c r="K2241" s="13">
        <f>ROUND(tblTransactions[[#This Row],[gross_sales_inr]]*(1-tblTransactions[[#This Row],[discount_pct]]),2)</f>
        <v>426.12</v>
      </c>
      <c r="L2241" t="str">
        <f>IF(ABS(tblTransactions[[#This Row],[net_sales_inr]]-tblTransactions[[#This Row],[Recalc_Net_Sales]])&lt;0.02,"OK","CHECK")</f>
        <v>OK</v>
      </c>
      <c r="M2241" s="14">
        <f>DATE(YEAR(tblTransactions[[#This Row],[date]]),MONTH(tblTransactions[[#This Row],[date]]),1)</f>
        <v>45658</v>
      </c>
      <c r="N2241" t="str">
        <f>IF(WEEKDAY(tblTransactions[[#This Row],[date]],2)&gt;5,"Weekend","Weekday")</f>
        <v>Weekend</v>
      </c>
      <c r="O2241" s="13" t="str">
        <f>IF(tblTransactions[[#This Row],[discount_pct]]=0,"0%",IF(tblTransactions[[#This Row],[discount_pct]]&lt;=10%,"1–
10%",IF(tblTransactions[[#This Row],[discount_pct]]&lt;=20%,"11–20%","&gt;20%")))</f>
        <v>0%</v>
      </c>
      <c r="P2241" s="13" t="str">
        <f>_xlfn.XLOOKUP(tblTransactions[[#This Row],[tenant_id]],tblTenants[tenant_id],tblTenants[zone],"NOT FOUND")</f>
        <v>Fashion Avenue</v>
      </c>
      <c r="Q2241" s="13" t="str">
        <f>_xlfn.XLOOKUP(tblTransactions[[#This Row],[tenant_id]],tblTenants[tenant_id],tblTenants[category],"NOT FOUND")</f>
        <v>Footwear</v>
      </c>
    </row>
    <row r="2242" spans="1:17">
      <c r="A2242" t="s">
        <v>2286</v>
      </c>
      <c r="B2242" s="2">
        <v>45745</v>
      </c>
      <c r="C2242">
        <v>20</v>
      </c>
      <c r="D2242" t="s">
        <v>70</v>
      </c>
      <c r="E2242" t="s">
        <v>21</v>
      </c>
      <c r="F2242" s="7">
        <v>1786.01</v>
      </c>
      <c r="G2242" s="10">
        <v>0</v>
      </c>
      <c r="H2242" s="7">
        <v>1786.01</v>
      </c>
      <c r="I2242">
        <v>2</v>
      </c>
      <c r="J2242" t="s">
        <v>16</v>
      </c>
      <c r="K2242" s="13">
        <f>ROUND(tblTransactions[[#This Row],[gross_sales_inr]]*(1-tblTransactions[[#This Row],[discount_pct]]),2)</f>
        <v>1786.01</v>
      </c>
      <c r="L2242" t="str">
        <f>IF(ABS(tblTransactions[[#This Row],[net_sales_inr]]-tblTransactions[[#This Row],[Recalc_Net_Sales]])&lt;0.02,"OK","CHECK")</f>
        <v>OK</v>
      </c>
      <c r="M2242" s="14">
        <f>DATE(YEAR(tblTransactions[[#This Row],[date]]),MONTH(tblTransactions[[#This Row],[date]]),1)</f>
        <v>45717</v>
      </c>
      <c r="N2242" t="str">
        <f>IF(WEEKDAY(tblTransactions[[#This Row],[date]],2)&gt;5,"Weekend","Weekday")</f>
        <v>Weekend</v>
      </c>
      <c r="O2242" s="13" t="str">
        <f>IF(tblTransactions[[#This Row],[discount_pct]]=0,"0%",IF(tblTransactions[[#This Row],[discount_pct]]&lt;=10%,"1–
10%",IF(tblTransactions[[#This Row],[discount_pct]]&lt;=20%,"11–20%","&gt;20%")))</f>
        <v>0%</v>
      </c>
      <c r="P2242" s="13" t="str">
        <f>_xlfn.XLOOKUP(tblTransactions[[#This Row],[tenant_id]],tblTenants[tenant_id],tblTenants[zone],"NOT FOUND")</f>
        <v>Food Court</v>
      </c>
      <c r="Q2242" s="13" t="str">
        <f>_xlfn.XLOOKUP(tblTransactions[[#This Row],[tenant_id]],tblTenants[tenant_id],tblTenants[category],"NOT FOUND")</f>
        <v>Quick Service</v>
      </c>
    </row>
    <row r="2243" spans="1:17">
      <c r="A2243" t="s">
        <v>2287</v>
      </c>
      <c r="B2243" s="2">
        <v>45731</v>
      </c>
      <c r="C2243">
        <v>22</v>
      </c>
      <c r="D2243" t="s">
        <v>18</v>
      </c>
      <c r="E2243" t="s">
        <v>51</v>
      </c>
      <c r="F2243" s="7">
        <v>324.52</v>
      </c>
      <c r="G2243" s="10">
        <v>0.2</v>
      </c>
      <c r="H2243" s="7">
        <v>259.62</v>
      </c>
      <c r="I2243">
        <v>2</v>
      </c>
      <c r="J2243" t="s">
        <v>16</v>
      </c>
      <c r="K2243" s="13">
        <f>ROUND(tblTransactions[[#This Row],[gross_sales_inr]]*(1-tblTransactions[[#This Row],[discount_pct]]),2)</f>
        <v>259.62</v>
      </c>
      <c r="L2243" t="str">
        <f>IF(ABS(tblTransactions[[#This Row],[net_sales_inr]]-tblTransactions[[#This Row],[Recalc_Net_Sales]])&lt;0.02,"OK","CHECK")</f>
        <v>OK</v>
      </c>
      <c r="M2243" s="14">
        <f>DATE(YEAR(tblTransactions[[#This Row],[date]]),MONTH(tblTransactions[[#This Row],[date]]),1)</f>
        <v>45717</v>
      </c>
      <c r="N2243" t="str">
        <f>IF(WEEKDAY(tblTransactions[[#This Row],[date]],2)&gt;5,"Weekend","Weekday")</f>
        <v>Weekend</v>
      </c>
      <c r="O224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43" s="13" t="str">
        <f>_xlfn.XLOOKUP(tblTransactions[[#This Row],[tenant_id]],tblTenants[tenant_id],tblTenants[zone],"NOT FOUND")</f>
        <v>Beauty &amp; Wellness</v>
      </c>
      <c r="Q2243" s="13" t="str">
        <f>_xlfn.XLOOKUP(tblTransactions[[#This Row],[tenant_id]],tblTenants[tenant_id],tblTenants[category],"NOT FOUND")</f>
        <v>Beauty</v>
      </c>
    </row>
    <row r="2244" spans="1:17">
      <c r="A2244" t="s">
        <v>2288</v>
      </c>
      <c r="B2244" s="2">
        <v>45831</v>
      </c>
      <c r="C2244">
        <v>17</v>
      </c>
      <c r="D2244" t="s">
        <v>122</v>
      </c>
      <c r="E2244" t="s">
        <v>32</v>
      </c>
      <c r="F2244" s="7">
        <v>1685.84</v>
      </c>
      <c r="G2244" s="10">
        <v>0.05</v>
      </c>
      <c r="H2244" s="7">
        <v>1601.55</v>
      </c>
      <c r="I2244">
        <v>3</v>
      </c>
      <c r="J2244" t="s">
        <v>13</v>
      </c>
      <c r="K2244" s="13">
        <f>ROUND(tblTransactions[[#This Row],[gross_sales_inr]]*(1-tblTransactions[[#This Row],[discount_pct]]),2)</f>
        <v>1601.55</v>
      </c>
      <c r="L2244" t="str">
        <f>IF(ABS(tblTransactions[[#This Row],[net_sales_inr]]-tblTransactions[[#This Row],[Recalc_Net_Sales]])&lt;0.02,"OK","CHECK")</f>
        <v>OK</v>
      </c>
      <c r="M2244" s="14">
        <f>DATE(YEAR(tblTransactions[[#This Row],[date]]),MONTH(tblTransactions[[#This Row],[date]]),1)</f>
        <v>45809</v>
      </c>
      <c r="N2244" t="str">
        <f>IF(WEEKDAY(tblTransactions[[#This Row],[date]],2)&gt;5,"Weekend","Weekday")</f>
        <v>Weekday</v>
      </c>
      <c r="O224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44" s="13" t="str">
        <f>_xlfn.XLOOKUP(tblTransactions[[#This Row],[tenant_id]],tblTenants[tenant_id],tblTenants[zone],"NOT FOUND")</f>
        <v>Beauty &amp; Wellness</v>
      </c>
      <c r="Q2244" s="13" t="str">
        <f>_xlfn.XLOOKUP(tblTransactions[[#This Row],[tenant_id]],tblTenants[tenant_id],tblTenants[category],"NOT FOUND")</f>
        <v>Wellness</v>
      </c>
    </row>
    <row r="2245" spans="1:17">
      <c r="A2245" t="s">
        <v>2289</v>
      </c>
      <c r="B2245" s="2">
        <v>45699</v>
      </c>
      <c r="C2245">
        <v>20</v>
      </c>
      <c r="D2245" t="s">
        <v>31</v>
      </c>
      <c r="E2245" t="s">
        <v>32</v>
      </c>
      <c r="F2245" s="7">
        <v>371.24</v>
      </c>
      <c r="G2245" s="10">
        <v>0</v>
      </c>
      <c r="H2245" s="7">
        <v>371.24</v>
      </c>
      <c r="I2245">
        <v>1</v>
      </c>
      <c r="J2245" t="s">
        <v>16</v>
      </c>
      <c r="K2245" s="13">
        <f>ROUND(tblTransactions[[#This Row],[gross_sales_inr]]*(1-tblTransactions[[#This Row],[discount_pct]]),2)</f>
        <v>371.24</v>
      </c>
      <c r="L2245" t="str">
        <f>IF(ABS(tblTransactions[[#This Row],[net_sales_inr]]-tblTransactions[[#This Row],[Recalc_Net_Sales]])&lt;0.02,"OK","CHECK")</f>
        <v>OK</v>
      </c>
      <c r="M2245" s="14">
        <f>DATE(YEAR(tblTransactions[[#This Row],[date]]),MONTH(tblTransactions[[#This Row],[date]]),1)</f>
        <v>45689</v>
      </c>
      <c r="N2245" t="str">
        <f>IF(WEEKDAY(tblTransactions[[#This Row],[date]],2)&gt;5,"Weekend","Weekday")</f>
        <v>Weekday</v>
      </c>
      <c r="O2245" s="13" t="str">
        <f>IF(tblTransactions[[#This Row],[discount_pct]]=0,"0%",IF(tblTransactions[[#This Row],[discount_pct]]&lt;=10%,"1–
10%",IF(tblTransactions[[#This Row],[discount_pct]]&lt;=20%,"11–20%","&gt;20%")))</f>
        <v>0%</v>
      </c>
      <c r="P2245" s="13" t="str">
        <f>_xlfn.XLOOKUP(tblTransactions[[#This Row],[tenant_id]],tblTenants[tenant_id],tblTenants[zone],"NOT FOUND")</f>
        <v>Entertainment</v>
      </c>
      <c r="Q2245" s="13" t="str">
        <f>_xlfn.XLOOKUP(tblTransactions[[#This Row],[tenant_id]],tblTenants[tenant_id],tblTenants[category],"NOT FOUND")</f>
        <v>Arcade</v>
      </c>
    </row>
    <row r="2246" spans="1:17">
      <c r="A2246" t="s">
        <v>2290</v>
      </c>
      <c r="B2246" s="2">
        <v>45691</v>
      </c>
      <c r="C2246">
        <v>22</v>
      </c>
      <c r="D2246" t="s">
        <v>63</v>
      </c>
      <c r="E2246" t="s">
        <v>51</v>
      </c>
      <c r="F2246" s="7">
        <v>455.44</v>
      </c>
      <c r="G2246" s="10">
        <v>0</v>
      </c>
      <c r="H2246" s="7">
        <v>455.44</v>
      </c>
      <c r="I2246">
        <v>3</v>
      </c>
      <c r="J2246" t="s">
        <v>16</v>
      </c>
      <c r="K2246" s="13">
        <f>ROUND(tblTransactions[[#This Row],[gross_sales_inr]]*(1-tblTransactions[[#This Row],[discount_pct]]),2)</f>
        <v>455.44</v>
      </c>
      <c r="L2246" t="str">
        <f>IF(ABS(tblTransactions[[#This Row],[net_sales_inr]]-tblTransactions[[#This Row],[Recalc_Net_Sales]])&lt;0.02,"OK","CHECK")</f>
        <v>OK</v>
      </c>
      <c r="M2246" s="14">
        <f>DATE(YEAR(tblTransactions[[#This Row],[date]]),MONTH(tblTransactions[[#This Row],[date]]),1)</f>
        <v>45689</v>
      </c>
      <c r="N2246" t="str">
        <f>IF(WEEKDAY(tblTransactions[[#This Row],[date]],2)&gt;5,"Weekend","Weekday")</f>
        <v>Weekday</v>
      </c>
      <c r="O2246" s="13" t="str">
        <f>IF(tblTransactions[[#This Row],[discount_pct]]=0,"0%",IF(tblTransactions[[#This Row],[discount_pct]]&lt;=10%,"1–
10%",IF(tblTransactions[[#This Row],[discount_pct]]&lt;=20%,"11–20%","&gt;20%")))</f>
        <v>0%</v>
      </c>
      <c r="P2246" s="13" t="str">
        <f>_xlfn.XLOOKUP(tblTransactions[[#This Row],[tenant_id]],tblTenants[tenant_id],tblTenants[zone],"NOT FOUND")</f>
        <v>Entertainment</v>
      </c>
      <c r="Q2246" s="13" t="str">
        <f>_xlfn.XLOOKUP(tblTransactions[[#This Row],[tenant_id]],tblTenants[tenant_id],tblTenants[category],"NOT FOUND")</f>
        <v>Family Entertainment</v>
      </c>
    </row>
    <row r="2247" spans="1:17">
      <c r="A2247" t="s">
        <v>2291</v>
      </c>
      <c r="B2247" s="2">
        <v>45749</v>
      </c>
      <c r="C2247">
        <v>16</v>
      </c>
      <c r="D2247" t="s">
        <v>61</v>
      </c>
      <c r="E2247" t="s">
        <v>32</v>
      </c>
      <c r="F2247" s="7">
        <v>870.24</v>
      </c>
      <c r="G2247" s="10">
        <v>0</v>
      </c>
      <c r="H2247" s="7">
        <v>870.24</v>
      </c>
      <c r="I2247">
        <v>3</v>
      </c>
      <c r="J2247" t="s">
        <v>13</v>
      </c>
      <c r="K2247" s="13">
        <f>ROUND(tblTransactions[[#This Row],[gross_sales_inr]]*(1-tblTransactions[[#This Row],[discount_pct]]),2)</f>
        <v>870.24</v>
      </c>
      <c r="L2247" t="str">
        <f>IF(ABS(tblTransactions[[#This Row],[net_sales_inr]]-tblTransactions[[#This Row],[Recalc_Net_Sales]])&lt;0.02,"OK","CHECK")</f>
        <v>OK</v>
      </c>
      <c r="M2247" s="14">
        <f>DATE(YEAR(tblTransactions[[#This Row],[date]]),MONTH(tblTransactions[[#This Row],[date]]),1)</f>
        <v>45748</v>
      </c>
      <c r="N2247" t="str">
        <f>IF(WEEKDAY(tblTransactions[[#This Row],[date]],2)&gt;5,"Weekend","Weekday")</f>
        <v>Weekday</v>
      </c>
      <c r="O2247" s="13" t="str">
        <f>IF(tblTransactions[[#This Row],[discount_pct]]=0,"0%",IF(tblTransactions[[#This Row],[discount_pct]]&lt;=10%,"1–
10%",IF(tblTransactions[[#This Row],[discount_pct]]&lt;=20%,"11–20%","&gt;20%")))</f>
        <v>0%</v>
      </c>
      <c r="P2247" s="13" t="str">
        <f>_xlfn.XLOOKUP(tblTransactions[[#This Row],[tenant_id]],tblTenants[tenant_id],tblTenants[zone],"NOT FOUND")</f>
        <v>Food Court</v>
      </c>
      <c r="Q2247" s="13" t="str">
        <f>_xlfn.XLOOKUP(tblTransactions[[#This Row],[tenant_id]],tblTenants[tenant_id],tblTenants[category],"NOT FOUND")</f>
        <v>Quick Service</v>
      </c>
    </row>
    <row r="2248" spans="1:17">
      <c r="A2248" t="s">
        <v>2292</v>
      </c>
      <c r="B2248" s="2">
        <v>45745</v>
      </c>
      <c r="C2248">
        <v>13</v>
      </c>
      <c r="D2248" t="s">
        <v>48</v>
      </c>
      <c r="E2248" t="s">
        <v>12</v>
      </c>
      <c r="F2248" s="7">
        <v>1529</v>
      </c>
      <c r="G2248" s="10">
        <v>0</v>
      </c>
      <c r="H2248" s="7">
        <v>1529</v>
      </c>
      <c r="I2248">
        <v>2</v>
      </c>
      <c r="J2248" t="s">
        <v>16</v>
      </c>
      <c r="K2248" s="13">
        <f>ROUND(tblTransactions[[#This Row],[gross_sales_inr]]*(1-tblTransactions[[#This Row],[discount_pct]]),2)</f>
        <v>1529</v>
      </c>
      <c r="L2248" t="str">
        <f>IF(ABS(tblTransactions[[#This Row],[net_sales_inr]]-tblTransactions[[#This Row],[Recalc_Net_Sales]])&lt;0.02,"OK","CHECK")</f>
        <v>OK</v>
      </c>
      <c r="M2248" s="14">
        <f>DATE(YEAR(tblTransactions[[#This Row],[date]]),MONTH(tblTransactions[[#This Row],[date]]),1)</f>
        <v>45717</v>
      </c>
      <c r="N2248" t="str">
        <f>IF(WEEKDAY(tblTransactions[[#This Row],[date]],2)&gt;5,"Weekend","Weekday")</f>
        <v>Weekend</v>
      </c>
      <c r="O2248" s="13" t="str">
        <f>IF(tblTransactions[[#This Row],[discount_pct]]=0,"0%",IF(tblTransactions[[#This Row],[discount_pct]]&lt;=10%,"1–
10%",IF(tblTransactions[[#This Row],[discount_pct]]&lt;=20%,"11–20%","&gt;20%")))</f>
        <v>0%</v>
      </c>
      <c r="P2248" s="13" t="str">
        <f>_xlfn.XLOOKUP(tblTransactions[[#This Row],[tenant_id]],tblTenants[tenant_id],tblTenants[zone],"NOT FOUND")</f>
        <v>Beauty &amp; Wellness</v>
      </c>
      <c r="Q2248" s="13" t="str">
        <f>_xlfn.XLOOKUP(tblTransactions[[#This Row],[tenant_id]],tblTenants[tenant_id],tblTenants[category],"NOT FOUND")</f>
        <v>Wellness</v>
      </c>
    </row>
    <row r="2249" spans="1:17">
      <c r="A2249" t="s">
        <v>2293</v>
      </c>
      <c r="B2249" s="2">
        <v>45667</v>
      </c>
      <c r="C2249">
        <v>20</v>
      </c>
      <c r="D2249" t="s">
        <v>27</v>
      </c>
      <c r="E2249" t="s">
        <v>21</v>
      </c>
      <c r="F2249" s="7">
        <v>2418.98</v>
      </c>
      <c r="G2249" s="10">
        <v>0</v>
      </c>
      <c r="H2249" s="7">
        <v>2418.98</v>
      </c>
      <c r="I2249">
        <v>6</v>
      </c>
      <c r="J2249" t="s">
        <v>16</v>
      </c>
      <c r="K2249" s="13">
        <f>ROUND(tblTransactions[[#This Row],[gross_sales_inr]]*(1-tblTransactions[[#This Row],[discount_pct]]),2)</f>
        <v>2418.98</v>
      </c>
      <c r="L2249" t="str">
        <f>IF(ABS(tblTransactions[[#This Row],[net_sales_inr]]-tblTransactions[[#This Row],[Recalc_Net_Sales]])&lt;0.02,"OK","CHECK")</f>
        <v>OK</v>
      </c>
      <c r="M2249" s="14">
        <f>DATE(YEAR(tblTransactions[[#This Row],[date]]),MONTH(tblTransactions[[#This Row],[date]]),1)</f>
        <v>45658</v>
      </c>
      <c r="N2249" t="str">
        <f>IF(WEEKDAY(tblTransactions[[#This Row],[date]],2)&gt;5,"Weekend","Weekday")</f>
        <v>Weekday</v>
      </c>
      <c r="O2249" s="13" t="str">
        <f>IF(tblTransactions[[#This Row],[discount_pct]]=0,"0%",IF(tblTransactions[[#This Row],[discount_pct]]&lt;=10%,"1–
10%",IF(tblTransactions[[#This Row],[discount_pct]]&lt;=20%,"11–20%","&gt;20%")))</f>
        <v>0%</v>
      </c>
      <c r="P2249" s="13" t="str">
        <f>_xlfn.XLOOKUP(tblTransactions[[#This Row],[tenant_id]],tblTenants[tenant_id],tblTenants[zone],"NOT FOUND")</f>
        <v>Beauty &amp; Wellness</v>
      </c>
      <c r="Q2249" s="13" t="str">
        <f>_xlfn.XLOOKUP(tblTransactions[[#This Row],[tenant_id]],tblTenants[tenant_id],tblTenants[category],"NOT FOUND")</f>
        <v>Wellness</v>
      </c>
    </row>
    <row r="2250" spans="1:17">
      <c r="A2250" t="s">
        <v>2294</v>
      </c>
      <c r="B2250" s="2">
        <v>45714</v>
      </c>
      <c r="C2250">
        <v>20</v>
      </c>
      <c r="D2250" t="s">
        <v>80</v>
      </c>
      <c r="E2250" t="s">
        <v>21</v>
      </c>
      <c r="F2250" s="7">
        <v>4717.7299999999996</v>
      </c>
      <c r="G2250" s="10">
        <v>0.15</v>
      </c>
      <c r="H2250" s="7">
        <v>4010.07</v>
      </c>
      <c r="I2250">
        <v>3</v>
      </c>
      <c r="J2250" t="s">
        <v>16</v>
      </c>
      <c r="K2250" s="13">
        <f>ROUND(tblTransactions[[#This Row],[gross_sales_inr]]*(1-tblTransactions[[#This Row],[discount_pct]]),2)</f>
        <v>4010.07</v>
      </c>
      <c r="L2250" t="str">
        <f>IF(ABS(tblTransactions[[#This Row],[net_sales_inr]]-tblTransactions[[#This Row],[Recalc_Net_Sales]])&lt;0.02,"OK","CHECK")</f>
        <v>OK</v>
      </c>
      <c r="M2250" s="14">
        <f>DATE(YEAR(tblTransactions[[#This Row],[date]]),MONTH(tblTransactions[[#This Row],[date]]),1)</f>
        <v>45689</v>
      </c>
      <c r="N2250" t="str">
        <f>IF(WEEKDAY(tblTransactions[[#This Row],[date]],2)&gt;5,"Weekend","Weekday")</f>
        <v>Weekday</v>
      </c>
      <c r="O225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50" s="13" t="str">
        <f>_xlfn.XLOOKUP(tblTransactions[[#This Row],[tenant_id]],tblTenants[tenant_id],tblTenants[zone],"NOT FOUND")</f>
        <v>Food Court</v>
      </c>
      <c r="Q2250" s="13" t="str">
        <f>_xlfn.XLOOKUP(tblTransactions[[#This Row],[tenant_id]],tblTenants[tenant_id],tblTenants[category],"NOT FOUND")</f>
        <v>Casual Dining</v>
      </c>
    </row>
    <row r="2251" spans="1:17">
      <c r="A2251" t="s">
        <v>2295</v>
      </c>
      <c r="B2251" s="2">
        <v>45748</v>
      </c>
      <c r="C2251">
        <v>12</v>
      </c>
      <c r="D2251" t="s">
        <v>70</v>
      </c>
      <c r="E2251" t="s">
        <v>12</v>
      </c>
      <c r="F2251" s="7">
        <v>997.97</v>
      </c>
      <c r="G2251" s="10">
        <v>0</v>
      </c>
      <c r="H2251" s="7">
        <v>997.97</v>
      </c>
      <c r="I2251">
        <v>1</v>
      </c>
      <c r="J2251" t="s">
        <v>13</v>
      </c>
      <c r="K2251" s="13">
        <f>ROUND(tblTransactions[[#This Row],[gross_sales_inr]]*(1-tblTransactions[[#This Row],[discount_pct]]),2)</f>
        <v>997.97</v>
      </c>
      <c r="L2251" t="str">
        <f>IF(ABS(tblTransactions[[#This Row],[net_sales_inr]]-tblTransactions[[#This Row],[Recalc_Net_Sales]])&lt;0.02,"OK","CHECK")</f>
        <v>OK</v>
      </c>
      <c r="M2251" s="14">
        <f>DATE(YEAR(tblTransactions[[#This Row],[date]]),MONTH(tblTransactions[[#This Row],[date]]),1)</f>
        <v>45748</v>
      </c>
      <c r="N2251" t="str">
        <f>IF(WEEKDAY(tblTransactions[[#This Row],[date]],2)&gt;5,"Weekend","Weekday")</f>
        <v>Weekday</v>
      </c>
      <c r="O2251" s="13" t="str">
        <f>IF(tblTransactions[[#This Row],[discount_pct]]=0,"0%",IF(tblTransactions[[#This Row],[discount_pct]]&lt;=10%,"1–
10%",IF(tblTransactions[[#This Row],[discount_pct]]&lt;=20%,"11–20%","&gt;20%")))</f>
        <v>0%</v>
      </c>
      <c r="P2251" s="13" t="str">
        <f>_xlfn.XLOOKUP(tblTransactions[[#This Row],[tenant_id]],tblTenants[tenant_id],tblTenants[zone],"NOT FOUND")</f>
        <v>Food Court</v>
      </c>
      <c r="Q2251" s="13" t="str">
        <f>_xlfn.XLOOKUP(tblTransactions[[#This Row],[tenant_id]],tblTenants[tenant_id],tblTenants[category],"NOT FOUND")</f>
        <v>Quick Service</v>
      </c>
    </row>
    <row r="2252" spans="1:17">
      <c r="A2252" t="s">
        <v>2296</v>
      </c>
      <c r="B2252" s="2">
        <v>45743</v>
      </c>
      <c r="C2252">
        <v>19</v>
      </c>
      <c r="D2252" t="s">
        <v>80</v>
      </c>
      <c r="E2252" t="s">
        <v>12</v>
      </c>
      <c r="F2252" s="7">
        <v>497.37</v>
      </c>
      <c r="G2252" s="10">
        <v>0</v>
      </c>
      <c r="H2252" s="7">
        <v>497.37</v>
      </c>
      <c r="I2252">
        <v>3</v>
      </c>
      <c r="J2252" t="s">
        <v>16</v>
      </c>
      <c r="K2252" s="13">
        <f>ROUND(tblTransactions[[#This Row],[gross_sales_inr]]*(1-tblTransactions[[#This Row],[discount_pct]]),2)</f>
        <v>497.37</v>
      </c>
      <c r="L2252" t="str">
        <f>IF(ABS(tblTransactions[[#This Row],[net_sales_inr]]-tblTransactions[[#This Row],[Recalc_Net_Sales]])&lt;0.02,"OK","CHECK")</f>
        <v>OK</v>
      </c>
      <c r="M2252" s="14">
        <f>DATE(YEAR(tblTransactions[[#This Row],[date]]),MONTH(tblTransactions[[#This Row],[date]]),1)</f>
        <v>45717</v>
      </c>
      <c r="N2252" t="str">
        <f>IF(WEEKDAY(tblTransactions[[#This Row],[date]],2)&gt;5,"Weekend","Weekday")</f>
        <v>Weekday</v>
      </c>
      <c r="O2252" s="13" t="str">
        <f>IF(tblTransactions[[#This Row],[discount_pct]]=0,"0%",IF(tblTransactions[[#This Row],[discount_pct]]&lt;=10%,"1–
10%",IF(tblTransactions[[#This Row],[discount_pct]]&lt;=20%,"11–20%","&gt;20%")))</f>
        <v>0%</v>
      </c>
      <c r="P2252" s="13" t="str">
        <f>_xlfn.XLOOKUP(tblTransactions[[#This Row],[tenant_id]],tblTenants[tenant_id],tblTenants[zone],"NOT FOUND")</f>
        <v>Food Court</v>
      </c>
      <c r="Q2252" s="13" t="str">
        <f>_xlfn.XLOOKUP(tblTransactions[[#This Row],[tenant_id]],tblTenants[tenant_id],tblTenants[category],"NOT FOUND")</f>
        <v>Casual Dining</v>
      </c>
    </row>
    <row r="2253" spans="1:17">
      <c r="A2253" t="s">
        <v>2297</v>
      </c>
      <c r="B2253" s="2">
        <v>45681</v>
      </c>
      <c r="C2253">
        <v>22</v>
      </c>
      <c r="D2253" t="s">
        <v>98</v>
      </c>
      <c r="E2253" t="s">
        <v>21</v>
      </c>
      <c r="F2253" s="7">
        <v>707.48</v>
      </c>
      <c r="G2253" s="10">
        <v>0</v>
      </c>
      <c r="H2253" s="7">
        <v>707.48</v>
      </c>
      <c r="I2253">
        <v>2</v>
      </c>
      <c r="J2253" t="s">
        <v>16</v>
      </c>
      <c r="K2253" s="13">
        <f>ROUND(tblTransactions[[#This Row],[gross_sales_inr]]*(1-tblTransactions[[#This Row],[discount_pct]]),2)</f>
        <v>707.48</v>
      </c>
      <c r="L2253" t="str">
        <f>IF(ABS(tblTransactions[[#This Row],[net_sales_inr]]-tblTransactions[[#This Row],[Recalc_Net_Sales]])&lt;0.02,"OK","CHECK")</f>
        <v>OK</v>
      </c>
      <c r="M2253" s="14">
        <f>DATE(YEAR(tblTransactions[[#This Row],[date]]),MONTH(tblTransactions[[#This Row],[date]]),1)</f>
        <v>45658</v>
      </c>
      <c r="N2253" t="str">
        <f>IF(WEEKDAY(tblTransactions[[#This Row],[date]],2)&gt;5,"Weekend","Weekday")</f>
        <v>Weekday</v>
      </c>
      <c r="O2253" s="13" t="str">
        <f>IF(tblTransactions[[#This Row],[discount_pct]]=0,"0%",IF(tblTransactions[[#This Row],[discount_pct]]&lt;=10%,"1–
10%",IF(tblTransactions[[#This Row],[discount_pct]]&lt;=20%,"11–20%","&gt;20%")))</f>
        <v>0%</v>
      </c>
      <c r="P2253" s="13" t="str">
        <f>_xlfn.XLOOKUP(tblTransactions[[#This Row],[tenant_id]],tblTenants[tenant_id],tblTenants[zone],"NOT FOUND")</f>
        <v>Fashion Avenue</v>
      </c>
      <c r="Q2253" s="13" t="str">
        <f>_xlfn.XLOOKUP(tblTransactions[[#This Row],[tenant_id]],tblTenants[tenant_id],tblTenants[category],"NOT FOUND")</f>
        <v>Accessories</v>
      </c>
    </row>
    <row r="2254" spans="1:17">
      <c r="A2254" t="s">
        <v>2298</v>
      </c>
      <c r="B2254" s="2">
        <v>45726</v>
      </c>
      <c r="C2254">
        <v>13</v>
      </c>
      <c r="D2254" t="s">
        <v>204</v>
      </c>
      <c r="E2254" t="s">
        <v>32</v>
      </c>
      <c r="F2254" s="7">
        <v>713.15</v>
      </c>
      <c r="G2254" s="10">
        <v>0</v>
      </c>
      <c r="H2254" s="7">
        <v>713.15</v>
      </c>
      <c r="I2254">
        <v>4</v>
      </c>
      <c r="J2254" t="s">
        <v>13</v>
      </c>
      <c r="K2254" s="13">
        <f>ROUND(tblTransactions[[#This Row],[gross_sales_inr]]*(1-tblTransactions[[#This Row],[discount_pct]]),2)</f>
        <v>713.15</v>
      </c>
      <c r="L2254" t="str">
        <f>IF(ABS(tblTransactions[[#This Row],[net_sales_inr]]-tblTransactions[[#This Row],[Recalc_Net_Sales]])&lt;0.02,"OK","CHECK")</f>
        <v>OK</v>
      </c>
      <c r="M2254" s="14">
        <f>DATE(YEAR(tblTransactions[[#This Row],[date]]),MONTH(tblTransactions[[#This Row],[date]]),1)</f>
        <v>45717</v>
      </c>
      <c r="N2254" t="str">
        <f>IF(WEEKDAY(tblTransactions[[#This Row],[date]],2)&gt;5,"Weekend","Weekday")</f>
        <v>Weekday</v>
      </c>
      <c r="O2254" s="13" t="str">
        <f>IF(tblTransactions[[#This Row],[discount_pct]]=0,"0%",IF(tblTransactions[[#This Row],[discount_pct]]&lt;=10%,"1–
10%",IF(tblTransactions[[#This Row],[discount_pct]]&lt;=20%,"11–20%","&gt;20%")))</f>
        <v>0%</v>
      </c>
      <c r="P2254" s="13" t="str">
        <f>_xlfn.XLOOKUP(tblTransactions[[#This Row],[tenant_id]],tblTenants[tenant_id],tblTenants[zone],"NOT FOUND")</f>
        <v>Home &amp; Living</v>
      </c>
      <c r="Q2254" s="13" t="str">
        <f>_xlfn.XLOOKUP(tblTransactions[[#This Row],[tenant_id]],tblTenants[tenant_id],tblTenants[category],"NOT FOUND")</f>
        <v>Home Decor</v>
      </c>
    </row>
    <row r="2255" spans="1:17">
      <c r="A2255" t="s">
        <v>2299</v>
      </c>
      <c r="B2255" s="2">
        <v>45806</v>
      </c>
      <c r="C2255">
        <v>20</v>
      </c>
      <c r="D2255" t="s">
        <v>204</v>
      </c>
      <c r="E2255" t="s">
        <v>32</v>
      </c>
      <c r="F2255" s="7">
        <v>1247.19</v>
      </c>
      <c r="G2255" s="10">
        <v>0.05</v>
      </c>
      <c r="H2255" s="7">
        <v>1184.83</v>
      </c>
      <c r="I2255">
        <v>3</v>
      </c>
      <c r="J2255" t="s">
        <v>16</v>
      </c>
      <c r="K2255" s="13">
        <f>ROUND(tblTransactions[[#This Row],[gross_sales_inr]]*(1-tblTransactions[[#This Row],[discount_pct]]),2)</f>
        <v>1184.83</v>
      </c>
      <c r="L2255" t="str">
        <f>IF(ABS(tblTransactions[[#This Row],[net_sales_inr]]-tblTransactions[[#This Row],[Recalc_Net_Sales]])&lt;0.02,"OK","CHECK")</f>
        <v>OK</v>
      </c>
      <c r="M2255" s="14">
        <f>DATE(YEAR(tblTransactions[[#This Row],[date]]),MONTH(tblTransactions[[#This Row],[date]]),1)</f>
        <v>45778</v>
      </c>
      <c r="N2255" t="str">
        <f>IF(WEEKDAY(tblTransactions[[#This Row],[date]],2)&gt;5,"Weekend","Weekday")</f>
        <v>Weekday</v>
      </c>
      <c r="O225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55" s="13" t="str">
        <f>_xlfn.XLOOKUP(tblTransactions[[#This Row],[tenant_id]],tblTenants[tenant_id],tblTenants[zone],"NOT FOUND")</f>
        <v>Home &amp; Living</v>
      </c>
      <c r="Q2255" s="13" t="str">
        <f>_xlfn.XLOOKUP(tblTransactions[[#This Row],[tenant_id]],tblTenants[tenant_id],tblTenants[category],"NOT FOUND")</f>
        <v>Home Decor</v>
      </c>
    </row>
    <row r="2256" spans="1:17">
      <c r="A2256" t="s">
        <v>2300</v>
      </c>
      <c r="B2256" s="2">
        <v>45762</v>
      </c>
      <c r="C2256">
        <v>12</v>
      </c>
      <c r="D2256" t="s">
        <v>15</v>
      </c>
      <c r="E2256" t="s">
        <v>12</v>
      </c>
      <c r="F2256" s="7">
        <v>776.68</v>
      </c>
      <c r="G2256" s="10">
        <v>0.05</v>
      </c>
      <c r="H2256" s="7">
        <v>737.85</v>
      </c>
      <c r="I2256">
        <v>1</v>
      </c>
      <c r="J2256" t="s">
        <v>16</v>
      </c>
      <c r="K2256" s="13">
        <f>ROUND(tblTransactions[[#This Row],[gross_sales_inr]]*(1-tblTransactions[[#This Row],[discount_pct]]),2)</f>
        <v>737.85</v>
      </c>
      <c r="L2256" t="str">
        <f>IF(ABS(tblTransactions[[#This Row],[net_sales_inr]]-tblTransactions[[#This Row],[Recalc_Net_Sales]])&lt;0.02,"OK","CHECK")</f>
        <v>OK</v>
      </c>
      <c r="M2256" s="14">
        <f>DATE(YEAR(tblTransactions[[#This Row],[date]]),MONTH(tblTransactions[[#This Row],[date]]),1)</f>
        <v>45748</v>
      </c>
      <c r="N2256" t="str">
        <f>IF(WEEKDAY(tblTransactions[[#This Row],[date]],2)&gt;5,"Weekend","Weekday")</f>
        <v>Weekday</v>
      </c>
      <c r="O225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56" s="13" t="str">
        <f>_xlfn.XLOOKUP(tblTransactions[[#This Row],[tenant_id]],tblTenants[tenant_id],tblTenants[zone],"NOT FOUND")</f>
        <v>Fashion Avenue</v>
      </c>
      <c r="Q2256" s="13" t="str">
        <f>_xlfn.XLOOKUP(tblTransactions[[#This Row],[tenant_id]],tblTenants[tenant_id],tblTenants[category],"NOT FOUND")</f>
        <v>Accessories</v>
      </c>
    </row>
    <row r="2257" spans="1:17">
      <c r="A2257" t="s">
        <v>2301</v>
      </c>
      <c r="B2257" s="2">
        <v>45678</v>
      </c>
      <c r="C2257">
        <v>10</v>
      </c>
      <c r="D2257" t="s">
        <v>27</v>
      </c>
      <c r="E2257" t="s">
        <v>12</v>
      </c>
      <c r="F2257" s="7">
        <v>992.81</v>
      </c>
      <c r="G2257" s="10">
        <v>0.1</v>
      </c>
      <c r="H2257" s="7">
        <v>893.53</v>
      </c>
      <c r="I2257">
        <v>6</v>
      </c>
      <c r="J2257" t="s">
        <v>13</v>
      </c>
      <c r="K2257" s="13">
        <f>ROUND(tblTransactions[[#This Row],[gross_sales_inr]]*(1-tblTransactions[[#This Row],[discount_pct]]),2)</f>
        <v>893.53</v>
      </c>
      <c r="L2257" t="str">
        <f>IF(ABS(tblTransactions[[#This Row],[net_sales_inr]]-tblTransactions[[#This Row],[Recalc_Net_Sales]])&lt;0.02,"OK","CHECK")</f>
        <v>OK</v>
      </c>
      <c r="M2257" s="14">
        <f>DATE(YEAR(tblTransactions[[#This Row],[date]]),MONTH(tblTransactions[[#This Row],[date]]),1)</f>
        <v>45658</v>
      </c>
      <c r="N2257" t="str">
        <f>IF(WEEKDAY(tblTransactions[[#This Row],[date]],2)&gt;5,"Weekend","Weekday")</f>
        <v>Weekday</v>
      </c>
      <c r="O225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57" s="13" t="str">
        <f>_xlfn.XLOOKUP(tblTransactions[[#This Row],[tenant_id]],tblTenants[tenant_id],tblTenants[zone],"NOT FOUND")</f>
        <v>Beauty &amp; Wellness</v>
      </c>
      <c r="Q2257" s="13" t="str">
        <f>_xlfn.XLOOKUP(tblTransactions[[#This Row],[tenant_id]],tblTenants[tenant_id],tblTenants[category],"NOT FOUND")</f>
        <v>Wellness</v>
      </c>
    </row>
    <row r="2258" spans="1:17">
      <c r="A2258" t="s">
        <v>2302</v>
      </c>
      <c r="B2258" s="2">
        <v>45725</v>
      </c>
      <c r="C2258">
        <v>22</v>
      </c>
      <c r="D2258" t="s">
        <v>48</v>
      </c>
      <c r="E2258" t="s">
        <v>32</v>
      </c>
      <c r="F2258" s="7">
        <v>1400.53</v>
      </c>
      <c r="G2258" s="10">
        <v>0</v>
      </c>
      <c r="H2258" s="7">
        <v>1400.53</v>
      </c>
      <c r="I2258">
        <v>3</v>
      </c>
      <c r="J2258" t="s">
        <v>13</v>
      </c>
      <c r="K2258" s="13">
        <f>ROUND(tblTransactions[[#This Row],[gross_sales_inr]]*(1-tblTransactions[[#This Row],[discount_pct]]),2)</f>
        <v>1400.53</v>
      </c>
      <c r="L2258" t="str">
        <f>IF(ABS(tblTransactions[[#This Row],[net_sales_inr]]-tblTransactions[[#This Row],[Recalc_Net_Sales]])&lt;0.02,"OK","CHECK")</f>
        <v>OK</v>
      </c>
      <c r="M2258" s="14">
        <f>DATE(YEAR(tblTransactions[[#This Row],[date]]),MONTH(tblTransactions[[#This Row],[date]]),1)</f>
        <v>45717</v>
      </c>
      <c r="N2258" t="str">
        <f>IF(WEEKDAY(tblTransactions[[#This Row],[date]],2)&gt;5,"Weekend","Weekday")</f>
        <v>Weekend</v>
      </c>
      <c r="O2258" s="13" t="str">
        <f>IF(tblTransactions[[#This Row],[discount_pct]]=0,"0%",IF(tblTransactions[[#This Row],[discount_pct]]&lt;=10%,"1–
10%",IF(tblTransactions[[#This Row],[discount_pct]]&lt;=20%,"11–20%","&gt;20%")))</f>
        <v>0%</v>
      </c>
      <c r="P2258" s="13" t="str">
        <f>_xlfn.XLOOKUP(tblTransactions[[#This Row],[tenant_id]],tblTenants[tenant_id],tblTenants[zone],"NOT FOUND")</f>
        <v>Beauty &amp; Wellness</v>
      </c>
      <c r="Q2258" s="13" t="str">
        <f>_xlfn.XLOOKUP(tblTransactions[[#This Row],[tenant_id]],tblTenants[tenant_id],tblTenants[category],"NOT FOUND")</f>
        <v>Wellness</v>
      </c>
    </row>
    <row r="2259" spans="1:17">
      <c r="A2259" t="s">
        <v>2303</v>
      </c>
      <c r="B2259" s="2">
        <v>45723</v>
      </c>
      <c r="C2259">
        <v>14</v>
      </c>
      <c r="D2259" t="s">
        <v>55</v>
      </c>
      <c r="E2259" t="s">
        <v>21</v>
      </c>
      <c r="F2259" s="7">
        <v>437.73</v>
      </c>
      <c r="G2259" s="10">
        <v>0</v>
      </c>
      <c r="H2259" s="7">
        <v>437.73</v>
      </c>
      <c r="I2259">
        <v>6</v>
      </c>
      <c r="J2259" t="s">
        <v>16</v>
      </c>
      <c r="K2259" s="13">
        <f>ROUND(tblTransactions[[#This Row],[gross_sales_inr]]*(1-tblTransactions[[#This Row],[discount_pct]]),2)</f>
        <v>437.73</v>
      </c>
      <c r="L2259" t="str">
        <f>IF(ABS(tblTransactions[[#This Row],[net_sales_inr]]-tblTransactions[[#This Row],[Recalc_Net_Sales]])&lt;0.02,"OK","CHECK")</f>
        <v>OK</v>
      </c>
      <c r="M2259" s="14">
        <f>DATE(YEAR(tblTransactions[[#This Row],[date]]),MONTH(tblTransactions[[#This Row],[date]]),1)</f>
        <v>45717</v>
      </c>
      <c r="N2259" t="str">
        <f>IF(WEEKDAY(tblTransactions[[#This Row],[date]],2)&gt;5,"Weekend","Weekday")</f>
        <v>Weekday</v>
      </c>
      <c r="O2259" s="13" t="str">
        <f>IF(tblTransactions[[#This Row],[discount_pct]]=0,"0%",IF(tblTransactions[[#This Row],[discount_pct]]&lt;=10%,"1–
10%",IF(tblTransactions[[#This Row],[discount_pct]]&lt;=20%,"11–20%","&gt;20%")))</f>
        <v>0%</v>
      </c>
      <c r="P2259" s="13" t="str">
        <f>_xlfn.XLOOKUP(tblTransactions[[#This Row],[tenant_id]],tblTenants[tenant_id],tblTenants[zone],"NOT FOUND")</f>
        <v>Food Court</v>
      </c>
      <c r="Q2259" s="13" t="str">
        <f>_xlfn.XLOOKUP(tblTransactions[[#This Row],[tenant_id]],tblTenants[tenant_id],tblTenants[category],"NOT FOUND")</f>
        <v>Quick Service</v>
      </c>
    </row>
    <row r="2260" spans="1:17">
      <c r="A2260" t="s">
        <v>2304</v>
      </c>
      <c r="B2260" s="2">
        <v>45783</v>
      </c>
      <c r="C2260">
        <v>21</v>
      </c>
      <c r="D2260" t="s">
        <v>45</v>
      </c>
      <c r="E2260" t="s">
        <v>32</v>
      </c>
      <c r="F2260" s="7">
        <v>1808.33</v>
      </c>
      <c r="G2260" s="10">
        <v>0.05</v>
      </c>
      <c r="H2260" s="7">
        <v>1717.91</v>
      </c>
      <c r="I2260">
        <v>2</v>
      </c>
      <c r="J2260" t="s">
        <v>16</v>
      </c>
      <c r="K2260" s="13">
        <f>ROUND(tblTransactions[[#This Row],[gross_sales_inr]]*(1-tblTransactions[[#This Row],[discount_pct]]),2)</f>
        <v>1717.91</v>
      </c>
      <c r="L2260" t="str">
        <f>IF(ABS(tblTransactions[[#This Row],[net_sales_inr]]-tblTransactions[[#This Row],[Recalc_Net_Sales]])&lt;0.02,"OK","CHECK")</f>
        <v>OK</v>
      </c>
      <c r="M2260" s="14">
        <f>DATE(YEAR(tblTransactions[[#This Row],[date]]),MONTH(tblTransactions[[#This Row],[date]]),1)</f>
        <v>45778</v>
      </c>
      <c r="N2260" t="str">
        <f>IF(WEEKDAY(tblTransactions[[#This Row],[date]],2)&gt;5,"Weekend","Weekday")</f>
        <v>Weekday</v>
      </c>
      <c r="O226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60" s="13" t="str">
        <f>_xlfn.XLOOKUP(tblTransactions[[#This Row],[tenant_id]],tblTenants[tenant_id],tblTenants[zone],"NOT FOUND")</f>
        <v>Home &amp; Living</v>
      </c>
      <c r="Q2260" s="13" t="str">
        <f>_xlfn.XLOOKUP(tblTransactions[[#This Row],[tenant_id]],tblTenants[tenant_id],tblTenants[category],"NOT FOUND")</f>
        <v>Home Decor</v>
      </c>
    </row>
    <row r="2261" spans="1:17">
      <c r="A2261" t="s">
        <v>2305</v>
      </c>
      <c r="B2261" s="2">
        <v>45673</v>
      </c>
      <c r="C2261">
        <v>18</v>
      </c>
      <c r="D2261" t="s">
        <v>70</v>
      </c>
      <c r="E2261" t="s">
        <v>51</v>
      </c>
      <c r="F2261" s="7">
        <v>462.96</v>
      </c>
      <c r="G2261" s="10">
        <v>0</v>
      </c>
      <c r="H2261" s="7">
        <v>462.96</v>
      </c>
      <c r="I2261">
        <v>1</v>
      </c>
      <c r="J2261" t="s">
        <v>13</v>
      </c>
      <c r="K2261" s="13">
        <f>ROUND(tblTransactions[[#This Row],[gross_sales_inr]]*(1-tblTransactions[[#This Row],[discount_pct]]),2)</f>
        <v>462.96</v>
      </c>
      <c r="L2261" t="str">
        <f>IF(ABS(tblTransactions[[#This Row],[net_sales_inr]]-tblTransactions[[#This Row],[Recalc_Net_Sales]])&lt;0.02,"OK","CHECK")</f>
        <v>OK</v>
      </c>
      <c r="M2261" s="14">
        <f>DATE(YEAR(tblTransactions[[#This Row],[date]]),MONTH(tblTransactions[[#This Row],[date]]),1)</f>
        <v>45658</v>
      </c>
      <c r="N2261" t="str">
        <f>IF(WEEKDAY(tblTransactions[[#This Row],[date]],2)&gt;5,"Weekend","Weekday")</f>
        <v>Weekday</v>
      </c>
      <c r="O2261" s="13" t="str">
        <f>IF(tblTransactions[[#This Row],[discount_pct]]=0,"0%",IF(tblTransactions[[#This Row],[discount_pct]]&lt;=10%,"1–
10%",IF(tblTransactions[[#This Row],[discount_pct]]&lt;=20%,"11–20%","&gt;20%")))</f>
        <v>0%</v>
      </c>
      <c r="P2261" s="13" t="str">
        <f>_xlfn.XLOOKUP(tblTransactions[[#This Row],[tenant_id]],tblTenants[tenant_id],tblTenants[zone],"NOT FOUND")</f>
        <v>Food Court</v>
      </c>
      <c r="Q2261" s="13" t="str">
        <f>_xlfn.XLOOKUP(tblTransactions[[#This Row],[tenant_id]],tblTenants[tenant_id],tblTenants[category],"NOT FOUND")</f>
        <v>Quick Service</v>
      </c>
    </row>
    <row r="2262" spans="1:17">
      <c r="A2262" t="s">
        <v>2306</v>
      </c>
      <c r="B2262" s="2">
        <v>45683</v>
      </c>
      <c r="C2262">
        <v>16</v>
      </c>
      <c r="D2262" t="s">
        <v>15</v>
      </c>
      <c r="E2262" t="s">
        <v>32</v>
      </c>
      <c r="F2262" s="7">
        <v>2388.02</v>
      </c>
      <c r="G2262" s="10">
        <v>0.15</v>
      </c>
      <c r="H2262" s="7">
        <v>2029.82</v>
      </c>
      <c r="I2262">
        <v>2</v>
      </c>
      <c r="J2262" t="s">
        <v>13</v>
      </c>
      <c r="K2262" s="13">
        <f>ROUND(tblTransactions[[#This Row],[gross_sales_inr]]*(1-tblTransactions[[#This Row],[discount_pct]]),2)</f>
        <v>2029.82</v>
      </c>
      <c r="L2262" t="str">
        <f>IF(ABS(tblTransactions[[#This Row],[net_sales_inr]]-tblTransactions[[#This Row],[Recalc_Net_Sales]])&lt;0.02,"OK","CHECK")</f>
        <v>OK</v>
      </c>
      <c r="M2262" s="14">
        <f>DATE(YEAR(tblTransactions[[#This Row],[date]]),MONTH(tblTransactions[[#This Row],[date]]),1)</f>
        <v>45658</v>
      </c>
      <c r="N2262" t="str">
        <f>IF(WEEKDAY(tblTransactions[[#This Row],[date]],2)&gt;5,"Weekend","Weekday")</f>
        <v>Weekend</v>
      </c>
      <c r="O226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62" s="13" t="str">
        <f>_xlfn.XLOOKUP(tblTransactions[[#This Row],[tenant_id]],tblTenants[tenant_id],tblTenants[zone],"NOT FOUND")</f>
        <v>Fashion Avenue</v>
      </c>
      <c r="Q2262" s="13" t="str">
        <f>_xlfn.XLOOKUP(tblTransactions[[#This Row],[tenant_id]],tblTenants[tenant_id],tblTenants[category],"NOT FOUND")</f>
        <v>Accessories</v>
      </c>
    </row>
    <row r="2263" spans="1:17">
      <c r="A2263" t="s">
        <v>2307</v>
      </c>
      <c r="B2263" s="2">
        <v>45774</v>
      </c>
      <c r="C2263">
        <v>21</v>
      </c>
      <c r="D2263" t="s">
        <v>23</v>
      </c>
      <c r="E2263" t="s">
        <v>32</v>
      </c>
      <c r="F2263" s="7">
        <v>2130.12</v>
      </c>
      <c r="G2263" s="10">
        <v>0</v>
      </c>
      <c r="H2263" s="7">
        <v>2130.12</v>
      </c>
      <c r="I2263">
        <v>5</v>
      </c>
      <c r="J2263" t="s">
        <v>13</v>
      </c>
      <c r="K2263" s="13">
        <f>ROUND(tblTransactions[[#This Row],[gross_sales_inr]]*(1-tblTransactions[[#This Row],[discount_pct]]),2)</f>
        <v>2130.12</v>
      </c>
      <c r="L2263" t="str">
        <f>IF(ABS(tblTransactions[[#This Row],[net_sales_inr]]-tblTransactions[[#This Row],[Recalc_Net_Sales]])&lt;0.02,"OK","CHECK")</f>
        <v>OK</v>
      </c>
      <c r="M2263" s="14">
        <f>DATE(YEAR(tblTransactions[[#This Row],[date]]),MONTH(tblTransactions[[#This Row],[date]]),1)</f>
        <v>45748</v>
      </c>
      <c r="N2263" t="str">
        <f>IF(WEEKDAY(tblTransactions[[#This Row],[date]],2)&gt;5,"Weekend","Weekday")</f>
        <v>Weekend</v>
      </c>
      <c r="O2263" s="13" t="str">
        <f>IF(tblTransactions[[#This Row],[discount_pct]]=0,"0%",IF(tblTransactions[[#This Row],[discount_pct]]&lt;=10%,"1–
10%",IF(tblTransactions[[#This Row],[discount_pct]]&lt;=20%,"11–20%","&gt;20%")))</f>
        <v>0%</v>
      </c>
      <c r="P2263" s="13" t="str">
        <f>_xlfn.XLOOKUP(tblTransactions[[#This Row],[tenant_id]],tblTenants[tenant_id],tblTenants[zone],"NOT FOUND")</f>
        <v>Entertainment</v>
      </c>
      <c r="Q2263" s="13" t="str">
        <f>_xlfn.XLOOKUP(tblTransactions[[#This Row],[tenant_id]],tblTenants[tenant_id],tblTenants[category],"NOT FOUND")</f>
        <v>Cinema</v>
      </c>
    </row>
    <row r="2264" spans="1:17">
      <c r="A2264" t="s">
        <v>2308</v>
      </c>
      <c r="B2264" s="2">
        <v>45807</v>
      </c>
      <c r="C2264">
        <v>12</v>
      </c>
      <c r="D2264" t="s">
        <v>55</v>
      </c>
      <c r="E2264" t="s">
        <v>32</v>
      </c>
      <c r="F2264" s="7">
        <v>863.75</v>
      </c>
      <c r="G2264" s="10">
        <v>0</v>
      </c>
      <c r="H2264" s="7">
        <v>863.75</v>
      </c>
      <c r="I2264">
        <v>2</v>
      </c>
      <c r="J2264" t="s">
        <v>13</v>
      </c>
      <c r="K2264" s="13">
        <f>ROUND(tblTransactions[[#This Row],[gross_sales_inr]]*(1-tblTransactions[[#This Row],[discount_pct]]),2)</f>
        <v>863.75</v>
      </c>
      <c r="L2264" t="str">
        <f>IF(ABS(tblTransactions[[#This Row],[net_sales_inr]]-tblTransactions[[#This Row],[Recalc_Net_Sales]])&lt;0.02,"OK","CHECK")</f>
        <v>OK</v>
      </c>
      <c r="M2264" s="14">
        <f>DATE(YEAR(tblTransactions[[#This Row],[date]]),MONTH(tblTransactions[[#This Row],[date]]),1)</f>
        <v>45778</v>
      </c>
      <c r="N2264" t="str">
        <f>IF(WEEKDAY(tblTransactions[[#This Row],[date]],2)&gt;5,"Weekend","Weekday")</f>
        <v>Weekday</v>
      </c>
      <c r="O2264" s="13" t="str">
        <f>IF(tblTransactions[[#This Row],[discount_pct]]=0,"0%",IF(tblTransactions[[#This Row],[discount_pct]]&lt;=10%,"1–
10%",IF(tblTransactions[[#This Row],[discount_pct]]&lt;=20%,"11–20%","&gt;20%")))</f>
        <v>0%</v>
      </c>
      <c r="P2264" s="13" t="str">
        <f>_xlfn.XLOOKUP(tblTransactions[[#This Row],[tenant_id]],tblTenants[tenant_id],tblTenants[zone],"NOT FOUND")</f>
        <v>Food Court</v>
      </c>
      <c r="Q2264" s="13" t="str">
        <f>_xlfn.XLOOKUP(tblTransactions[[#This Row],[tenant_id]],tblTenants[tenant_id],tblTenants[category],"NOT FOUND")</f>
        <v>Quick Service</v>
      </c>
    </row>
    <row r="2265" spans="1:17">
      <c r="A2265" t="s">
        <v>2309</v>
      </c>
      <c r="B2265" s="2">
        <v>45706</v>
      </c>
      <c r="C2265">
        <v>15</v>
      </c>
      <c r="D2265" t="s">
        <v>41</v>
      </c>
      <c r="E2265" t="s">
        <v>12</v>
      </c>
      <c r="F2265" s="7">
        <v>602.48</v>
      </c>
      <c r="G2265" s="10">
        <v>0.3</v>
      </c>
      <c r="H2265" s="7">
        <v>421.74</v>
      </c>
      <c r="I2265">
        <v>2</v>
      </c>
      <c r="J2265" t="s">
        <v>13</v>
      </c>
      <c r="K2265" s="13">
        <f>ROUND(tblTransactions[[#This Row],[gross_sales_inr]]*(1-tblTransactions[[#This Row],[discount_pct]]),2)</f>
        <v>421.74</v>
      </c>
      <c r="L2265" t="str">
        <f>IF(ABS(tblTransactions[[#This Row],[net_sales_inr]]-tblTransactions[[#This Row],[Recalc_Net_Sales]])&lt;0.02,"OK","CHECK")</f>
        <v>OK</v>
      </c>
      <c r="M2265" s="14">
        <f>DATE(YEAR(tblTransactions[[#This Row],[date]]),MONTH(tblTransactions[[#This Row],[date]]),1)</f>
        <v>45689</v>
      </c>
      <c r="N2265" t="str">
        <f>IF(WEEKDAY(tblTransactions[[#This Row],[date]],2)&gt;5,"Weekend","Weekday")</f>
        <v>Weekday</v>
      </c>
      <c r="O2265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265" s="13" t="str">
        <f>_xlfn.XLOOKUP(tblTransactions[[#This Row],[tenant_id]],tblTenants[tenant_id],tblTenants[zone],"NOT FOUND")</f>
        <v>Fashion Avenue</v>
      </c>
      <c r="Q2265" s="13" t="str">
        <f>_xlfn.XLOOKUP(tblTransactions[[#This Row],[tenant_id]],tblTenants[tenant_id],tblTenants[category],"NOT FOUND")</f>
        <v>Clothing</v>
      </c>
    </row>
    <row r="2266" spans="1:17">
      <c r="A2266" t="s">
        <v>2310</v>
      </c>
      <c r="B2266" s="2">
        <v>45785</v>
      </c>
      <c r="C2266">
        <v>11</v>
      </c>
      <c r="D2266" t="s">
        <v>48</v>
      </c>
      <c r="E2266" t="s">
        <v>21</v>
      </c>
      <c r="F2266" s="7">
        <v>1524.09</v>
      </c>
      <c r="G2266" s="10">
        <v>0.1</v>
      </c>
      <c r="H2266" s="7">
        <v>1371.68</v>
      </c>
      <c r="I2266">
        <v>2</v>
      </c>
      <c r="J2266" t="s">
        <v>16</v>
      </c>
      <c r="K2266" s="13">
        <f>ROUND(tblTransactions[[#This Row],[gross_sales_inr]]*(1-tblTransactions[[#This Row],[discount_pct]]),2)</f>
        <v>1371.68</v>
      </c>
      <c r="L2266" t="str">
        <f>IF(ABS(tblTransactions[[#This Row],[net_sales_inr]]-tblTransactions[[#This Row],[Recalc_Net_Sales]])&lt;0.02,"OK","CHECK")</f>
        <v>OK</v>
      </c>
      <c r="M2266" s="14">
        <f>DATE(YEAR(tblTransactions[[#This Row],[date]]),MONTH(tblTransactions[[#This Row],[date]]),1)</f>
        <v>45778</v>
      </c>
      <c r="N2266" t="str">
        <f>IF(WEEKDAY(tblTransactions[[#This Row],[date]],2)&gt;5,"Weekend","Weekday")</f>
        <v>Weekday</v>
      </c>
      <c r="O226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66" s="13" t="str">
        <f>_xlfn.XLOOKUP(tblTransactions[[#This Row],[tenant_id]],tblTenants[tenant_id],tblTenants[zone],"NOT FOUND")</f>
        <v>Beauty &amp; Wellness</v>
      </c>
      <c r="Q2266" s="13" t="str">
        <f>_xlfn.XLOOKUP(tblTransactions[[#This Row],[tenant_id]],tblTenants[tenant_id],tblTenants[category],"NOT FOUND")</f>
        <v>Wellness</v>
      </c>
    </row>
    <row r="2267" spans="1:17">
      <c r="A2267" t="s">
        <v>2311</v>
      </c>
      <c r="B2267" s="2">
        <v>45684</v>
      </c>
      <c r="C2267">
        <v>12</v>
      </c>
      <c r="D2267" t="s">
        <v>29</v>
      </c>
      <c r="E2267" t="s">
        <v>12</v>
      </c>
      <c r="F2267" s="7">
        <v>721.57</v>
      </c>
      <c r="G2267" s="10">
        <v>0.2</v>
      </c>
      <c r="H2267" s="7">
        <v>577.26</v>
      </c>
      <c r="I2267">
        <v>1</v>
      </c>
      <c r="J2267" t="s">
        <v>16</v>
      </c>
      <c r="K2267" s="13">
        <f>ROUND(tblTransactions[[#This Row],[gross_sales_inr]]*(1-tblTransactions[[#This Row],[discount_pct]]),2)</f>
        <v>577.26</v>
      </c>
      <c r="L2267" t="str">
        <f>IF(ABS(tblTransactions[[#This Row],[net_sales_inr]]-tblTransactions[[#This Row],[Recalc_Net_Sales]])&lt;0.02,"OK","CHECK")</f>
        <v>OK</v>
      </c>
      <c r="M2267" s="14">
        <f>DATE(YEAR(tblTransactions[[#This Row],[date]]),MONTH(tblTransactions[[#This Row],[date]]),1)</f>
        <v>45658</v>
      </c>
      <c r="N2267" t="str">
        <f>IF(WEEKDAY(tblTransactions[[#This Row],[date]],2)&gt;5,"Weekend","Weekday")</f>
        <v>Weekday</v>
      </c>
      <c r="O226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67" s="13" t="str">
        <f>_xlfn.XLOOKUP(tblTransactions[[#This Row],[tenant_id]],tblTenants[tenant_id],tblTenants[zone],"NOT FOUND")</f>
        <v>Entertainment</v>
      </c>
      <c r="Q2267" s="13" t="str">
        <f>_xlfn.XLOOKUP(tblTransactions[[#This Row],[tenant_id]],tblTenants[tenant_id],tblTenants[category],"NOT FOUND")</f>
        <v>Cinema</v>
      </c>
    </row>
    <row r="2268" spans="1:17">
      <c r="A2268" t="s">
        <v>2312</v>
      </c>
      <c r="B2268" s="2">
        <v>45824</v>
      </c>
      <c r="C2268">
        <v>14</v>
      </c>
      <c r="D2268" t="s">
        <v>25</v>
      </c>
      <c r="E2268" t="s">
        <v>12</v>
      </c>
      <c r="F2268" s="7">
        <v>267.64</v>
      </c>
      <c r="G2268" s="10">
        <v>0</v>
      </c>
      <c r="H2268" s="7">
        <v>267.64</v>
      </c>
      <c r="I2268">
        <v>3</v>
      </c>
      <c r="J2268" t="s">
        <v>13</v>
      </c>
      <c r="K2268" s="13">
        <f>ROUND(tblTransactions[[#This Row],[gross_sales_inr]]*(1-tblTransactions[[#This Row],[discount_pct]]),2)</f>
        <v>267.64</v>
      </c>
      <c r="L2268" t="str">
        <f>IF(ABS(tblTransactions[[#This Row],[net_sales_inr]]-tblTransactions[[#This Row],[Recalc_Net_Sales]])&lt;0.02,"OK","CHECK")</f>
        <v>OK</v>
      </c>
      <c r="M2268" s="14">
        <f>DATE(YEAR(tblTransactions[[#This Row],[date]]),MONTH(tblTransactions[[#This Row],[date]]),1)</f>
        <v>45809</v>
      </c>
      <c r="N2268" t="str">
        <f>IF(WEEKDAY(tblTransactions[[#This Row],[date]],2)&gt;5,"Weekend","Weekday")</f>
        <v>Weekday</v>
      </c>
      <c r="O2268" s="13" t="str">
        <f>IF(tblTransactions[[#This Row],[discount_pct]]=0,"0%",IF(tblTransactions[[#This Row],[discount_pct]]&lt;=10%,"1–
10%",IF(tblTransactions[[#This Row],[discount_pct]]&lt;=20%,"11–20%","&gt;20%")))</f>
        <v>0%</v>
      </c>
      <c r="P2268" s="13" t="str">
        <f>_xlfn.XLOOKUP(tblTransactions[[#This Row],[tenant_id]],tblTenants[tenant_id],tblTenants[zone],"NOT FOUND")</f>
        <v>Beauty &amp; Wellness</v>
      </c>
      <c r="Q2268" s="13" t="str">
        <f>_xlfn.XLOOKUP(tblTransactions[[#This Row],[tenant_id]],tblTenants[tenant_id],tblTenants[category],"NOT FOUND")</f>
        <v>Beauty</v>
      </c>
    </row>
    <row r="2269" spans="1:17">
      <c r="A2269" t="s">
        <v>2313</v>
      </c>
      <c r="B2269" s="2">
        <v>45718</v>
      </c>
      <c r="C2269">
        <v>12</v>
      </c>
      <c r="D2269" t="s">
        <v>55</v>
      </c>
      <c r="E2269" t="s">
        <v>32</v>
      </c>
      <c r="F2269" s="7">
        <v>565.20000000000005</v>
      </c>
      <c r="G2269" s="10">
        <v>0.05</v>
      </c>
      <c r="H2269" s="7">
        <v>536.94000000000005</v>
      </c>
      <c r="I2269">
        <v>1</v>
      </c>
      <c r="J2269" t="s">
        <v>16</v>
      </c>
      <c r="K2269" s="13">
        <f>ROUND(tblTransactions[[#This Row],[gross_sales_inr]]*(1-tblTransactions[[#This Row],[discount_pct]]),2)</f>
        <v>536.94000000000005</v>
      </c>
      <c r="L2269" t="str">
        <f>IF(ABS(tblTransactions[[#This Row],[net_sales_inr]]-tblTransactions[[#This Row],[Recalc_Net_Sales]])&lt;0.02,"OK","CHECK")</f>
        <v>OK</v>
      </c>
      <c r="M2269" s="14">
        <f>DATE(YEAR(tblTransactions[[#This Row],[date]]),MONTH(tblTransactions[[#This Row],[date]]),1)</f>
        <v>45717</v>
      </c>
      <c r="N2269" t="str">
        <f>IF(WEEKDAY(tblTransactions[[#This Row],[date]],2)&gt;5,"Weekend","Weekday")</f>
        <v>Weekend</v>
      </c>
      <c r="O226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69" s="13" t="str">
        <f>_xlfn.XLOOKUP(tblTransactions[[#This Row],[tenant_id]],tblTenants[tenant_id],tblTenants[zone],"NOT FOUND")</f>
        <v>Food Court</v>
      </c>
      <c r="Q2269" s="13" t="str">
        <f>_xlfn.XLOOKUP(tblTransactions[[#This Row],[tenant_id]],tblTenants[tenant_id],tblTenants[category],"NOT FOUND")</f>
        <v>Quick Service</v>
      </c>
    </row>
    <row r="2270" spans="1:17">
      <c r="A2270" t="s">
        <v>2314</v>
      </c>
      <c r="B2270" s="2">
        <v>45814</v>
      </c>
      <c r="C2270">
        <v>11</v>
      </c>
      <c r="D2270" t="s">
        <v>20</v>
      </c>
      <c r="E2270" t="s">
        <v>12</v>
      </c>
      <c r="F2270" s="7">
        <v>834.89</v>
      </c>
      <c r="G2270" s="10">
        <v>0.1</v>
      </c>
      <c r="H2270" s="7">
        <v>751.4</v>
      </c>
      <c r="I2270">
        <v>3</v>
      </c>
      <c r="J2270" t="s">
        <v>13</v>
      </c>
      <c r="K2270" s="13">
        <f>ROUND(tblTransactions[[#This Row],[gross_sales_inr]]*(1-tblTransactions[[#This Row],[discount_pct]]),2)</f>
        <v>751.4</v>
      </c>
      <c r="L2270" t="str">
        <f>IF(ABS(tblTransactions[[#This Row],[net_sales_inr]]-tblTransactions[[#This Row],[Recalc_Net_Sales]])&lt;0.02,"OK","CHECK")</f>
        <v>OK</v>
      </c>
      <c r="M2270" s="14">
        <f>DATE(YEAR(tblTransactions[[#This Row],[date]]),MONTH(tblTransactions[[#This Row],[date]]),1)</f>
        <v>45809</v>
      </c>
      <c r="N2270" t="str">
        <f>IF(WEEKDAY(tblTransactions[[#This Row],[date]],2)&gt;5,"Weekend","Weekday")</f>
        <v>Weekday</v>
      </c>
      <c r="O227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70" s="13" t="str">
        <f>_xlfn.XLOOKUP(tblTransactions[[#This Row],[tenant_id]],tblTenants[tenant_id],tblTenants[zone],"NOT FOUND")</f>
        <v>Fashion Avenue</v>
      </c>
      <c r="Q2270" s="13" t="str">
        <f>_xlfn.XLOOKUP(tblTransactions[[#This Row],[tenant_id]],tblTenants[tenant_id],tblTenants[category],"NOT FOUND")</f>
        <v>Accessories</v>
      </c>
    </row>
    <row r="2271" spans="1:17">
      <c r="A2271" t="s">
        <v>2315</v>
      </c>
      <c r="B2271" s="2">
        <v>45725</v>
      </c>
      <c r="C2271">
        <v>12</v>
      </c>
      <c r="D2271" t="s">
        <v>36</v>
      </c>
      <c r="E2271" t="s">
        <v>21</v>
      </c>
      <c r="F2271" s="7">
        <v>1512.14</v>
      </c>
      <c r="G2271" s="10">
        <v>0</v>
      </c>
      <c r="H2271" s="7">
        <v>1512.14</v>
      </c>
      <c r="I2271">
        <v>1</v>
      </c>
      <c r="J2271" t="s">
        <v>13</v>
      </c>
      <c r="K2271" s="13">
        <f>ROUND(tblTransactions[[#This Row],[gross_sales_inr]]*(1-tblTransactions[[#This Row],[discount_pct]]),2)</f>
        <v>1512.14</v>
      </c>
      <c r="L2271" t="str">
        <f>IF(ABS(tblTransactions[[#This Row],[net_sales_inr]]-tblTransactions[[#This Row],[Recalc_Net_Sales]])&lt;0.02,"OK","CHECK")</f>
        <v>OK</v>
      </c>
      <c r="M2271" s="14">
        <f>DATE(YEAR(tblTransactions[[#This Row],[date]]),MONTH(tblTransactions[[#This Row],[date]]),1)</f>
        <v>45717</v>
      </c>
      <c r="N2271" t="str">
        <f>IF(WEEKDAY(tblTransactions[[#This Row],[date]],2)&gt;5,"Weekend","Weekday")</f>
        <v>Weekend</v>
      </c>
      <c r="O2271" s="13" t="str">
        <f>IF(tblTransactions[[#This Row],[discount_pct]]=0,"0%",IF(tblTransactions[[#This Row],[discount_pct]]&lt;=10%,"1–
10%",IF(tblTransactions[[#This Row],[discount_pct]]&lt;=20%,"11–20%","&gt;20%")))</f>
        <v>0%</v>
      </c>
      <c r="P2271" s="13" t="str">
        <f>_xlfn.XLOOKUP(tblTransactions[[#This Row],[tenant_id]],tblTenants[tenant_id],tblTenants[zone],"NOT FOUND")</f>
        <v>Home &amp; Living</v>
      </c>
      <c r="Q2271" s="13" t="str">
        <f>_xlfn.XLOOKUP(tblTransactions[[#This Row],[tenant_id]],tblTenants[tenant_id],tblTenants[category],"NOT FOUND")</f>
        <v>Electronics</v>
      </c>
    </row>
    <row r="2272" spans="1:17">
      <c r="A2272" t="s">
        <v>2316</v>
      </c>
      <c r="B2272" s="2">
        <v>45771</v>
      </c>
      <c r="C2272">
        <v>13</v>
      </c>
      <c r="D2272" t="s">
        <v>18</v>
      </c>
      <c r="E2272" t="s">
        <v>32</v>
      </c>
      <c r="F2272" s="7">
        <v>2751.78</v>
      </c>
      <c r="G2272" s="10">
        <v>0.05</v>
      </c>
      <c r="H2272" s="7">
        <v>2614.19</v>
      </c>
      <c r="I2272">
        <v>2</v>
      </c>
      <c r="J2272" t="s">
        <v>13</v>
      </c>
      <c r="K2272" s="13">
        <f>ROUND(tblTransactions[[#This Row],[gross_sales_inr]]*(1-tblTransactions[[#This Row],[discount_pct]]),2)</f>
        <v>2614.19</v>
      </c>
      <c r="L2272" t="str">
        <f>IF(ABS(tblTransactions[[#This Row],[net_sales_inr]]-tblTransactions[[#This Row],[Recalc_Net_Sales]])&lt;0.02,"OK","CHECK")</f>
        <v>OK</v>
      </c>
      <c r="M2272" s="14">
        <f>DATE(YEAR(tblTransactions[[#This Row],[date]]),MONTH(tblTransactions[[#This Row],[date]]),1)</f>
        <v>45748</v>
      </c>
      <c r="N2272" t="str">
        <f>IF(WEEKDAY(tblTransactions[[#This Row],[date]],2)&gt;5,"Weekend","Weekday")</f>
        <v>Weekday</v>
      </c>
      <c r="O227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72" s="13" t="str">
        <f>_xlfn.XLOOKUP(tblTransactions[[#This Row],[tenant_id]],tblTenants[tenant_id],tblTenants[zone],"NOT FOUND")</f>
        <v>Beauty &amp; Wellness</v>
      </c>
      <c r="Q2272" s="13" t="str">
        <f>_xlfn.XLOOKUP(tblTransactions[[#This Row],[tenant_id]],tblTenants[tenant_id],tblTenants[category],"NOT FOUND")</f>
        <v>Beauty</v>
      </c>
    </row>
    <row r="2273" spans="1:17">
      <c r="A2273" t="s">
        <v>2317</v>
      </c>
      <c r="B2273" s="2">
        <v>45775</v>
      </c>
      <c r="C2273">
        <v>19</v>
      </c>
      <c r="D2273" t="s">
        <v>85</v>
      </c>
      <c r="E2273" t="s">
        <v>21</v>
      </c>
      <c r="F2273" s="7">
        <v>2587.88</v>
      </c>
      <c r="G2273" s="10">
        <v>0.15</v>
      </c>
      <c r="H2273" s="7">
        <v>2199.6999999999998</v>
      </c>
      <c r="I2273">
        <v>3</v>
      </c>
      <c r="J2273" t="s">
        <v>13</v>
      </c>
      <c r="K2273" s="13">
        <f>ROUND(tblTransactions[[#This Row],[gross_sales_inr]]*(1-tblTransactions[[#This Row],[discount_pct]]),2)</f>
        <v>2199.6999999999998</v>
      </c>
      <c r="L2273" t="str">
        <f>IF(ABS(tblTransactions[[#This Row],[net_sales_inr]]-tblTransactions[[#This Row],[Recalc_Net_Sales]])&lt;0.02,"OK","CHECK")</f>
        <v>OK</v>
      </c>
      <c r="M2273" s="14">
        <f>DATE(YEAR(tblTransactions[[#This Row],[date]]),MONTH(tblTransactions[[#This Row],[date]]),1)</f>
        <v>45748</v>
      </c>
      <c r="N2273" t="str">
        <f>IF(WEEKDAY(tblTransactions[[#This Row],[date]],2)&gt;5,"Weekend","Weekday")</f>
        <v>Weekday</v>
      </c>
      <c r="O227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73" s="13" t="str">
        <f>_xlfn.XLOOKUP(tblTransactions[[#This Row],[tenant_id]],tblTenants[tenant_id],tblTenants[zone],"NOT FOUND")</f>
        <v>Home &amp; Living</v>
      </c>
      <c r="Q2273" s="13" t="str">
        <f>_xlfn.XLOOKUP(tblTransactions[[#This Row],[tenant_id]],tblTenants[tenant_id],tblTenants[category],"NOT FOUND")</f>
        <v>Electronics</v>
      </c>
    </row>
    <row r="2274" spans="1:17">
      <c r="A2274" t="s">
        <v>2318</v>
      </c>
      <c r="B2274" s="2">
        <v>45728</v>
      </c>
      <c r="C2274">
        <v>21</v>
      </c>
      <c r="D2274" t="s">
        <v>70</v>
      </c>
      <c r="E2274" t="s">
        <v>12</v>
      </c>
      <c r="F2274" s="7">
        <v>1896.36</v>
      </c>
      <c r="G2274" s="10">
        <v>0</v>
      </c>
      <c r="H2274" s="7">
        <v>1896.36</v>
      </c>
      <c r="I2274">
        <v>5</v>
      </c>
      <c r="J2274" t="s">
        <v>13</v>
      </c>
      <c r="K2274" s="13">
        <f>ROUND(tblTransactions[[#This Row],[gross_sales_inr]]*(1-tblTransactions[[#This Row],[discount_pct]]),2)</f>
        <v>1896.36</v>
      </c>
      <c r="L2274" t="str">
        <f>IF(ABS(tblTransactions[[#This Row],[net_sales_inr]]-tblTransactions[[#This Row],[Recalc_Net_Sales]])&lt;0.02,"OK","CHECK")</f>
        <v>OK</v>
      </c>
      <c r="M2274" s="14">
        <f>DATE(YEAR(tblTransactions[[#This Row],[date]]),MONTH(tblTransactions[[#This Row],[date]]),1)</f>
        <v>45717</v>
      </c>
      <c r="N2274" t="str">
        <f>IF(WEEKDAY(tblTransactions[[#This Row],[date]],2)&gt;5,"Weekend","Weekday")</f>
        <v>Weekday</v>
      </c>
      <c r="O2274" s="13" t="str">
        <f>IF(tblTransactions[[#This Row],[discount_pct]]=0,"0%",IF(tblTransactions[[#This Row],[discount_pct]]&lt;=10%,"1–
10%",IF(tblTransactions[[#This Row],[discount_pct]]&lt;=20%,"11–20%","&gt;20%")))</f>
        <v>0%</v>
      </c>
      <c r="P2274" s="13" t="str">
        <f>_xlfn.XLOOKUP(tblTransactions[[#This Row],[tenant_id]],tblTenants[tenant_id],tblTenants[zone],"NOT FOUND")</f>
        <v>Food Court</v>
      </c>
      <c r="Q2274" s="13" t="str">
        <f>_xlfn.XLOOKUP(tblTransactions[[#This Row],[tenant_id]],tblTenants[tenant_id],tblTenants[category],"NOT FOUND")</f>
        <v>Quick Service</v>
      </c>
    </row>
    <row r="2275" spans="1:17">
      <c r="A2275" t="s">
        <v>2319</v>
      </c>
      <c r="B2275" s="2">
        <v>45762</v>
      </c>
      <c r="C2275">
        <v>17</v>
      </c>
      <c r="D2275" t="s">
        <v>104</v>
      </c>
      <c r="E2275" t="s">
        <v>12</v>
      </c>
      <c r="F2275" s="7">
        <v>444.43</v>
      </c>
      <c r="G2275" s="10">
        <v>0.05</v>
      </c>
      <c r="H2275" s="7">
        <v>422.21</v>
      </c>
      <c r="I2275">
        <v>3</v>
      </c>
      <c r="J2275" t="s">
        <v>13</v>
      </c>
      <c r="K2275" s="13">
        <f>ROUND(tblTransactions[[#This Row],[gross_sales_inr]]*(1-tblTransactions[[#This Row],[discount_pct]]),2)</f>
        <v>422.21</v>
      </c>
      <c r="L2275" t="str">
        <f>IF(ABS(tblTransactions[[#This Row],[net_sales_inr]]-tblTransactions[[#This Row],[Recalc_Net_Sales]])&lt;0.02,"OK","CHECK")</f>
        <v>OK</v>
      </c>
      <c r="M2275" s="14">
        <f>DATE(YEAR(tblTransactions[[#This Row],[date]]),MONTH(tblTransactions[[#This Row],[date]]),1)</f>
        <v>45748</v>
      </c>
      <c r="N2275" t="str">
        <f>IF(WEEKDAY(tblTransactions[[#This Row],[date]],2)&gt;5,"Weekend","Weekday")</f>
        <v>Weekday</v>
      </c>
      <c r="O227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75" s="13" t="str">
        <f>_xlfn.XLOOKUP(tblTransactions[[#This Row],[tenant_id]],tblTenants[tenant_id],tblTenants[zone],"NOT FOUND")</f>
        <v>Entertainment</v>
      </c>
      <c r="Q2275" s="13" t="str">
        <f>_xlfn.XLOOKUP(tblTransactions[[#This Row],[tenant_id]],tblTenants[tenant_id],tblTenants[category],"NOT FOUND")</f>
        <v>Family Entertainment</v>
      </c>
    </row>
    <row r="2276" spans="1:17">
      <c r="A2276" t="s">
        <v>2320</v>
      </c>
      <c r="B2276" s="2">
        <v>45701</v>
      </c>
      <c r="C2276">
        <v>22</v>
      </c>
      <c r="D2276" t="s">
        <v>122</v>
      </c>
      <c r="E2276" t="s">
        <v>21</v>
      </c>
      <c r="F2276" s="7">
        <v>971.15</v>
      </c>
      <c r="G2276" s="10">
        <v>0.05</v>
      </c>
      <c r="H2276" s="7">
        <v>922.59</v>
      </c>
      <c r="I2276">
        <v>5</v>
      </c>
      <c r="J2276" t="s">
        <v>13</v>
      </c>
      <c r="K2276" s="13">
        <f>ROUND(tblTransactions[[#This Row],[gross_sales_inr]]*(1-tblTransactions[[#This Row],[discount_pct]]),2)</f>
        <v>922.59</v>
      </c>
      <c r="L2276" t="str">
        <f>IF(ABS(tblTransactions[[#This Row],[net_sales_inr]]-tblTransactions[[#This Row],[Recalc_Net_Sales]])&lt;0.02,"OK","CHECK")</f>
        <v>OK</v>
      </c>
      <c r="M2276" s="14">
        <f>DATE(YEAR(tblTransactions[[#This Row],[date]]),MONTH(tblTransactions[[#This Row],[date]]),1)</f>
        <v>45689</v>
      </c>
      <c r="N2276" t="str">
        <f>IF(WEEKDAY(tblTransactions[[#This Row],[date]],2)&gt;5,"Weekend","Weekday")</f>
        <v>Weekday</v>
      </c>
      <c r="O227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76" s="13" t="str">
        <f>_xlfn.XLOOKUP(tblTransactions[[#This Row],[tenant_id]],tblTenants[tenant_id],tblTenants[zone],"NOT FOUND")</f>
        <v>Beauty &amp; Wellness</v>
      </c>
      <c r="Q2276" s="13" t="str">
        <f>_xlfn.XLOOKUP(tblTransactions[[#This Row],[tenant_id]],tblTenants[tenant_id],tblTenants[category],"NOT FOUND")</f>
        <v>Wellness</v>
      </c>
    </row>
    <row r="2277" spans="1:17">
      <c r="A2277" t="s">
        <v>2321</v>
      </c>
      <c r="B2277" s="2">
        <v>45741</v>
      </c>
      <c r="C2277">
        <v>14</v>
      </c>
      <c r="D2277" t="s">
        <v>48</v>
      </c>
      <c r="E2277" t="s">
        <v>51</v>
      </c>
      <c r="F2277" s="7">
        <v>1484.06</v>
      </c>
      <c r="G2277" s="10">
        <v>0.2</v>
      </c>
      <c r="H2277" s="7">
        <v>1187.25</v>
      </c>
      <c r="I2277">
        <v>1</v>
      </c>
      <c r="J2277" t="s">
        <v>13</v>
      </c>
      <c r="K2277" s="13">
        <f>ROUND(tblTransactions[[#This Row],[gross_sales_inr]]*(1-tblTransactions[[#This Row],[discount_pct]]),2)</f>
        <v>1187.25</v>
      </c>
      <c r="L2277" t="str">
        <f>IF(ABS(tblTransactions[[#This Row],[net_sales_inr]]-tblTransactions[[#This Row],[Recalc_Net_Sales]])&lt;0.02,"OK","CHECK")</f>
        <v>OK</v>
      </c>
      <c r="M2277" s="14">
        <f>DATE(YEAR(tblTransactions[[#This Row],[date]]),MONTH(tblTransactions[[#This Row],[date]]),1)</f>
        <v>45717</v>
      </c>
      <c r="N2277" t="str">
        <f>IF(WEEKDAY(tblTransactions[[#This Row],[date]],2)&gt;5,"Weekend","Weekday")</f>
        <v>Weekday</v>
      </c>
      <c r="O227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77" s="13" t="str">
        <f>_xlfn.XLOOKUP(tblTransactions[[#This Row],[tenant_id]],tblTenants[tenant_id],tblTenants[zone],"NOT FOUND")</f>
        <v>Beauty &amp; Wellness</v>
      </c>
      <c r="Q2277" s="13" t="str">
        <f>_xlfn.XLOOKUP(tblTransactions[[#This Row],[tenant_id]],tblTenants[tenant_id],tblTenants[category],"NOT FOUND")</f>
        <v>Wellness</v>
      </c>
    </row>
    <row r="2278" spans="1:17">
      <c r="A2278" t="s">
        <v>2322</v>
      </c>
      <c r="B2278" s="2">
        <v>45826</v>
      </c>
      <c r="C2278">
        <v>17</v>
      </c>
      <c r="D2278" t="s">
        <v>104</v>
      </c>
      <c r="E2278" t="s">
        <v>51</v>
      </c>
      <c r="F2278" s="7">
        <v>1181.83</v>
      </c>
      <c r="G2278" s="10">
        <v>0.3</v>
      </c>
      <c r="H2278" s="7">
        <v>827.28</v>
      </c>
      <c r="I2278">
        <v>1</v>
      </c>
      <c r="J2278" t="s">
        <v>13</v>
      </c>
      <c r="K2278" s="13">
        <f>ROUND(tblTransactions[[#This Row],[gross_sales_inr]]*(1-tblTransactions[[#This Row],[discount_pct]]),2)</f>
        <v>827.28</v>
      </c>
      <c r="L2278" t="str">
        <f>IF(ABS(tblTransactions[[#This Row],[net_sales_inr]]-tblTransactions[[#This Row],[Recalc_Net_Sales]])&lt;0.02,"OK","CHECK")</f>
        <v>OK</v>
      </c>
      <c r="M2278" s="14">
        <f>DATE(YEAR(tblTransactions[[#This Row],[date]]),MONTH(tblTransactions[[#This Row],[date]]),1)</f>
        <v>45809</v>
      </c>
      <c r="N2278" t="str">
        <f>IF(WEEKDAY(tblTransactions[[#This Row],[date]],2)&gt;5,"Weekend","Weekday")</f>
        <v>Weekday</v>
      </c>
      <c r="O2278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278" s="13" t="str">
        <f>_xlfn.XLOOKUP(tblTransactions[[#This Row],[tenant_id]],tblTenants[tenant_id],tblTenants[zone],"NOT FOUND")</f>
        <v>Entertainment</v>
      </c>
      <c r="Q2278" s="13" t="str">
        <f>_xlfn.XLOOKUP(tblTransactions[[#This Row],[tenant_id]],tblTenants[tenant_id],tblTenants[category],"NOT FOUND")</f>
        <v>Family Entertainment</v>
      </c>
    </row>
    <row r="2279" spans="1:17">
      <c r="A2279" t="s">
        <v>2323</v>
      </c>
      <c r="B2279" s="2">
        <v>45825</v>
      </c>
      <c r="C2279">
        <v>21</v>
      </c>
      <c r="D2279" t="s">
        <v>23</v>
      </c>
      <c r="E2279" t="s">
        <v>32</v>
      </c>
      <c r="F2279" s="7">
        <v>751.62</v>
      </c>
      <c r="G2279" s="10">
        <v>0</v>
      </c>
      <c r="H2279" s="7">
        <v>751.62</v>
      </c>
      <c r="I2279">
        <v>1</v>
      </c>
      <c r="J2279" t="s">
        <v>13</v>
      </c>
      <c r="K2279" s="13">
        <f>ROUND(tblTransactions[[#This Row],[gross_sales_inr]]*(1-tblTransactions[[#This Row],[discount_pct]]),2)</f>
        <v>751.62</v>
      </c>
      <c r="L2279" t="str">
        <f>IF(ABS(tblTransactions[[#This Row],[net_sales_inr]]-tblTransactions[[#This Row],[Recalc_Net_Sales]])&lt;0.02,"OK","CHECK")</f>
        <v>OK</v>
      </c>
      <c r="M2279" s="14">
        <f>DATE(YEAR(tblTransactions[[#This Row],[date]]),MONTH(tblTransactions[[#This Row],[date]]),1)</f>
        <v>45809</v>
      </c>
      <c r="N2279" t="str">
        <f>IF(WEEKDAY(tblTransactions[[#This Row],[date]],2)&gt;5,"Weekend","Weekday")</f>
        <v>Weekday</v>
      </c>
      <c r="O2279" s="13" t="str">
        <f>IF(tblTransactions[[#This Row],[discount_pct]]=0,"0%",IF(tblTransactions[[#This Row],[discount_pct]]&lt;=10%,"1–
10%",IF(tblTransactions[[#This Row],[discount_pct]]&lt;=20%,"11–20%","&gt;20%")))</f>
        <v>0%</v>
      </c>
      <c r="P2279" s="13" t="str">
        <f>_xlfn.XLOOKUP(tblTransactions[[#This Row],[tenant_id]],tblTenants[tenant_id],tblTenants[zone],"NOT FOUND")</f>
        <v>Entertainment</v>
      </c>
      <c r="Q2279" s="13" t="str">
        <f>_xlfn.XLOOKUP(tblTransactions[[#This Row],[tenant_id]],tblTenants[tenant_id],tblTenants[category],"NOT FOUND")</f>
        <v>Cinema</v>
      </c>
    </row>
    <row r="2280" spans="1:17">
      <c r="A2280" t="s">
        <v>2324</v>
      </c>
      <c r="B2280" s="2">
        <v>45674</v>
      </c>
      <c r="C2280">
        <v>18</v>
      </c>
      <c r="D2280" t="s">
        <v>87</v>
      </c>
      <c r="E2280" t="s">
        <v>32</v>
      </c>
      <c r="F2280" s="7">
        <v>899.44</v>
      </c>
      <c r="G2280" s="10">
        <v>0</v>
      </c>
      <c r="H2280" s="7">
        <v>899.44</v>
      </c>
      <c r="I2280">
        <v>2</v>
      </c>
      <c r="J2280" t="s">
        <v>16</v>
      </c>
      <c r="K2280" s="13">
        <f>ROUND(tblTransactions[[#This Row],[gross_sales_inr]]*(1-tblTransactions[[#This Row],[discount_pct]]),2)</f>
        <v>899.44</v>
      </c>
      <c r="L2280" t="str">
        <f>IF(ABS(tblTransactions[[#This Row],[net_sales_inr]]-tblTransactions[[#This Row],[Recalc_Net_Sales]])&lt;0.02,"OK","CHECK")</f>
        <v>OK</v>
      </c>
      <c r="M2280" s="14">
        <f>DATE(YEAR(tblTransactions[[#This Row],[date]]),MONTH(tblTransactions[[#This Row],[date]]),1)</f>
        <v>45658</v>
      </c>
      <c r="N2280" t="str">
        <f>IF(WEEKDAY(tblTransactions[[#This Row],[date]],2)&gt;5,"Weekend","Weekday")</f>
        <v>Weekday</v>
      </c>
      <c r="O2280" s="13" t="str">
        <f>IF(tblTransactions[[#This Row],[discount_pct]]=0,"0%",IF(tblTransactions[[#This Row],[discount_pct]]&lt;=10%,"1–
10%",IF(tblTransactions[[#This Row],[discount_pct]]&lt;=20%,"11–20%","&gt;20%")))</f>
        <v>0%</v>
      </c>
      <c r="P2280" s="13" t="str">
        <f>_xlfn.XLOOKUP(tblTransactions[[#This Row],[tenant_id]],tblTenants[tenant_id],tblTenants[zone],"NOT FOUND")</f>
        <v>Fashion Avenue</v>
      </c>
      <c r="Q2280" s="13" t="str">
        <f>_xlfn.XLOOKUP(tblTransactions[[#This Row],[tenant_id]],tblTenants[tenant_id],tblTenants[category],"NOT FOUND")</f>
        <v>Footwear</v>
      </c>
    </row>
    <row r="2281" spans="1:17">
      <c r="A2281" t="s">
        <v>2325</v>
      </c>
      <c r="B2281" s="2">
        <v>45751</v>
      </c>
      <c r="C2281">
        <v>19</v>
      </c>
      <c r="D2281" t="s">
        <v>15</v>
      </c>
      <c r="E2281" t="s">
        <v>32</v>
      </c>
      <c r="F2281" s="7">
        <v>204.57</v>
      </c>
      <c r="G2281" s="10">
        <v>0.1</v>
      </c>
      <c r="H2281" s="7">
        <v>184.11</v>
      </c>
      <c r="I2281">
        <v>2</v>
      </c>
      <c r="J2281" t="s">
        <v>13</v>
      </c>
      <c r="K2281" s="13">
        <f>ROUND(tblTransactions[[#This Row],[gross_sales_inr]]*(1-tblTransactions[[#This Row],[discount_pct]]),2)</f>
        <v>184.11</v>
      </c>
      <c r="L2281" t="str">
        <f>IF(ABS(tblTransactions[[#This Row],[net_sales_inr]]-tblTransactions[[#This Row],[Recalc_Net_Sales]])&lt;0.02,"OK","CHECK")</f>
        <v>OK</v>
      </c>
      <c r="M2281" s="14">
        <f>DATE(YEAR(tblTransactions[[#This Row],[date]]),MONTH(tblTransactions[[#This Row],[date]]),1)</f>
        <v>45748</v>
      </c>
      <c r="N2281" t="str">
        <f>IF(WEEKDAY(tblTransactions[[#This Row],[date]],2)&gt;5,"Weekend","Weekday")</f>
        <v>Weekday</v>
      </c>
      <c r="O228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81" s="13" t="str">
        <f>_xlfn.XLOOKUP(tblTransactions[[#This Row],[tenant_id]],tblTenants[tenant_id],tblTenants[zone],"NOT FOUND")</f>
        <v>Fashion Avenue</v>
      </c>
      <c r="Q2281" s="13" t="str">
        <f>_xlfn.XLOOKUP(tblTransactions[[#This Row],[tenant_id]],tblTenants[tenant_id],tblTenants[category],"NOT FOUND")</f>
        <v>Accessories</v>
      </c>
    </row>
    <row r="2282" spans="1:17">
      <c r="A2282" t="s">
        <v>2326</v>
      </c>
      <c r="B2282" s="2">
        <v>45803</v>
      </c>
      <c r="C2282">
        <v>13</v>
      </c>
      <c r="D2282" t="s">
        <v>15</v>
      </c>
      <c r="E2282" t="s">
        <v>12</v>
      </c>
      <c r="F2282" s="7">
        <v>480.13</v>
      </c>
      <c r="G2282" s="10">
        <v>0.1</v>
      </c>
      <c r="H2282" s="7">
        <v>432.12</v>
      </c>
      <c r="I2282">
        <v>2</v>
      </c>
      <c r="J2282" t="s">
        <v>13</v>
      </c>
      <c r="K2282" s="13">
        <f>ROUND(tblTransactions[[#This Row],[gross_sales_inr]]*(1-tblTransactions[[#This Row],[discount_pct]]),2)</f>
        <v>432.12</v>
      </c>
      <c r="L2282" t="str">
        <f>IF(ABS(tblTransactions[[#This Row],[net_sales_inr]]-tblTransactions[[#This Row],[Recalc_Net_Sales]])&lt;0.02,"OK","CHECK")</f>
        <v>OK</v>
      </c>
      <c r="M2282" s="14">
        <f>DATE(YEAR(tblTransactions[[#This Row],[date]]),MONTH(tblTransactions[[#This Row],[date]]),1)</f>
        <v>45778</v>
      </c>
      <c r="N2282" t="str">
        <f>IF(WEEKDAY(tblTransactions[[#This Row],[date]],2)&gt;5,"Weekend","Weekday")</f>
        <v>Weekday</v>
      </c>
      <c r="O228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82" s="13" t="str">
        <f>_xlfn.XLOOKUP(tblTransactions[[#This Row],[tenant_id]],tblTenants[tenant_id],tblTenants[zone],"NOT FOUND")</f>
        <v>Fashion Avenue</v>
      </c>
      <c r="Q2282" s="13" t="str">
        <f>_xlfn.XLOOKUP(tblTransactions[[#This Row],[tenant_id]],tblTenants[tenant_id],tblTenants[category],"NOT FOUND")</f>
        <v>Accessories</v>
      </c>
    </row>
    <row r="2283" spans="1:17">
      <c r="A2283" t="s">
        <v>2327</v>
      </c>
      <c r="B2283" s="2">
        <v>45736</v>
      </c>
      <c r="C2283">
        <v>15</v>
      </c>
      <c r="D2283" t="s">
        <v>63</v>
      </c>
      <c r="E2283" t="s">
        <v>12</v>
      </c>
      <c r="F2283" s="7">
        <v>355.4</v>
      </c>
      <c r="G2283" s="10">
        <v>0.1</v>
      </c>
      <c r="H2283" s="7">
        <v>319.86</v>
      </c>
      <c r="I2283">
        <v>5</v>
      </c>
      <c r="J2283" t="s">
        <v>13</v>
      </c>
      <c r="K2283" s="13">
        <f>ROUND(tblTransactions[[#This Row],[gross_sales_inr]]*(1-tblTransactions[[#This Row],[discount_pct]]),2)</f>
        <v>319.86</v>
      </c>
      <c r="L2283" t="str">
        <f>IF(ABS(tblTransactions[[#This Row],[net_sales_inr]]-tblTransactions[[#This Row],[Recalc_Net_Sales]])&lt;0.02,"OK","CHECK")</f>
        <v>OK</v>
      </c>
      <c r="M2283" s="14">
        <f>DATE(YEAR(tblTransactions[[#This Row],[date]]),MONTH(tblTransactions[[#This Row],[date]]),1)</f>
        <v>45717</v>
      </c>
      <c r="N2283" t="str">
        <f>IF(WEEKDAY(tblTransactions[[#This Row],[date]],2)&gt;5,"Weekend","Weekday")</f>
        <v>Weekday</v>
      </c>
      <c r="O228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83" s="13" t="str">
        <f>_xlfn.XLOOKUP(tblTransactions[[#This Row],[tenant_id]],tblTenants[tenant_id],tblTenants[zone],"NOT FOUND")</f>
        <v>Entertainment</v>
      </c>
      <c r="Q2283" s="13" t="str">
        <f>_xlfn.XLOOKUP(tblTransactions[[#This Row],[tenant_id]],tblTenants[tenant_id],tblTenants[category],"NOT FOUND")</f>
        <v>Family Entertainment</v>
      </c>
    </row>
    <row r="2284" spans="1:17">
      <c r="A2284" t="s">
        <v>2328</v>
      </c>
      <c r="B2284" s="2">
        <v>45763</v>
      </c>
      <c r="C2284">
        <v>17</v>
      </c>
      <c r="D2284" t="s">
        <v>61</v>
      </c>
      <c r="E2284" t="s">
        <v>51</v>
      </c>
      <c r="F2284" s="7">
        <v>807.51</v>
      </c>
      <c r="G2284" s="10">
        <v>0</v>
      </c>
      <c r="H2284" s="7">
        <v>807.51</v>
      </c>
      <c r="I2284">
        <v>4</v>
      </c>
      <c r="J2284" t="s">
        <v>13</v>
      </c>
      <c r="K2284" s="13">
        <f>ROUND(tblTransactions[[#This Row],[gross_sales_inr]]*(1-tblTransactions[[#This Row],[discount_pct]]),2)</f>
        <v>807.51</v>
      </c>
      <c r="L2284" t="str">
        <f>IF(ABS(tblTransactions[[#This Row],[net_sales_inr]]-tblTransactions[[#This Row],[Recalc_Net_Sales]])&lt;0.02,"OK","CHECK")</f>
        <v>OK</v>
      </c>
      <c r="M2284" s="14">
        <f>DATE(YEAR(tblTransactions[[#This Row],[date]]),MONTH(tblTransactions[[#This Row],[date]]),1)</f>
        <v>45748</v>
      </c>
      <c r="N2284" t="str">
        <f>IF(WEEKDAY(tblTransactions[[#This Row],[date]],2)&gt;5,"Weekend","Weekday")</f>
        <v>Weekday</v>
      </c>
      <c r="O2284" s="13" t="str">
        <f>IF(tblTransactions[[#This Row],[discount_pct]]=0,"0%",IF(tblTransactions[[#This Row],[discount_pct]]&lt;=10%,"1–
10%",IF(tblTransactions[[#This Row],[discount_pct]]&lt;=20%,"11–20%","&gt;20%")))</f>
        <v>0%</v>
      </c>
      <c r="P2284" s="13" t="str">
        <f>_xlfn.XLOOKUP(tblTransactions[[#This Row],[tenant_id]],tblTenants[tenant_id],tblTenants[zone],"NOT FOUND")</f>
        <v>Food Court</v>
      </c>
      <c r="Q2284" s="13" t="str">
        <f>_xlfn.XLOOKUP(tblTransactions[[#This Row],[tenant_id]],tblTenants[tenant_id],tblTenants[category],"NOT FOUND")</f>
        <v>Quick Service</v>
      </c>
    </row>
    <row r="2285" spans="1:17">
      <c r="A2285" t="s">
        <v>2329</v>
      </c>
      <c r="B2285" s="2">
        <v>45825</v>
      </c>
      <c r="C2285">
        <v>21</v>
      </c>
      <c r="D2285" t="s">
        <v>55</v>
      </c>
      <c r="E2285" t="s">
        <v>12</v>
      </c>
      <c r="F2285" s="7">
        <v>808.08</v>
      </c>
      <c r="G2285" s="10">
        <v>0.2</v>
      </c>
      <c r="H2285" s="7">
        <v>646.46</v>
      </c>
      <c r="I2285">
        <v>5</v>
      </c>
      <c r="J2285" t="s">
        <v>13</v>
      </c>
      <c r="K2285" s="13">
        <f>ROUND(tblTransactions[[#This Row],[gross_sales_inr]]*(1-tblTransactions[[#This Row],[discount_pct]]),2)</f>
        <v>646.46</v>
      </c>
      <c r="L2285" t="str">
        <f>IF(ABS(tblTransactions[[#This Row],[net_sales_inr]]-tblTransactions[[#This Row],[Recalc_Net_Sales]])&lt;0.02,"OK","CHECK")</f>
        <v>OK</v>
      </c>
      <c r="M2285" s="14">
        <f>DATE(YEAR(tblTransactions[[#This Row],[date]]),MONTH(tblTransactions[[#This Row],[date]]),1)</f>
        <v>45809</v>
      </c>
      <c r="N2285" t="str">
        <f>IF(WEEKDAY(tblTransactions[[#This Row],[date]],2)&gt;5,"Weekend","Weekday")</f>
        <v>Weekday</v>
      </c>
      <c r="O228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85" s="13" t="str">
        <f>_xlfn.XLOOKUP(tblTransactions[[#This Row],[tenant_id]],tblTenants[tenant_id],tblTenants[zone],"NOT FOUND")</f>
        <v>Food Court</v>
      </c>
      <c r="Q2285" s="13" t="str">
        <f>_xlfn.XLOOKUP(tblTransactions[[#This Row],[tenant_id]],tblTenants[tenant_id],tblTenants[category],"NOT FOUND")</f>
        <v>Quick Service</v>
      </c>
    </row>
    <row r="2286" spans="1:17">
      <c r="A2286" t="s">
        <v>2330</v>
      </c>
      <c r="B2286" s="2">
        <v>45767</v>
      </c>
      <c r="C2286">
        <v>14</v>
      </c>
      <c r="D2286" t="s">
        <v>27</v>
      </c>
      <c r="E2286" t="s">
        <v>32</v>
      </c>
      <c r="F2286" s="7">
        <v>819.86</v>
      </c>
      <c r="G2286" s="10">
        <v>0</v>
      </c>
      <c r="H2286" s="7">
        <v>819.86</v>
      </c>
      <c r="I2286">
        <v>1</v>
      </c>
      <c r="J2286" t="s">
        <v>13</v>
      </c>
      <c r="K2286" s="13">
        <f>ROUND(tblTransactions[[#This Row],[gross_sales_inr]]*(1-tblTransactions[[#This Row],[discount_pct]]),2)</f>
        <v>819.86</v>
      </c>
      <c r="L2286" t="str">
        <f>IF(ABS(tblTransactions[[#This Row],[net_sales_inr]]-tblTransactions[[#This Row],[Recalc_Net_Sales]])&lt;0.02,"OK","CHECK")</f>
        <v>OK</v>
      </c>
      <c r="M2286" s="14">
        <f>DATE(YEAR(tblTransactions[[#This Row],[date]]),MONTH(tblTransactions[[#This Row],[date]]),1)</f>
        <v>45748</v>
      </c>
      <c r="N2286" t="str">
        <f>IF(WEEKDAY(tblTransactions[[#This Row],[date]],2)&gt;5,"Weekend","Weekday")</f>
        <v>Weekend</v>
      </c>
      <c r="O2286" s="13" t="str">
        <f>IF(tblTransactions[[#This Row],[discount_pct]]=0,"0%",IF(tblTransactions[[#This Row],[discount_pct]]&lt;=10%,"1–
10%",IF(tblTransactions[[#This Row],[discount_pct]]&lt;=20%,"11–20%","&gt;20%")))</f>
        <v>0%</v>
      </c>
      <c r="P2286" s="13" t="str">
        <f>_xlfn.XLOOKUP(tblTransactions[[#This Row],[tenant_id]],tblTenants[tenant_id],tblTenants[zone],"NOT FOUND")</f>
        <v>Beauty &amp; Wellness</v>
      </c>
      <c r="Q2286" s="13" t="str">
        <f>_xlfn.XLOOKUP(tblTransactions[[#This Row],[tenant_id]],tblTenants[tenant_id],tblTenants[category],"NOT FOUND")</f>
        <v>Wellness</v>
      </c>
    </row>
    <row r="2287" spans="1:17">
      <c r="A2287" t="s">
        <v>2331</v>
      </c>
      <c r="B2287" s="2">
        <v>45757</v>
      </c>
      <c r="C2287">
        <v>18</v>
      </c>
      <c r="D2287" t="s">
        <v>15</v>
      </c>
      <c r="E2287" t="s">
        <v>12</v>
      </c>
      <c r="F2287" s="7">
        <v>1010.53</v>
      </c>
      <c r="G2287" s="10">
        <v>0.1</v>
      </c>
      <c r="H2287" s="7">
        <v>909.48</v>
      </c>
      <c r="I2287">
        <v>4</v>
      </c>
      <c r="J2287" t="s">
        <v>13</v>
      </c>
      <c r="K2287" s="13">
        <f>ROUND(tblTransactions[[#This Row],[gross_sales_inr]]*(1-tblTransactions[[#This Row],[discount_pct]]),2)</f>
        <v>909.48</v>
      </c>
      <c r="L2287" t="str">
        <f>IF(ABS(tblTransactions[[#This Row],[net_sales_inr]]-tblTransactions[[#This Row],[Recalc_Net_Sales]])&lt;0.02,"OK","CHECK")</f>
        <v>OK</v>
      </c>
      <c r="M2287" s="14">
        <f>DATE(YEAR(tblTransactions[[#This Row],[date]]),MONTH(tblTransactions[[#This Row],[date]]),1)</f>
        <v>45748</v>
      </c>
      <c r="N2287" t="str">
        <f>IF(WEEKDAY(tblTransactions[[#This Row],[date]],2)&gt;5,"Weekend","Weekday")</f>
        <v>Weekday</v>
      </c>
      <c r="O228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87" s="13" t="str">
        <f>_xlfn.XLOOKUP(tblTransactions[[#This Row],[tenant_id]],tblTenants[tenant_id],tblTenants[zone],"NOT FOUND")</f>
        <v>Fashion Avenue</v>
      </c>
      <c r="Q2287" s="13" t="str">
        <f>_xlfn.XLOOKUP(tblTransactions[[#This Row],[tenant_id]],tblTenants[tenant_id],tblTenants[category],"NOT FOUND")</f>
        <v>Accessories</v>
      </c>
    </row>
    <row r="2288" spans="1:17">
      <c r="A2288" t="s">
        <v>2332</v>
      </c>
      <c r="B2288" s="2">
        <v>45749</v>
      </c>
      <c r="C2288">
        <v>18</v>
      </c>
      <c r="D2288" t="s">
        <v>122</v>
      </c>
      <c r="E2288" t="s">
        <v>21</v>
      </c>
      <c r="F2288" s="7">
        <v>900.42</v>
      </c>
      <c r="G2288" s="10">
        <v>0</v>
      </c>
      <c r="H2288" s="7">
        <v>900.42</v>
      </c>
      <c r="I2288">
        <v>1</v>
      </c>
      <c r="J2288" t="s">
        <v>13</v>
      </c>
      <c r="K2288" s="13">
        <f>ROUND(tblTransactions[[#This Row],[gross_sales_inr]]*(1-tblTransactions[[#This Row],[discount_pct]]),2)</f>
        <v>900.42</v>
      </c>
      <c r="L2288" t="str">
        <f>IF(ABS(tblTransactions[[#This Row],[net_sales_inr]]-tblTransactions[[#This Row],[Recalc_Net_Sales]])&lt;0.02,"OK","CHECK")</f>
        <v>OK</v>
      </c>
      <c r="M2288" s="14">
        <f>DATE(YEAR(tblTransactions[[#This Row],[date]]),MONTH(tblTransactions[[#This Row],[date]]),1)</f>
        <v>45748</v>
      </c>
      <c r="N2288" t="str">
        <f>IF(WEEKDAY(tblTransactions[[#This Row],[date]],2)&gt;5,"Weekend","Weekday")</f>
        <v>Weekday</v>
      </c>
      <c r="O2288" s="13" t="str">
        <f>IF(tblTransactions[[#This Row],[discount_pct]]=0,"0%",IF(tblTransactions[[#This Row],[discount_pct]]&lt;=10%,"1–
10%",IF(tblTransactions[[#This Row],[discount_pct]]&lt;=20%,"11–20%","&gt;20%")))</f>
        <v>0%</v>
      </c>
      <c r="P2288" s="13" t="str">
        <f>_xlfn.XLOOKUP(tblTransactions[[#This Row],[tenant_id]],tblTenants[tenant_id],tblTenants[zone],"NOT FOUND")</f>
        <v>Beauty &amp; Wellness</v>
      </c>
      <c r="Q2288" s="13" t="str">
        <f>_xlfn.XLOOKUP(tblTransactions[[#This Row],[tenant_id]],tblTenants[tenant_id],tblTenants[category],"NOT FOUND")</f>
        <v>Wellness</v>
      </c>
    </row>
    <row r="2289" spans="1:17">
      <c r="A2289" t="s">
        <v>2333</v>
      </c>
      <c r="B2289" s="2">
        <v>45720</v>
      </c>
      <c r="C2289">
        <v>13</v>
      </c>
      <c r="D2289" t="s">
        <v>63</v>
      </c>
      <c r="E2289" t="s">
        <v>12</v>
      </c>
      <c r="F2289" s="7">
        <v>792.73</v>
      </c>
      <c r="G2289" s="10">
        <v>0.15</v>
      </c>
      <c r="H2289" s="7">
        <v>673.82</v>
      </c>
      <c r="I2289">
        <v>1</v>
      </c>
      <c r="J2289" t="s">
        <v>16</v>
      </c>
      <c r="K2289" s="13">
        <f>ROUND(tblTransactions[[#This Row],[gross_sales_inr]]*(1-tblTransactions[[#This Row],[discount_pct]]),2)</f>
        <v>673.82</v>
      </c>
      <c r="L2289" t="str">
        <f>IF(ABS(tblTransactions[[#This Row],[net_sales_inr]]-tblTransactions[[#This Row],[Recalc_Net_Sales]])&lt;0.02,"OK","CHECK")</f>
        <v>OK</v>
      </c>
      <c r="M2289" s="14">
        <f>DATE(YEAR(tblTransactions[[#This Row],[date]]),MONTH(tblTransactions[[#This Row],[date]]),1)</f>
        <v>45717</v>
      </c>
      <c r="N2289" t="str">
        <f>IF(WEEKDAY(tblTransactions[[#This Row],[date]],2)&gt;5,"Weekend","Weekday")</f>
        <v>Weekday</v>
      </c>
      <c r="O228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89" s="13" t="str">
        <f>_xlfn.XLOOKUP(tblTransactions[[#This Row],[tenant_id]],tblTenants[tenant_id],tblTenants[zone],"NOT FOUND")</f>
        <v>Entertainment</v>
      </c>
      <c r="Q2289" s="13" t="str">
        <f>_xlfn.XLOOKUP(tblTransactions[[#This Row],[tenant_id]],tblTenants[tenant_id],tblTenants[category],"NOT FOUND")</f>
        <v>Family Entertainment</v>
      </c>
    </row>
    <row r="2290" spans="1:17">
      <c r="A2290" t="s">
        <v>2334</v>
      </c>
      <c r="B2290" s="2">
        <v>45797</v>
      </c>
      <c r="C2290">
        <v>18</v>
      </c>
      <c r="D2290" t="s">
        <v>48</v>
      </c>
      <c r="E2290" t="s">
        <v>12</v>
      </c>
      <c r="F2290" s="7">
        <v>699.55</v>
      </c>
      <c r="G2290" s="10">
        <v>0.15</v>
      </c>
      <c r="H2290" s="7">
        <v>594.62</v>
      </c>
      <c r="I2290">
        <v>3</v>
      </c>
      <c r="J2290" t="s">
        <v>13</v>
      </c>
      <c r="K2290" s="13">
        <f>ROUND(tblTransactions[[#This Row],[gross_sales_inr]]*(1-tblTransactions[[#This Row],[discount_pct]]),2)</f>
        <v>594.62</v>
      </c>
      <c r="L2290" t="str">
        <f>IF(ABS(tblTransactions[[#This Row],[net_sales_inr]]-tblTransactions[[#This Row],[Recalc_Net_Sales]])&lt;0.02,"OK","CHECK")</f>
        <v>OK</v>
      </c>
      <c r="M2290" s="14">
        <f>DATE(YEAR(tblTransactions[[#This Row],[date]]),MONTH(tblTransactions[[#This Row],[date]]),1)</f>
        <v>45778</v>
      </c>
      <c r="N2290" t="str">
        <f>IF(WEEKDAY(tblTransactions[[#This Row],[date]],2)&gt;5,"Weekend","Weekday")</f>
        <v>Weekday</v>
      </c>
      <c r="O229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90" s="13" t="str">
        <f>_xlfn.XLOOKUP(tblTransactions[[#This Row],[tenant_id]],tblTenants[tenant_id],tblTenants[zone],"NOT FOUND")</f>
        <v>Beauty &amp; Wellness</v>
      </c>
      <c r="Q2290" s="13" t="str">
        <f>_xlfn.XLOOKUP(tblTransactions[[#This Row],[tenant_id]],tblTenants[tenant_id],tblTenants[category],"NOT FOUND")</f>
        <v>Wellness</v>
      </c>
    </row>
    <row r="2291" spans="1:17">
      <c r="A2291" t="s">
        <v>2335</v>
      </c>
      <c r="B2291" s="2">
        <v>45755</v>
      </c>
      <c r="C2291">
        <v>15</v>
      </c>
      <c r="D2291" t="s">
        <v>18</v>
      </c>
      <c r="E2291" t="s">
        <v>12</v>
      </c>
      <c r="F2291" s="7">
        <v>304.14999999999998</v>
      </c>
      <c r="G2291" s="10">
        <v>0.15</v>
      </c>
      <c r="H2291" s="7">
        <v>258.52999999999997</v>
      </c>
      <c r="I2291">
        <v>4</v>
      </c>
      <c r="J2291" t="s">
        <v>13</v>
      </c>
      <c r="K2291" s="13">
        <f>ROUND(tblTransactions[[#This Row],[gross_sales_inr]]*(1-tblTransactions[[#This Row],[discount_pct]]),2)</f>
        <v>258.52999999999997</v>
      </c>
      <c r="L2291" t="str">
        <f>IF(ABS(tblTransactions[[#This Row],[net_sales_inr]]-tblTransactions[[#This Row],[Recalc_Net_Sales]])&lt;0.02,"OK","CHECK")</f>
        <v>OK</v>
      </c>
      <c r="M2291" s="14">
        <f>DATE(YEAR(tblTransactions[[#This Row],[date]]),MONTH(tblTransactions[[#This Row],[date]]),1)</f>
        <v>45748</v>
      </c>
      <c r="N2291" t="str">
        <f>IF(WEEKDAY(tblTransactions[[#This Row],[date]],2)&gt;5,"Weekend","Weekday")</f>
        <v>Weekday</v>
      </c>
      <c r="O229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91" s="13" t="str">
        <f>_xlfn.XLOOKUP(tblTransactions[[#This Row],[tenant_id]],tblTenants[tenant_id],tblTenants[zone],"NOT FOUND")</f>
        <v>Beauty &amp; Wellness</v>
      </c>
      <c r="Q2291" s="13" t="str">
        <f>_xlfn.XLOOKUP(tblTransactions[[#This Row],[tenant_id]],tblTenants[tenant_id],tblTenants[category],"NOT FOUND")</f>
        <v>Beauty</v>
      </c>
    </row>
    <row r="2292" spans="1:17">
      <c r="A2292" t="s">
        <v>2336</v>
      </c>
      <c r="B2292" s="2">
        <v>45773</v>
      </c>
      <c r="C2292">
        <v>13</v>
      </c>
      <c r="D2292" t="s">
        <v>70</v>
      </c>
      <c r="E2292" t="s">
        <v>12</v>
      </c>
      <c r="F2292" s="7">
        <v>525</v>
      </c>
      <c r="G2292" s="10">
        <v>0</v>
      </c>
      <c r="H2292" s="7">
        <v>525</v>
      </c>
      <c r="I2292">
        <v>2</v>
      </c>
      <c r="J2292" t="s">
        <v>13</v>
      </c>
      <c r="K2292" s="13">
        <f>ROUND(tblTransactions[[#This Row],[gross_sales_inr]]*(1-tblTransactions[[#This Row],[discount_pct]]),2)</f>
        <v>525</v>
      </c>
      <c r="L2292" t="str">
        <f>IF(ABS(tblTransactions[[#This Row],[net_sales_inr]]-tblTransactions[[#This Row],[Recalc_Net_Sales]])&lt;0.02,"OK","CHECK")</f>
        <v>OK</v>
      </c>
      <c r="M2292" s="14">
        <f>DATE(YEAR(tblTransactions[[#This Row],[date]]),MONTH(tblTransactions[[#This Row],[date]]),1)</f>
        <v>45748</v>
      </c>
      <c r="N2292" t="str">
        <f>IF(WEEKDAY(tblTransactions[[#This Row],[date]],2)&gt;5,"Weekend","Weekday")</f>
        <v>Weekend</v>
      </c>
      <c r="O2292" s="13" t="str">
        <f>IF(tblTransactions[[#This Row],[discount_pct]]=0,"0%",IF(tblTransactions[[#This Row],[discount_pct]]&lt;=10%,"1–
10%",IF(tblTransactions[[#This Row],[discount_pct]]&lt;=20%,"11–20%","&gt;20%")))</f>
        <v>0%</v>
      </c>
      <c r="P2292" s="13" t="str">
        <f>_xlfn.XLOOKUP(tblTransactions[[#This Row],[tenant_id]],tblTenants[tenant_id],tblTenants[zone],"NOT FOUND")</f>
        <v>Food Court</v>
      </c>
      <c r="Q2292" s="13" t="str">
        <f>_xlfn.XLOOKUP(tblTransactions[[#This Row],[tenant_id]],tblTenants[tenant_id],tblTenants[category],"NOT FOUND")</f>
        <v>Quick Service</v>
      </c>
    </row>
    <row r="2293" spans="1:17">
      <c r="A2293" t="s">
        <v>2337</v>
      </c>
      <c r="B2293" s="2">
        <v>45815</v>
      </c>
      <c r="C2293">
        <v>10</v>
      </c>
      <c r="D2293" t="s">
        <v>104</v>
      </c>
      <c r="E2293" t="s">
        <v>32</v>
      </c>
      <c r="F2293" s="7">
        <v>964.37</v>
      </c>
      <c r="G2293" s="10">
        <v>0.2</v>
      </c>
      <c r="H2293" s="7">
        <v>771.5</v>
      </c>
      <c r="I2293">
        <v>2</v>
      </c>
      <c r="J2293" t="s">
        <v>13</v>
      </c>
      <c r="K2293" s="13">
        <f>ROUND(tblTransactions[[#This Row],[gross_sales_inr]]*(1-tblTransactions[[#This Row],[discount_pct]]),2)</f>
        <v>771.5</v>
      </c>
      <c r="L2293" t="str">
        <f>IF(ABS(tblTransactions[[#This Row],[net_sales_inr]]-tblTransactions[[#This Row],[Recalc_Net_Sales]])&lt;0.02,"OK","CHECK")</f>
        <v>OK</v>
      </c>
      <c r="M2293" s="14">
        <f>DATE(YEAR(tblTransactions[[#This Row],[date]]),MONTH(tblTransactions[[#This Row],[date]]),1)</f>
        <v>45809</v>
      </c>
      <c r="N2293" t="str">
        <f>IF(WEEKDAY(tblTransactions[[#This Row],[date]],2)&gt;5,"Weekend","Weekday")</f>
        <v>Weekend</v>
      </c>
      <c r="O229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93" s="13" t="str">
        <f>_xlfn.XLOOKUP(tblTransactions[[#This Row],[tenant_id]],tblTenants[tenant_id],tblTenants[zone],"NOT FOUND")</f>
        <v>Entertainment</v>
      </c>
      <c r="Q2293" s="13" t="str">
        <f>_xlfn.XLOOKUP(tblTransactions[[#This Row],[tenant_id]],tblTenants[tenant_id],tblTenants[category],"NOT FOUND")</f>
        <v>Family Entertainment</v>
      </c>
    </row>
    <row r="2294" spans="1:17">
      <c r="A2294" t="s">
        <v>2338</v>
      </c>
      <c r="B2294" s="2">
        <v>45743</v>
      </c>
      <c r="C2294">
        <v>12</v>
      </c>
      <c r="D2294" t="s">
        <v>15</v>
      </c>
      <c r="E2294" t="s">
        <v>12</v>
      </c>
      <c r="F2294" s="7">
        <v>384.97</v>
      </c>
      <c r="G2294" s="10">
        <v>0.1</v>
      </c>
      <c r="H2294" s="7">
        <v>346.47</v>
      </c>
      <c r="I2294">
        <v>3</v>
      </c>
      <c r="J2294" t="s">
        <v>16</v>
      </c>
      <c r="K2294" s="13">
        <f>ROUND(tblTransactions[[#This Row],[gross_sales_inr]]*(1-tblTransactions[[#This Row],[discount_pct]]),2)</f>
        <v>346.47</v>
      </c>
      <c r="L2294" t="str">
        <f>IF(ABS(tblTransactions[[#This Row],[net_sales_inr]]-tblTransactions[[#This Row],[Recalc_Net_Sales]])&lt;0.02,"OK","CHECK")</f>
        <v>OK</v>
      </c>
      <c r="M2294" s="14">
        <f>DATE(YEAR(tblTransactions[[#This Row],[date]]),MONTH(tblTransactions[[#This Row],[date]]),1)</f>
        <v>45717</v>
      </c>
      <c r="N2294" t="str">
        <f>IF(WEEKDAY(tblTransactions[[#This Row],[date]],2)&gt;5,"Weekend","Weekday")</f>
        <v>Weekday</v>
      </c>
      <c r="O229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94" s="13" t="str">
        <f>_xlfn.XLOOKUP(tblTransactions[[#This Row],[tenant_id]],tblTenants[tenant_id],tblTenants[zone],"NOT FOUND")</f>
        <v>Fashion Avenue</v>
      </c>
      <c r="Q2294" s="13" t="str">
        <f>_xlfn.XLOOKUP(tblTransactions[[#This Row],[tenant_id]],tblTenants[tenant_id],tblTenants[category],"NOT FOUND")</f>
        <v>Accessories</v>
      </c>
    </row>
    <row r="2295" spans="1:17">
      <c r="A2295" t="s">
        <v>2339</v>
      </c>
      <c r="B2295" s="2">
        <v>45668</v>
      </c>
      <c r="C2295">
        <v>10</v>
      </c>
      <c r="D2295" t="s">
        <v>70</v>
      </c>
      <c r="E2295" t="s">
        <v>32</v>
      </c>
      <c r="F2295" s="7">
        <v>6074.39</v>
      </c>
      <c r="G2295" s="10">
        <v>0</v>
      </c>
      <c r="H2295" s="7">
        <v>6074.39</v>
      </c>
      <c r="I2295">
        <v>1</v>
      </c>
      <c r="J2295" t="s">
        <v>13</v>
      </c>
      <c r="K2295" s="13">
        <f>ROUND(tblTransactions[[#This Row],[gross_sales_inr]]*(1-tblTransactions[[#This Row],[discount_pct]]),2)</f>
        <v>6074.39</v>
      </c>
      <c r="L2295" t="str">
        <f>IF(ABS(tblTransactions[[#This Row],[net_sales_inr]]-tblTransactions[[#This Row],[Recalc_Net_Sales]])&lt;0.02,"OK","CHECK")</f>
        <v>OK</v>
      </c>
      <c r="M2295" s="14">
        <f>DATE(YEAR(tblTransactions[[#This Row],[date]]),MONTH(tblTransactions[[#This Row],[date]]),1)</f>
        <v>45658</v>
      </c>
      <c r="N2295" t="str">
        <f>IF(WEEKDAY(tblTransactions[[#This Row],[date]],2)&gt;5,"Weekend","Weekday")</f>
        <v>Weekend</v>
      </c>
      <c r="O2295" s="13" t="str">
        <f>IF(tblTransactions[[#This Row],[discount_pct]]=0,"0%",IF(tblTransactions[[#This Row],[discount_pct]]&lt;=10%,"1–
10%",IF(tblTransactions[[#This Row],[discount_pct]]&lt;=20%,"11–20%","&gt;20%")))</f>
        <v>0%</v>
      </c>
      <c r="P2295" s="13" t="str">
        <f>_xlfn.XLOOKUP(tblTransactions[[#This Row],[tenant_id]],tblTenants[tenant_id],tblTenants[zone],"NOT FOUND")</f>
        <v>Food Court</v>
      </c>
      <c r="Q2295" s="13" t="str">
        <f>_xlfn.XLOOKUP(tblTransactions[[#This Row],[tenant_id]],tblTenants[tenant_id],tblTenants[category],"NOT FOUND")</f>
        <v>Quick Service</v>
      </c>
    </row>
    <row r="2296" spans="1:17">
      <c r="A2296" t="s">
        <v>2340</v>
      </c>
      <c r="B2296" s="2">
        <v>45660</v>
      </c>
      <c r="C2296">
        <v>20</v>
      </c>
      <c r="D2296" t="s">
        <v>70</v>
      </c>
      <c r="E2296" t="s">
        <v>12</v>
      </c>
      <c r="F2296" s="7">
        <v>307.20999999999998</v>
      </c>
      <c r="G2296" s="10">
        <v>0.15</v>
      </c>
      <c r="H2296" s="7">
        <v>261.13</v>
      </c>
      <c r="I2296">
        <v>2</v>
      </c>
      <c r="J2296" t="s">
        <v>16</v>
      </c>
      <c r="K2296" s="13">
        <f>ROUND(tblTransactions[[#This Row],[gross_sales_inr]]*(1-tblTransactions[[#This Row],[discount_pct]]),2)</f>
        <v>261.13</v>
      </c>
      <c r="L2296" t="str">
        <f>IF(ABS(tblTransactions[[#This Row],[net_sales_inr]]-tblTransactions[[#This Row],[Recalc_Net_Sales]])&lt;0.02,"OK","CHECK")</f>
        <v>OK</v>
      </c>
      <c r="M2296" s="14">
        <f>DATE(YEAR(tblTransactions[[#This Row],[date]]),MONTH(tblTransactions[[#This Row],[date]]),1)</f>
        <v>45658</v>
      </c>
      <c r="N2296" t="str">
        <f>IF(WEEKDAY(tblTransactions[[#This Row],[date]],2)&gt;5,"Weekend","Weekday")</f>
        <v>Weekday</v>
      </c>
      <c r="O229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96" s="13" t="str">
        <f>_xlfn.XLOOKUP(tblTransactions[[#This Row],[tenant_id]],tblTenants[tenant_id],tblTenants[zone],"NOT FOUND")</f>
        <v>Food Court</v>
      </c>
      <c r="Q2296" s="13" t="str">
        <f>_xlfn.XLOOKUP(tblTransactions[[#This Row],[tenant_id]],tblTenants[tenant_id],tblTenants[category],"NOT FOUND")</f>
        <v>Quick Service</v>
      </c>
    </row>
    <row r="2297" spans="1:17">
      <c r="A2297" t="s">
        <v>2341</v>
      </c>
      <c r="B2297" s="2">
        <v>45686</v>
      </c>
      <c r="C2297">
        <v>10</v>
      </c>
      <c r="D2297" t="s">
        <v>57</v>
      </c>
      <c r="E2297" t="s">
        <v>51</v>
      </c>
      <c r="F2297" s="7">
        <v>1039.45</v>
      </c>
      <c r="G2297" s="10">
        <v>0.15</v>
      </c>
      <c r="H2297" s="7">
        <v>883.53</v>
      </c>
      <c r="I2297">
        <v>5</v>
      </c>
      <c r="J2297" t="s">
        <v>13</v>
      </c>
      <c r="K2297" s="13">
        <f>ROUND(tblTransactions[[#This Row],[gross_sales_inr]]*(1-tblTransactions[[#This Row],[discount_pct]]),2)</f>
        <v>883.53</v>
      </c>
      <c r="L2297" t="str">
        <f>IF(ABS(tblTransactions[[#This Row],[net_sales_inr]]-tblTransactions[[#This Row],[Recalc_Net_Sales]])&lt;0.02,"OK","CHECK")</f>
        <v>OK</v>
      </c>
      <c r="M2297" s="14">
        <f>DATE(YEAR(tblTransactions[[#This Row],[date]]),MONTH(tblTransactions[[#This Row],[date]]),1)</f>
        <v>45658</v>
      </c>
      <c r="N2297" t="str">
        <f>IF(WEEKDAY(tblTransactions[[#This Row],[date]],2)&gt;5,"Weekend","Weekday")</f>
        <v>Weekday</v>
      </c>
      <c r="O229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297" s="13" t="str">
        <f>_xlfn.XLOOKUP(tblTransactions[[#This Row],[tenant_id]],tblTenants[tenant_id],tblTenants[zone],"NOT FOUND")</f>
        <v>Food Court</v>
      </c>
      <c r="Q2297" s="13" t="str">
        <f>_xlfn.XLOOKUP(tblTransactions[[#This Row],[tenant_id]],tblTenants[tenant_id],tblTenants[category],"NOT FOUND")</f>
        <v>Casual Dining</v>
      </c>
    </row>
    <row r="2298" spans="1:17">
      <c r="A2298" t="s">
        <v>2342</v>
      </c>
      <c r="B2298" s="2">
        <v>45682</v>
      </c>
      <c r="C2298">
        <v>17</v>
      </c>
      <c r="D2298" t="s">
        <v>48</v>
      </c>
      <c r="E2298" t="s">
        <v>12</v>
      </c>
      <c r="F2298" s="7">
        <v>1176.24</v>
      </c>
      <c r="G2298" s="10">
        <v>0.05</v>
      </c>
      <c r="H2298" s="7">
        <v>1117.43</v>
      </c>
      <c r="I2298">
        <v>1</v>
      </c>
      <c r="J2298" t="s">
        <v>13</v>
      </c>
      <c r="K2298" s="13">
        <f>ROUND(tblTransactions[[#This Row],[gross_sales_inr]]*(1-tblTransactions[[#This Row],[discount_pct]]),2)</f>
        <v>1117.43</v>
      </c>
      <c r="L2298" t="str">
        <f>IF(ABS(tblTransactions[[#This Row],[net_sales_inr]]-tblTransactions[[#This Row],[Recalc_Net_Sales]])&lt;0.02,"OK","CHECK")</f>
        <v>OK</v>
      </c>
      <c r="M2298" s="14">
        <f>DATE(YEAR(tblTransactions[[#This Row],[date]]),MONTH(tblTransactions[[#This Row],[date]]),1)</f>
        <v>45658</v>
      </c>
      <c r="N2298" t="str">
        <f>IF(WEEKDAY(tblTransactions[[#This Row],[date]],2)&gt;5,"Weekend","Weekday")</f>
        <v>Weekend</v>
      </c>
      <c r="O229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98" s="13" t="str">
        <f>_xlfn.XLOOKUP(tblTransactions[[#This Row],[tenant_id]],tblTenants[tenant_id],tblTenants[zone],"NOT FOUND")</f>
        <v>Beauty &amp; Wellness</v>
      </c>
      <c r="Q2298" s="13" t="str">
        <f>_xlfn.XLOOKUP(tblTransactions[[#This Row],[tenant_id]],tblTenants[tenant_id],tblTenants[category],"NOT FOUND")</f>
        <v>Wellness</v>
      </c>
    </row>
    <row r="2299" spans="1:17">
      <c r="A2299" t="s">
        <v>2343</v>
      </c>
      <c r="B2299" s="2">
        <v>45812</v>
      </c>
      <c r="C2299">
        <v>21</v>
      </c>
      <c r="D2299" t="s">
        <v>53</v>
      </c>
      <c r="E2299" t="s">
        <v>12</v>
      </c>
      <c r="F2299" s="7">
        <v>2608.12</v>
      </c>
      <c r="G2299" s="10">
        <v>0.1</v>
      </c>
      <c r="H2299" s="7">
        <v>2347.31</v>
      </c>
      <c r="I2299">
        <v>2</v>
      </c>
      <c r="J2299" t="s">
        <v>13</v>
      </c>
      <c r="K2299" s="13">
        <f>ROUND(tblTransactions[[#This Row],[gross_sales_inr]]*(1-tblTransactions[[#This Row],[discount_pct]]),2)</f>
        <v>2347.31</v>
      </c>
      <c r="L2299" t="str">
        <f>IF(ABS(tblTransactions[[#This Row],[net_sales_inr]]-tblTransactions[[#This Row],[Recalc_Net_Sales]])&lt;0.02,"OK","CHECK")</f>
        <v>OK</v>
      </c>
      <c r="M2299" s="14">
        <f>DATE(YEAR(tblTransactions[[#This Row],[date]]),MONTH(tblTransactions[[#This Row],[date]]),1)</f>
        <v>45809</v>
      </c>
      <c r="N2299" t="str">
        <f>IF(WEEKDAY(tblTransactions[[#This Row],[date]],2)&gt;5,"Weekend","Weekday")</f>
        <v>Weekday</v>
      </c>
      <c r="O229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299" s="13" t="str">
        <f>_xlfn.XLOOKUP(tblTransactions[[#This Row],[tenant_id]],tblTenants[tenant_id],tblTenants[zone],"NOT FOUND")</f>
        <v>Beauty &amp; Wellness</v>
      </c>
      <c r="Q2299" s="13" t="str">
        <f>_xlfn.XLOOKUP(tblTransactions[[#This Row],[tenant_id]],tblTenants[tenant_id],tblTenants[category],"NOT FOUND")</f>
        <v>Beauty</v>
      </c>
    </row>
    <row r="2300" spans="1:17">
      <c r="A2300" t="s">
        <v>2344</v>
      </c>
      <c r="B2300" s="2">
        <v>45669</v>
      </c>
      <c r="C2300">
        <v>10</v>
      </c>
      <c r="D2300" t="s">
        <v>45</v>
      </c>
      <c r="E2300" t="s">
        <v>12</v>
      </c>
      <c r="F2300" s="7">
        <v>1057.9000000000001</v>
      </c>
      <c r="G2300" s="10">
        <v>0</v>
      </c>
      <c r="H2300" s="7">
        <v>1057.9000000000001</v>
      </c>
      <c r="I2300">
        <v>1</v>
      </c>
      <c r="J2300" t="s">
        <v>16</v>
      </c>
      <c r="K2300" s="13">
        <f>ROUND(tblTransactions[[#This Row],[gross_sales_inr]]*(1-tblTransactions[[#This Row],[discount_pct]]),2)</f>
        <v>1057.9000000000001</v>
      </c>
      <c r="L2300" t="str">
        <f>IF(ABS(tblTransactions[[#This Row],[net_sales_inr]]-tblTransactions[[#This Row],[Recalc_Net_Sales]])&lt;0.02,"OK","CHECK")</f>
        <v>OK</v>
      </c>
      <c r="M2300" s="14">
        <f>DATE(YEAR(tblTransactions[[#This Row],[date]]),MONTH(tblTransactions[[#This Row],[date]]),1)</f>
        <v>45658</v>
      </c>
      <c r="N2300" t="str">
        <f>IF(WEEKDAY(tblTransactions[[#This Row],[date]],2)&gt;5,"Weekend","Weekday")</f>
        <v>Weekend</v>
      </c>
      <c r="O2300" s="13" t="str">
        <f>IF(tblTransactions[[#This Row],[discount_pct]]=0,"0%",IF(tblTransactions[[#This Row],[discount_pct]]&lt;=10%,"1–
10%",IF(tblTransactions[[#This Row],[discount_pct]]&lt;=20%,"11–20%","&gt;20%")))</f>
        <v>0%</v>
      </c>
      <c r="P2300" s="13" t="str">
        <f>_xlfn.XLOOKUP(tblTransactions[[#This Row],[tenant_id]],tblTenants[tenant_id],tblTenants[zone],"NOT FOUND")</f>
        <v>Home &amp; Living</v>
      </c>
      <c r="Q2300" s="13" t="str">
        <f>_xlfn.XLOOKUP(tblTransactions[[#This Row],[tenant_id]],tblTenants[tenant_id],tblTenants[category],"NOT FOUND")</f>
        <v>Home Decor</v>
      </c>
    </row>
    <row r="2301" spans="1:17">
      <c r="A2301" t="s">
        <v>2345</v>
      </c>
      <c r="B2301" s="2">
        <v>45706</v>
      </c>
      <c r="C2301">
        <v>12</v>
      </c>
      <c r="D2301" t="s">
        <v>204</v>
      </c>
      <c r="E2301" t="s">
        <v>32</v>
      </c>
      <c r="F2301" s="7">
        <v>669.02</v>
      </c>
      <c r="G2301" s="10">
        <v>0.15</v>
      </c>
      <c r="H2301" s="7">
        <v>568.66999999999996</v>
      </c>
      <c r="I2301">
        <v>3</v>
      </c>
      <c r="J2301" t="s">
        <v>13</v>
      </c>
      <c r="K2301" s="13">
        <f>ROUND(tblTransactions[[#This Row],[gross_sales_inr]]*(1-tblTransactions[[#This Row],[discount_pct]]),2)</f>
        <v>568.66999999999996</v>
      </c>
      <c r="L2301" t="str">
        <f>IF(ABS(tblTransactions[[#This Row],[net_sales_inr]]-tblTransactions[[#This Row],[Recalc_Net_Sales]])&lt;0.02,"OK","CHECK")</f>
        <v>OK</v>
      </c>
      <c r="M2301" s="14">
        <f>DATE(YEAR(tblTransactions[[#This Row],[date]]),MONTH(tblTransactions[[#This Row],[date]]),1)</f>
        <v>45689</v>
      </c>
      <c r="N2301" t="str">
        <f>IF(WEEKDAY(tblTransactions[[#This Row],[date]],2)&gt;5,"Weekend","Weekday")</f>
        <v>Weekday</v>
      </c>
      <c r="O230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01" s="13" t="str">
        <f>_xlfn.XLOOKUP(tblTransactions[[#This Row],[tenant_id]],tblTenants[tenant_id],tblTenants[zone],"NOT FOUND")</f>
        <v>Home &amp; Living</v>
      </c>
      <c r="Q2301" s="13" t="str">
        <f>_xlfn.XLOOKUP(tblTransactions[[#This Row],[tenant_id]],tblTenants[tenant_id],tblTenants[category],"NOT FOUND")</f>
        <v>Home Decor</v>
      </c>
    </row>
    <row r="2302" spans="1:17">
      <c r="A2302" t="s">
        <v>2346</v>
      </c>
      <c r="B2302" s="2">
        <v>45763</v>
      </c>
      <c r="C2302">
        <v>16</v>
      </c>
      <c r="D2302" t="s">
        <v>85</v>
      </c>
      <c r="E2302" t="s">
        <v>21</v>
      </c>
      <c r="F2302" s="7">
        <v>794.23</v>
      </c>
      <c r="G2302" s="10">
        <v>0</v>
      </c>
      <c r="H2302" s="7">
        <v>794.23</v>
      </c>
      <c r="I2302">
        <v>1</v>
      </c>
      <c r="J2302" t="s">
        <v>16</v>
      </c>
      <c r="K2302" s="13">
        <f>ROUND(tblTransactions[[#This Row],[gross_sales_inr]]*(1-tblTransactions[[#This Row],[discount_pct]]),2)</f>
        <v>794.23</v>
      </c>
      <c r="L2302" t="str">
        <f>IF(ABS(tblTransactions[[#This Row],[net_sales_inr]]-tblTransactions[[#This Row],[Recalc_Net_Sales]])&lt;0.02,"OK","CHECK")</f>
        <v>OK</v>
      </c>
      <c r="M2302" s="14">
        <f>DATE(YEAR(tblTransactions[[#This Row],[date]]),MONTH(tblTransactions[[#This Row],[date]]),1)</f>
        <v>45748</v>
      </c>
      <c r="N2302" t="str">
        <f>IF(WEEKDAY(tblTransactions[[#This Row],[date]],2)&gt;5,"Weekend","Weekday")</f>
        <v>Weekday</v>
      </c>
      <c r="O2302" s="13" t="str">
        <f>IF(tblTransactions[[#This Row],[discount_pct]]=0,"0%",IF(tblTransactions[[#This Row],[discount_pct]]&lt;=10%,"1–
10%",IF(tblTransactions[[#This Row],[discount_pct]]&lt;=20%,"11–20%","&gt;20%")))</f>
        <v>0%</v>
      </c>
      <c r="P2302" s="13" t="str">
        <f>_xlfn.XLOOKUP(tblTransactions[[#This Row],[tenant_id]],tblTenants[tenant_id],tblTenants[zone],"NOT FOUND")</f>
        <v>Home &amp; Living</v>
      </c>
      <c r="Q2302" s="13" t="str">
        <f>_xlfn.XLOOKUP(tblTransactions[[#This Row],[tenant_id]],tblTenants[tenant_id],tblTenants[category],"NOT FOUND")</f>
        <v>Electronics</v>
      </c>
    </row>
    <row r="2303" spans="1:17">
      <c r="A2303" t="s">
        <v>2347</v>
      </c>
      <c r="B2303" s="2">
        <v>45685</v>
      </c>
      <c r="C2303">
        <v>16</v>
      </c>
      <c r="D2303" t="s">
        <v>204</v>
      </c>
      <c r="E2303" t="s">
        <v>32</v>
      </c>
      <c r="F2303" s="7">
        <v>1588.74</v>
      </c>
      <c r="G2303" s="10">
        <v>0.1</v>
      </c>
      <c r="H2303" s="7">
        <v>1429.87</v>
      </c>
      <c r="I2303">
        <v>2</v>
      </c>
      <c r="J2303" t="s">
        <v>13</v>
      </c>
      <c r="K2303" s="13">
        <f>ROUND(tblTransactions[[#This Row],[gross_sales_inr]]*(1-tblTransactions[[#This Row],[discount_pct]]),2)</f>
        <v>1429.87</v>
      </c>
      <c r="L2303" t="str">
        <f>IF(ABS(tblTransactions[[#This Row],[net_sales_inr]]-tblTransactions[[#This Row],[Recalc_Net_Sales]])&lt;0.02,"OK","CHECK")</f>
        <v>OK</v>
      </c>
      <c r="M2303" s="14">
        <f>DATE(YEAR(tblTransactions[[#This Row],[date]]),MONTH(tblTransactions[[#This Row],[date]]),1)</f>
        <v>45658</v>
      </c>
      <c r="N2303" t="str">
        <f>IF(WEEKDAY(tblTransactions[[#This Row],[date]],2)&gt;5,"Weekend","Weekday")</f>
        <v>Weekday</v>
      </c>
      <c r="O230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03" s="13" t="str">
        <f>_xlfn.XLOOKUP(tblTransactions[[#This Row],[tenant_id]],tblTenants[tenant_id],tblTenants[zone],"NOT FOUND")</f>
        <v>Home &amp; Living</v>
      </c>
      <c r="Q2303" s="13" t="str">
        <f>_xlfn.XLOOKUP(tblTransactions[[#This Row],[tenant_id]],tblTenants[tenant_id],tblTenants[category],"NOT FOUND")</f>
        <v>Home Decor</v>
      </c>
    </row>
    <row r="2304" spans="1:17">
      <c r="A2304" t="s">
        <v>2348</v>
      </c>
      <c r="B2304" s="2">
        <v>45773</v>
      </c>
      <c r="C2304">
        <v>17</v>
      </c>
      <c r="D2304" t="s">
        <v>23</v>
      </c>
      <c r="E2304" t="s">
        <v>51</v>
      </c>
      <c r="F2304" s="7">
        <v>450.68</v>
      </c>
      <c r="G2304" s="10">
        <v>0.1</v>
      </c>
      <c r="H2304" s="7">
        <v>405.61</v>
      </c>
      <c r="I2304">
        <v>5</v>
      </c>
      <c r="J2304" t="s">
        <v>13</v>
      </c>
      <c r="K2304" s="13">
        <f>ROUND(tblTransactions[[#This Row],[gross_sales_inr]]*(1-tblTransactions[[#This Row],[discount_pct]]),2)</f>
        <v>405.61</v>
      </c>
      <c r="L2304" t="str">
        <f>IF(ABS(tblTransactions[[#This Row],[net_sales_inr]]-tblTransactions[[#This Row],[Recalc_Net_Sales]])&lt;0.02,"OK","CHECK")</f>
        <v>OK</v>
      </c>
      <c r="M2304" s="14">
        <f>DATE(YEAR(tblTransactions[[#This Row],[date]]),MONTH(tblTransactions[[#This Row],[date]]),1)</f>
        <v>45748</v>
      </c>
      <c r="N2304" t="str">
        <f>IF(WEEKDAY(tblTransactions[[#This Row],[date]],2)&gt;5,"Weekend","Weekday")</f>
        <v>Weekend</v>
      </c>
      <c r="O230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04" s="13" t="str">
        <f>_xlfn.XLOOKUP(tblTransactions[[#This Row],[tenant_id]],tblTenants[tenant_id],tblTenants[zone],"NOT FOUND")</f>
        <v>Entertainment</v>
      </c>
      <c r="Q2304" s="13" t="str">
        <f>_xlfn.XLOOKUP(tblTransactions[[#This Row],[tenant_id]],tblTenants[tenant_id],tblTenants[category],"NOT FOUND")</f>
        <v>Cinema</v>
      </c>
    </row>
    <row r="2305" spans="1:17">
      <c r="A2305" t="s">
        <v>2349</v>
      </c>
      <c r="B2305" s="2">
        <v>45698</v>
      </c>
      <c r="C2305">
        <v>21</v>
      </c>
      <c r="D2305" t="s">
        <v>11</v>
      </c>
      <c r="E2305" t="s">
        <v>12</v>
      </c>
      <c r="F2305" s="7">
        <v>963.33</v>
      </c>
      <c r="G2305" s="10">
        <v>0</v>
      </c>
      <c r="H2305" s="7">
        <v>963.33</v>
      </c>
      <c r="I2305">
        <v>4</v>
      </c>
      <c r="J2305" t="s">
        <v>13</v>
      </c>
      <c r="K2305" s="13">
        <f>ROUND(tblTransactions[[#This Row],[gross_sales_inr]]*(1-tblTransactions[[#This Row],[discount_pct]]),2)</f>
        <v>963.33</v>
      </c>
      <c r="L2305" t="str">
        <f>IF(ABS(tblTransactions[[#This Row],[net_sales_inr]]-tblTransactions[[#This Row],[Recalc_Net_Sales]])&lt;0.02,"OK","CHECK")</f>
        <v>OK</v>
      </c>
      <c r="M2305" s="14">
        <f>DATE(YEAR(tblTransactions[[#This Row],[date]]),MONTH(tblTransactions[[#This Row],[date]]),1)</f>
        <v>45689</v>
      </c>
      <c r="N2305" t="str">
        <f>IF(WEEKDAY(tblTransactions[[#This Row],[date]],2)&gt;5,"Weekend","Weekday")</f>
        <v>Weekday</v>
      </c>
      <c r="O2305" s="13" t="str">
        <f>IF(tblTransactions[[#This Row],[discount_pct]]=0,"0%",IF(tblTransactions[[#This Row],[discount_pct]]&lt;=10%,"1–
10%",IF(tblTransactions[[#This Row],[discount_pct]]&lt;=20%,"11–20%","&gt;20%")))</f>
        <v>0%</v>
      </c>
      <c r="P2305" s="13" t="str">
        <f>_xlfn.XLOOKUP(tblTransactions[[#This Row],[tenant_id]],tblTenants[tenant_id],tblTenants[zone],"NOT FOUND")</f>
        <v>Home &amp; Living</v>
      </c>
      <c r="Q2305" s="13" t="str">
        <f>_xlfn.XLOOKUP(tblTransactions[[#This Row],[tenant_id]],tblTenants[tenant_id],tblTenants[category],"NOT FOUND")</f>
        <v>Home Decor</v>
      </c>
    </row>
    <row r="2306" spans="1:17">
      <c r="A2306" t="s">
        <v>2350</v>
      </c>
      <c r="B2306" s="2">
        <v>45804</v>
      </c>
      <c r="C2306">
        <v>20</v>
      </c>
      <c r="D2306" t="s">
        <v>53</v>
      </c>
      <c r="E2306" t="s">
        <v>12</v>
      </c>
      <c r="F2306" s="7">
        <v>1196.1600000000001</v>
      </c>
      <c r="G2306" s="10">
        <v>0.1</v>
      </c>
      <c r="H2306" s="7">
        <v>1076.54</v>
      </c>
      <c r="I2306">
        <v>2</v>
      </c>
      <c r="J2306" t="s">
        <v>13</v>
      </c>
      <c r="K2306" s="13">
        <f>ROUND(tblTransactions[[#This Row],[gross_sales_inr]]*(1-tblTransactions[[#This Row],[discount_pct]]),2)</f>
        <v>1076.54</v>
      </c>
      <c r="L2306" t="str">
        <f>IF(ABS(tblTransactions[[#This Row],[net_sales_inr]]-tblTransactions[[#This Row],[Recalc_Net_Sales]])&lt;0.02,"OK","CHECK")</f>
        <v>OK</v>
      </c>
      <c r="M2306" s="14">
        <f>DATE(YEAR(tblTransactions[[#This Row],[date]]),MONTH(tblTransactions[[#This Row],[date]]),1)</f>
        <v>45778</v>
      </c>
      <c r="N2306" t="str">
        <f>IF(WEEKDAY(tblTransactions[[#This Row],[date]],2)&gt;5,"Weekend","Weekday")</f>
        <v>Weekday</v>
      </c>
      <c r="O230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06" s="13" t="str">
        <f>_xlfn.XLOOKUP(tblTransactions[[#This Row],[tenant_id]],tblTenants[tenant_id],tblTenants[zone],"NOT FOUND")</f>
        <v>Beauty &amp; Wellness</v>
      </c>
      <c r="Q2306" s="13" t="str">
        <f>_xlfn.XLOOKUP(tblTransactions[[#This Row],[tenant_id]],tblTenants[tenant_id],tblTenants[category],"NOT FOUND")</f>
        <v>Beauty</v>
      </c>
    </row>
    <row r="2307" spans="1:17">
      <c r="A2307" t="s">
        <v>2351</v>
      </c>
      <c r="B2307" s="2">
        <v>45683</v>
      </c>
      <c r="C2307">
        <v>12</v>
      </c>
      <c r="D2307" t="s">
        <v>41</v>
      </c>
      <c r="E2307" t="s">
        <v>12</v>
      </c>
      <c r="F2307" s="7">
        <v>833.83</v>
      </c>
      <c r="G2307" s="10">
        <v>0.1</v>
      </c>
      <c r="H2307" s="7">
        <v>750.45</v>
      </c>
      <c r="I2307">
        <v>4</v>
      </c>
      <c r="J2307" t="s">
        <v>13</v>
      </c>
      <c r="K2307" s="13">
        <f>ROUND(tblTransactions[[#This Row],[gross_sales_inr]]*(1-tblTransactions[[#This Row],[discount_pct]]),2)</f>
        <v>750.45</v>
      </c>
      <c r="L2307" t="str">
        <f>IF(ABS(tblTransactions[[#This Row],[net_sales_inr]]-tblTransactions[[#This Row],[Recalc_Net_Sales]])&lt;0.02,"OK","CHECK")</f>
        <v>OK</v>
      </c>
      <c r="M2307" s="14">
        <f>DATE(YEAR(tblTransactions[[#This Row],[date]]),MONTH(tblTransactions[[#This Row],[date]]),1)</f>
        <v>45658</v>
      </c>
      <c r="N2307" t="str">
        <f>IF(WEEKDAY(tblTransactions[[#This Row],[date]],2)&gt;5,"Weekend","Weekday")</f>
        <v>Weekend</v>
      </c>
      <c r="O230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07" s="13" t="str">
        <f>_xlfn.XLOOKUP(tblTransactions[[#This Row],[tenant_id]],tblTenants[tenant_id],tblTenants[zone],"NOT FOUND")</f>
        <v>Fashion Avenue</v>
      </c>
      <c r="Q2307" s="13" t="str">
        <f>_xlfn.XLOOKUP(tblTransactions[[#This Row],[tenant_id]],tblTenants[tenant_id],tblTenants[category],"NOT FOUND")</f>
        <v>Clothing</v>
      </c>
    </row>
    <row r="2308" spans="1:17">
      <c r="A2308" t="s">
        <v>2352</v>
      </c>
      <c r="B2308" s="2">
        <v>45672</v>
      </c>
      <c r="C2308">
        <v>17</v>
      </c>
      <c r="D2308" t="s">
        <v>80</v>
      </c>
      <c r="E2308" t="s">
        <v>32</v>
      </c>
      <c r="F2308" s="7">
        <v>1098.33</v>
      </c>
      <c r="G2308" s="10">
        <v>0</v>
      </c>
      <c r="H2308" s="7">
        <v>1098.33</v>
      </c>
      <c r="I2308">
        <v>3</v>
      </c>
      <c r="J2308" t="s">
        <v>13</v>
      </c>
      <c r="K2308" s="13">
        <f>ROUND(tblTransactions[[#This Row],[gross_sales_inr]]*(1-tblTransactions[[#This Row],[discount_pct]]),2)</f>
        <v>1098.33</v>
      </c>
      <c r="L2308" t="str">
        <f>IF(ABS(tblTransactions[[#This Row],[net_sales_inr]]-tblTransactions[[#This Row],[Recalc_Net_Sales]])&lt;0.02,"OK","CHECK")</f>
        <v>OK</v>
      </c>
      <c r="M2308" s="14">
        <f>DATE(YEAR(tblTransactions[[#This Row],[date]]),MONTH(tblTransactions[[#This Row],[date]]),1)</f>
        <v>45658</v>
      </c>
      <c r="N2308" t="str">
        <f>IF(WEEKDAY(tblTransactions[[#This Row],[date]],2)&gt;5,"Weekend","Weekday")</f>
        <v>Weekday</v>
      </c>
      <c r="O2308" s="13" t="str">
        <f>IF(tblTransactions[[#This Row],[discount_pct]]=0,"0%",IF(tblTransactions[[#This Row],[discount_pct]]&lt;=10%,"1–
10%",IF(tblTransactions[[#This Row],[discount_pct]]&lt;=20%,"11–20%","&gt;20%")))</f>
        <v>0%</v>
      </c>
      <c r="P2308" s="13" t="str">
        <f>_xlfn.XLOOKUP(tblTransactions[[#This Row],[tenant_id]],tblTenants[tenant_id],tblTenants[zone],"NOT FOUND")</f>
        <v>Food Court</v>
      </c>
      <c r="Q2308" s="13" t="str">
        <f>_xlfn.XLOOKUP(tblTransactions[[#This Row],[tenant_id]],tblTenants[tenant_id],tblTenants[category],"NOT FOUND")</f>
        <v>Casual Dining</v>
      </c>
    </row>
    <row r="2309" spans="1:17">
      <c r="A2309" t="s">
        <v>2353</v>
      </c>
      <c r="B2309" s="2">
        <v>45660</v>
      </c>
      <c r="C2309">
        <v>21</v>
      </c>
      <c r="D2309" t="s">
        <v>36</v>
      </c>
      <c r="E2309" t="s">
        <v>12</v>
      </c>
      <c r="F2309" s="7">
        <v>687.49</v>
      </c>
      <c r="G2309" s="10">
        <v>0.3</v>
      </c>
      <c r="H2309" s="7">
        <v>481.24</v>
      </c>
      <c r="I2309">
        <v>1</v>
      </c>
      <c r="J2309" t="s">
        <v>13</v>
      </c>
      <c r="K2309" s="13">
        <f>ROUND(tblTransactions[[#This Row],[gross_sales_inr]]*(1-tblTransactions[[#This Row],[discount_pct]]),2)</f>
        <v>481.24</v>
      </c>
      <c r="L2309" t="str">
        <f>IF(ABS(tblTransactions[[#This Row],[net_sales_inr]]-tblTransactions[[#This Row],[Recalc_Net_Sales]])&lt;0.02,"OK","CHECK")</f>
        <v>OK</v>
      </c>
      <c r="M2309" s="14">
        <f>DATE(YEAR(tblTransactions[[#This Row],[date]]),MONTH(tblTransactions[[#This Row],[date]]),1)</f>
        <v>45658</v>
      </c>
      <c r="N2309" t="str">
        <f>IF(WEEKDAY(tblTransactions[[#This Row],[date]],2)&gt;5,"Weekend","Weekday")</f>
        <v>Weekday</v>
      </c>
      <c r="O2309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309" s="13" t="str">
        <f>_xlfn.XLOOKUP(tblTransactions[[#This Row],[tenant_id]],tblTenants[tenant_id],tblTenants[zone],"NOT FOUND")</f>
        <v>Home &amp; Living</v>
      </c>
      <c r="Q2309" s="13" t="str">
        <f>_xlfn.XLOOKUP(tblTransactions[[#This Row],[tenant_id]],tblTenants[tenant_id],tblTenants[category],"NOT FOUND")</f>
        <v>Electronics</v>
      </c>
    </row>
    <row r="2310" spans="1:17">
      <c r="A2310" t="s">
        <v>2354</v>
      </c>
      <c r="B2310" s="2">
        <v>45667</v>
      </c>
      <c r="C2310">
        <v>12</v>
      </c>
      <c r="D2310" t="s">
        <v>72</v>
      </c>
      <c r="E2310" t="s">
        <v>12</v>
      </c>
      <c r="F2310" s="7">
        <v>611.02</v>
      </c>
      <c r="G2310" s="10">
        <v>0.15</v>
      </c>
      <c r="H2310" s="7">
        <v>519.37</v>
      </c>
      <c r="I2310">
        <v>1</v>
      </c>
      <c r="J2310" t="s">
        <v>13</v>
      </c>
      <c r="K2310" s="13">
        <f>ROUND(tblTransactions[[#This Row],[gross_sales_inr]]*(1-tblTransactions[[#This Row],[discount_pct]]),2)</f>
        <v>519.37</v>
      </c>
      <c r="L2310" t="str">
        <f>IF(ABS(tblTransactions[[#This Row],[net_sales_inr]]-tblTransactions[[#This Row],[Recalc_Net_Sales]])&lt;0.02,"OK","CHECK")</f>
        <v>OK</v>
      </c>
      <c r="M2310" s="14">
        <f>DATE(YEAR(tblTransactions[[#This Row],[date]]),MONTH(tblTransactions[[#This Row],[date]]),1)</f>
        <v>45658</v>
      </c>
      <c r="N2310" t="str">
        <f>IF(WEEKDAY(tblTransactions[[#This Row],[date]],2)&gt;5,"Weekend","Weekday")</f>
        <v>Weekday</v>
      </c>
      <c r="O231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10" s="13" t="str">
        <f>_xlfn.XLOOKUP(tblTransactions[[#This Row],[tenant_id]],tblTenants[tenant_id],tblTenants[zone],"NOT FOUND")</f>
        <v>Entertainment</v>
      </c>
      <c r="Q2310" s="13" t="str">
        <f>_xlfn.XLOOKUP(tblTransactions[[#This Row],[tenant_id]],tblTenants[tenant_id],tblTenants[category],"NOT FOUND")</f>
        <v>Arcade</v>
      </c>
    </row>
    <row r="2311" spans="1:17">
      <c r="A2311" t="s">
        <v>2355</v>
      </c>
      <c r="B2311" s="2">
        <v>45694</v>
      </c>
      <c r="C2311">
        <v>16</v>
      </c>
      <c r="D2311" t="s">
        <v>57</v>
      </c>
      <c r="E2311" t="s">
        <v>32</v>
      </c>
      <c r="F2311" s="7">
        <v>574.64</v>
      </c>
      <c r="G2311" s="10">
        <v>0.05</v>
      </c>
      <c r="H2311" s="7">
        <v>545.91</v>
      </c>
      <c r="I2311">
        <v>3</v>
      </c>
      <c r="J2311" t="s">
        <v>13</v>
      </c>
      <c r="K2311" s="13">
        <f>ROUND(tblTransactions[[#This Row],[gross_sales_inr]]*(1-tblTransactions[[#This Row],[discount_pct]]),2)</f>
        <v>545.91</v>
      </c>
      <c r="L2311" t="str">
        <f>IF(ABS(tblTransactions[[#This Row],[net_sales_inr]]-tblTransactions[[#This Row],[Recalc_Net_Sales]])&lt;0.02,"OK","CHECK")</f>
        <v>OK</v>
      </c>
      <c r="M2311" s="14">
        <f>DATE(YEAR(tblTransactions[[#This Row],[date]]),MONTH(tblTransactions[[#This Row],[date]]),1)</f>
        <v>45689</v>
      </c>
      <c r="N2311" t="str">
        <f>IF(WEEKDAY(tblTransactions[[#This Row],[date]],2)&gt;5,"Weekend","Weekday")</f>
        <v>Weekday</v>
      </c>
      <c r="O231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11" s="13" t="str">
        <f>_xlfn.XLOOKUP(tblTransactions[[#This Row],[tenant_id]],tblTenants[tenant_id],tblTenants[zone],"NOT FOUND")</f>
        <v>Food Court</v>
      </c>
      <c r="Q2311" s="13" t="str">
        <f>_xlfn.XLOOKUP(tblTransactions[[#This Row],[tenant_id]],tblTenants[tenant_id],tblTenants[category],"NOT FOUND")</f>
        <v>Casual Dining</v>
      </c>
    </row>
    <row r="2312" spans="1:17">
      <c r="A2312" t="s">
        <v>2356</v>
      </c>
      <c r="B2312" s="2">
        <v>45802</v>
      </c>
      <c r="C2312">
        <v>20</v>
      </c>
      <c r="D2312" t="s">
        <v>27</v>
      </c>
      <c r="E2312" t="s">
        <v>12</v>
      </c>
      <c r="F2312" s="7">
        <v>690.2</v>
      </c>
      <c r="G2312" s="10">
        <v>0.1</v>
      </c>
      <c r="H2312" s="7">
        <v>621.17999999999995</v>
      </c>
      <c r="I2312">
        <v>5</v>
      </c>
      <c r="J2312" t="s">
        <v>13</v>
      </c>
      <c r="K2312" s="13">
        <f>ROUND(tblTransactions[[#This Row],[gross_sales_inr]]*(1-tblTransactions[[#This Row],[discount_pct]]),2)</f>
        <v>621.17999999999995</v>
      </c>
      <c r="L2312" t="str">
        <f>IF(ABS(tblTransactions[[#This Row],[net_sales_inr]]-tblTransactions[[#This Row],[Recalc_Net_Sales]])&lt;0.02,"OK","CHECK")</f>
        <v>OK</v>
      </c>
      <c r="M2312" s="14">
        <f>DATE(YEAR(tblTransactions[[#This Row],[date]]),MONTH(tblTransactions[[#This Row],[date]]),1)</f>
        <v>45778</v>
      </c>
      <c r="N2312" t="str">
        <f>IF(WEEKDAY(tblTransactions[[#This Row],[date]],2)&gt;5,"Weekend","Weekday")</f>
        <v>Weekend</v>
      </c>
      <c r="O231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12" s="13" t="str">
        <f>_xlfn.XLOOKUP(tblTransactions[[#This Row],[tenant_id]],tblTenants[tenant_id],tblTenants[zone],"NOT FOUND")</f>
        <v>Beauty &amp; Wellness</v>
      </c>
      <c r="Q2312" s="13" t="str">
        <f>_xlfn.XLOOKUP(tblTransactions[[#This Row],[tenant_id]],tblTenants[tenant_id],tblTenants[category],"NOT FOUND")</f>
        <v>Wellness</v>
      </c>
    </row>
    <row r="2313" spans="1:17">
      <c r="A2313" t="s">
        <v>2357</v>
      </c>
      <c r="B2313" s="2">
        <v>45706</v>
      </c>
      <c r="C2313">
        <v>12</v>
      </c>
      <c r="D2313" t="s">
        <v>11</v>
      </c>
      <c r="E2313" t="s">
        <v>12</v>
      </c>
      <c r="F2313" s="7">
        <v>1434.13</v>
      </c>
      <c r="G2313" s="10">
        <v>0.1</v>
      </c>
      <c r="H2313" s="7">
        <v>1290.72</v>
      </c>
      <c r="I2313">
        <v>1</v>
      </c>
      <c r="J2313" t="s">
        <v>13</v>
      </c>
      <c r="K2313" s="13">
        <f>ROUND(tblTransactions[[#This Row],[gross_sales_inr]]*(1-tblTransactions[[#This Row],[discount_pct]]),2)</f>
        <v>1290.72</v>
      </c>
      <c r="L2313" t="str">
        <f>IF(ABS(tblTransactions[[#This Row],[net_sales_inr]]-tblTransactions[[#This Row],[Recalc_Net_Sales]])&lt;0.02,"OK","CHECK")</f>
        <v>OK</v>
      </c>
      <c r="M2313" s="14">
        <f>DATE(YEAR(tblTransactions[[#This Row],[date]]),MONTH(tblTransactions[[#This Row],[date]]),1)</f>
        <v>45689</v>
      </c>
      <c r="N2313" t="str">
        <f>IF(WEEKDAY(tblTransactions[[#This Row],[date]],2)&gt;5,"Weekend","Weekday")</f>
        <v>Weekday</v>
      </c>
      <c r="O231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13" s="13" t="str">
        <f>_xlfn.XLOOKUP(tblTransactions[[#This Row],[tenant_id]],tblTenants[tenant_id],tblTenants[zone],"NOT FOUND")</f>
        <v>Home &amp; Living</v>
      </c>
      <c r="Q2313" s="13" t="str">
        <f>_xlfn.XLOOKUP(tblTransactions[[#This Row],[tenant_id]],tblTenants[tenant_id],tblTenants[category],"NOT FOUND")</f>
        <v>Home Decor</v>
      </c>
    </row>
    <row r="2314" spans="1:17">
      <c r="A2314" t="s">
        <v>2358</v>
      </c>
      <c r="B2314" s="2">
        <v>45802</v>
      </c>
      <c r="C2314">
        <v>19</v>
      </c>
      <c r="D2314" t="s">
        <v>20</v>
      </c>
      <c r="E2314" t="s">
        <v>32</v>
      </c>
      <c r="F2314" s="7">
        <v>593.62</v>
      </c>
      <c r="G2314" s="10">
        <v>0.15</v>
      </c>
      <c r="H2314" s="7">
        <v>504.58</v>
      </c>
      <c r="I2314">
        <v>1</v>
      </c>
      <c r="J2314" t="s">
        <v>16</v>
      </c>
      <c r="K2314" s="13">
        <f>ROUND(tblTransactions[[#This Row],[gross_sales_inr]]*(1-tblTransactions[[#This Row],[discount_pct]]),2)</f>
        <v>504.58</v>
      </c>
      <c r="L2314" t="str">
        <f>IF(ABS(tblTransactions[[#This Row],[net_sales_inr]]-tblTransactions[[#This Row],[Recalc_Net_Sales]])&lt;0.02,"OK","CHECK")</f>
        <v>OK</v>
      </c>
      <c r="M2314" s="14">
        <f>DATE(YEAR(tblTransactions[[#This Row],[date]]),MONTH(tblTransactions[[#This Row],[date]]),1)</f>
        <v>45778</v>
      </c>
      <c r="N2314" t="str">
        <f>IF(WEEKDAY(tblTransactions[[#This Row],[date]],2)&gt;5,"Weekend","Weekday")</f>
        <v>Weekend</v>
      </c>
      <c r="O231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14" s="13" t="str">
        <f>_xlfn.XLOOKUP(tblTransactions[[#This Row],[tenant_id]],tblTenants[tenant_id],tblTenants[zone],"NOT FOUND")</f>
        <v>Fashion Avenue</v>
      </c>
      <c r="Q2314" s="13" t="str">
        <f>_xlfn.XLOOKUP(tblTransactions[[#This Row],[tenant_id]],tblTenants[tenant_id],tblTenants[category],"NOT FOUND")</f>
        <v>Accessories</v>
      </c>
    </row>
    <row r="2315" spans="1:17">
      <c r="A2315" t="s">
        <v>2359</v>
      </c>
      <c r="B2315" s="2">
        <v>45742</v>
      </c>
      <c r="C2315">
        <v>12</v>
      </c>
      <c r="D2315" t="s">
        <v>70</v>
      </c>
      <c r="E2315" t="s">
        <v>21</v>
      </c>
      <c r="F2315" s="7">
        <v>1694.14</v>
      </c>
      <c r="G2315" s="10">
        <v>0.1</v>
      </c>
      <c r="H2315" s="7">
        <v>1524.73</v>
      </c>
      <c r="I2315">
        <v>1</v>
      </c>
      <c r="J2315" t="s">
        <v>13</v>
      </c>
      <c r="K2315" s="13">
        <f>ROUND(tblTransactions[[#This Row],[gross_sales_inr]]*(1-tblTransactions[[#This Row],[discount_pct]]),2)</f>
        <v>1524.73</v>
      </c>
      <c r="L2315" t="str">
        <f>IF(ABS(tblTransactions[[#This Row],[net_sales_inr]]-tblTransactions[[#This Row],[Recalc_Net_Sales]])&lt;0.02,"OK","CHECK")</f>
        <v>OK</v>
      </c>
      <c r="M2315" s="14">
        <f>DATE(YEAR(tblTransactions[[#This Row],[date]]),MONTH(tblTransactions[[#This Row],[date]]),1)</f>
        <v>45717</v>
      </c>
      <c r="N2315" t="str">
        <f>IF(WEEKDAY(tblTransactions[[#This Row],[date]],2)&gt;5,"Weekend","Weekday")</f>
        <v>Weekday</v>
      </c>
      <c r="O231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15" s="13" t="str">
        <f>_xlfn.XLOOKUP(tblTransactions[[#This Row],[tenant_id]],tblTenants[tenant_id],tblTenants[zone],"NOT FOUND")</f>
        <v>Food Court</v>
      </c>
      <c r="Q2315" s="13" t="str">
        <f>_xlfn.XLOOKUP(tblTransactions[[#This Row],[tenant_id]],tblTenants[tenant_id],tblTenants[category],"NOT FOUND")</f>
        <v>Quick Service</v>
      </c>
    </row>
    <row r="2316" spans="1:17">
      <c r="A2316" t="s">
        <v>2360</v>
      </c>
      <c r="B2316" s="2">
        <v>45824</v>
      </c>
      <c r="C2316">
        <v>13</v>
      </c>
      <c r="D2316" t="s">
        <v>122</v>
      </c>
      <c r="E2316" t="s">
        <v>12</v>
      </c>
      <c r="F2316" s="7">
        <v>1198.68</v>
      </c>
      <c r="G2316" s="10">
        <v>0</v>
      </c>
      <c r="H2316" s="7">
        <v>1198.68</v>
      </c>
      <c r="I2316">
        <v>1</v>
      </c>
      <c r="J2316" t="s">
        <v>13</v>
      </c>
      <c r="K2316" s="13">
        <f>ROUND(tblTransactions[[#This Row],[gross_sales_inr]]*(1-tblTransactions[[#This Row],[discount_pct]]),2)</f>
        <v>1198.68</v>
      </c>
      <c r="L2316" t="str">
        <f>IF(ABS(tblTransactions[[#This Row],[net_sales_inr]]-tblTransactions[[#This Row],[Recalc_Net_Sales]])&lt;0.02,"OK","CHECK")</f>
        <v>OK</v>
      </c>
      <c r="M2316" s="14">
        <f>DATE(YEAR(tblTransactions[[#This Row],[date]]),MONTH(tblTransactions[[#This Row],[date]]),1)</f>
        <v>45809</v>
      </c>
      <c r="N2316" t="str">
        <f>IF(WEEKDAY(tblTransactions[[#This Row],[date]],2)&gt;5,"Weekend","Weekday")</f>
        <v>Weekday</v>
      </c>
      <c r="O2316" s="13" t="str">
        <f>IF(tblTransactions[[#This Row],[discount_pct]]=0,"0%",IF(tblTransactions[[#This Row],[discount_pct]]&lt;=10%,"1–
10%",IF(tblTransactions[[#This Row],[discount_pct]]&lt;=20%,"11–20%","&gt;20%")))</f>
        <v>0%</v>
      </c>
      <c r="P2316" s="13" t="str">
        <f>_xlfn.XLOOKUP(tblTransactions[[#This Row],[tenant_id]],tblTenants[tenant_id],tblTenants[zone],"NOT FOUND")</f>
        <v>Beauty &amp; Wellness</v>
      </c>
      <c r="Q2316" s="13" t="str">
        <f>_xlfn.XLOOKUP(tblTransactions[[#This Row],[tenant_id]],tblTenants[tenant_id],tblTenants[category],"NOT FOUND")</f>
        <v>Wellness</v>
      </c>
    </row>
    <row r="2317" spans="1:17">
      <c r="A2317" t="s">
        <v>2361</v>
      </c>
      <c r="B2317" s="2">
        <v>45769</v>
      </c>
      <c r="C2317">
        <v>11</v>
      </c>
      <c r="D2317" t="s">
        <v>15</v>
      </c>
      <c r="E2317" t="s">
        <v>12</v>
      </c>
      <c r="F2317" s="7">
        <v>865.63</v>
      </c>
      <c r="G2317" s="10">
        <v>0.2</v>
      </c>
      <c r="H2317" s="7">
        <v>692.5</v>
      </c>
      <c r="I2317">
        <v>2</v>
      </c>
      <c r="J2317" t="s">
        <v>13</v>
      </c>
      <c r="K2317" s="13">
        <f>ROUND(tblTransactions[[#This Row],[gross_sales_inr]]*(1-tblTransactions[[#This Row],[discount_pct]]),2)</f>
        <v>692.5</v>
      </c>
      <c r="L2317" t="str">
        <f>IF(ABS(tblTransactions[[#This Row],[net_sales_inr]]-tblTransactions[[#This Row],[Recalc_Net_Sales]])&lt;0.02,"OK","CHECK")</f>
        <v>OK</v>
      </c>
      <c r="M2317" s="14">
        <f>DATE(YEAR(tblTransactions[[#This Row],[date]]),MONTH(tblTransactions[[#This Row],[date]]),1)</f>
        <v>45748</v>
      </c>
      <c r="N2317" t="str">
        <f>IF(WEEKDAY(tblTransactions[[#This Row],[date]],2)&gt;5,"Weekend","Weekday")</f>
        <v>Weekday</v>
      </c>
      <c r="O231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17" s="13" t="str">
        <f>_xlfn.XLOOKUP(tblTransactions[[#This Row],[tenant_id]],tblTenants[tenant_id],tblTenants[zone],"NOT FOUND")</f>
        <v>Fashion Avenue</v>
      </c>
      <c r="Q2317" s="13" t="str">
        <f>_xlfn.XLOOKUP(tblTransactions[[#This Row],[tenant_id]],tblTenants[tenant_id],tblTenants[category],"NOT FOUND")</f>
        <v>Accessories</v>
      </c>
    </row>
    <row r="2318" spans="1:17">
      <c r="A2318" t="s">
        <v>2362</v>
      </c>
      <c r="B2318" s="2">
        <v>45835</v>
      </c>
      <c r="C2318">
        <v>12</v>
      </c>
      <c r="D2318" t="s">
        <v>63</v>
      </c>
      <c r="E2318" t="s">
        <v>12</v>
      </c>
      <c r="F2318" s="7">
        <v>1727.8</v>
      </c>
      <c r="G2318" s="10">
        <v>0.1</v>
      </c>
      <c r="H2318" s="7">
        <v>1555.02</v>
      </c>
      <c r="I2318">
        <v>3</v>
      </c>
      <c r="J2318" t="s">
        <v>13</v>
      </c>
      <c r="K2318" s="13">
        <f>ROUND(tblTransactions[[#This Row],[gross_sales_inr]]*(1-tblTransactions[[#This Row],[discount_pct]]),2)</f>
        <v>1555.02</v>
      </c>
      <c r="L2318" t="str">
        <f>IF(ABS(tblTransactions[[#This Row],[net_sales_inr]]-tblTransactions[[#This Row],[Recalc_Net_Sales]])&lt;0.02,"OK","CHECK")</f>
        <v>OK</v>
      </c>
      <c r="M2318" s="14">
        <f>DATE(YEAR(tblTransactions[[#This Row],[date]]),MONTH(tblTransactions[[#This Row],[date]]),1)</f>
        <v>45809</v>
      </c>
      <c r="N2318" t="str">
        <f>IF(WEEKDAY(tblTransactions[[#This Row],[date]],2)&gt;5,"Weekend","Weekday")</f>
        <v>Weekday</v>
      </c>
      <c r="O231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18" s="13" t="str">
        <f>_xlfn.XLOOKUP(tblTransactions[[#This Row],[tenant_id]],tblTenants[tenant_id],tblTenants[zone],"NOT FOUND")</f>
        <v>Entertainment</v>
      </c>
      <c r="Q2318" s="13" t="str">
        <f>_xlfn.XLOOKUP(tblTransactions[[#This Row],[tenant_id]],tblTenants[tenant_id],tblTenants[category],"NOT FOUND")</f>
        <v>Family Entertainment</v>
      </c>
    </row>
    <row r="2319" spans="1:17">
      <c r="A2319" t="s">
        <v>2363</v>
      </c>
      <c r="B2319" s="2">
        <v>45755</v>
      </c>
      <c r="C2319">
        <v>11</v>
      </c>
      <c r="D2319" t="s">
        <v>61</v>
      </c>
      <c r="E2319" t="s">
        <v>12</v>
      </c>
      <c r="F2319" s="7">
        <v>1118.0999999999999</v>
      </c>
      <c r="G2319" s="10">
        <v>0.15</v>
      </c>
      <c r="H2319" s="7">
        <v>950.38</v>
      </c>
      <c r="I2319">
        <v>4</v>
      </c>
      <c r="J2319" t="s">
        <v>16</v>
      </c>
      <c r="K2319" s="13">
        <f>ROUND(tblTransactions[[#This Row],[gross_sales_inr]]*(1-tblTransactions[[#This Row],[discount_pct]]),2)</f>
        <v>950.39</v>
      </c>
      <c r="L2319" t="str">
        <f>IF(ABS(tblTransactions[[#This Row],[net_sales_inr]]-tblTransactions[[#This Row],[Recalc_Net_Sales]])&lt;0.02,"OK","CHECK")</f>
        <v>OK</v>
      </c>
      <c r="M2319" s="14">
        <f>DATE(YEAR(tblTransactions[[#This Row],[date]]),MONTH(tblTransactions[[#This Row],[date]]),1)</f>
        <v>45748</v>
      </c>
      <c r="N2319" t="str">
        <f>IF(WEEKDAY(tblTransactions[[#This Row],[date]],2)&gt;5,"Weekend","Weekday")</f>
        <v>Weekday</v>
      </c>
      <c r="O231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19" s="13" t="str">
        <f>_xlfn.XLOOKUP(tblTransactions[[#This Row],[tenant_id]],tblTenants[tenant_id],tblTenants[zone],"NOT FOUND")</f>
        <v>Food Court</v>
      </c>
      <c r="Q2319" s="13" t="str">
        <f>_xlfn.XLOOKUP(tblTransactions[[#This Row],[tenant_id]],tblTenants[tenant_id],tblTenants[category],"NOT FOUND")</f>
        <v>Quick Service</v>
      </c>
    </row>
    <row r="2320" spans="1:17">
      <c r="A2320" t="s">
        <v>2364</v>
      </c>
      <c r="B2320" s="2">
        <v>45764</v>
      </c>
      <c r="C2320">
        <v>22</v>
      </c>
      <c r="D2320" t="s">
        <v>61</v>
      </c>
      <c r="E2320" t="s">
        <v>21</v>
      </c>
      <c r="F2320" s="7">
        <v>791.68</v>
      </c>
      <c r="G2320" s="10">
        <v>0.3</v>
      </c>
      <c r="H2320" s="7">
        <v>554.17999999999995</v>
      </c>
      <c r="I2320">
        <v>2</v>
      </c>
      <c r="J2320" t="s">
        <v>16</v>
      </c>
      <c r="K2320" s="13">
        <f>ROUND(tblTransactions[[#This Row],[gross_sales_inr]]*(1-tblTransactions[[#This Row],[discount_pct]]),2)</f>
        <v>554.17999999999995</v>
      </c>
      <c r="L2320" t="str">
        <f>IF(ABS(tblTransactions[[#This Row],[net_sales_inr]]-tblTransactions[[#This Row],[Recalc_Net_Sales]])&lt;0.02,"OK","CHECK")</f>
        <v>OK</v>
      </c>
      <c r="M2320" s="14">
        <f>DATE(YEAR(tblTransactions[[#This Row],[date]]),MONTH(tblTransactions[[#This Row],[date]]),1)</f>
        <v>45748</v>
      </c>
      <c r="N2320" t="str">
        <f>IF(WEEKDAY(tblTransactions[[#This Row],[date]],2)&gt;5,"Weekend","Weekday")</f>
        <v>Weekday</v>
      </c>
      <c r="O232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320" s="13" t="str">
        <f>_xlfn.XLOOKUP(tblTransactions[[#This Row],[tenant_id]],tblTenants[tenant_id],tblTenants[zone],"NOT FOUND")</f>
        <v>Food Court</v>
      </c>
      <c r="Q2320" s="13" t="str">
        <f>_xlfn.XLOOKUP(tblTransactions[[#This Row],[tenant_id]],tblTenants[tenant_id],tblTenants[category],"NOT FOUND")</f>
        <v>Quick Service</v>
      </c>
    </row>
    <row r="2321" spans="1:17">
      <c r="A2321" t="s">
        <v>2365</v>
      </c>
      <c r="B2321" s="2">
        <v>45675</v>
      </c>
      <c r="C2321">
        <v>16</v>
      </c>
      <c r="D2321" t="s">
        <v>61</v>
      </c>
      <c r="E2321" t="s">
        <v>12</v>
      </c>
      <c r="F2321" s="7">
        <v>1439.83</v>
      </c>
      <c r="G2321" s="10">
        <v>0.1</v>
      </c>
      <c r="H2321" s="7">
        <v>1295.8499999999999</v>
      </c>
      <c r="I2321">
        <v>2</v>
      </c>
      <c r="J2321" t="s">
        <v>16</v>
      </c>
      <c r="K2321" s="13">
        <f>ROUND(tblTransactions[[#This Row],[gross_sales_inr]]*(1-tblTransactions[[#This Row],[discount_pct]]),2)</f>
        <v>1295.8499999999999</v>
      </c>
      <c r="L2321" t="str">
        <f>IF(ABS(tblTransactions[[#This Row],[net_sales_inr]]-tblTransactions[[#This Row],[Recalc_Net_Sales]])&lt;0.02,"OK","CHECK")</f>
        <v>OK</v>
      </c>
      <c r="M2321" s="14">
        <f>DATE(YEAR(tblTransactions[[#This Row],[date]]),MONTH(tblTransactions[[#This Row],[date]]),1)</f>
        <v>45658</v>
      </c>
      <c r="N2321" t="str">
        <f>IF(WEEKDAY(tblTransactions[[#This Row],[date]],2)&gt;5,"Weekend","Weekday")</f>
        <v>Weekend</v>
      </c>
      <c r="O232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21" s="13" t="str">
        <f>_xlfn.XLOOKUP(tblTransactions[[#This Row],[tenant_id]],tblTenants[tenant_id],tblTenants[zone],"NOT FOUND")</f>
        <v>Food Court</v>
      </c>
      <c r="Q2321" s="13" t="str">
        <f>_xlfn.XLOOKUP(tblTransactions[[#This Row],[tenant_id]],tblTenants[tenant_id],tblTenants[category],"NOT FOUND")</f>
        <v>Quick Service</v>
      </c>
    </row>
    <row r="2322" spans="1:17">
      <c r="A2322" t="s">
        <v>2366</v>
      </c>
      <c r="B2322" s="2">
        <v>45758</v>
      </c>
      <c r="C2322">
        <v>19</v>
      </c>
      <c r="D2322" t="s">
        <v>18</v>
      </c>
      <c r="E2322" t="s">
        <v>51</v>
      </c>
      <c r="F2322" s="7">
        <v>507.49</v>
      </c>
      <c r="G2322" s="10">
        <v>0</v>
      </c>
      <c r="H2322" s="7">
        <v>507.49</v>
      </c>
      <c r="I2322">
        <v>1</v>
      </c>
      <c r="J2322" t="s">
        <v>13</v>
      </c>
      <c r="K2322" s="13">
        <f>ROUND(tblTransactions[[#This Row],[gross_sales_inr]]*(1-tblTransactions[[#This Row],[discount_pct]]),2)</f>
        <v>507.49</v>
      </c>
      <c r="L2322" t="str">
        <f>IF(ABS(tblTransactions[[#This Row],[net_sales_inr]]-tblTransactions[[#This Row],[Recalc_Net_Sales]])&lt;0.02,"OK","CHECK")</f>
        <v>OK</v>
      </c>
      <c r="M2322" s="14">
        <f>DATE(YEAR(tblTransactions[[#This Row],[date]]),MONTH(tblTransactions[[#This Row],[date]]),1)</f>
        <v>45748</v>
      </c>
      <c r="N2322" t="str">
        <f>IF(WEEKDAY(tblTransactions[[#This Row],[date]],2)&gt;5,"Weekend","Weekday")</f>
        <v>Weekday</v>
      </c>
      <c r="O2322" s="13" t="str">
        <f>IF(tblTransactions[[#This Row],[discount_pct]]=0,"0%",IF(tblTransactions[[#This Row],[discount_pct]]&lt;=10%,"1–
10%",IF(tblTransactions[[#This Row],[discount_pct]]&lt;=20%,"11–20%","&gt;20%")))</f>
        <v>0%</v>
      </c>
      <c r="P2322" s="13" t="str">
        <f>_xlfn.XLOOKUP(tblTransactions[[#This Row],[tenant_id]],tblTenants[tenant_id],tblTenants[zone],"NOT FOUND")</f>
        <v>Beauty &amp; Wellness</v>
      </c>
      <c r="Q2322" s="13" t="str">
        <f>_xlfn.XLOOKUP(tblTransactions[[#This Row],[tenant_id]],tblTenants[tenant_id],tblTenants[category],"NOT FOUND")</f>
        <v>Beauty</v>
      </c>
    </row>
    <row r="2323" spans="1:17">
      <c r="A2323" t="s">
        <v>2367</v>
      </c>
      <c r="B2323" s="2">
        <v>45738</v>
      </c>
      <c r="C2323">
        <v>17</v>
      </c>
      <c r="D2323" t="s">
        <v>87</v>
      </c>
      <c r="E2323" t="s">
        <v>12</v>
      </c>
      <c r="F2323" s="7">
        <v>1071.3399999999999</v>
      </c>
      <c r="G2323" s="10">
        <v>0</v>
      </c>
      <c r="H2323" s="7">
        <v>1071.3399999999999</v>
      </c>
      <c r="I2323">
        <v>2</v>
      </c>
      <c r="J2323" t="s">
        <v>16</v>
      </c>
      <c r="K2323" s="13">
        <f>ROUND(tblTransactions[[#This Row],[gross_sales_inr]]*(1-tblTransactions[[#This Row],[discount_pct]]),2)</f>
        <v>1071.3399999999999</v>
      </c>
      <c r="L2323" t="str">
        <f>IF(ABS(tblTransactions[[#This Row],[net_sales_inr]]-tblTransactions[[#This Row],[Recalc_Net_Sales]])&lt;0.02,"OK","CHECK")</f>
        <v>OK</v>
      </c>
      <c r="M2323" s="14">
        <f>DATE(YEAR(tblTransactions[[#This Row],[date]]),MONTH(tblTransactions[[#This Row],[date]]),1)</f>
        <v>45717</v>
      </c>
      <c r="N2323" t="str">
        <f>IF(WEEKDAY(tblTransactions[[#This Row],[date]],2)&gt;5,"Weekend","Weekday")</f>
        <v>Weekend</v>
      </c>
      <c r="O2323" s="13" t="str">
        <f>IF(tblTransactions[[#This Row],[discount_pct]]=0,"0%",IF(tblTransactions[[#This Row],[discount_pct]]&lt;=10%,"1–
10%",IF(tblTransactions[[#This Row],[discount_pct]]&lt;=20%,"11–20%","&gt;20%")))</f>
        <v>0%</v>
      </c>
      <c r="P2323" s="13" t="str">
        <f>_xlfn.XLOOKUP(tblTransactions[[#This Row],[tenant_id]],tblTenants[tenant_id],tblTenants[zone],"NOT FOUND")</f>
        <v>Fashion Avenue</v>
      </c>
      <c r="Q2323" s="13" t="str">
        <f>_xlfn.XLOOKUP(tblTransactions[[#This Row],[tenant_id]],tblTenants[tenant_id],tblTenants[category],"NOT FOUND")</f>
        <v>Footwear</v>
      </c>
    </row>
    <row r="2324" spans="1:17">
      <c r="A2324" t="s">
        <v>2368</v>
      </c>
      <c r="B2324" s="2">
        <v>45723</v>
      </c>
      <c r="C2324">
        <v>16</v>
      </c>
      <c r="D2324" t="s">
        <v>98</v>
      </c>
      <c r="E2324" t="s">
        <v>12</v>
      </c>
      <c r="F2324" s="7">
        <v>415.2</v>
      </c>
      <c r="G2324" s="10">
        <v>0</v>
      </c>
      <c r="H2324" s="7">
        <v>415.2</v>
      </c>
      <c r="I2324">
        <v>2</v>
      </c>
      <c r="J2324" t="s">
        <v>13</v>
      </c>
      <c r="K2324" s="13">
        <f>ROUND(tblTransactions[[#This Row],[gross_sales_inr]]*(1-tblTransactions[[#This Row],[discount_pct]]),2)</f>
        <v>415.2</v>
      </c>
      <c r="L2324" t="str">
        <f>IF(ABS(tblTransactions[[#This Row],[net_sales_inr]]-tblTransactions[[#This Row],[Recalc_Net_Sales]])&lt;0.02,"OK","CHECK")</f>
        <v>OK</v>
      </c>
      <c r="M2324" s="14">
        <f>DATE(YEAR(tblTransactions[[#This Row],[date]]),MONTH(tblTransactions[[#This Row],[date]]),1)</f>
        <v>45717</v>
      </c>
      <c r="N2324" t="str">
        <f>IF(WEEKDAY(tblTransactions[[#This Row],[date]],2)&gt;5,"Weekend","Weekday")</f>
        <v>Weekday</v>
      </c>
      <c r="O2324" s="13" t="str">
        <f>IF(tblTransactions[[#This Row],[discount_pct]]=0,"0%",IF(tblTransactions[[#This Row],[discount_pct]]&lt;=10%,"1–
10%",IF(tblTransactions[[#This Row],[discount_pct]]&lt;=20%,"11–20%","&gt;20%")))</f>
        <v>0%</v>
      </c>
      <c r="P2324" s="13" t="str">
        <f>_xlfn.XLOOKUP(tblTransactions[[#This Row],[tenant_id]],tblTenants[tenant_id],tblTenants[zone],"NOT FOUND")</f>
        <v>Fashion Avenue</v>
      </c>
      <c r="Q2324" s="13" t="str">
        <f>_xlfn.XLOOKUP(tblTransactions[[#This Row],[tenant_id]],tblTenants[tenant_id],tblTenants[category],"NOT FOUND")</f>
        <v>Accessories</v>
      </c>
    </row>
    <row r="2325" spans="1:17">
      <c r="A2325" t="s">
        <v>2369</v>
      </c>
      <c r="B2325" s="2">
        <v>45661</v>
      </c>
      <c r="C2325">
        <v>10</v>
      </c>
      <c r="D2325" t="s">
        <v>85</v>
      </c>
      <c r="E2325" t="s">
        <v>12</v>
      </c>
      <c r="F2325" s="7">
        <v>1410.47</v>
      </c>
      <c r="G2325" s="10">
        <v>0.15</v>
      </c>
      <c r="H2325" s="7">
        <v>1198.9000000000001</v>
      </c>
      <c r="I2325">
        <v>4</v>
      </c>
      <c r="J2325" t="s">
        <v>16</v>
      </c>
      <c r="K2325" s="13">
        <f>ROUND(tblTransactions[[#This Row],[gross_sales_inr]]*(1-tblTransactions[[#This Row],[discount_pct]]),2)</f>
        <v>1198.9000000000001</v>
      </c>
      <c r="L2325" t="str">
        <f>IF(ABS(tblTransactions[[#This Row],[net_sales_inr]]-tblTransactions[[#This Row],[Recalc_Net_Sales]])&lt;0.02,"OK","CHECK")</f>
        <v>OK</v>
      </c>
      <c r="M2325" s="14">
        <f>DATE(YEAR(tblTransactions[[#This Row],[date]]),MONTH(tblTransactions[[#This Row],[date]]),1)</f>
        <v>45658</v>
      </c>
      <c r="N2325" t="str">
        <f>IF(WEEKDAY(tblTransactions[[#This Row],[date]],2)&gt;5,"Weekend","Weekday")</f>
        <v>Weekend</v>
      </c>
      <c r="O232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25" s="13" t="str">
        <f>_xlfn.XLOOKUP(tblTransactions[[#This Row],[tenant_id]],tblTenants[tenant_id],tblTenants[zone],"NOT FOUND")</f>
        <v>Home &amp; Living</v>
      </c>
      <c r="Q2325" s="13" t="str">
        <f>_xlfn.XLOOKUP(tblTransactions[[#This Row],[tenant_id]],tblTenants[tenant_id],tblTenants[category],"NOT FOUND")</f>
        <v>Electronics</v>
      </c>
    </row>
    <row r="2326" spans="1:17">
      <c r="A2326" t="s">
        <v>2370</v>
      </c>
      <c r="B2326" s="2">
        <v>45767</v>
      </c>
      <c r="C2326">
        <v>16</v>
      </c>
      <c r="D2326" t="s">
        <v>104</v>
      </c>
      <c r="E2326" t="s">
        <v>32</v>
      </c>
      <c r="F2326" s="7">
        <v>611.39</v>
      </c>
      <c r="G2326" s="10">
        <v>0.2</v>
      </c>
      <c r="H2326" s="7">
        <v>489.11</v>
      </c>
      <c r="I2326">
        <v>1</v>
      </c>
      <c r="J2326" t="s">
        <v>13</v>
      </c>
      <c r="K2326" s="13">
        <f>ROUND(tblTransactions[[#This Row],[gross_sales_inr]]*(1-tblTransactions[[#This Row],[discount_pct]]),2)</f>
        <v>489.11</v>
      </c>
      <c r="L2326" t="str">
        <f>IF(ABS(tblTransactions[[#This Row],[net_sales_inr]]-tblTransactions[[#This Row],[Recalc_Net_Sales]])&lt;0.02,"OK","CHECK")</f>
        <v>OK</v>
      </c>
      <c r="M2326" s="14">
        <f>DATE(YEAR(tblTransactions[[#This Row],[date]]),MONTH(tblTransactions[[#This Row],[date]]),1)</f>
        <v>45748</v>
      </c>
      <c r="N2326" t="str">
        <f>IF(WEEKDAY(tblTransactions[[#This Row],[date]],2)&gt;5,"Weekend","Weekday")</f>
        <v>Weekend</v>
      </c>
      <c r="O232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26" s="13" t="str">
        <f>_xlfn.XLOOKUP(tblTransactions[[#This Row],[tenant_id]],tblTenants[tenant_id],tblTenants[zone],"NOT FOUND")</f>
        <v>Entertainment</v>
      </c>
      <c r="Q2326" s="13" t="str">
        <f>_xlfn.XLOOKUP(tblTransactions[[#This Row],[tenant_id]],tblTenants[tenant_id],tblTenants[category],"NOT FOUND")</f>
        <v>Family Entertainment</v>
      </c>
    </row>
    <row r="2327" spans="1:17">
      <c r="A2327" t="s">
        <v>2371</v>
      </c>
      <c r="B2327" s="2">
        <v>45725</v>
      </c>
      <c r="C2327">
        <v>18</v>
      </c>
      <c r="D2327" t="s">
        <v>57</v>
      </c>
      <c r="E2327" t="s">
        <v>32</v>
      </c>
      <c r="F2327" s="7">
        <v>1932.7</v>
      </c>
      <c r="G2327" s="10">
        <v>0.2</v>
      </c>
      <c r="H2327" s="7">
        <v>1546.16</v>
      </c>
      <c r="I2327">
        <v>1</v>
      </c>
      <c r="J2327" t="s">
        <v>13</v>
      </c>
      <c r="K2327" s="13">
        <f>ROUND(tblTransactions[[#This Row],[gross_sales_inr]]*(1-tblTransactions[[#This Row],[discount_pct]]),2)</f>
        <v>1546.16</v>
      </c>
      <c r="L2327" t="str">
        <f>IF(ABS(tblTransactions[[#This Row],[net_sales_inr]]-tblTransactions[[#This Row],[Recalc_Net_Sales]])&lt;0.02,"OK","CHECK")</f>
        <v>OK</v>
      </c>
      <c r="M2327" s="14">
        <f>DATE(YEAR(tblTransactions[[#This Row],[date]]),MONTH(tblTransactions[[#This Row],[date]]),1)</f>
        <v>45717</v>
      </c>
      <c r="N2327" t="str">
        <f>IF(WEEKDAY(tblTransactions[[#This Row],[date]],2)&gt;5,"Weekend","Weekday")</f>
        <v>Weekend</v>
      </c>
      <c r="O232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27" s="13" t="str">
        <f>_xlfn.XLOOKUP(tblTransactions[[#This Row],[tenant_id]],tblTenants[tenant_id],tblTenants[zone],"NOT FOUND")</f>
        <v>Food Court</v>
      </c>
      <c r="Q2327" s="13" t="str">
        <f>_xlfn.XLOOKUP(tblTransactions[[#This Row],[tenant_id]],tblTenants[tenant_id],tblTenants[category],"NOT FOUND")</f>
        <v>Casual Dining</v>
      </c>
    </row>
    <row r="2328" spans="1:17">
      <c r="A2328" t="s">
        <v>2372</v>
      </c>
      <c r="B2328" s="2">
        <v>45677</v>
      </c>
      <c r="C2328">
        <v>16</v>
      </c>
      <c r="D2328" t="s">
        <v>63</v>
      </c>
      <c r="E2328" t="s">
        <v>51</v>
      </c>
      <c r="F2328" s="7">
        <v>2652.68</v>
      </c>
      <c r="G2328" s="10">
        <v>0.05</v>
      </c>
      <c r="H2328" s="7">
        <v>2520.0500000000002</v>
      </c>
      <c r="I2328">
        <v>1</v>
      </c>
      <c r="J2328" t="s">
        <v>13</v>
      </c>
      <c r="K2328" s="13">
        <f>ROUND(tblTransactions[[#This Row],[gross_sales_inr]]*(1-tblTransactions[[#This Row],[discount_pct]]),2)</f>
        <v>2520.0500000000002</v>
      </c>
      <c r="L2328" t="str">
        <f>IF(ABS(tblTransactions[[#This Row],[net_sales_inr]]-tblTransactions[[#This Row],[Recalc_Net_Sales]])&lt;0.02,"OK","CHECK")</f>
        <v>OK</v>
      </c>
      <c r="M2328" s="14">
        <f>DATE(YEAR(tblTransactions[[#This Row],[date]]),MONTH(tblTransactions[[#This Row],[date]]),1)</f>
        <v>45658</v>
      </c>
      <c r="N2328" t="str">
        <f>IF(WEEKDAY(tblTransactions[[#This Row],[date]],2)&gt;5,"Weekend","Weekday")</f>
        <v>Weekday</v>
      </c>
      <c r="O232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28" s="13" t="str">
        <f>_xlfn.XLOOKUP(tblTransactions[[#This Row],[tenant_id]],tblTenants[tenant_id],tblTenants[zone],"NOT FOUND")</f>
        <v>Entertainment</v>
      </c>
      <c r="Q2328" s="13" t="str">
        <f>_xlfn.XLOOKUP(tblTransactions[[#This Row],[tenant_id]],tblTenants[tenant_id],tblTenants[category],"NOT FOUND")</f>
        <v>Family Entertainment</v>
      </c>
    </row>
    <row r="2329" spans="1:17">
      <c r="A2329" t="s">
        <v>2373</v>
      </c>
      <c r="B2329" s="2">
        <v>45812</v>
      </c>
      <c r="C2329">
        <v>21</v>
      </c>
      <c r="D2329" t="s">
        <v>61</v>
      </c>
      <c r="E2329" t="s">
        <v>32</v>
      </c>
      <c r="F2329" s="7">
        <v>4012.48</v>
      </c>
      <c r="G2329" s="10">
        <v>0</v>
      </c>
      <c r="H2329" s="7">
        <v>4012.48</v>
      </c>
      <c r="I2329">
        <v>4</v>
      </c>
      <c r="J2329" t="s">
        <v>16</v>
      </c>
      <c r="K2329" s="13">
        <f>ROUND(tblTransactions[[#This Row],[gross_sales_inr]]*(1-tblTransactions[[#This Row],[discount_pct]]),2)</f>
        <v>4012.48</v>
      </c>
      <c r="L2329" t="str">
        <f>IF(ABS(tblTransactions[[#This Row],[net_sales_inr]]-tblTransactions[[#This Row],[Recalc_Net_Sales]])&lt;0.02,"OK","CHECK")</f>
        <v>OK</v>
      </c>
      <c r="M2329" s="14">
        <f>DATE(YEAR(tblTransactions[[#This Row],[date]]),MONTH(tblTransactions[[#This Row],[date]]),1)</f>
        <v>45809</v>
      </c>
      <c r="N2329" t="str">
        <f>IF(WEEKDAY(tblTransactions[[#This Row],[date]],2)&gt;5,"Weekend","Weekday")</f>
        <v>Weekday</v>
      </c>
      <c r="O2329" s="13" t="str">
        <f>IF(tblTransactions[[#This Row],[discount_pct]]=0,"0%",IF(tblTransactions[[#This Row],[discount_pct]]&lt;=10%,"1–
10%",IF(tblTransactions[[#This Row],[discount_pct]]&lt;=20%,"11–20%","&gt;20%")))</f>
        <v>0%</v>
      </c>
      <c r="P2329" s="13" t="str">
        <f>_xlfn.XLOOKUP(tblTransactions[[#This Row],[tenant_id]],tblTenants[tenant_id],tblTenants[zone],"NOT FOUND")</f>
        <v>Food Court</v>
      </c>
      <c r="Q2329" s="13" t="str">
        <f>_xlfn.XLOOKUP(tblTransactions[[#This Row],[tenant_id]],tblTenants[tenant_id],tblTenants[category],"NOT FOUND")</f>
        <v>Quick Service</v>
      </c>
    </row>
    <row r="2330" spans="1:17">
      <c r="A2330" t="s">
        <v>2374</v>
      </c>
      <c r="B2330" s="2">
        <v>45813</v>
      </c>
      <c r="C2330">
        <v>12</v>
      </c>
      <c r="D2330" t="s">
        <v>34</v>
      </c>
      <c r="E2330" t="s">
        <v>12</v>
      </c>
      <c r="F2330" s="7">
        <v>1976.67</v>
      </c>
      <c r="G2330" s="10">
        <v>0.05</v>
      </c>
      <c r="H2330" s="7">
        <v>1877.84</v>
      </c>
      <c r="I2330">
        <v>4</v>
      </c>
      <c r="J2330" t="s">
        <v>16</v>
      </c>
      <c r="K2330" s="13">
        <f>ROUND(tblTransactions[[#This Row],[gross_sales_inr]]*(1-tblTransactions[[#This Row],[discount_pct]]),2)</f>
        <v>1877.84</v>
      </c>
      <c r="L2330" t="str">
        <f>IF(ABS(tblTransactions[[#This Row],[net_sales_inr]]-tblTransactions[[#This Row],[Recalc_Net_Sales]])&lt;0.02,"OK","CHECK")</f>
        <v>OK</v>
      </c>
      <c r="M2330" s="14">
        <f>DATE(YEAR(tblTransactions[[#This Row],[date]]),MONTH(tblTransactions[[#This Row],[date]]),1)</f>
        <v>45809</v>
      </c>
      <c r="N2330" t="str">
        <f>IF(WEEKDAY(tblTransactions[[#This Row],[date]],2)&gt;5,"Weekend","Weekday")</f>
        <v>Weekday</v>
      </c>
      <c r="O233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30" s="13" t="str">
        <f>_xlfn.XLOOKUP(tblTransactions[[#This Row],[tenant_id]],tblTenants[tenant_id],tblTenants[zone],"NOT FOUND")</f>
        <v>Home &amp; Living</v>
      </c>
      <c r="Q2330" s="13" t="str">
        <f>_xlfn.XLOOKUP(tblTransactions[[#This Row],[tenant_id]],tblTenants[tenant_id],tblTenants[category],"NOT FOUND")</f>
        <v>Electronics</v>
      </c>
    </row>
    <row r="2331" spans="1:17">
      <c r="A2331" t="s">
        <v>2375</v>
      </c>
      <c r="B2331" s="2">
        <v>45789</v>
      </c>
      <c r="C2331">
        <v>20</v>
      </c>
      <c r="D2331" t="s">
        <v>20</v>
      </c>
      <c r="E2331" t="s">
        <v>51</v>
      </c>
      <c r="F2331" s="7">
        <v>1199.24</v>
      </c>
      <c r="G2331" s="10">
        <v>0</v>
      </c>
      <c r="H2331" s="7">
        <v>1199.24</v>
      </c>
      <c r="I2331">
        <v>4</v>
      </c>
      <c r="J2331" t="s">
        <v>16</v>
      </c>
      <c r="K2331" s="13">
        <f>ROUND(tblTransactions[[#This Row],[gross_sales_inr]]*(1-tblTransactions[[#This Row],[discount_pct]]),2)</f>
        <v>1199.24</v>
      </c>
      <c r="L2331" t="str">
        <f>IF(ABS(tblTransactions[[#This Row],[net_sales_inr]]-tblTransactions[[#This Row],[Recalc_Net_Sales]])&lt;0.02,"OK","CHECK")</f>
        <v>OK</v>
      </c>
      <c r="M2331" s="14">
        <f>DATE(YEAR(tblTransactions[[#This Row],[date]]),MONTH(tblTransactions[[#This Row],[date]]),1)</f>
        <v>45778</v>
      </c>
      <c r="N2331" t="str">
        <f>IF(WEEKDAY(tblTransactions[[#This Row],[date]],2)&gt;5,"Weekend","Weekday")</f>
        <v>Weekday</v>
      </c>
      <c r="O2331" s="13" t="str">
        <f>IF(tblTransactions[[#This Row],[discount_pct]]=0,"0%",IF(tblTransactions[[#This Row],[discount_pct]]&lt;=10%,"1–
10%",IF(tblTransactions[[#This Row],[discount_pct]]&lt;=20%,"11–20%","&gt;20%")))</f>
        <v>0%</v>
      </c>
      <c r="P2331" s="13" t="str">
        <f>_xlfn.XLOOKUP(tblTransactions[[#This Row],[tenant_id]],tblTenants[tenant_id],tblTenants[zone],"NOT FOUND")</f>
        <v>Fashion Avenue</v>
      </c>
      <c r="Q2331" s="13" t="str">
        <f>_xlfn.XLOOKUP(tblTransactions[[#This Row],[tenant_id]],tblTenants[tenant_id],tblTenants[category],"NOT FOUND")</f>
        <v>Accessories</v>
      </c>
    </row>
    <row r="2332" spans="1:17">
      <c r="A2332" t="s">
        <v>2376</v>
      </c>
      <c r="B2332" s="2">
        <v>45752</v>
      </c>
      <c r="C2332">
        <v>13</v>
      </c>
      <c r="D2332" t="s">
        <v>36</v>
      </c>
      <c r="E2332" t="s">
        <v>51</v>
      </c>
      <c r="F2332" s="7">
        <v>3119.21</v>
      </c>
      <c r="G2332" s="10">
        <v>0.3</v>
      </c>
      <c r="H2332" s="7">
        <v>2183.4499999999998</v>
      </c>
      <c r="I2332">
        <v>2</v>
      </c>
      <c r="J2332" t="s">
        <v>13</v>
      </c>
      <c r="K2332" s="13">
        <f>ROUND(tblTransactions[[#This Row],[gross_sales_inr]]*(1-tblTransactions[[#This Row],[discount_pct]]),2)</f>
        <v>2183.4499999999998</v>
      </c>
      <c r="L2332" t="str">
        <f>IF(ABS(tblTransactions[[#This Row],[net_sales_inr]]-tblTransactions[[#This Row],[Recalc_Net_Sales]])&lt;0.02,"OK","CHECK")</f>
        <v>OK</v>
      </c>
      <c r="M2332" s="14">
        <f>DATE(YEAR(tblTransactions[[#This Row],[date]]),MONTH(tblTransactions[[#This Row],[date]]),1)</f>
        <v>45748</v>
      </c>
      <c r="N2332" t="str">
        <f>IF(WEEKDAY(tblTransactions[[#This Row],[date]],2)&gt;5,"Weekend","Weekday")</f>
        <v>Weekend</v>
      </c>
      <c r="O2332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332" s="13" t="str">
        <f>_xlfn.XLOOKUP(tblTransactions[[#This Row],[tenant_id]],tblTenants[tenant_id],tblTenants[zone],"NOT FOUND")</f>
        <v>Home &amp; Living</v>
      </c>
      <c r="Q2332" s="13" t="str">
        <f>_xlfn.XLOOKUP(tblTransactions[[#This Row],[tenant_id]],tblTenants[tenant_id],tblTenants[category],"NOT FOUND")</f>
        <v>Electronics</v>
      </c>
    </row>
    <row r="2333" spans="1:17">
      <c r="A2333" t="s">
        <v>2377</v>
      </c>
      <c r="B2333" s="2">
        <v>45710</v>
      </c>
      <c r="C2333">
        <v>14</v>
      </c>
      <c r="D2333" t="s">
        <v>122</v>
      </c>
      <c r="E2333" t="s">
        <v>12</v>
      </c>
      <c r="F2333" s="7">
        <v>1450.33</v>
      </c>
      <c r="G2333" s="10">
        <v>0.2</v>
      </c>
      <c r="H2333" s="7">
        <v>1160.26</v>
      </c>
      <c r="I2333">
        <v>5</v>
      </c>
      <c r="J2333" t="s">
        <v>16</v>
      </c>
      <c r="K2333" s="13">
        <f>ROUND(tblTransactions[[#This Row],[gross_sales_inr]]*(1-tblTransactions[[#This Row],[discount_pct]]),2)</f>
        <v>1160.26</v>
      </c>
      <c r="L2333" t="str">
        <f>IF(ABS(tblTransactions[[#This Row],[net_sales_inr]]-tblTransactions[[#This Row],[Recalc_Net_Sales]])&lt;0.02,"OK","CHECK")</f>
        <v>OK</v>
      </c>
      <c r="M2333" s="14">
        <f>DATE(YEAR(tblTransactions[[#This Row],[date]]),MONTH(tblTransactions[[#This Row],[date]]),1)</f>
        <v>45689</v>
      </c>
      <c r="N2333" t="str">
        <f>IF(WEEKDAY(tblTransactions[[#This Row],[date]],2)&gt;5,"Weekend","Weekday")</f>
        <v>Weekend</v>
      </c>
      <c r="O233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33" s="13" t="str">
        <f>_xlfn.XLOOKUP(tblTransactions[[#This Row],[tenant_id]],tblTenants[tenant_id],tblTenants[zone],"NOT FOUND")</f>
        <v>Beauty &amp; Wellness</v>
      </c>
      <c r="Q2333" s="13" t="str">
        <f>_xlfn.XLOOKUP(tblTransactions[[#This Row],[tenant_id]],tblTenants[tenant_id],tblTenants[category],"NOT FOUND")</f>
        <v>Wellness</v>
      </c>
    </row>
    <row r="2334" spans="1:17">
      <c r="A2334" t="s">
        <v>2378</v>
      </c>
      <c r="B2334" s="2">
        <v>45809</v>
      </c>
      <c r="C2334">
        <v>10</v>
      </c>
      <c r="D2334" t="s">
        <v>36</v>
      </c>
      <c r="E2334" t="s">
        <v>32</v>
      </c>
      <c r="F2334" s="7">
        <v>604.58000000000004</v>
      </c>
      <c r="G2334" s="10">
        <v>0.1</v>
      </c>
      <c r="H2334" s="7">
        <v>544.12</v>
      </c>
      <c r="I2334">
        <v>1</v>
      </c>
      <c r="J2334" t="s">
        <v>13</v>
      </c>
      <c r="K2334" s="13">
        <f>ROUND(tblTransactions[[#This Row],[gross_sales_inr]]*(1-tblTransactions[[#This Row],[discount_pct]]),2)</f>
        <v>544.12</v>
      </c>
      <c r="L2334" t="str">
        <f>IF(ABS(tblTransactions[[#This Row],[net_sales_inr]]-tblTransactions[[#This Row],[Recalc_Net_Sales]])&lt;0.02,"OK","CHECK")</f>
        <v>OK</v>
      </c>
      <c r="M2334" s="14">
        <f>DATE(YEAR(tblTransactions[[#This Row],[date]]),MONTH(tblTransactions[[#This Row],[date]]),1)</f>
        <v>45809</v>
      </c>
      <c r="N2334" t="str">
        <f>IF(WEEKDAY(tblTransactions[[#This Row],[date]],2)&gt;5,"Weekend","Weekday")</f>
        <v>Weekend</v>
      </c>
      <c r="O233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34" s="13" t="str">
        <f>_xlfn.XLOOKUP(tblTransactions[[#This Row],[tenant_id]],tblTenants[tenant_id],tblTenants[zone],"NOT FOUND")</f>
        <v>Home &amp; Living</v>
      </c>
      <c r="Q2334" s="13" t="str">
        <f>_xlfn.XLOOKUP(tblTransactions[[#This Row],[tenant_id]],tblTenants[tenant_id],tblTenants[category],"NOT FOUND")</f>
        <v>Electronics</v>
      </c>
    </row>
    <row r="2335" spans="1:17">
      <c r="A2335" t="s">
        <v>2379</v>
      </c>
      <c r="B2335" s="2">
        <v>45692</v>
      </c>
      <c r="C2335">
        <v>10</v>
      </c>
      <c r="D2335" t="s">
        <v>72</v>
      </c>
      <c r="E2335" t="s">
        <v>32</v>
      </c>
      <c r="F2335" s="7">
        <v>1220.48</v>
      </c>
      <c r="G2335" s="10">
        <v>0</v>
      </c>
      <c r="H2335" s="7">
        <v>1220.48</v>
      </c>
      <c r="I2335">
        <v>5</v>
      </c>
      <c r="J2335" t="s">
        <v>13</v>
      </c>
      <c r="K2335" s="13">
        <f>ROUND(tblTransactions[[#This Row],[gross_sales_inr]]*(1-tblTransactions[[#This Row],[discount_pct]]),2)</f>
        <v>1220.48</v>
      </c>
      <c r="L2335" t="str">
        <f>IF(ABS(tblTransactions[[#This Row],[net_sales_inr]]-tblTransactions[[#This Row],[Recalc_Net_Sales]])&lt;0.02,"OK","CHECK")</f>
        <v>OK</v>
      </c>
      <c r="M2335" s="14">
        <f>DATE(YEAR(tblTransactions[[#This Row],[date]]),MONTH(tblTransactions[[#This Row],[date]]),1)</f>
        <v>45689</v>
      </c>
      <c r="N2335" t="str">
        <f>IF(WEEKDAY(tblTransactions[[#This Row],[date]],2)&gt;5,"Weekend","Weekday")</f>
        <v>Weekday</v>
      </c>
      <c r="O2335" s="13" t="str">
        <f>IF(tblTransactions[[#This Row],[discount_pct]]=0,"0%",IF(tblTransactions[[#This Row],[discount_pct]]&lt;=10%,"1–
10%",IF(tblTransactions[[#This Row],[discount_pct]]&lt;=20%,"11–20%","&gt;20%")))</f>
        <v>0%</v>
      </c>
      <c r="P2335" s="13" t="str">
        <f>_xlfn.XLOOKUP(tblTransactions[[#This Row],[tenant_id]],tblTenants[tenant_id],tblTenants[zone],"NOT FOUND")</f>
        <v>Entertainment</v>
      </c>
      <c r="Q2335" s="13" t="str">
        <f>_xlfn.XLOOKUP(tblTransactions[[#This Row],[tenant_id]],tblTenants[tenant_id],tblTenants[category],"NOT FOUND")</f>
        <v>Arcade</v>
      </c>
    </row>
    <row r="2336" spans="1:17">
      <c r="A2336" t="s">
        <v>2380</v>
      </c>
      <c r="B2336" s="2">
        <v>45665</v>
      </c>
      <c r="C2336">
        <v>20</v>
      </c>
      <c r="D2336" t="s">
        <v>55</v>
      </c>
      <c r="E2336" t="s">
        <v>12</v>
      </c>
      <c r="F2336" s="7">
        <v>2108.29</v>
      </c>
      <c r="G2336" s="10">
        <v>0</v>
      </c>
      <c r="H2336" s="7">
        <v>2108.29</v>
      </c>
      <c r="I2336">
        <v>3</v>
      </c>
      <c r="J2336" t="s">
        <v>16</v>
      </c>
      <c r="K2336" s="13">
        <f>ROUND(tblTransactions[[#This Row],[gross_sales_inr]]*(1-tblTransactions[[#This Row],[discount_pct]]),2)</f>
        <v>2108.29</v>
      </c>
      <c r="L2336" t="str">
        <f>IF(ABS(tblTransactions[[#This Row],[net_sales_inr]]-tblTransactions[[#This Row],[Recalc_Net_Sales]])&lt;0.02,"OK","CHECK")</f>
        <v>OK</v>
      </c>
      <c r="M2336" s="14">
        <f>DATE(YEAR(tblTransactions[[#This Row],[date]]),MONTH(tblTransactions[[#This Row],[date]]),1)</f>
        <v>45658</v>
      </c>
      <c r="N2336" t="str">
        <f>IF(WEEKDAY(tblTransactions[[#This Row],[date]],2)&gt;5,"Weekend","Weekday")</f>
        <v>Weekday</v>
      </c>
      <c r="O2336" s="13" t="str">
        <f>IF(tblTransactions[[#This Row],[discount_pct]]=0,"0%",IF(tblTransactions[[#This Row],[discount_pct]]&lt;=10%,"1–
10%",IF(tblTransactions[[#This Row],[discount_pct]]&lt;=20%,"11–20%","&gt;20%")))</f>
        <v>0%</v>
      </c>
      <c r="P2336" s="13" t="str">
        <f>_xlfn.XLOOKUP(tblTransactions[[#This Row],[tenant_id]],tblTenants[tenant_id],tblTenants[zone],"NOT FOUND")</f>
        <v>Food Court</v>
      </c>
      <c r="Q2336" s="13" t="str">
        <f>_xlfn.XLOOKUP(tblTransactions[[#This Row],[tenant_id]],tblTenants[tenant_id],tblTenants[category],"NOT FOUND")</f>
        <v>Quick Service</v>
      </c>
    </row>
    <row r="2337" spans="1:17">
      <c r="A2337" t="s">
        <v>2381</v>
      </c>
      <c r="B2337" s="2">
        <v>45815</v>
      </c>
      <c r="C2337">
        <v>22</v>
      </c>
      <c r="D2337" t="s">
        <v>122</v>
      </c>
      <c r="E2337" t="s">
        <v>21</v>
      </c>
      <c r="F2337" s="7">
        <v>1142.44</v>
      </c>
      <c r="G2337" s="10">
        <v>0.05</v>
      </c>
      <c r="H2337" s="7">
        <v>1085.32</v>
      </c>
      <c r="I2337">
        <v>6</v>
      </c>
      <c r="J2337" t="s">
        <v>13</v>
      </c>
      <c r="K2337" s="13">
        <f>ROUND(tblTransactions[[#This Row],[gross_sales_inr]]*(1-tblTransactions[[#This Row],[discount_pct]]),2)</f>
        <v>1085.32</v>
      </c>
      <c r="L2337" t="str">
        <f>IF(ABS(tblTransactions[[#This Row],[net_sales_inr]]-tblTransactions[[#This Row],[Recalc_Net_Sales]])&lt;0.02,"OK","CHECK")</f>
        <v>OK</v>
      </c>
      <c r="M2337" s="14">
        <f>DATE(YEAR(tblTransactions[[#This Row],[date]]),MONTH(tblTransactions[[#This Row],[date]]),1)</f>
        <v>45809</v>
      </c>
      <c r="N2337" t="str">
        <f>IF(WEEKDAY(tblTransactions[[#This Row],[date]],2)&gt;5,"Weekend","Weekday")</f>
        <v>Weekend</v>
      </c>
      <c r="O233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37" s="13" t="str">
        <f>_xlfn.XLOOKUP(tblTransactions[[#This Row],[tenant_id]],tblTenants[tenant_id],tblTenants[zone],"NOT FOUND")</f>
        <v>Beauty &amp; Wellness</v>
      </c>
      <c r="Q2337" s="13" t="str">
        <f>_xlfn.XLOOKUP(tblTransactions[[#This Row],[tenant_id]],tblTenants[tenant_id],tblTenants[category],"NOT FOUND")</f>
        <v>Wellness</v>
      </c>
    </row>
    <row r="2338" spans="1:17">
      <c r="A2338" t="s">
        <v>2382</v>
      </c>
      <c r="B2338" s="2">
        <v>45780</v>
      </c>
      <c r="C2338">
        <v>10</v>
      </c>
      <c r="D2338" t="s">
        <v>45</v>
      </c>
      <c r="E2338" t="s">
        <v>32</v>
      </c>
      <c r="F2338" s="7">
        <v>1028.68</v>
      </c>
      <c r="G2338" s="10">
        <v>0</v>
      </c>
      <c r="H2338" s="7">
        <v>1028.68</v>
      </c>
      <c r="I2338">
        <v>3</v>
      </c>
      <c r="J2338" t="s">
        <v>16</v>
      </c>
      <c r="K2338" s="13">
        <f>ROUND(tblTransactions[[#This Row],[gross_sales_inr]]*(1-tblTransactions[[#This Row],[discount_pct]]),2)</f>
        <v>1028.68</v>
      </c>
      <c r="L2338" t="str">
        <f>IF(ABS(tblTransactions[[#This Row],[net_sales_inr]]-tblTransactions[[#This Row],[Recalc_Net_Sales]])&lt;0.02,"OK","CHECK")</f>
        <v>OK</v>
      </c>
      <c r="M2338" s="14">
        <f>DATE(YEAR(tblTransactions[[#This Row],[date]]),MONTH(tblTransactions[[#This Row],[date]]),1)</f>
        <v>45778</v>
      </c>
      <c r="N2338" t="str">
        <f>IF(WEEKDAY(tblTransactions[[#This Row],[date]],2)&gt;5,"Weekend","Weekday")</f>
        <v>Weekend</v>
      </c>
      <c r="O2338" s="13" t="str">
        <f>IF(tblTransactions[[#This Row],[discount_pct]]=0,"0%",IF(tblTransactions[[#This Row],[discount_pct]]&lt;=10%,"1–
10%",IF(tblTransactions[[#This Row],[discount_pct]]&lt;=20%,"11–20%","&gt;20%")))</f>
        <v>0%</v>
      </c>
      <c r="P2338" s="13" t="str">
        <f>_xlfn.XLOOKUP(tblTransactions[[#This Row],[tenant_id]],tblTenants[tenant_id],tblTenants[zone],"NOT FOUND")</f>
        <v>Home &amp; Living</v>
      </c>
      <c r="Q2338" s="13" t="str">
        <f>_xlfn.XLOOKUP(tblTransactions[[#This Row],[tenant_id]],tblTenants[tenant_id],tblTenants[category],"NOT FOUND")</f>
        <v>Home Decor</v>
      </c>
    </row>
    <row r="2339" spans="1:17">
      <c r="A2339" t="s">
        <v>2383</v>
      </c>
      <c r="B2339" s="2">
        <v>45668</v>
      </c>
      <c r="C2339">
        <v>12</v>
      </c>
      <c r="D2339" t="s">
        <v>63</v>
      </c>
      <c r="E2339" t="s">
        <v>32</v>
      </c>
      <c r="F2339" s="7">
        <v>1735.95</v>
      </c>
      <c r="G2339" s="10">
        <v>0</v>
      </c>
      <c r="H2339" s="7">
        <v>1735.95</v>
      </c>
      <c r="I2339">
        <v>3</v>
      </c>
      <c r="J2339" t="s">
        <v>16</v>
      </c>
      <c r="K2339" s="13">
        <f>ROUND(tblTransactions[[#This Row],[gross_sales_inr]]*(1-tblTransactions[[#This Row],[discount_pct]]),2)</f>
        <v>1735.95</v>
      </c>
      <c r="L2339" t="str">
        <f>IF(ABS(tblTransactions[[#This Row],[net_sales_inr]]-tblTransactions[[#This Row],[Recalc_Net_Sales]])&lt;0.02,"OK","CHECK")</f>
        <v>OK</v>
      </c>
      <c r="M2339" s="14">
        <f>DATE(YEAR(tblTransactions[[#This Row],[date]]),MONTH(tblTransactions[[#This Row],[date]]),1)</f>
        <v>45658</v>
      </c>
      <c r="N2339" t="str">
        <f>IF(WEEKDAY(tblTransactions[[#This Row],[date]],2)&gt;5,"Weekend","Weekday")</f>
        <v>Weekend</v>
      </c>
      <c r="O2339" s="13" t="str">
        <f>IF(tblTransactions[[#This Row],[discount_pct]]=0,"0%",IF(tblTransactions[[#This Row],[discount_pct]]&lt;=10%,"1–
10%",IF(tblTransactions[[#This Row],[discount_pct]]&lt;=20%,"11–20%","&gt;20%")))</f>
        <v>0%</v>
      </c>
      <c r="P2339" s="13" t="str">
        <f>_xlfn.XLOOKUP(tblTransactions[[#This Row],[tenant_id]],tblTenants[tenant_id],tblTenants[zone],"NOT FOUND")</f>
        <v>Entertainment</v>
      </c>
      <c r="Q2339" s="13" t="str">
        <f>_xlfn.XLOOKUP(tblTransactions[[#This Row],[tenant_id]],tblTenants[tenant_id],tblTenants[category],"NOT FOUND")</f>
        <v>Family Entertainment</v>
      </c>
    </row>
    <row r="2340" spans="1:17">
      <c r="A2340" t="s">
        <v>2384</v>
      </c>
      <c r="B2340" s="2">
        <v>45698</v>
      </c>
      <c r="C2340">
        <v>16</v>
      </c>
      <c r="D2340" t="s">
        <v>31</v>
      </c>
      <c r="E2340" t="s">
        <v>32</v>
      </c>
      <c r="F2340" s="7">
        <v>329.35</v>
      </c>
      <c r="G2340" s="10">
        <v>0</v>
      </c>
      <c r="H2340" s="7">
        <v>329.35</v>
      </c>
      <c r="I2340">
        <v>4</v>
      </c>
      <c r="J2340" t="s">
        <v>16</v>
      </c>
      <c r="K2340" s="13">
        <f>ROUND(tblTransactions[[#This Row],[gross_sales_inr]]*(1-tblTransactions[[#This Row],[discount_pct]]),2)</f>
        <v>329.35</v>
      </c>
      <c r="L2340" t="str">
        <f>IF(ABS(tblTransactions[[#This Row],[net_sales_inr]]-tblTransactions[[#This Row],[Recalc_Net_Sales]])&lt;0.02,"OK","CHECK")</f>
        <v>OK</v>
      </c>
      <c r="M2340" s="14">
        <f>DATE(YEAR(tblTransactions[[#This Row],[date]]),MONTH(tblTransactions[[#This Row],[date]]),1)</f>
        <v>45689</v>
      </c>
      <c r="N2340" t="str">
        <f>IF(WEEKDAY(tblTransactions[[#This Row],[date]],2)&gt;5,"Weekend","Weekday")</f>
        <v>Weekday</v>
      </c>
      <c r="O2340" s="13" t="str">
        <f>IF(tblTransactions[[#This Row],[discount_pct]]=0,"0%",IF(tblTransactions[[#This Row],[discount_pct]]&lt;=10%,"1–
10%",IF(tblTransactions[[#This Row],[discount_pct]]&lt;=20%,"11–20%","&gt;20%")))</f>
        <v>0%</v>
      </c>
      <c r="P2340" s="13" t="str">
        <f>_xlfn.XLOOKUP(tblTransactions[[#This Row],[tenant_id]],tblTenants[tenant_id],tblTenants[zone],"NOT FOUND")</f>
        <v>Entertainment</v>
      </c>
      <c r="Q2340" s="13" t="str">
        <f>_xlfn.XLOOKUP(tblTransactions[[#This Row],[tenant_id]],tblTenants[tenant_id],tblTenants[category],"NOT FOUND")</f>
        <v>Arcade</v>
      </c>
    </row>
    <row r="2341" spans="1:17">
      <c r="A2341" t="s">
        <v>2385</v>
      </c>
      <c r="B2341" s="2">
        <v>45767</v>
      </c>
      <c r="C2341">
        <v>19</v>
      </c>
      <c r="D2341" t="s">
        <v>63</v>
      </c>
      <c r="E2341" t="s">
        <v>12</v>
      </c>
      <c r="F2341" s="7">
        <v>1654.41</v>
      </c>
      <c r="G2341" s="10">
        <v>0.15</v>
      </c>
      <c r="H2341" s="7">
        <v>1406.25</v>
      </c>
      <c r="I2341">
        <v>2</v>
      </c>
      <c r="J2341" t="s">
        <v>13</v>
      </c>
      <c r="K2341" s="13">
        <f>ROUND(tblTransactions[[#This Row],[gross_sales_inr]]*(1-tblTransactions[[#This Row],[discount_pct]]),2)</f>
        <v>1406.25</v>
      </c>
      <c r="L2341" t="str">
        <f>IF(ABS(tblTransactions[[#This Row],[net_sales_inr]]-tblTransactions[[#This Row],[Recalc_Net_Sales]])&lt;0.02,"OK","CHECK")</f>
        <v>OK</v>
      </c>
      <c r="M2341" s="14">
        <f>DATE(YEAR(tblTransactions[[#This Row],[date]]),MONTH(tblTransactions[[#This Row],[date]]),1)</f>
        <v>45748</v>
      </c>
      <c r="N2341" t="str">
        <f>IF(WEEKDAY(tblTransactions[[#This Row],[date]],2)&gt;5,"Weekend","Weekday")</f>
        <v>Weekend</v>
      </c>
      <c r="O234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41" s="13" t="str">
        <f>_xlfn.XLOOKUP(tblTransactions[[#This Row],[tenant_id]],tblTenants[tenant_id],tblTenants[zone],"NOT FOUND")</f>
        <v>Entertainment</v>
      </c>
      <c r="Q2341" s="13" t="str">
        <f>_xlfn.XLOOKUP(tblTransactions[[#This Row],[tenant_id]],tblTenants[tenant_id],tblTenants[category],"NOT FOUND")</f>
        <v>Family Entertainment</v>
      </c>
    </row>
    <row r="2342" spans="1:17">
      <c r="A2342" t="s">
        <v>2386</v>
      </c>
      <c r="B2342" s="2">
        <v>45804</v>
      </c>
      <c r="C2342">
        <v>13</v>
      </c>
      <c r="D2342" t="s">
        <v>27</v>
      </c>
      <c r="E2342" t="s">
        <v>32</v>
      </c>
      <c r="F2342" s="7">
        <v>1187.7</v>
      </c>
      <c r="G2342" s="10">
        <v>0</v>
      </c>
      <c r="H2342" s="7">
        <v>1187.7</v>
      </c>
      <c r="I2342">
        <v>2</v>
      </c>
      <c r="J2342" t="s">
        <v>16</v>
      </c>
      <c r="K2342" s="13">
        <f>ROUND(tblTransactions[[#This Row],[gross_sales_inr]]*(1-tblTransactions[[#This Row],[discount_pct]]),2)</f>
        <v>1187.7</v>
      </c>
      <c r="L2342" t="str">
        <f>IF(ABS(tblTransactions[[#This Row],[net_sales_inr]]-tblTransactions[[#This Row],[Recalc_Net_Sales]])&lt;0.02,"OK","CHECK")</f>
        <v>OK</v>
      </c>
      <c r="M2342" s="14">
        <f>DATE(YEAR(tblTransactions[[#This Row],[date]]),MONTH(tblTransactions[[#This Row],[date]]),1)</f>
        <v>45778</v>
      </c>
      <c r="N2342" t="str">
        <f>IF(WEEKDAY(tblTransactions[[#This Row],[date]],2)&gt;5,"Weekend","Weekday")</f>
        <v>Weekday</v>
      </c>
      <c r="O2342" s="13" t="str">
        <f>IF(tblTransactions[[#This Row],[discount_pct]]=0,"0%",IF(tblTransactions[[#This Row],[discount_pct]]&lt;=10%,"1–
10%",IF(tblTransactions[[#This Row],[discount_pct]]&lt;=20%,"11–20%","&gt;20%")))</f>
        <v>0%</v>
      </c>
      <c r="P2342" s="13" t="str">
        <f>_xlfn.XLOOKUP(tblTransactions[[#This Row],[tenant_id]],tblTenants[tenant_id],tblTenants[zone],"NOT FOUND")</f>
        <v>Beauty &amp; Wellness</v>
      </c>
      <c r="Q2342" s="13" t="str">
        <f>_xlfn.XLOOKUP(tblTransactions[[#This Row],[tenant_id]],tblTenants[tenant_id],tblTenants[category],"NOT FOUND")</f>
        <v>Wellness</v>
      </c>
    </row>
    <row r="2343" spans="1:17">
      <c r="A2343" t="s">
        <v>2387</v>
      </c>
      <c r="B2343" s="2">
        <v>45682</v>
      </c>
      <c r="C2343">
        <v>13</v>
      </c>
      <c r="D2343" t="s">
        <v>70</v>
      </c>
      <c r="E2343" t="s">
        <v>32</v>
      </c>
      <c r="F2343" s="7">
        <v>790.93</v>
      </c>
      <c r="G2343" s="10">
        <v>0.2</v>
      </c>
      <c r="H2343" s="7">
        <v>632.74</v>
      </c>
      <c r="I2343">
        <v>1</v>
      </c>
      <c r="J2343" t="s">
        <v>13</v>
      </c>
      <c r="K2343" s="13">
        <f>ROUND(tblTransactions[[#This Row],[gross_sales_inr]]*(1-tblTransactions[[#This Row],[discount_pct]]),2)</f>
        <v>632.74</v>
      </c>
      <c r="L2343" t="str">
        <f>IF(ABS(tblTransactions[[#This Row],[net_sales_inr]]-tblTransactions[[#This Row],[Recalc_Net_Sales]])&lt;0.02,"OK","CHECK")</f>
        <v>OK</v>
      </c>
      <c r="M2343" s="14">
        <f>DATE(YEAR(tblTransactions[[#This Row],[date]]),MONTH(tblTransactions[[#This Row],[date]]),1)</f>
        <v>45658</v>
      </c>
      <c r="N2343" t="str">
        <f>IF(WEEKDAY(tblTransactions[[#This Row],[date]],2)&gt;5,"Weekend","Weekday")</f>
        <v>Weekend</v>
      </c>
      <c r="O234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43" s="13" t="str">
        <f>_xlfn.XLOOKUP(tblTransactions[[#This Row],[tenant_id]],tblTenants[tenant_id],tblTenants[zone],"NOT FOUND")</f>
        <v>Food Court</v>
      </c>
      <c r="Q2343" s="13" t="str">
        <f>_xlfn.XLOOKUP(tblTransactions[[#This Row],[tenant_id]],tblTenants[tenant_id],tblTenants[category],"NOT FOUND")</f>
        <v>Quick Service</v>
      </c>
    </row>
    <row r="2344" spans="1:17">
      <c r="A2344" t="s">
        <v>2388</v>
      </c>
      <c r="B2344" s="2">
        <v>45660</v>
      </c>
      <c r="C2344">
        <v>12</v>
      </c>
      <c r="D2344" t="s">
        <v>72</v>
      </c>
      <c r="E2344" t="s">
        <v>12</v>
      </c>
      <c r="F2344" s="7">
        <v>878.72</v>
      </c>
      <c r="G2344" s="10">
        <v>0</v>
      </c>
      <c r="H2344" s="7">
        <v>878.72</v>
      </c>
      <c r="I2344">
        <v>1</v>
      </c>
      <c r="J2344" t="s">
        <v>13</v>
      </c>
      <c r="K2344" s="13">
        <f>ROUND(tblTransactions[[#This Row],[gross_sales_inr]]*(1-tblTransactions[[#This Row],[discount_pct]]),2)</f>
        <v>878.72</v>
      </c>
      <c r="L2344" t="str">
        <f>IF(ABS(tblTransactions[[#This Row],[net_sales_inr]]-tblTransactions[[#This Row],[Recalc_Net_Sales]])&lt;0.02,"OK","CHECK")</f>
        <v>OK</v>
      </c>
      <c r="M2344" s="14">
        <f>DATE(YEAR(tblTransactions[[#This Row],[date]]),MONTH(tblTransactions[[#This Row],[date]]),1)</f>
        <v>45658</v>
      </c>
      <c r="N2344" t="str">
        <f>IF(WEEKDAY(tblTransactions[[#This Row],[date]],2)&gt;5,"Weekend","Weekday")</f>
        <v>Weekday</v>
      </c>
      <c r="O2344" s="13" t="str">
        <f>IF(tblTransactions[[#This Row],[discount_pct]]=0,"0%",IF(tblTransactions[[#This Row],[discount_pct]]&lt;=10%,"1–
10%",IF(tblTransactions[[#This Row],[discount_pct]]&lt;=20%,"11–20%","&gt;20%")))</f>
        <v>0%</v>
      </c>
      <c r="P2344" s="13" t="str">
        <f>_xlfn.XLOOKUP(tblTransactions[[#This Row],[tenant_id]],tblTenants[tenant_id],tblTenants[zone],"NOT FOUND")</f>
        <v>Entertainment</v>
      </c>
      <c r="Q2344" s="13" t="str">
        <f>_xlfn.XLOOKUP(tblTransactions[[#This Row],[tenant_id]],tblTenants[tenant_id],tblTenants[category],"NOT FOUND")</f>
        <v>Arcade</v>
      </c>
    </row>
    <row r="2345" spans="1:17">
      <c r="A2345" t="s">
        <v>2389</v>
      </c>
      <c r="B2345" s="2">
        <v>45775</v>
      </c>
      <c r="C2345">
        <v>21</v>
      </c>
      <c r="D2345" t="s">
        <v>31</v>
      </c>
      <c r="E2345" t="s">
        <v>32</v>
      </c>
      <c r="F2345" s="7">
        <v>1442.89</v>
      </c>
      <c r="G2345" s="10">
        <v>0.2</v>
      </c>
      <c r="H2345" s="7">
        <v>1154.31</v>
      </c>
      <c r="I2345">
        <v>4</v>
      </c>
      <c r="J2345" t="s">
        <v>13</v>
      </c>
      <c r="K2345" s="13">
        <f>ROUND(tblTransactions[[#This Row],[gross_sales_inr]]*(1-tblTransactions[[#This Row],[discount_pct]]),2)</f>
        <v>1154.31</v>
      </c>
      <c r="L2345" t="str">
        <f>IF(ABS(tblTransactions[[#This Row],[net_sales_inr]]-tblTransactions[[#This Row],[Recalc_Net_Sales]])&lt;0.02,"OK","CHECK")</f>
        <v>OK</v>
      </c>
      <c r="M2345" s="14">
        <f>DATE(YEAR(tblTransactions[[#This Row],[date]]),MONTH(tblTransactions[[#This Row],[date]]),1)</f>
        <v>45748</v>
      </c>
      <c r="N2345" t="str">
        <f>IF(WEEKDAY(tblTransactions[[#This Row],[date]],2)&gt;5,"Weekend","Weekday")</f>
        <v>Weekday</v>
      </c>
      <c r="O234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45" s="13" t="str">
        <f>_xlfn.XLOOKUP(tblTransactions[[#This Row],[tenant_id]],tblTenants[tenant_id],tblTenants[zone],"NOT FOUND")</f>
        <v>Entertainment</v>
      </c>
      <c r="Q2345" s="13" t="str">
        <f>_xlfn.XLOOKUP(tblTransactions[[#This Row],[tenant_id]],tblTenants[tenant_id],tblTenants[category],"NOT FOUND")</f>
        <v>Arcade</v>
      </c>
    </row>
    <row r="2346" spans="1:17">
      <c r="A2346" t="s">
        <v>2390</v>
      </c>
      <c r="B2346" s="2">
        <v>45758</v>
      </c>
      <c r="C2346">
        <v>15</v>
      </c>
      <c r="D2346" t="s">
        <v>20</v>
      </c>
      <c r="E2346" t="s">
        <v>12</v>
      </c>
      <c r="F2346" s="7">
        <v>1680.14</v>
      </c>
      <c r="G2346" s="10">
        <v>0</v>
      </c>
      <c r="H2346" s="7">
        <v>1680.14</v>
      </c>
      <c r="I2346">
        <v>4</v>
      </c>
      <c r="J2346" t="s">
        <v>16</v>
      </c>
      <c r="K2346" s="13">
        <f>ROUND(tblTransactions[[#This Row],[gross_sales_inr]]*(1-tblTransactions[[#This Row],[discount_pct]]),2)</f>
        <v>1680.14</v>
      </c>
      <c r="L2346" t="str">
        <f>IF(ABS(tblTransactions[[#This Row],[net_sales_inr]]-tblTransactions[[#This Row],[Recalc_Net_Sales]])&lt;0.02,"OK","CHECK")</f>
        <v>OK</v>
      </c>
      <c r="M2346" s="14">
        <f>DATE(YEAR(tblTransactions[[#This Row],[date]]),MONTH(tblTransactions[[#This Row],[date]]),1)</f>
        <v>45748</v>
      </c>
      <c r="N2346" t="str">
        <f>IF(WEEKDAY(tblTransactions[[#This Row],[date]],2)&gt;5,"Weekend","Weekday")</f>
        <v>Weekday</v>
      </c>
      <c r="O2346" s="13" t="str">
        <f>IF(tblTransactions[[#This Row],[discount_pct]]=0,"0%",IF(tblTransactions[[#This Row],[discount_pct]]&lt;=10%,"1–
10%",IF(tblTransactions[[#This Row],[discount_pct]]&lt;=20%,"11–20%","&gt;20%")))</f>
        <v>0%</v>
      </c>
      <c r="P2346" s="13" t="str">
        <f>_xlfn.XLOOKUP(tblTransactions[[#This Row],[tenant_id]],tblTenants[tenant_id],tblTenants[zone],"NOT FOUND")</f>
        <v>Fashion Avenue</v>
      </c>
      <c r="Q2346" s="13" t="str">
        <f>_xlfn.XLOOKUP(tblTransactions[[#This Row],[tenant_id]],tblTenants[tenant_id],tblTenants[category],"NOT FOUND")</f>
        <v>Accessories</v>
      </c>
    </row>
    <row r="2347" spans="1:17">
      <c r="A2347" t="s">
        <v>2391</v>
      </c>
      <c r="B2347" s="2">
        <v>45748</v>
      </c>
      <c r="C2347">
        <v>15</v>
      </c>
      <c r="D2347" t="s">
        <v>27</v>
      </c>
      <c r="E2347" t="s">
        <v>12</v>
      </c>
      <c r="F2347" s="7">
        <v>816.94</v>
      </c>
      <c r="G2347" s="10">
        <v>0</v>
      </c>
      <c r="H2347" s="7">
        <v>816.94</v>
      </c>
      <c r="I2347">
        <v>1</v>
      </c>
      <c r="J2347" t="s">
        <v>13</v>
      </c>
      <c r="K2347" s="13">
        <f>ROUND(tblTransactions[[#This Row],[gross_sales_inr]]*(1-tblTransactions[[#This Row],[discount_pct]]),2)</f>
        <v>816.94</v>
      </c>
      <c r="L2347" t="str">
        <f>IF(ABS(tblTransactions[[#This Row],[net_sales_inr]]-tblTransactions[[#This Row],[Recalc_Net_Sales]])&lt;0.02,"OK","CHECK")</f>
        <v>OK</v>
      </c>
      <c r="M2347" s="14">
        <f>DATE(YEAR(tblTransactions[[#This Row],[date]]),MONTH(tblTransactions[[#This Row],[date]]),1)</f>
        <v>45748</v>
      </c>
      <c r="N2347" t="str">
        <f>IF(WEEKDAY(tblTransactions[[#This Row],[date]],2)&gt;5,"Weekend","Weekday")</f>
        <v>Weekday</v>
      </c>
      <c r="O2347" s="13" t="str">
        <f>IF(tblTransactions[[#This Row],[discount_pct]]=0,"0%",IF(tblTransactions[[#This Row],[discount_pct]]&lt;=10%,"1–
10%",IF(tblTransactions[[#This Row],[discount_pct]]&lt;=20%,"11–20%","&gt;20%")))</f>
        <v>0%</v>
      </c>
      <c r="P2347" s="13" t="str">
        <f>_xlfn.XLOOKUP(tblTransactions[[#This Row],[tenant_id]],tblTenants[tenant_id],tblTenants[zone],"NOT FOUND")</f>
        <v>Beauty &amp; Wellness</v>
      </c>
      <c r="Q2347" s="13" t="str">
        <f>_xlfn.XLOOKUP(tblTransactions[[#This Row],[tenant_id]],tblTenants[tenant_id],tblTenants[category],"NOT FOUND")</f>
        <v>Wellness</v>
      </c>
    </row>
    <row r="2348" spans="1:17">
      <c r="A2348" t="s">
        <v>2392</v>
      </c>
      <c r="B2348" s="2">
        <v>45799</v>
      </c>
      <c r="C2348">
        <v>15</v>
      </c>
      <c r="D2348" t="s">
        <v>36</v>
      </c>
      <c r="E2348" t="s">
        <v>32</v>
      </c>
      <c r="F2348" s="7">
        <v>1281.47</v>
      </c>
      <c r="G2348" s="10">
        <v>0.05</v>
      </c>
      <c r="H2348" s="7">
        <v>1217.4000000000001</v>
      </c>
      <c r="I2348">
        <v>1</v>
      </c>
      <c r="J2348" t="s">
        <v>13</v>
      </c>
      <c r="K2348" s="13">
        <f>ROUND(tblTransactions[[#This Row],[gross_sales_inr]]*(1-tblTransactions[[#This Row],[discount_pct]]),2)</f>
        <v>1217.4000000000001</v>
      </c>
      <c r="L2348" t="str">
        <f>IF(ABS(tblTransactions[[#This Row],[net_sales_inr]]-tblTransactions[[#This Row],[Recalc_Net_Sales]])&lt;0.02,"OK","CHECK")</f>
        <v>OK</v>
      </c>
      <c r="M2348" s="14">
        <f>DATE(YEAR(tblTransactions[[#This Row],[date]]),MONTH(tblTransactions[[#This Row],[date]]),1)</f>
        <v>45778</v>
      </c>
      <c r="N2348" t="str">
        <f>IF(WEEKDAY(tblTransactions[[#This Row],[date]],2)&gt;5,"Weekend","Weekday")</f>
        <v>Weekday</v>
      </c>
      <c r="O234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48" s="13" t="str">
        <f>_xlfn.XLOOKUP(tblTransactions[[#This Row],[tenant_id]],tblTenants[tenant_id],tblTenants[zone],"NOT FOUND")</f>
        <v>Home &amp; Living</v>
      </c>
      <c r="Q2348" s="13" t="str">
        <f>_xlfn.XLOOKUP(tblTransactions[[#This Row],[tenant_id]],tblTenants[tenant_id],tblTenants[category],"NOT FOUND")</f>
        <v>Electronics</v>
      </c>
    </row>
    <row r="2349" spans="1:17">
      <c r="A2349" t="s">
        <v>2393</v>
      </c>
      <c r="B2349" s="2">
        <v>45827</v>
      </c>
      <c r="C2349">
        <v>20</v>
      </c>
      <c r="D2349" t="s">
        <v>31</v>
      </c>
      <c r="E2349" t="s">
        <v>12</v>
      </c>
      <c r="F2349" s="7">
        <v>2110.0500000000002</v>
      </c>
      <c r="G2349" s="10">
        <v>0.05</v>
      </c>
      <c r="H2349" s="7">
        <v>2004.55</v>
      </c>
      <c r="I2349">
        <v>3</v>
      </c>
      <c r="J2349" t="s">
        <v>13</v>
      </c>
      <c r="K2349" s="13">
        <f>ROUND(tblTransactions[[#This Row],[gross_sales_inr]]*(1-tblTransactions[[#This Row],[discount_pct]]),2)</f>
        <v>2004.55</v>
      </c>
      <c r="L2349" t="str">
        <f>IF(ABS(tblTransactions[[#This Row],[net_sales_inr]]-tblTransactions[[#This Row],[Recalc_Net_Sales]])&lt;0.02,"OK","CHECK")</f>
        <v>OK</v>
      </c>
      <c r="M2349" s="14">
        <f>DATE(YEAR(tblTransactions[[#This Row],[date]]),MONTH(tblTransactions[[#This Row],[date]]),1)</f>
        <v>45809</v>
      </c>
      <c r="N2349" t="str">
        <f>IF(WEEKDAY(tblTransactions[[#This Row],[date]],2)&gt;5,"Weekend","Weekday")</f>
        <v>Weekday</v>
      </c>
      <c r="O234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49" s="13" t="str">
        <f>_xlfn.XLOOKUP(tblTransactions[[#This Row],[tenant_id]],tblTenants[tenant_id],tblTenants[zone],"NOT FOUND")</f>
        <v>Entertainment</v>
      </c>
      <c r="Q2349" s="13" t="str">
        <f>_xlfn.XLOOKUP(tblTransactions[[#This Row],[tenant_id]],tblTenants[tenant_id],tblTenants[category],"NOT FOUND")</f>
        <v>Arcade</v>
      </c>
    </row>
    <row r="2350" spans="1:17">
      <c r="A2350" t="s">
        <v>2394</v>
      </c>
      <c r="B2350" s="2">
        <v>45749</v>
      </c>
      <c r="C2350">
        <v>12</v>
      </c>
      <c r="D2350" t="s">
        <v>27</v>
      </c>
      <c r="E2350" t="s">
        <v>12</v>
      </c>
      <c r="F2350" s="7">
        <v>891.9</v>
      </c>
      <c r="G2350" s="10">
        <v>0</v>
      </c>
      <c r="H2350" s="7">
        <v>891.9</v>
      </c>
      <c r="I2350">
        <v>3</v>
      </c>
      <c r="J2350" t="s">
        <v>13</v>
      </c>
      <c r="K2350" s="13">
        <f>ROUND(tblTransactions[[#This Row],[gross_sales_inr]]*(1-tblTransactions[[#This Row],[discount_pct]]),2)</f>
        <v>891.9</v>
      </c>
      <c r="L2350" t="str">
        <f>IF(ABS(tblTransactions[[#This Row],[net_sales_inr]]-tblTransactions[[#This Row],[Recalc_Net_Sales]])&lt;0.02,"OK","CHECK")</f>
        <v>OK</v>
      </c>
      <c r="M2350" s="14">
        <f>DATE(YEAR(tblTransactions[[#This Row],[date]]),MONTH(tblTransactions[[#This Row],[date]]),1)</f>
        <v>45748</v>
      </c>
      <c r="N2350" t="str">
        <f>IF(WEEKDAY(tblTransactions[[#This Row],[date]],2)&gt;5,"Weekend","Weekday")</f>
        <v>Weekday</v>
      </c>
      <c r="O2350" s="13" t="str">
        <f>IF(tblTransactions[[#This Row],[discount_pct]]=0,"0%",IF(tblTransactions[[#This Row],[discount_pct]]&lt;=10%,"1–
10%",IF(tblTransactions[[#This Row],[discount_pct]]&lt;=20%,"11–20%","&gt;20%")))</f>
        <v>0%</v>
      </c>
      <c r="P2350" s="13" t="str">
        <f>_xlfn.XLOOKUP(tblTransactions[[#This Row],[tenant_id]],tblTenants[tenant_id],tblTenants[zone],"NOT FOUND")</f>
        <v>Beauty &amp; Wellness</v>
      </c>
      <c r="Q2350" s="13" t="str">
        <f>_xlfn.XLOOKUP(tblTransactions[[#This Row],[tenant_id]],tblTenants[tenant_id],tblTenants[category],"NOT FOUND")</f>
        <v>Wellness</v>
      </c>
    </row>
    <row r="2351" spans="1:17">
      <c r="A2351" t="s">
        <v>2395</v>
      </c>
      <c r="B2351" s="2">
        <v>45767</v>
      </c>
      <c r="C2351">
        <v>14</v>
      </c>
      <c r="D2351" t="s">
        <v>63</v>
      </c>
      <c r="E2351" t="s">
        <v>12</v>
      </c>
      <c r="F2351" s="7">
        <v>1616.39</v>
      </c>
      <c r="G2351" s="10">
        <v>0</v>
      </c>
      <c r="H2351" s="7">
        <v>1616.39</v>
      </c>
      <c r="I2351">
        <v>4</v>
      </c>
      <c r="J2351" t="s">
        <v>13</v>
      </c>
      <c r="K2351" s="13">
        <f>ROUND(tblTransactions[[#This Row],[gross_sales_inr]]*(1-tblTransactions[[#This Row],[discount_pct]]),2)</f>
        <v>1616.39</v>
      </c>
      <c r="L2351" t="str">
        <f>IF(ABS(tblTransactions[[#This Row],[net_sales_inr]]-tblTransactions[[#This Row],[Recalc_Net_Sales]])&lt;0.02,"OK","CHECK")</f>
        <v>OK</v>
      </c>
      <c r="M2351" s="14">
        <f>DATE(YEAR(tblTransactions[[#This Row],[date]]),MONTH(tblTransactions[[#This Row],[date]]),1)</f>
        <v>45748</v>
      </c>
      <c r="N2351" t="str">
        <f>IF(WEEKDAY(tblTransactions[[#This Row],[date]],2)&gt;5,"Weekend","Weekday")</f>
        <v>Weekend</v>
      </c>
      <c r="O2351" s="13" t="str">
        <f>IF(tblTransactions[[#This Row],[discount_pct]]=0,"0%",IF(tblTransactions[[#This Row],[discount_pct]]&lt;=10%,"1–
10%",IF(tblTransactions[[#This Row],[discount_pct]]&lt;=20%,"11–20%","&gt;20%")))</f>
        <v>0%</v>
      </c>
      <c r="P2351" s="13" t="str">
        <f>_xlfn.XLOOKUP(tblTransactions[[#This Row],[tenant_id]],tblTenants[tenant_id],tblTenants[zone],"NOT FOUND")</f>
        <v>Entertainment</v>
      </c>
      <c r="Q2351" s="13" t="str">
        <f>_xlfn.XLOOKUP(tblTransactions[[#This Row],[tenant_id]],tblTenants[tenant_id],tblTenants[category],"NOT FOUND")</f>
        <v>Family Entertainment</v>
      </c>
    </row>
    <row r="2352" spans="1:17">
      <c r="A2352" t="s">
        <v>2396</v>
      </c>
      <c r="B2352" s="2">
        <v>45689</v>
      </c>
      <c r="C2352">
        <v>12</v>
      </c>
      <c r="D2352" t="s">
        <v>70</v>
      </c>
      <c r="E2352" t="s">
        <v>12</v>
      </c>
      <c r="F2352" s="7">
        <v>413.8</v>
      </c>
      <c r="G2352" s="10">
        <v>0</v>
      </c>
      <c r="H2352" s="7">
        <v>413.8</v>
      </c>
      <c r="I2352">
        <v>2</v>
      </c>
      <c r="J2352" t="s">
        <v>16</v>
      </c>
      <c r="K2352" s="13">
        <f>ROUND(tblTransactions[[#This Row],[gross_sales_inr]]*(1-tblTransactions[[#This Row],[discount_pct]]),2)</f>
        <v>413.8</v>
      </c>
      <c r="L2352" t="str">
        <f>IF(ABS(tblTransactions[[#This Row],[net_sales_inr]]-tblTransactions[[#This Row],[Recalc_Net_Sales]])&lt;0.02,"OK","CHECK")</f>
        <v>OK</v>
      </c>
      <c r="M2352" s="14">
        <f>DATE(YEAR(tblTransactions[[#This Row],[date]]),MONTH(tblTransactions[[#This Row],[date]]),1)</f>
        <v>45689</v>
      </c>
      <c r="N2352" t="str">
        <f>IF(WEEKDAY(tblTransactions[[#This Row],[date]],2)&gt;5,"Weekend","Weekday")</f>
        <v>Weekend</v>
      </c>
      <c r="O2352" s="13" t="str">
        <f>IF(tblTransactions[[#This Row],[discount_pct]]=0,"0%",IF(tblTransactions[[#This Row],[discount_pct]]&lt;=10%,"1–
10%",IF(tblTransactions[[#This Row],[discount_pct]]&lt;=20%,"11–20%","&gt;20%")))</f>
        <v>0%</v>
      </c>
      <c r="P2352" s="13" t="str">
        <f>_xlfn.XLOOKUP(tblTransactions[[#This Row],[tenant_id]],tblTenants[tenant_id],tblTenants[zone],"NOT FOUND")</f>
        <v>Food Court</v>
      </c>
      <c r="Q2352" s="13" t="str">
        <f>_xlfn.XLOOKUP(tblTransactions[[#This Row],[tenant_id]],tblTenants[tenant_id],tblTenants[category],"NOT FOUND")</f>
        <v>Quick Service</v>
      </c>
    </row>
    <row r="2353" spans="1:17">
      <c r="A2353" t="s">
        <v>2397</v>
      </c>
      <c r="B2353" s="2">
        <v>45783</v>
      </c>
      <c r="C2353">
        <v>14</v>
      </c>
      <c r="D2353" t="s">
        <v>72</v>
      </c>
      <c r="E2353" t="s">
        <v>12</v>
      </c>
      <c r="F2353" s="7">
        <v>1677.2</v>
      </c>
      <c r="G2353" s="10">
        <v>0.1</v>
      </c>
      <c r="H2353" s="7">
        <v>1509.48</v>
      </c>
      <c r="I2353">
        <v>1</v>
      </c>
      <c r="J2353" t="s">
        <v>13</v>
      </c>
      <c r="K2353" s="13">
        <f>ROUND(tblTransactions[[#This Row],[gross_sales_inr]]*(1-tblTransactions[[#This Row],[discount_pct]]),2)</f>
        <v>1509.48</v>
      </c>
      <c r="L2353" t="str">
        <f>IF(ABS(tblTransactions[[#This Row],[net_sales_inr]]-tblTransactions[[#This Row],[Recalc_Net_Sales]])&lt;0.02,"OK","CHECK")</f>
        <v>OK</v>
      </c>
      <c r="M2353" s="14">
        <f>DATE(YEAR(tblTransactions[[#This Row],[date]]),MONTH(tblTransactions[[#This Row],[date]]),1)</f>
        <v>45778</v>
      </c>
      <c r="N2353" t="str">
        <f>IF(WEEKDAY(tblTransactions[[#This Row],[date]],2)&gt;5,"Weekend","Weekday")</f>
        <v>Weekday</v>
      </c>
      <c r="O235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53" s="13" t="str">
        <f>_xlfn.XLOOKUP(tblTransactions[[#This Row],[tenant_id]],tblTenants[tenant_id],tblTenants[zone],"NOT FOUND")</f>
        <v>Entertainment</v>
      </c>
      <c r="Q2353" s="13" t="str">
        <f>_xlfn.XLOOKUP(tblTransactions[[#This Row],[tenant_id]],tblTenants[tenant_id],tblTenants[category],"NOT FOUND")</f>
        <v>Arcade</v>
      </c>
    </row>
    <row r="2354" spans="1:17">
      <c r="A2354" t="s">
        <v>2398</v>
      </c>
      <c r="B2354" s="2">
        <v>45731</v>
      </c>
      <c r="C2354">
        <v>12</v>
      </c>
      <c r="D2354" t="s">
        <v>63</v>
      </c>
      <c r="E2354" t="s">
        <v>32</v>
      </c>
      <c r="F2354" s="7">
        <v>1694.68</v>
      </c>
      <c r="G2354" s="10">
        <v>0</v>
      </c>
      <c r="H2354" s="7">
        <v>1694.68</v>
      </c>
      <c r="I2354">
        <v>3</v>
      </c>
      <c r="J2354" t="s">
        <v>16</v>
      </c>
      <c r="K2354" s="13">
        <f>ROUND(tblTransactions[[#This Row],[gross_sales_inr]]*(1-tblTransactions[[#This Row],[discount_pct]]),2)</f>
        <v>1694.68</v>
      </c>
      <c r="L2354" t="str">
        <f>IF(ABS(tblTransactions[[#This Row],[net_sales_inr]]-tblTransactions[[#This Row],[Recalc_Net_Sales]])&lt;0.02,"OK","CHECK")</f>
        <v>OK</v>
      </c>
      <c r="M2354" s="14">
        <f>DATE(YEAR(tblTransactions[[#This Row],[date]]),MONTH(tblTransactions[[#This Row],[date]]),1)</f>
        <v>45717</v>
      </c>
      <c r="N2354" t="str">
        <f>IF(WEEKDAY(tblTransactions[[#This Row],[date]],2)&gt;5,"Weekend","Weekday")</f>
        <v>Weekend</v>
      </c>
      <c r="O2354" s="13" t="str">
        <f>IF(tblTransactions[[#This Row],[discount_pct]]=0,"0%",IF(tblTransactions[[#This Row],[discount_pct]]&lt;=10%,"1–
10%",IF(tblTransactions[[#This Row],[discount_pct]]&lt;=20%,"11–20%","&gt;20%")))</f>
        <v>0%</v>
      </c>
      <c r="P2354" s="13" t="str">
        <f>_xlfn.XLOOKUP(tblTransactions[[#This Row],[tenant_id]],tblTenants[tenant_id],tblTenants[zone],"NOT FOUND")</f>
        <v>Entertainment</v>
      </c>
      <c r="Q2354" s="13" t="str">
        <f>_xlfn.XLOOKUP(tblTransactions[[#This Row],[tenant_id]],tblTenants[tenant_id],tblTenants[category],"NOT FOUND")</f>
        <v>Family Entertainment</v>
      </c>
    </row>
    <row r="2355" spans="1:17">
      <c r="A2355" t="s">
        <v>2399</v>
      </c>
      <c r="B2355" s="2">
        <v>45708</v>
      </c>
      <c r="C2355">
        <v>16</v>
      </c>
      <c r="D2355" t="s">
        <v>48</v>
      </c>
      <c r="E2355" t="s">
        <v>12</v>
      </c>
      <c r="F2355" s="7">
        <v>2331.83</v>
      </c>
      <c r="G2355" s="10">
        <v>0.1</v>
      </c>
      <c r="H2355" s="7">
        <v>2098.65</v>
      </c>
      <c r="I2355">
        <v>3</v>
      </c>
      <c r="J2355" t="s">
        <v>13</v>
      </c>
      <c r="K2355" s="13">
        <f>ROUND(tblTransactions[[#This Row],[gross_sales_inr]]*(1-tblTransactions[[#This Row],[discount_pct]]),2)</f>
        <v>2098.65</v>
      </c>
      <c r="L2355" t="str">
        <f>IF(ABS(tblTransactions[[#This Row],[net_sales_inr]]-tblTransactions[[#This Row],[Recalc_Net_Sales]])&lt;0.02,"OK","CHECK")</f>
        <v>OK</v>
      </c>
      <c r="M2355" s="14">
        <f>DATE(YEAR(tblTransactions[[#This Row],[date]]),MONTH(tblTransactions[[#This Row],[date]]),1)</f>
        <v>45689</v>
      </c>
      <c r="N2355" t="str">
        <f>IF(WEEKDAY(tblTransactions[[#This Row],[date]],2)&gt;5,"Weekend","Weekday")</f>
        <v>Weekday</v>
      </c>
      <c r="O235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55" s="13" t="str">
        <f>_xlfn.XLOOKUP(tblTransactions[[#This Row],[tenant_id]],tblTenants[tenant_id],tblTenants[zone],"NOT FOUND")</f>
        <v>Beauty &amp; Wellness</v>
      </c>
      <c r="Q2355" s="13" t="str">
        <f>_xlfn.XLOOKUP(tblTransactions[[#This Row],[tenant_id]],tblTenants[tenant_id],tblTenants[category],"NOT FOUND")</f>
        <v>Wellness</v>
      </c>
    </row>
    <row r="2356" spans="1:17">
      <c r="A2356" t="s">
        <v>2400</v>
      </c>
      <c r="B2356" s="2">
        <v>45743</v>
      </c>
      <c r="C2356">
        <v>12</v>
      </c>
      <c r="D2356" t="s">
        <v>55</v>
      </c>
      <c r="E2356" t="s">
        <v>51</v>
      </c>
      <c r="F2356" s="7">
        <v>253.49</v>
      </c>
      <c r="G2356" s="10">
        <v>0</v>
      </c>
      <c r="H2356" s="7">
        <v>253.49</v>
      </c>
      <c r="I2356">
        <v>6</v>
      </c>
      <c r="J2356" t="s">
        <v>16</v>
      </c>
      <c r="K2356" s="13">
        <f>ROUND(tblTransactions[[#This Row],[gross_sales_inr]]*(1-tblTransactions[[#This Row],[discount_pct]]),2)</f>
        <v>253.49</v>
      </c>
      <c r="L2356" t="str">
        <f>IF(ABS(tblTransactions[[#This Row],[net_sales_inr]]-tblTransactions[[#This Row],[Recalc_Net_Sales]])&lt;0.02,"OK","CHECK")</f>
        <v>OK</v>
      </c>
      <c r="M2356" s="14">
        <f>DATE(YEAR(tblTransactions[[#This Row],[date]]),MONTH(tblTransactions[[#This Row],[date]]),1)</f>
        <v>45717</v>
      </c>
      <c r="N2356" t="str">
        <f>IF(WEEKDAY(tblTransactions[[#This Row],[date]],2)&gt;5,"Weekend","Weekday")</f>
        <v>Weekday</v>
      </c>
      <c r="O2356" s="13" t="str">
        <f>IF(tblTransactions[[#This Row],[discount_pct]]=0,"0%",IF(tblTransactions[[#This Row],[discount_pct]]&lt;=10%,"1–
10%",IF(tblTransactions[[#This Row],[discount_pct]]&lt;=20%,"11–20%","&gt;20%")))</f>
        <v>0%</v>
      </c>
      <c r="P2356" s="13" t="str">
        <f>_xlfn.XLOOKUP(tblTransactions[[#This Row],[tenant_id]],tblTenants[tenant_id],tblTenants[zone],"NOT FOUND")</f>
        <v>Food Court</v>
      </c>
      <c r="Q2356" s="13" t="str">
        <f>_xlfn.XLOOKUP(tblTransactions[[#This Row],[tenant_id]],tblTenants[tenant_id],tblTenants[category],"NOT FOUND")</f>
        <v>Quick Service</v>
      </c>
    </row>
    <row r="2357" spans="1:17">
      <c r="A2357" t="s">
        <v>2401</v>
      </c>
      <c r="B2357" s="2">
        <v>45668</v>
      </c>
      <c r="C2357">
        <v>21</v>
      </c>
      <c r="D2357" t="s">
        <v>41</v>
      </c>
      <c r="E2357" t="s">
        <v>32</v>
      </c>
      <c r="F2357" s="7">
        <v>2051.0300000000002</v>
      </c>
      <c r="G2357" s="10">
        <v>0.1</v>
      </c>
      <c r="H2357" s="7">
        <v>1845.93</v>
      </c>
      <c r="I2357">
        <v>2</v>
      </c>
      <c r="J2357" t="s">
        <v>13</v>
      </c>
      <c r="K2357" s="13">
        <f>ROUND(tblTransactions[[#This Row],[gross_sales_inr]]*(1-tblTransactions[[#This Row],[discount_pct]]),2)</f>
        <v>1845.93</v>
      </c>
      <c r="L2357" t="str">
        <f>IF(ABS(tblTransactions[[#This Row],[net_sales_inr]]-tblTransactions[[#This Row],[Recalc_Net_Sales]])&lt;0.02,"OK","CHECK")</f>
        <v>OK</v>
      </c>
      <c r="M2357" s="14">
        <f>DATE(YEAR(tblTransactions[[#This Row],[date]]),MONTH(tblTransactions[[#This Row],[date]]),1)</f>
        <v>45658</v>
      </c>
      <c r="N2357" t="str">
        <f>IF(WEEKDAY(tblTransactions[[#This Row],[date]],2)&gt;5,"Weekend","Weekday")</f>
        <v>Weekend</v>
      </c>
      <c r="O235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57" s="13" t="str">
        <f>_xlfn.XLOOKUP(tblTransactions[[#This Row],[tenant_id]],tblTenants[tenant_id],tblTenants[zone],"NOT FOUND")</f>
        <v>Fashion Avenue</v>
      </c>
      <c r="Q2357" s="13" t="str">
        <f>_xlfn.XLOOKUP(tblTransactions[[#This Row],[tenant_id]],tblTenants[tenant_id],tblTenants[category],"NOT FOUND")</f>
        <v>Clothing</v>
      </c>
    </row>
    <row r="2358" spans="1:17">
      <c r="A2358" t="s">
        <v>2402</v>
      </c>
      <c r="B2358" s="2">
        <v>45835</v>
      </c>
      <c r="C2358">
        <v>11</v>
      </c>
      <c r="D2358" t="s">
        <v>11</v>
      </c>
      <c r="E2358" t="s">
        <v>12</v>
      </c>
      <c r="F2358" s="7">
        <v>664.61</v>
      </c>
      <c r="G2358" s="10">
        <v>0.3</v>
      </c>
      <c r="H2358" s="7">
        <v>465.23</v>
      </c>
      <c r="I2358">
        <v>5</v>
      </c>
      <c r="J2358" t="s">
        <v>13</v>
      </c>
      <c r="K2358" s="13">
        <f>ROUND(tblTransactions[[#This Row],[gross_sales_inr]]*(1-tblTransactions[[#This Row],[discount_pct]]),2)</f>
        <v>465.23</v>
      </c>
      <c r="L2358" t="str">
        <f>IF(ABS(tblTransactions[[#This Row],[net_sales_inr]]-tblTransactions[[#This Row],[Recalc_Net_Sales]])&lt;0.02,"OK","CHECK")</f>
        <v>OK</v>
      </c>
      <c r="M2358" s="14">
        <f>DATE(YEAR(tblTransactions[[#This Row],[date]]),MONTH(tblTransactions[[#This Row],[date]]),1)</f>
        <v>45809</v>
      </c>
      <c r="N2358" t="str">
        <f>IF(WEEKDAY(tblTransactions[[#This Row],[date]],2)&gt;5,"Weekend","Weekday")</f>
        <v>Weekday</v>
      </c>
      <c r="O2358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358" s="13" t="str">
        <f>_xlfn.XLOOKUP(tblTransactions[[#This Row],[tenant_id]],tblTenants[tenant_id],tblTenants[zone],"NOT FOUND")</f>
        <v>Home &amp; Living</v>
      </c>
      <c r="Q2358" s="13" t="str">
        <f>_xlfn.XLOOKUP(tblTransactions[[#This Row],[tenant_id]],tblTenants[tenant_id],tblTenants[category],"NOT FOUND")</f>
        <v>Home Decor</v>
      </c>
    </row>
    <row r="2359" spans="1:17">
      <c r="A2359" t="s">
        <v>2403</v>
      </c>
      <c r="B2359" s="2">
        <v>45694</v>
      </c>
      <c r="C2359">
        <v>15</v>
      </c>
      <c r="D2359" t="s">
        <v>27</v>
      </c>
      <c r="E2359" t="s">
        <v>12</v>
      </c>
      <c r="F2359" s="7">
        <v>1141.06</v>
      </c>
      <c r="G2359" s="10">
        <v>0</v>
      </c>
      <c r="H2359" s="7">
        <v>1141.06</v>
      </c>
      <c r="I2359">
        <v>2</v>
      </c>
      <c r="J2359" t="s">
        <v>13</v>
      </c>
      <c r="K2359" s="13">
        <f>ROUND(tblTransactions[[#This Row],[gross_sales_inr]]*(1-tblTransactions[[#This Row],[discount_pct]]),2)</f>
        <v>1141.06</v>
      </c>
      <c r="L2359" t="str">
        <f>IF(ABS(tblTransactions[[#This Row],[net_sales_inr]]-tblTransactions[[#This Row],[Recalc_Net_Sales]])&lt;0.02,"OK","CHECK")</f>
        <v>OK</v>
      </c>
      <c r="M2359" s="14">
        <f>DATE(YEAR(tblTransactions[[#This Row],[date]]),MONTH(tblTransactions[[#This Row],[date]]),1)</f>
        <v>45689</v>
      </c>
      <c r="N2359" t="str">
        <f>IF(WEEKDAY(tblTransactions[[#This Row],[date]],2)&gt;5,"Weekend","Weekday")</f>
        <v>Weekday</v>
      </c>
      <c r="O2359" s="13" t="str">
        <f>IF(tblTransactions[[#This Row],[discount_pct]]=0,"0%",IF(tblTransactions[[#This Row],[discount_pct]]&lt;=10%,"1–
10%",IF(tblTransactions[[#This Row],[discount_pct]]&lt;=20%,"11–20%","&gt;20%")))</f>
        <v>0%</v>
      </c>
      <c r="P2359" s="13" t="str">
        <f>_xlfn.XLOOKUP(tblTransactions[[#This Row],[tenant_id]],tblTenants[tenant_id],tblTenants[zone],"NOT FOUND")</f>
        <v>Beauty &amp; Wellness</v>
      </c>
      <c r="Q2359" s="13" t="str">
        <f>_xlfn.XLOOKUP(tblTransactions[[#This Row],[tenant_id]],tblTenants[tenant_id],tblTenants[category],"NOT FOUND")</f>
        <v>Wellness</v>
      </c>
    </row>
    <row r="2360" spans="1:17">
      <c r="A2360" t="s">
        <v>2404</v>
      </c>
      <c r="B2360" s="2">
        <v>45770</v>
      </c>
      <c r="C2360">
        <v>22</v>
      </c>
      <c r="D2360" t="s">
        <v>34</v>
      </c>
      <c r="E2360" t="s">
        <v>51</v>
      </c>
      <c r="F2360" s="7">
        <v>1002.99</v>
      </c>
      <c r="G2360" s="10">
        <v>0.2</v>
      </c>
      <c r="H2360" s="7">
        <v>802.39</v>
      </c>
      <c r="I2360">
        <v>4</v>
      </c>
      <c r="J2360" t="s">
        <v>13</v>
      </c>
      <c r="K2360" s="13">
        <f>ROUND(tblTransactions[[#This Row],[gross_sales_inr]]*(1-tblTransactions[[#This Row],[discount_pct]]),2)</f>
        <v>802.39</v>
      </c>
      <c r="L2360" t="str">
        <f>IF(ABS(tblTransactions[[#This Row],[net_sales_inr]]-tblTransactions[[#This Row],[Recalc_Net_Sales]])&lt;0.02,"OK","CHECK")</f>
        <v>OK</v>
      </c>
      <c r="M2360" s="14">
        <f>DATE(YEAR(tblTransactions[[#This Row],[date]]),MONTH(tblTransactions[[#This Row],[date]]),1)</f>
        <v>45748</v>
      </c>
      <c r="N2360" t="str">
        <f>IF(WEEKDAY(tblTransactions[[#This Row],[date]],2)&gt;5,"Weekend","Weekday")</f>
        <v>Weekday</v>
      </c>
      <c r="O236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60" s="13" t="str">
        <f>_xlfn.XLOOKUP(tblTransactions[[#This Row],[tenant_id]],tblTenants[tenant_id],tblTenants[zone],"NOT FOUND")</f>
        <v>Home &amp; Living</v>
      </c>
      <c r="Q2360" s="13" t="str">
        <f>_xlfn.XLOOKUP(tblTransactions[[#This Row],[tenant_id]],tblTenants[tenant_id],tblTenants[category],"NOT FOUND")</f>
        <v>Electronics</v>
      </c>
    </row>
    <row r="2361" spans="1:17">
      <c r="A2361" t="s">
        <v>2405</v>
      </c>
      <c r="B2361" s="2">
        <v>45715</v>
      </c>
      <c r="C2361">
        <v>19</v>
      </c>
      <c r="D2361" t="s">
        <v>41</v>
      </c>
      <c r="E2361" t="s">
        <v>21</v>
      </c>
      <c r="F2361" s="7">
        <v>1485.42</v>
      </c>
      <c r="G2361" s="10">
        <v>0</v>
      </c>
      <c r="H2361" s="7">
        <v>1485.42</v>
      </c>
      <c r="I2361">
        <v>2</v>
      </c>
      <c r="J2361" t="s">
        <v>13</v>
      </c>
      <c r="K2361" s="13">
        <f>ROUND(tblTransactions[[#This Row],[gross_sales_inr]]*(1-tblTransactions[[#This Row],[discount_pct]]),2)</f>
        <v>1485.42</v>
      </c>
      <c r="L2361" t="str">
        <f>IF(ABS(tblTransactions[[#This Row],[net_sales_inr]]-tblTransactions[[#This Row],[Recalc_Net_Sales]])&lt;0.02,"OK","CHECK")</f>
        <v>OK</v>
      </c>
      <c r="M2361" s="14">
        <f>DATE(YEAR(tblTransactions[[#This Row],[date]]),MONTH(tblTransactions[[#This Row],[date]]),1)</f>
        <v>45689</v>
      </c>
      <c r="N2361" t="str">
        <f>IF(WEEKDAY(tblTransactions[[#This Row],[date]],2)&gt;5,"Weekend","Weekday")</f>
        <v>Weekday</v>
      </c>
      <c r="O2361" s="13" t="str">
        <f>IF(tblTransactions[[#This Row],[discount_pct]]=0,"0%",IF(tblTransactions[[#This Row],[discount_pct]]&lt;=10%,"1–
10%",IF(tblTransactions[[#This Row],[discount_pct]]&lt;=20%,"11–20%","&gt;20%")))</f>
        <v>0%</v>
      </c>
      <c r="P2361" s="13" t="str">
        <f>_xlfn.XLOOKUP(tblTransactions[[#This Row],[tenant_id]],tblTenants[tenant_id],tblTenants[zone],"NOT FOUND")</f>
        <v>Fashion Avenue</v>
      </c>
      <c r="Q2361" s="13" t="str">
        <f>_xlfn.XLOOKUP(tblTransactions[[#This Row],[tenant_id]],tblTenants[tenant_id],tblTenants[category],"NOT FOUND")</f>
        <v>Clothing</v>
      </c>
    </row>
    <row r="2362" spans="1:17">
      <c r="A2362" t="s">
        <v>2406</v>
      </c>
      <c r="B2362" s="2">
        <v>45715</v>
      </c>
      <c r="C2362">
        <v>19</v>
      </c>
      <c r="D2362" t="s">
        <v>80</v>
      </c>
      <c r="E2362" t="s">
        <v>12</v>
      </c>
      <c r="F2362" s="7">
        <v>1970.69</v>
      </c>
      <c r="G2362" s="10">
        <v>0</v>
      </c>
      <c r="H2362" s="7">
        <v>1970.69</v>
      </c>
      <c r="I2362">
        <v>3</v>
      </c>
      <c r="J2362" t="s">
        <v>13</v>
      </c>
      <c r="K2362" s="13">
        <f>ROUND(tblTransactions[[#This Row],[gross_sales_inr]]*(1-tblTransactions[[#This Row],[discount_pct]]),2)</f>
        <v>1970.69</v>
      </c>
      <c r="L2362" t="str">
        <f>IF(ABS(tblTransactions[[#This Row],[net_sales_inr]]-tblTransactions[[#This Row],[Recalc_Net_Sales]])&lt;0.02,"OK","CHECK")</f>
        <v>OK</v>
      </c>
      <c r="M2362" s="14">
        <f>DATE(YEAR(tblTransactions[[#This Row],[date]]),MONTH(tblTransactions[[#This Row],[date]]),1)</f>
        <v>45689</v>
      </c>
      <c r="N2362" t="str">
        <f>IF(WEEKDAY(tblTransactions[[#This Row],[date]],2)&gt;5,"Weekend","Weekday")</f>
        <v>Weekday</v>
      </c>
      <c r="O2362" s="13" t="str">
        <f>IF(tblTransactions[[#This Row],[discount_pct]]=0,"0%",IF(tblTransactions[[#This Row],[discount_pct]]&lt;=10%,"1–
10%",IF(tblTransactions[[#This Row],[discount_pct]]&lt;=20%,"11–20%","&gt;20%")))</f>
        <v>0%</v>
      </c>
      <c r="P2362" s="13" t="str">
        <f>_xlfn.XLOOKUP(tblTransactions[[#This Row],[tenant_id]],tblTenants[tenant_id],tblTenants[zone],"NOT FOUND")</f>
        <v>Food Court</v>
      </c>
      <c r="Q2362" s="13" t="str">
        <f>_xlfn.XLOOKUP(tblTransactions[[#This Row],[tenant_id]],tblTenants[tenant_id],tblTenants[category],"NOT FOUND")</f>
        <v>Casual Dining</v>
      </c>
    </row>
    <row r="2363" spans="1:17">
      <c r="A2363" t="s">
        <v>2407</v>
      </c>
      <c r="B2363" s="2">
        <v>45832</v>
      </c>
      <c r="C2363">
        <v>11</v>
      </c>
      <c r="D2363" t="s">
        <v>80</v>
      </c>
      <c r="E2363" t="s">
        <v>21</v>
      </c>
      <c r="F2363" s="7">
        <v>721.28</v>
      </c>
      <c r="G2363" s="10">
        <v>0.05</v>
      </c>
      <c r="H2363" s="7">
        <v>685.22</v>
      </c>
      <c r="I2363">
        <v>2</v>
      </c>
      <c r="J2363" t="s">
        <v>16</v>
      </c>
      <c r="K2363" s="13">
        <f>ROUND(tblTransactions[[#This Row],[gross_sales_inr]]*(1-tblTransactions[[#This Row],[discount_pct]]),2)</f>
        <v>685.22</v>
      </c>
      <c r="L2363" t="str">
        <f>IF(ABS(tblTransactions[[#This Row],[net_sales_inr]]-tblTransactions[[#This Row],[Recalc_Net_Sales]])&lt;0.02,"OK","CHECK")</f>
        <v>OK</v>
      </c>
      <c r="M2363" s="14">
        <f>DATE(YEAR(tblTransactions[[#This Row],[date]]),MONTH(tblTransactions[[#This Row],[date]]),1)</f>
        <v>45809</v>
      </c>
      <c r="N2363" t="str">
        <f>IF(WEEKDAY(tblTransactions[[#This Row],[date]],2)&gt;5,"Weekend","Weekday")</f>
        <v>Weekday</v>
      </c>
      <c r="O236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63" s="13" t="str">
        <f>_xlfn.XLOOKUP(tblTransactions[[#This Row],[tenant_id]],tblTenants[tenant_id],tblTenants[zone],"NOT FOUND")</f>
        <v>Food Court</v>
      </c>
      <c r="Q2363" s="13" t="str">
        <f>_xlfn.XLOOKUP(tblTransactions[[#This Row],[tenant_id]],tblTenants[tenant_id],tblTenants[category],"NOT FOUND")</f>
        <v>Casual Dining</v>
      </c>
    </row>
    <row r="2364" spans="1:17">
      <c r="A2364" t="s">
        <v>2408</v>
      </c>
      <c r="B2364" s="2">
        <v>45706</v>
      </c>
      <c r="C2364">
        <v>17</v>
      </c>
      <c r="D2364" t="s">
        <v>204</v>
      </c>
      <c r="E2364" t="s">
        <v>21</v>
      </c>
      <c r="F2364" s="7">
        <v>952.21</v>
      </c>
      <c r="G2364" s="10">
        <v>0</v>
      </c>
      <c r="H2364" s="7">
        <v>952.21</v>
      </c>
      <c r="I2364">
        <v>1</v>
      </c>
      <c r="J2364" t="s">
        <v>13</v>
      </c>
      <c r="K2364" s="13">
        <f>ROUND(tblTransactions[[#This Row],[gross_sales_inr]]*(1-tblTransactions[[#This Row],[discount_pct]]),2)</f>
        <v>952.21</v>
      </c>
      <c r="L2364" t="str">
        <f>IF(ABS(tblTransactions[[#This Row],[net_sales_inr]]-tblTransactions[[#This Row],[Recalc_Net_Sales]])&lt;0.02,"OK","CHECK")</f>
        <v>OK</v>
      </c>
      <c r="M2364" s="14">
        <f>DATE(YEAR(tblTransactions[[#This Row],[date]]),MONTH(tblTransactions[[#This Row],[date]]),1)</f>
        <v>45689</v>
      </c>
      <c r="N2364" t="str">
        <f>IF(WEEKDAY(tblTransactions[[#This Row],[date]],2)&gt;5,"Weekend","Weekday")</f>
        <v>Weekday</v>
      </c>
      <c r="O2364" s="13" t="str">
        <f>IF(tblTransactions[[#This Row],[discount_pct]]=0,"0%",IF(tblTransactions[[#This Row],[discount_pct]]&lt;=10%,"1–
10%",IF(tblTransactions[[#This Row],[discount_pct]]&lt;=20%,"11–20%","&gt;20%")))</f>
        <v>0%</v>
      </c>
      <c r="P2364" s="13" t="str">
        <f>_xlfn.XLOOKUP(tblTransactions[[#This Row],[tenant_id]],tblTenants[tenant_id],tblTenants[zone],"NOT FOUND")</f>
        <v>Home &amp; Living</v>
      </c>
      <c r="Q2364" s="13" t="str">
        <f>_xlfn.XLOOKUP(tblTransactions[[#This Row],[tenant_id]],tblTenants[tenant_id],tblTenants[category],"NOT FOUND")</f>
        <v>Home Decor</v>
      </c>
    </row>
    <row r="2365" spans="1:17">
      <c r="A2365" t="s">
        <v>2409</v>
      </c>
      <c r="B2365" s="2">
        <v>45697</v>
      </c>
      <c r="C2365">
        <v>21</v>
      </c>
      <c r="D2365" t="s">
        <v>98</v>
      </c>
      <c r="E2365" t="s">
        <v>12</v>
      </c>
      <c r="F2365" s="7">
        <v>1081.8900000000001</v>
      </c>
      <c r="G2365" s="10">
        <v>0.1</v>
      </c>
      <c r="H2365" s="7">
        <v>973.7</v>
      </c>
      <c r="I2365">
        <v>2</v>
      </c>
      <c r="J2365" t="s">
        <v>16</v>
      </c>
      <c r="K2365" s="13">
        <f>ROUND(tblTransactions[[#This Row],[gross_sales_inr]]*(1-tblTransactions[[#This Row],[discount_pct]]),2)</f>
        <v>973.7</v>
      </c>
      <c r="L2365" t="str">
        <f>IF(ABS(tblTransactions[[#This Row],[net_sales_inr]]-tblTransactions[[#This Row],[Recalc_Net_Sales]])&lt;0.02,"OK","CHECK")</f>
        <v>OK</v>
      </c>
      <c r="M2365" s="14">
        <f>DATE(YEAR(tblTransactions[[#This Row],[date]]),MONTH(tblTransactions[[#This Row],[date]]),1)</f>
        <v>45689</v>
      </c>
      <c r="N2365" t="str">
        <f>IF(WEEKDAY(tblTransactions[[#This Row],[date]],2)&gt;5,"Weekend","Weekday")</f>
        <v>Weekend</v>
      </c>
      <c r="O236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65" s="13" t="str">
        <f>_xlfn.XLOOKUP(tblTransactions[[#This Row],[tenant_id]],tblTenants[tenant_id],tblTenants[zone],"NOT FOUND")</f>
        <v>Fashion Avenue</v>
      </c>
      <c r="Q2365" s="13" t="str">
        <f>_xlfn.XLOOKUP(tblTransactions[[#This Row],[tenant_id]],tblTenants[tenant_id],tblTenants[category],"NOT FOUND")</f>
        <v>Accessories</v>
      </c>
    </row>
    <row r="2366" spans="1:17">
      <c r="A2366" t="s">
        <v>2410</v>
      </c>
      <c r="B2366" s="2">
        <v>45817</v>
      </c>
      <c r="C2366">
        <v>21</v>
      </c>
      <c r="D2366" t="s">
        <v>43</v>
      </c>
      <c r="E2366" t="s">
        <v>32</v>
      </c>
      <c r="F2366" s="7">
        <v>1126.5999999999999</v>
      </c>
      <c r="G2366" s="10">
        <v>0</v>
      </c>
      <c r="H2366" s="7">
        <v>1126.5999999999999</v>
      </c>
      <c r="I2366">
        <v>2</v>
      </c>
      <c r="J2366" t="s">
        <v>16</v>
      </c>
      <c r="K2366" s="13">
        <f>ROUND(tblTransactions[[#This Row],[gross_sales_inr]]*(1-tblTransactions[[#This Row],[discount_pct]]),2)</f>
        <v>1126.5999999999999</v>
      </c>
      <c r="L2366" t="str">
        <f>IF(ABS(tblTransactions[[#This Row],[net_sales_inr]]-tblTransactions[[#This Row],[Recalc_Net_Sales]])&lt;0.02,"OK","CHECK")</f>
        <v>OK</v>
      </c>
      <c r="M2366" s="14">
        <f>DATE(YEAR(tblTransactions[[#This Row],[date]]),MONTH(tblTransactions[[#This Row],[date]]),1)</f>
        <v>45809</v>
      </c>
      <c r="N2366" t="str">
        <f>IF(WEEKDAY(tblTransactions[[#This Row],[date]],2)&gt;5,"Weekend","Weekday")</f>
        <v>Weekday</v>
      </c>
      <c r="O2366" s="13" t="str">
        <f>IF(tblTransactions[[#This Row],[discount_pct]]=0,"0%",IF(tblTransactions[[#This Row],[discount_pct]]&lt;=10%,"1–
10%",IF(tblTransactions[[#This Row],[discount_pct]]&lt;=20%,"11–20%","&gt;20%")))</f>
        <v>0%</v>
      </c>
      <c r="P2366" s="13" t="str">
        <f>_xlfn.XLOOKUP(tblTransactions[[#This Row],[tenant_id]],tblTenants[tenant_id],tblTenants[zone],"NOT FOUND")</f>
        <v>Food Court</v>
      </c>
      <c r="Q2366" s="13" t="str">
        <f>_xlfn.XLOOKUP(tblTransactions[[#This Row],[tenant_id]],tblTenants[tenant_id],tblTenants[category],"NOT FOUND")</f>
        <v>Casual Dining</v>
      </c>
    </row>
    <row r="2367" spans="1:17">
      <c r="A2367" t="s">
        <v>2411</v>
      </c>
      <c r="B2367" s="2">
        <v>45707</v>
      </c>
      <c r="C2367">
        <v>10</v>
      </c>
      <c r="D2367" t="s">
        <v>87</v>
      </c>
      <c r="E2367" t="s">
        <v>32</v>
      </c>
      <c r="F2367" s="7">
        <v>1166.0899999999999</v>
      </c>
      <c r="G2367" s="10">
        <v>0.05</v>
      </c>
      <c r="H2367" s="7">
        <v>1107.79</v>
      </c>
      <c r="I2367">
        <v>1</v>
      </c>
      <c r="J2367" t="s">
        <v>13</v>
      </c>
      <c r="K2367" s="13">
        <f>ROUND(tblTransactions[[#This Row],[gross_sales_inr]]*(1-tblTransactions[[#This Row],[discount_pct]]),2)</f>
        <v>1107.79</v>
      </c>
      <c r="L2367" t="str">
        <f>IF(ABS(tblTransactions[[#This Row],[net_sales_inr]]-tblTransactions[[#This Row],[Recalc_Net_Sales]])&lt;0.02,"OK","CHECK")</f>
        <v>OK</v>
      </c>
      <c r="M2367" s="14">
        <f>DATE(YEAR(tblTransactions[[#This Row],[date]]),MONTH(tblTransactions[[#This Row],[date]]),1)</f>
        <v>45689</v>
      </c>
      <c r="N2367" t="str">
        <f>IF(WEEKDAY(tblTransactions[[#This Row],[date]],2)&gt;5,"Weekend","Weekday")</f>
        <v>Weekday</v>
      </c>
      <c r="O236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67" s="13" t="str">
        <f>_xlfn.XLOOKUP(tblTransactions[[#This Row],[tenant_id]],tblTenants[tenant_id],tblTenants[zone],"NOT FOUND")</f>
        <v>Fashion Avenue</v>
      </c>
      <c r="Q2367" s="13" t="str">
        <f>_xlfn.XLOOKUP(tblTransactions[[#This Row],[tenant_id]],tblTenants[tenant_id],tblTenants[category],"NOT FOUND")</f>
        <v>Footwear</v>
      </c>
    </row>
    <row r="2368" spans="1:17">
      <c r="A2368" t="s">
        <v>2412</v>
      </c>
      <c r="B2368" s="2">
        <v>45775</v>
      </c>
      <c r="C2368">
        <v>13</v>
      </c>
      <c r="D2368" t="s">
        <v>53</v>
      </c>
      <c r="E2368" t="s">
        <v>21</v>
      </c>
      <c r="F2368" s="7">
        <v>2617.08</v>
      </c>
      <c r="G2368" s="10">
        <v>0.05</v>
      </c>
      <c r="H2368" s="7">
        <v>2486.23</v>
      </c>
      <c r="I2368">
        <v>5</v>
      </c>
      <c r="J2368" t="s">
        <v>16</v>
      </c>
      <c r="K2368" s="13">
        <f>ROUND(tblTransactions[[#This Row],[gross_sales_inr]]*(1-tblTransactions[[#This Row],[discount_pct]]),2)</f>
        <v>2486.23</v>
      </c>
      <c r="L2368" t="str">
        <f>IF(ABS(tblTransactions[[#This Row],[net_sales_inr]]-tblTransactions[[#This Row],[Recalc_Net_Sales]])&lt;0.02,"OK","CHECK")</f>
        <v>OK</v>
      </c>
      <c r="M2368" s="14">
        <f>DATE(YEAR(tblTransactions[[#This Row],[date]]),MONTH(tblTransactions[[#This Row],[date]]),1)</f>
        <v>45748</v>
      </c>
      <c r="N2368" t="str">
        <f>IF(WEEKDAY(tblTransactions[[#This Row],[date]],2)&gt;5,"Weekend","Weekday")</f>
        <v>Weekday</v>
      </c>
      <c r="O236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68" s="13" t="str">
        <f>_xlfn.XLOOKUP(tblTransactions[[#This Row],[tenant_id]],tblTenants[tenant_id],tblTenants[zone],"NOT FOUND")</f>
        <v>Beauty &amp; Wellness</v>
      </c>
      <c r="Q2368" s="13" t="str">
        <f>_xlfn.XLOOKUP(tblTransactions[[#This Row],[tenant_id]],tblTenants[tenant_id],tblTenants[category],"NOT FOUND")</f>
        <v>Beauty</v>
      </c>
    </row>
    <row r="2369" spans="1:17">
      <c r="A2369" t="s">
        <v>2413</v>
      </c>
      <c r="B2369" s="2">
        <v>45770</v>
      </c>
      <c r="C2369">
        <v>12</v>
      </c>
      <c r="D2369" t="s">
        <v>104</v>
      </c>
      <c r="E2369" t="s">
        <v>12</v>
      </c>
      <c r="F2369" s="7">
        <v>597.17999999999995</v>
      </c>
      <c r="G2369" s="10">
        <v>0.15</v>
      </c>
      <c r="H2369" s="7">
        <v>507.6</v>
      </c>
      <c r="I2369">
        <v>5</v>
      </c>
      <c r="J2369" t="s">
        <v>16</v>
      </c>
      <c r="K2369" s="13">
        <f>ROUND(tblTransactions[[#This Row],[gross_sales_inr]]*(1-tblTransactions[[#This Row],[discount_pct]]),2)</f>
        <v>507.6</v>
      </c>
      <c r="L2369" t="str">
        <f>IF(ABS(tblTransactions[[#This Row],[net_sales_inr]]-tblTransactions[[#This Row],[Recalc_Net_Sales]])&lt;0.02,"OK","CHECK")</f>
        <v>OK</v>
      </c>
      <c r="M2369" s="14">
        <f>DATE(YEAR(tblTransactions[[#This Row],[date]]),MONTH(tblTransactions[[#This Row],[date]]),1)</f>
        <v>45748</v>
      </c>
      <c r="N2369" t="str">
        <f>IF(WEEKDAY(tblTransactions[[#This Row],[date]],2)&gt;5,"Weekend","Weekday")</f>
        <v>Weekday</v>
      </c>
      <c r="O236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69" s="13" t="str">
        <f>_xlfn.XLOOKUP(tblTransactions[[#This Row],[tenant_id]],tblTenants[tenant_id],tblTenants[zone],"NOT FOUND")</f>
        <v>Entertainment</v>
      </c>
      <c r="Q2369" s="13" t="str">
        <f>_xlfn.XLOOKUP(tblTransactions[[#This Row],[tenant_id]],tblTenants[tenant_id],tblTenants[category],"NOT FOUND")</f>
        <v>Family Entertainment</v>
      </c>
    </row>
    <row r="2370" spans="1:17">
      <c r="A2370" t="s">
        <v>2414</v>
      </c>
      <c r="B2370" s="2">
        <v>45824</v>
      </c>
      <c r="C2370">
        <v>12</v>
      </c>
      <c r="D2370" t="s">
        <v>11</v>
      </c>
      <c r="E2370" t="s">
        <v>32</v>
      </c>
      <c r="F2370" s="7">
        <v>791.13</v>
      </c>
      <c r="G2370" s="10">
        <v>0.05</v>
      </c>
      <c r="H2370" s="7">
        <v>751.57</v>
      </c>
      <c r="I2370">
        <v>2</v>
      </c>
      <c r="J2370" t="s">
        <v>13</v>
      </c>
      <c r="K2370" s="13">
        <f>ROUND(tblTransactions[[#This Row],[gross_sales_inr]]*(1-tblTransactions[[#This Row],[discount_pct]]),2)</f>
        <v>751.57</v>
      </c>
      <c r="L2370" t="str">
        <f>IF(ABS(tblTransactions[[#This Row],[net_sales_inr]]-tblTransactions[[#This Row],[Recalc_Net_Sales]])&lt;0.02,"OK","CHECK")</f>
        <v>OK</v>
      </c>
      <c r="M2370" s="14">
        <f>DATE(YEAR(tblTransactions[[#This Row],[date]]),MONTH(tblTransactions[[#This Row],[date]]),1)</f>
        <v>45809</v>
      </c>
      <c r="N2370" t="str">
        <f>IF(WEEKDAY(tblTransactions[[#This Row],[date]],2)&gt;5,"Weekend","Weekday")</f>
        <v>Weekday</v>
      </c>
      <c r="O237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70" s="13" t="str">
        <f>_xlfn.XLOOKUP(tblTransactions[[#This Row],[tenant_id]],tblTenants[tenant_id],tblTenants[zone],"NOT FOUND")</f>
        <v>Home &amp; Living</v>
      </c>
      <c r="Q2370" s="13" t="str">
        <f>_xlfn.XLOOKUP(tblTransactions[[#This Row],[tenant_id]],tblTenants[tenant_id],tblTenants[category],"NOT FOUND")</f>
        <v>Home Decor</v>
      </c>
    </row>
    <row r="2371" spans="1:17">
      <c r="A2371" t="s">
        <v>2415</v>
      </c>
      <c r="B2371" s="2">
        <v>45737</v>
      </c>
      <c r="C2371">
        <v>19</v>
      </c>
      <c r="D2371" t="s">
        <v>11</v>
      </c>
      <c r="E2371" t="s">
        <v>32</v>
      </c>
      <c r="F2371" s="7">
        <v>1352.29</v>
      </c>
      <c r="G2371" s="10">
        <v>0.15</v>
      </c>
      <c r="H2371" s="7">
        <v>1149.45</v>
      </c>
      <c r="I2371">
        <v>2</v>
      </c>
      <c r="J2371" t="s">
        <v>13</v>
      </c>
      <c r="K2371" s="13">
        <f>ROUND(tblTransactions[[#This Row],[gross_sales_inr]]*(1-tblTransactions[[#This Row],[discount_pct]]),2)</f>
        <v>1149.45</v>
      </c>
      <c r="L2371" t="str">
        <f>IF(ABS(tblTransactions[[#This Row],[net_sales_inr]]-tblTransactions[[#This Row],[Recalc_Net_Sales]])&lt;0.02,"OK","CHECK")</f>
        <v>OK</v>
      </c>
      <c r="M2371" s="14">
        <f>DATE(YEAR(tblTransactions[[#This Row],[date]]),MONTH(tblTransactions[[#This Row],[date]]),1)</f>
        <v>45717</v>
      </c>
      <c r="N2371" t="str">
        <f>IF(WEEKDAY(tblTransactions[[#This Row],[date]],2)&gt;5,"Weekend","Weekday")</f>
        <v>Weekday</v>
      </c>
      <c r="O237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71" s="13" t="str">
        <f>_xlfn.XLOOKUP(tblTransactions[[#This Row],[tenant_id]],tblTenants[tenant_id],tblTenants[zone],"NOT FOUND")</f>
        <v>Home &amp; Living</v>
      </c>
      <c r="Q2371" s="13" t="str">
        <f>_xlfn.XLOOKUP(tblTransactions[[#This Row],[tenant_id]],tblTenants[tenant_id],tblTenants[category],"NOT FOUND")</f>
        <v>Home Decor</v>
      </c>
    </row>
    <row r="2372" spans="1:17">
      <c r="A2372" t="s">
        <v>2416</v>
      </c>
      <c r="B2372" s="2">
        <v>45699</v>
      </c>
      <c r="C2372">
        <v>20</v>
      </c>
      <c r="D2372" t="s">
        <v>122</v>
      </c>
      <c r="E2372" t="s">
        <v>12</v>
      </c>
      <c r="F2372" s="7">
        <v>621.30999999999995</v>
      </c>
      <c r="G2372" s="10">
        <v>0.15</v>
      </c>
      <c r="H2372" s="7">
        <v>528.11</v>
      </c>
      <c r="I2372">
        <v>3</v>
      </c>
      <c r="J2372" t="s">
        <v>13</v>
      </c>
      <c r="K2372" s="13">
        <f>ROUND(tblTransactions[[#This Row],[gross_sales_inr]]*(1-tblTransactions[[#This Row],[discount_pct]]),2)</f>
        <v>528.11</v>
      </c>
      <c r="L2372" t="str">
        <f>IF(ABS(tblTransactions[[#This Row],[net_sales_inr]]-tblTransactions[[#This Row],[Recalc_Net_Sales]])&lt;0.02,"OK","CHECK")</f>
        <v>OK</v>
      </c>
      <c r="M2372" s="14">
        <f>DATE(YEAR(tblTransactions[[#This Row],[date]]),MONTH(tblTransactions[[#This Row],[date]]),1)</f>
        <v>45689</v>
      </c>
      <c r="N2372" t="str">
        <f>IF(WEEKDAY(tblTransactions[[#This Row],[date]],2)&gt;5,"Weekend","Weekday")</f>
        <v>Weekday</v>
      </c>
      <c r="O237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72" s="13" t="str">
        <f>_xlfn.XLOOKUP(tblTransactions[[#This Row],[tenant_id]],tblTenants[tenant_id],tblTenants[zone],"NOT FOUND")</f>
        <v>Beauty &amp; Wellness</v>
      </c>
      <c r="Q2372" s="13" t="str">
        <f>_xlfn.XLOOKUP(tblTransactions[[#This Row],[tenant_id]],tblTenants[tenant_id],tblTenants[category],"NOT FOUND")</f>
        <v>Wellness</v>
      </c>
    </row>
    <row r="2373" spans="1:17">
      <c r="A2373" t="s">
        <v>2417</v>
      </c>
      <c r="B2373" s="2">
        <v>45685</v>
      </c>
      <c r="C2373">
        <v>17</v>
      </c>
      <c r="D2373" t="s">
        <v>23</v>
      </c>
      <c r="E2373" t="s">
        <v>12</v>
      </c>
      <c r="F2373" s="7">
        <v>2187.83</v>
      </c>
      <c r="G2373" s="10">
        <v>0.05</v>
      </c>
      <c r="H2373" s="7">
        <v>2078.44</v>
      </c>
      <c r="I2373">
        <v>2</v>
      </c>
      <c r="J2373" t="s">
        <v>16</v>
      </c>
      <c r="K2373" s="13">
        <f>ROUND(tblTransactions[[#This Row],[gross_sales_inr]]*(1-tblTransactions[[#This Row],[discount_pct]]),2)</f>
        <v>2078.44</v>
      </c>
      <c r="L2373" t="str">
        <f>IF(ABS(tblTransactions[[#This Row],[net_sales_inr]]-tblTransactions[[#This Row],[Recalc_Net_Sales]])&lt;0.02,"OK","CHECK")</f>
        <v>OK</v>
      </c>
      <c r="M2373" s="14">
        <f>DATE(YEAR(tblTransactions[[#This Row],[date]]),MONTH(tblTransactions[[#This Row],[date]]),1)</f>
        <v>45658</v>
      </c>
      <c r="N2373" t="str">
        <f>IF(WEEKDAY(tblTransactions[[#This Row],[date]],2)&gt;5,"Weekend","Weekday")</f>
        <v>Weekday</v>
      </c>
      <c r="O237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73" s="13" t="str">
        <f>_xlfn.XLOOKUP(tblTransactions[[#This Row],[tenant_id]],tblTenants[tenant_id],tblTenants[zone],"NOT FOUND")</f>
        <v>Entertainment</v>
      </c>
      <c r="Q2373" s="13" t="str">
        <f>_xlfn.XLOOKUP(tblTransactions[[#This Row],[tenant_id]],tblTenants[tenant_id],tblTenants[category],"NOT FOUND")</f>
        <v>Cinema</v>
      </c>
    </row>
    <row r="2374" spans="1:17">
      <c r="A2374" t="s">
        <v>2418</v>
      </c>
      <c r="B2374" s="2">
        <v>45697</v>
      </c>
      <c r="C2374">
        <v>16</v>
      </c>
      <c r="D2374" t="s">
        <v>29</v>
      </c>
      <c r="E2374" t="s">
        <v>21</v>
      </c>
      <c r="F2374" s="7">
        <v>1280.8499999999999</v>
      </c>
      <c r="G2374" s="10">
        <v>0</v>
      </c>
      <c r="H2374" s="7">
        <v>1280.8499999999999</v>
      </c>
      <c r="I2374">
        <v>1</v>
      </c>
      <c r="J2374" t="s">
        <v>13</v>
      </c>
      <c r="K2374" s="13">
        <f>ROUND(tblTransactions[[#This Row],[gross_sales_inr]]*(1-tblTransactions[[#This Row],[discount_pct]]),2)</f>
        <v>1280.8499999999999</v>
      </c>
      <c r="L2374" t="str">
        <f>IF(ABS(tblTransactions[[#This Row],[net_sales_inr]]-tblTransactions[[#This Row],[Recalc_Net_Sales]])&lt;0.02,"OK","CHECK")</f>
        <v>OK</v>
      </c>
      <c r="M2374" s="14">
        <f>DATE(YEAR(tblTransactions[[#This Row],[date]]),MONTH(tblTransactions[[#This Row],[date]]),1)</f>
        <v>45689</v>
      </c>
      <c r="N2374" t="str">
        <f>IF(WEEKDAY(tblTransactions[[#This Row],[date]],2)&gt;5,"Weekend","Weekday")</f>
        <v>Weekend</v>
      </c>
      <c r="O2374" s="13" t="str">
        <f>IF(tblTransactions[[#This Row],[discount_pct]]=0,"0%",IF(tblTransactions[[#This Row],[discount_pct]]&lt;=10%,"1–
10%",IF(tblTransactions[[#This Row],[discount_pct]]&lt;=20%,"11–20%","&gt;20%")))</f>
        <v>0%</v>
      </c>
      <c r="P2374" s="13" t="str">
        <f>_xlfn.XLOOKUP(tblTransactions[[#This Row],[tenant_id]],tblTenants[tenant_id],tblTenants[zone],"NOT FOUND")</f>
        <v>Entertainment</v>
      </c>
      <c r="Q2374" s="13" t="str">
        <f>_xlfn.XLOOKUP(tblTransactions[[#This Row],[tenant_id]],tblTenants[tenant_id],tblTenants[category],"NOT FOUND")</f>
        <v>Cinema</v>
      </c>
    </row>
    <row r="2375" spans="1:17">
      <c r="A2375" t="s">
        <v>2419</v>
      </c>
      <c r="B2375" s="2">
        <v>45810</v>
      </c>
      <c r="C2375">
        <v>19</v>
      </c>
      <c r="D2375" t="s">
        <v>59</v>
      </c>
      <c r="E2375" t="s">
        <v>12</v>
      </c>
      <c r="F2375" s="7">
        <v>3036.87</v>
      </c>
      <c r="G2375" s="10">
        <v>0</v>
      </c>
      <c r="H2375" s="7">
        <v>3036.87</v>
      </c>
      <c r="I2375">
        <v>3</v>
      </c>
      <c r="J2375" t="s">
        <v>16</v>
      </c>
      <c r="K2375" s="13">
        <f>ROUND(tblTransactions[[#This Row],[gross_sales_inr]]*(1-tblTransactions[[#This Row],[discount_pct]]),2)</f>
        <v>3036.87</v>
      </c>
      <c r="L2375" t="str">
        <f>IF(ABS(tblTransactions[[#This Row],[net_sales_inr]]-tblTransactions[[#This Row],[Recalc_Net_Sales]])&lt;0.02,"OK","CHECK")</f>
        <v>OK</v>
      </c>
      <c r="M2375" s="14">
        <f>DATE(YEAR(tblTransactions[[#This Row],[date]]),MONTH(tblTransactions[[#This Row],[date]]),1)</f>
        <v>45809</v>
      </c>
      <c r="N2375" t="str">
        <f>IF(WEEKDAY(tblTransactions[[#This Row],[date]],2)&gt;5,"Weekend","Weekday")</f>
        <v>Weekday</v>
      </c>
      <c r="O2375" s="13" t="str">
        <f>IF(tblTransactions[[#This Row],[discount_pct]]=0,"0%",IF(tblTransactions[[#This Row],[discount_pct]]&lt;=10%,"1–
10%",IF(tblTransactions[[#This Row],[discount_pct]]&lt;=20%,"11–20%","&gt;20%")))</f>
        <v>0%</v>
      </c>
      <c r="P2375" s="13" t="str">
        <f>_xlfn.XLOOKUP(tblTransactions[[#This Row],[tenant_id]],tblTenants[tenant_id],tblTenants[zone],"NOT FOUND")</f>
        <v>Fashion Avenue</v>
      </c>
      <c r="Q2375" s="13" t="str">
        <f>_xlfn.XLOOKUP(tblTransactions[[#This Row],[tenant_id]],tblTenants[tenant_id],tblTenants[category],"NOT FOUND")</f>
        <v>Footwear</v>
      </c>
    </row>
    <row r="2376" spans="1:17">
      <c r="A2376" t="s">
        <v>2420</v>
      </c>
      <c r="B2376" s="2">
        <v>45763</v>
      </c>
      <c r="C2376">
        <v>22</v>
      </c>
      <c r="D2376" t="s">
        <v>27</v>
      </c>
      <c r="E2376" t="s">
        <v>51</v>
      </c>
      <c r="F2376" s="7">
        <v>370.08</v>
      </c>
      <c r="G2376" s="10">
        <v>0.1</v>
      </c>
      <c r="H2376" s="7">
        <v>333.07</v>
      </c>
      <c r="I2376">
        <v>1</v>
      </c>
      <c r="J2376" t="s">
        <v>16</v>
      </c>
      <c r="K2376" s="13">
        <f>ROUND(tblTransactions[[#This Row],[gross_sales_inr]]*(1-tblTransactions[[#This Row],[discount_pct]]),2)</f>
        <v>333.07</v>
      </c>
      <c r="L2376" t="str">
        <f>IF(ABS(tblTransactions[[#This Row],[net_sales_inr]]-tblTransactions[[#This Row],[Recalc_Net_Sales]])&lt;0.02,"OK","CHECK")</f>
        <v>OK</v>
      </c>
      <c r="M2376" s="14">
        <f>DATE(YEAR(tblTransactions[[#This Row],[date]]),MONTH(tblTransactions[[#This Row],[date]]),1)</f>
        <v>45748</v>
      </c>
      <c r="N2376" t="str">
        <f>IF(WEEKDAY(tblTransactions[[#This Row],[date]],2)&gt;5,"Weekend","Weekday")</f>
        <v>Weekday</v>
      </c>
      <c r="O237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76" s="13" t="str">
        <f>_xlfn.XLOOKUP(tblTransactions[[#This Row],[tenant_id]],tblTenants[tenant_id],tblTenants[zone],"NOT FOUND")</f>
        <v>Beauty &amp; Wellness</v>
      </c>
      <c r="Q2376" s="13" t="str">
        <f>_xlfn.XLOOKUP(tblTransactions[[#This Row],[tenant_id]],tblTenants[tenant_id],tblTenants[category],"NOT FOUND")</f>
        <v>Wellness</v>
      </c>
    </row>
    <row r="2377" spans="1:17">
      <c r="A2377" t="s">
        <v>2421</v>
      </c>
      <c r="B2377" s="2">
        <v>45790</v>
      </c>
      <c r="C2377">
        <v>18</v>
      </c>
      <c r="D2377" t="s">
        <v>57</v>
      </c>
      <c r="E2377" t="s">
        <v>32</v>
      </c>
      <c r="F2377" s="7">
        <v>1242.1199999999999</v>
      </c>
      <c r="G2377" s="10">
        <v>0</v>
      </c>
      <c r="H2377" s="7">
        <v>1242.1199999999999</v>
      </c>
      <c r="I2377">
        <v>1</v>
      </c>
      <c r="J2377" t="s">
        <v>13</v>
      </c>
      <c r="K2377" s="13">
        <f>ROUND(tblTransactions[[#This Row],[gross_sales_inr]]*(1-tblTransactions[[#This Row],[discount_pct]]),2)</f>
        <v>1242.1199999999999</v>
      </c>
      <c r="L2377" t="str">
        <f>IF(ABS(tblTransactions[[#This Row],[net_sales_inr]]-tblTransactions[[#This Row],[Recalc_Net_Sales]])&lt;0.02,"OK","CHECK")</f>
        <v>OK</v>
      </c>
      <c r="M2377" s="14">
        <f>DATE(YEAR(tblTransactions[[#This Row],[date]]),MONTH(tblTransactions[[#This Row],[date]]),1)</f>
        <v>45778</v>
      </c>
      <c r="N2377" t="str">
        <f>IF(WEEKDAY(tblTransactions[[#This Row],[date]],2)&gt;5,"Weekend","Weekday")</f>
        <v>Weekday</v>
      </c>
      <c r="O2377" s="13" t="str">
        <f>IF(tblTransactions[[#This Row],[discount_pct]]=0,"0%",IF(tblTransactions[[#This Row],[discount_pct]]&lt;=10%,"1–
10%",IF(tblTransactions[[#This Row],[discount_pct]]&lt;=20%,"11–20%","&gt;20%")))</f>
        <v>0%</v>
      </c>
      <c r="P2377" s="13" t="str">
        <f>_xlfn.XLOOKUP(tblTransactions[[#This Row],[tenant_id]],tblTenants[tenant_id],tblTenants[zone],"NOT FOUND")</f>
        <v>Food Court</v>
      </c>
      <c r="Q2377" s="13" t="str">
        <f>_xlfn.XLOOKUP(tblTransactions[[#This Row],[tenant_id]],tblTenants[tenant_id],tblTenants[category],"NOT FOUND")</f>
        <v>Casual Dining</v>
      </c>
    </row>
    <row r="2378" spans="1:17">
      <c r="A2378" t="s">
        <v>2422</v>
      </c>
      <c r="B2378" s="2">
        <v>45683</v>
      </c>
      <c r="C2378">
        <v>19</v>
      </c>
      <c r="D2378" t="s">
        <v>57</v>
      </c>
      <c r="E2378" t="s">
        <v>21</v>
      </c>
      <c r="F2378" s="7">
        <v>1178.26</v>
      </c>
      <c r="G2378" s="10">
        <v>0</v>
      </c>
      <c r="H2378" s="7">
        <v>1178.26</v>
      </c>
      <c r="I2378">
        <v>5</v>
      </c>
      <c r="J2378" t="s">
        <v>13</v>
      </c>
      <c r="K2378" s="13">
        <f>ROUND(tblTransactions[[#This Row],[gross_sales_inr]]*(1-tblTransactions[[#This Row],[discount_pct]]),2)</f>
        <v>1178.26</v>
      </c>
      <c r="L2378" t="str">
        <f>IF(ABS(tblTransactions[[#This Row],[net_sales_inr]]-tblTransactions[[#This Row],[Recalc_Net_Sales]])&lt;0.02,"OK","CHECK")</f>
        <v>OK</v>
      </c>
      <c r="M2378" s="14">
        <f>DATE(YEAR(tblTransactions[[#This Row],[date]]),MONTH(tblTransactions[[#This Row],[date]]),1)</f>
        <v>45658</v>
      </c>
      <c r="N2378" t="str">
        <f>IF(WEEKDAY(tblTransactions[[#This Row],[date]],2)&gt;5,"Weekend","Weekday")</f>
        <v>Weekend</v>
      </c>
      <c r="O2378" s="13" t="str">
        <f>IF(tblTransactions[[#This Row],[discount_pct]]=0,"0%",IF(tblTransactions[[#This Row],[discount_pct]]&lt;=10%,"1–
10%",IF(tblTransactions[[#This Row],[discount_pct]]&lt;=20%,"11–20%","&gt;20%")))</f>
        <v>0%</v>
      </c>
      <c r="P2378" s="13" t="str">
        <f>_xlfn.XLOOKUP(tblTransactions[[#This Row],[tenant_id]],tblTenants[tenant_id],tblTenants[zone],"NOT FOUND")</f>
        <v>Food Court</v>
      </c>
      <c r="Q2378" s="13" t="str">
        <f>_xlfn.XLOOKUP(tblTransactions[[#This Row],[tenant_id]],tblTenants[tenant_id],tblTenants[category],"NOT FOUND")</f>
        <v>Casual Dining</v>
      </c>
    </row>
    <row r="2379" spans="1:17">
      <c r="A2379" t="s">
        <v>2423</v>
      </c>
      <c r="B2379" s="2">
        <v>45662</v>
      </c>
      <c r="C2379">
        <v>10</v>
      </c>
      <c r="D2379" t="s">
        <v>98</v>
      </c>
      <c r="E2379" t="s">
        <v>12</v>
      </c>
      <c r="F2379" s="7">
        <v>3129.49</v>
      </c>
      <c r="G2379" s="10">
        <v>0</v>
      </c>
      <c r="H2379" s="7">
        <v>3129.49</v>
      </c>
      <c r="I2379">
        <v>1</v>
      </c>
      <c r="J2379" t="s">
        <v>16</v>
      </c>
      <c r="K2379" s="13">
        <f>ROUND(tblTransactions[[#This Row],[gross_sales_inr]]*(1-tblTransactions[[#This Row],[discount_pct]]),2)</f>
        <v>3129.49</v>
      </c>
      <c r="L2379" t="str">
        <f>IF(ABS(tblTransactions[[#This Row],[net_sales_inr]]-tblTransactions[[#This Row],[Recalc_Net_Sales]])&lt;0.02,"OK","CHECK")</f>
        <v>OK</v>
      </c>
      <c r="M2379" s="14">
        <f>DATE(YEAR(tblTransactions[[#This Row],[date]]),MONTH(tblTransactions[[#This Row],[date]]),1)</f>
        <v>45658</v>
      </c>
      <c r="N2379" t="str">
        <f>IF(WEEKDAY(tblTransactions[[#This Row],[date]],2)&gt;5,"Weekend","Weekday")</f>
        <v>Weekend</v>
      </c>
      <c r="O2379" s="13" t="str">
        <f>IF(tblTransactions[[#This Row],[discount_pct]]=0,"0%",IF(tblTransactions[[#This Row],[discount_pct]]&lt;=10%,"1–
10%",IF(tblTransactions[[#This Row],[discount_pct]]&lt;=20%,"11–20%","&gt;20%")))</f>
        <v>0%</v>
      </c>
      <c r="P2379" s="13" t="str">
        <f>_xlfn.XLOOKUP(tblTransactions[[#This Row],[tenant_id]],tblTenants[tenant_id],tblTenants[zone],"NOT FOUND")</f>
        <v>Fashion Avenue</v>
      </c>
      <c r="Q2379" s="13" t="str">
        <f>_xlfn.XLOOKUP(tblTransactions[[#This Row],[tenant_id]],tblTenants[tenant_id],tblTenants[category],"NOT FOUND")</f>
        <v>Accessories</v>
      </c>
    </row>
    <row r="2380" spans="1:17">
      <c r="A2380" t="s">
        <v>2424</v>
      </c>
      <c r="B2380" s="2">
        <v>45777</v>
      </c>
      <c r="C2380">
        <v>16</v>
      </c>
      <c r="D2380" t="s">
        <v>27</v>
      </c>
      <c r="E2380" t="s">
        <v>12</v>
      </c>
      <c r="F2380" s="7">
        <v>1506.02</v>
      </c>
      <c r="G2380" s="10">
        <v>0.15</v>
      </c>
      <c r="H2380" s="7">
        <v>1280.1199999999999</v>
      </c>
      <c r="I2380">
        <v>1</v>
      </c>
      <c r="J2380" t="s">
        <v>13</v>
      </c>
      <c r="K2380" s="13">
        <f>ROUND(tblTransactions[[#This Row],[gross_sales_inr]]*(1-tblTransactions[[#This Row],[discount_pct]]),2)</f>
        <v>1280.1199999999999</v>
      </c>
      <c r="L2380" t="str">
        <f>IF(ABS(tblTransactions[[#This Row],[net_sales_inr]]-tblTransactions[[#This Row],[Recalc_Net_Sales]])&lt;0.02,"OK","CHECK")</f>
        <v>OK</v>
      </c>
      <c r="M2380" s="14">
        <f>DATE(YEAR(tblTransactions[[#This Row],[date]]),MONTH(tblTransactions[[#This Row],[date]]),1)</f>
        <v>45748</v>
      </c>
      <c r="N2380" t="str">
        <f>IF(WEEKDAY(tblTransactions[[#This Row],[date]],2)&gt;5,"Weekend","Weekday")</f>
        <v>Weekday</v>
      </c>
      <c r="O238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80" s="13" t="str">
        <f>_xlfn.XLOOKUP(tblTransactions[[#This Row],[tenant_id]],tblTenants[tenant_id],tblTenants[zone],"NOT FOUND")</f>
        <v>Beauty &amp; Wellness</v>
      </c>
      <c r="Q2380" s="13" t="str">
        <f>_xlfn.XLOOKUP(tblTransactions[[#This Row],[tenant_id]],tblTenants[tenant_id],tblTenants[category],"NOT FOUND")</f>
        <v>Wellness</v>
      </c>
    </row>
    <row r="2381" spans="1:17">
      <c r="A2381" t="s">
        <v>2425</v>
      </c>
      <c r="B2381" s="2">
        <v>45747</v>
      </c>
      <c r="C2381">
        <v>10</v>
      </c>
      <c r="D2381" t="s">
        <v>53</v>
      </c>
      <c r="E2381" t="s">
        <v>32</v>
      </c>
      <c r="F2381" s="7">
        <v>3303.55</v>
      </c>
      <c r="G2381" s="10">
        <v>0.1</v>
      </c>
      <c r="H2381" s="7">
        <v>2973.2</v>
      </c>
      <c r="I2381">
        <v>4</v>
      </c>
      <c r="J2381" t="s">
        <v>13</v>
      </c>
      <c r="K2381" s="13">
        <f>ROUND(tblTransactions[[#This Row],[gross_sales_inr]]*(1-tblTransactions[[#This Row],[discount_pct]]),2)</f>
        <v>2973.2</v>
      </c>
      <c r="L2381" t="str">
        <f>IF(ABS(tblTransactions[[#This Row],[net_sales_inr]]-tblTransactions[[#This Row],[Recalc_Net_Sales]])&lt;0.02,"OK","CHECK")</f>
        <v>OK</v>
      </c>
      <c r="M2381" s="14">
        <f>DATE(YEAR(tblTransactions[[#This Row],[date]]),MONTH(tblTransactions[[#This Row],[date]]),1)</f>
        <v>45717</v>
      </c>
      <c r="N2381" t="str">
        <f>IF(WEEKDAY(tblTransactions[[#This Row],[date]],2)&gt;5,"Weekend","Weekday")</f>
        <v>Weekday</v>
      </c>
      <c r="O238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81" s="13" t="str">
        <f>_xlfn.XLOOKUP(tblTransactions[[#This Row],[tenant_id]],tblTenants[tenant_id],tblTenants[zone],"NOT FOUND")</f>
        <v>Beauty &amp; Wellness</v>
      </c>
      <c r="Q2381" s="13" t="str">
        <f>_xlfn.XLOOKUP(tblTransactions[[#This Row],[tenant_id]],tblTenants[tenant_id],tblTenants[category],"NOT FOUND")</f>
        <v>Beauty</v>
      </c>
    </row>
    <row r="2382" spans="1:17">
      <c r="A2382" t="s">
        <v>2426</v>
      </c>
      <c r="B2382" s="2">
        <v>45718</v>
      </c>
      <c r="C2382">
        <v>13</v>
      </c>
      <c r="D2382" t="s">
        <v>59</v>
      </c>
      <c r="E2382" t="s">
        <v>12</v>
      </c>
      <c r="F2382" s="7">
        <v>1655.38</v>
      </c>
      <c r="G2382" s="10">
        <v>0.1</v>
      </c>
      <c r="H2382" s="7">
        <v>1489.84</v>
      </c>
      <c r="I2382">
        <v>1</v>
      </c>
      <c r="J2382" t="s">
        <v>13</v>
      </c>
      <c r="K2382" s="13">
        <f>ROUND(tblTransactions[[#This Row],[gross_sales_inr]]*(1-tblTransactions[[#This Row],[discount_pct]]),2)</f>
        <v>1489.84</v>
      </c>
      <c r="L2382" t="str">
        <f>IF(ABS(tblTransactions[[#This Row],[net_sales_inr]]-tblTransactions[[#This Row],[Recalc_Net_Sales]])&lt;0.02,"OK","CHECK")</f>
        <v>OK</v>
      </c>
      <c r="M2382" s="14">
        <f>DATE(YEAR(tblTransactions[[#This Row],[date]]),MONTH(tblTransactions[[#This Row],[date]]),1)</f>
        <v>45717</v>
      </c>
      <c r="N2382" t="str">
        <f>IF(WEEKDAY(tblTransactions[[#This Row],[date]],2)&gt;5,"Weekend","Weekday")</f>
        <v>Weekend</v>
      </c>
      <c r="O238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82" s="13" t="str">
        <f>_xlfn.XLOOKUP(tblTransactions[[#This Row],[tenant_id]],tblTenants[tenant_id],tblTenants[zone],"NOT FOUND")</f>
        <v>Fashion Avenue</v>
      </c>
      <c r="Q2382" s="13" t="str">
        <f>_xlfn.XLOOKUP(tblTransactions[[#This Row],[tenant_id]],tblTenants[tenant_id],tblTenants[category],"NOT FOUND")</f>
        <v>Footwear</v>
      </c>
    </row>
    <row r="2383" spans="1:17">
      <c r="A2383" t="s">
        <v>2427</v>
      </c>
      <c r="B2383" s="2">
        <v>45720</v>
      </c>
      <c r="C2383">
        <v>10</v>
      </c>
      <c r="D2383" t="s">
        <v>15</v>
      </c>
      <c r="E2383" t="s">
        <v>32</v>
      </c>
      <c r="F2383" s="7">
        <v>848.76</v>
      </c>
      <c r="G2383" s="10">
        <v>0.2</v>
      </c>
      <c r="H2383" s="7">
        <v>679.01</v>
      </c>
      <c r="I2383">
        <v>2</v>
      </c>
      <c r="J2383" t="s">
        <v>13</v>
      </c>
      <c r="K2383" s="13">
        <f>ROUND(tblTransactions[[#This Row],[gross_sales_inr]]*(1-tblTransactions[[#This Row],[discount_pct]]),2)</f>
        <v>679.01</v>
      </c>
      <c r="L2383" t="str">
        <f>IF(ABS(tblTransactions[[#This Row],[net_sales_inr]]-tblTransactions[[#This Row],[Recalc_Net_Sales]])&lt;0.02,"OK","CHECK")</f>
        <v>OK</v>
      </c>
      <c r="M2383" s="14">
        <f>DATE(YEAR(tblTransactions[[#This Row],[date]]),MONTH(tblTransactions[[#This Row],[date]]),1)</f>
        <v>45717</v>
      </c>
      <c r="N2383" t="str">
        <f>IF(WEEKDAY(tblTransactions[[#This Row],[date]],2)&gt;5,"Weekend","Weekday")</f>
        <v>Weekday</v>
      </c>
      <c r="O238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83" s="13" t="str">
        <f>_xlfn.XLOOKUP(tblTransactions[[#This Row],[tenant_id]],tblTenants[tenant_id],tblTenants[zone],"NOT FOUND")</f>
        <v>Fashion Avenue</v>
      </c>
      <c r="Q2383" s="13" t="str">
        <f>_xlfn.XLOOKUP(tblTransactions[[#This Row],[tenant_id]],tblTenants[tenant_id],tblTenants[category],"NOT FOUND")</f>
        <v>Accessories</v>
      </c>
    </row>
    <row r="2384" spans="1:17">
      <c r="A2384" t="s">
        <v>2428</v>
      </c>
      <c r="B2384" s="2">
        <v>45762</v>
      </c>
      <c r="C2384">
        <v>22</v>
      </c>
      <c r="D2384" t="s">
        <v>23</v>
      </c>
      <c r="E2384" t="s">
        <v>12</v>
      </c>
      <c r="F2384" s="7">
        <v>1144.54</v>
      </c>
      <c r="G2384" s="10">
        <v>0</v>
      </c>
      <c r="H2384" s="7">
        <v>1144.54</v>
      </c>
      <c r="I2384">
        <v>3</v>
      </c>
      <c r="J2384" t="s">
        <v>13</v>
      </c>
      <c r="K2384" s="13">
        <f>ROUND(tblTransactions[[#This Row],[gross_sales_inr]]*(1-tblTransactions[[#This Row],[discount_pct]]),2)</f>
        <v>1144.54</v>
      </c>
      <c r="L2384" t="str">
        <f>IF(ABS(tblTransactions[[#This Row],[net_sales_inr]]-tblTransactions[[#This Row],[Recalc_Net_Sales]])&lt;0.02,"OK","CHECK")</f>
        <v>OK</v>
      </c>
      <c r="M2384" s="14">
        <f>DATE(YEAR(tblTransactions[[#This Row],[date]]),MONTH(tblTransactions[[#This Row],[date]]),1)</f>
        <v>45748</v>
      </c>
      <c r="N2384" t="str">
        <f>IF(WEEKDAY(tblTransactions[[#This Row],[date]],2)&gt;5,"Weekend","Weekday")</f>
        <v>Weekday</v>
      </c>
      <c r="O2384" s="13" t="str">
        <f>IF(tblTransactions[[#This Row],[discount_pct]]=0,"0%",IF(tblTransactions[[#This Row],[discount_pct]]&lt;=10%,"1–
10%",IF(tblTransactions[[#This Row],[discount_pct]]&lt;=20%,"11–20%","&gt;20%")))</f>
        <v>0%</v>
      </c>
      <c r="P2384" s="13" t="str">
        <f>_xlfn.XLOOKUP(tblTransactions[[#This Row],[tenant_id]],tblTenants[tenant_id],tblTenants[zone],"NOT FOUND")</f>
        <v>Entertainment</v>
      </c>
      <c r="Q2384" s="13" t="str">
        <f>_xlfn.XLOOKUP(tblTransactions[[#This Row],[tenant_id]],tblTenants[tenant_id],tblTenants[category],"NOT FOUND")</f>
        <v>Cinema</v>
      </c>
    </row>
    <row r="2385" spans="1:17">
      <c r="A2385" t="s">
        <v>2429</v>
      </c>
      <c r="B2385" s="2">
        <v>45830</v>
      </c>
      <c r="C2385">
        <v>11</v>
      </c>
      <c r="D2385" t="s">
        <v>57</v>
      </c>
      <c r="E2385" t="s">
        <v>12</v>
      </c>
      <c r="F2385" s="7">
        <v>3914.06</v>
      </c>
      <c r="G2385" s="10">
        <v>0.15</v>
      </c>
      <c r="H2385" s="7">
        <v>3326.95</v>
      </c>
      <c r="I2385">
        <v>6</v>
      </c>
      <c r="J2385" t="s">
        <v>16</v>
      </c>
      <c r="K2385" s="13">
        <f>ROUND(tblTransactions[[#This Row],[gross_sales_inr]]*(1-tblTransactions[[#This Row],[discount_pct]]),2)</f>
        <v>3326.95</v>
      </c>
      <c r="L2385" t="str">
        <f>IF(ABS(tblTransactions[[#This Row],[net_sales_inr]]-tblTransactions[[#This Row],[Recalc_Net_Sales]])&lt;0.02,"OK","CHECK")</f>
        <v>OK</v>
      </c>
      <c r="M2385" s="14">
        <f>DATE(YEAR(tblTransactions[[#This Row],[date]]),MONTH(tblTransactions[[#This Row],[date]]),1)</f>
        <v>45809</v>
      </c>
      <c r="N2385" t="str">
        <f>IF(WEEKDAY(tblTransactions[[#This Row],[date]],2)&gt;5,"Weekend","Weekday")</f>
        <v>Weekend</v>
      </c>
      <c r="O238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85" s="13" t="str">
        <f>_xlfn.XLOOKUP(tblTransactions[[#This Row],[tenant_id]],tblTenants[tenant_id],tblTenants[zone],"NOT FOUND")</f>
        <v>Food Court</v>
      </c>
      <c r="Q2385" s="13" t="str">
        <f>_xlfn.XLOOKUP(tblTransactions[[#This Row],[tenant_id]],tblTenants[tenant_id],tblTenants[category],"NOT FOUND")</f>
        <v>Casual Dining</v>
      </c>
    </row>
    <row r="2386" spans="1:17">
      <c r="A2386" t="s">
        <v>2430</v>
      </c>
      <c r="B2386" s="2">
        <v>45687</v>
      </c>
      <c r="C2386">
        <v>18</v>
      </c>
      <c r="D2386" t="s">
        <v>11</v>
      </c>
      <c r="E2386" t="s">
        <v>32</v>
      </c>
      <c r="F2386" s="7">
        <v>4805.67</v>
      </c>
      <c r="G2386" s="10">
        <v>0.05</v>
      </c>
      <c r="H2386" s="7">
        <v>4565.3900000000003</v>
      </c>
      <c r="I2386">
        <v>3</v>
      </c>
      <c r="J2386" t="s">
        <v>13</v>
      </c>
      <c r="K2386" s="13">
        <f>ROUND(tblTransactions[[#This Row],[gross_sales_inr]]*(1-tblTransactions[[#This Row],[discount_pct]]),2)</f>
        <v>4565.3900000000003</v>
      </c>
      <c r="L2386" t="str">
        <f>IF(ABS(tblTransactions[[#This Row],[net_sales_inr]]-tblTransactions[[#This Row],[Recalc_Net_Sales]])&lt;0.02,"OK","CHECK")</f>
        <v>OK</v>
      </c>
      <c r="M2386" s="14">
        <f>DATE(YEAR(tblTransactions[[#This Row],[date]]),MONTH(tblTransactions[[#This Row],[date]]),1)</f>
        <v>45658</v>
      </c>
      <c r="N2386" t="str">
        <f>IF(WEEKDAY(tblTransactions[[#This Row],[date]],2)&gt;5,"Weekend","Weekday")</f>
        <v>Weekday</v>
      </c>
      <c r="O238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86" s="13" t="str">
        <f>_xlfn.XLOOKUP(tblTransactions[[#This Row],[tenant_id]],tblTenants[tenant_id],tblTenants[zone],"NOT FOUND")</f>
        <v>Home &amp; Living</v>
      </c>
      <c r="Q2386" s="13" t="str">
        <f>_xlfn.XLOOKUP(tblTransactions[[#This Row],[tenant_id]],tblTenants[tenant_id],tblTenants[category],"NOT FOUND")</f>
        <v>Home Decor</v>
      </c>
    </row>
    <row r="2387" spans="1:17">
      <c r="A2387" t="s">
        <v>2431</v>
      </c>
      <c r="B2387" s="2">
        <v>45775</v>
      </c>
      <c r="C2387">
        <v>17</v>
      </c>
      <c r="D2387" t="s">
        <v>20</v>
      </c>
      <c r="E2387" t="s">
        <v>12</v>
      </c>
      <c r="F2387" s="7">
        <v>1389.92</v>
      </c>
      <c r="G2387" s="10">
        <v>0</v>
      </c>
      <c r="H2387" s="7">
        <v>1389.92</v>
      </c>
      <c r="I2387">
        <v>3</v>
      </c>
      <c r="J2387" t="s">
        <v>13</v>
      </c>
      <c r="K2387" s="13">
        <f>ROUND(tblTransactions[[#This Row],[gross_sales_inr]]*(1-tblTransactions[[#This Row],[discount_pct]]),2)</f>
        <v>1389.92</v>
      </c>
      <c r="L2387" t="str">
        <f>IF(ABS(tblTransactions[[#This Row],[net_sales_inr]]-tblTransactions[[#This Row],[Recalc_Net_Sales]])&lt;0.02,"OK","CHECK")</f>
        <v>OK</v>
      </c>
      <c r="M2387" s="14">
        <f>DATE(YEAR(tblTransactions[[#This Row],[date]]),MONTH(tblTransactions[[#This Row],[date]]),1)</f>
        <v>45748</v>
      </c>
      <c r="N2387" t="str">
        <f>IF(WEEKDAY(tblTransactions[[#This Row],[date]],2)&gt;5,"Weekend","Weekday")</f>
        <v>Weekday</v>
      </c>
      <c r="O2387" s="13" t="str">
        <f>IF(tblTransactions[[#This Row],[discount_pct]]=0,"0%",IF(tblTransactions[[#This Row],[discount_pct]]&lt;=10%,"1–
10%",IF(tblTransactions[[#This Row],[discount_pct]]&lt;=20%,"11–20%","&gt;20%")))</f>
        <v>0%</v>
      </c>
      <c r="P2387" s="13" t="str">
        <f>_xlfn.XLOOKUP(tblTransactions[[#This Row],[tenant_id]],tblTenants[tenant_id],tblTenants[zone],"NOT FOUND")</f>
        <v>Fashion Avenue</v>
      </c>
      <c r="Q2387" s="13" t="str">
        <f>_xlfn.XLOOKUP(tblTransactions[[#This Row],[tenant_id]],tblTenants[tenant_id],tblTenants[category],"NOT FOUND")</f>
        <v>Accessories</v>
      </c>
    </row>
    <row r="2388" spans="1:17">
      <c r="A2388" t="s">
        <v>2432</v>
      </c>
      <c r="B2388" s="2">
        <v>45710</v>
      </c>
      <c r="C2388">
        <v>21</v>
      </c>
      <c r="D2388" t="s">
        <v>41</v>
      </c>
      <c r="E2388" t="s">
        <v>32</v>
      </c>
      <c r="F2388" s="7">
        <v>1279.79</v>
      </c>
      <c r="G2388" s="10">
        <v>0</v>
      </c>
      <c r="H2388" s="7">
        <v>1279.79</v>
      </c>
      <c r="I2388">
        <v>3</v>
      </c>
      <c r="J2388" t="s">
        <v>13</v>
      </c>
      <c r="K2388" s="13">
        <f>ROUND(tblTransactions[[#This Row],[gross_sales_inr]]*(1-tblTransactions[[#This Row],[discount_pct]]),2)</f>
        <v>1279.79</v>
      </c>
      <c r="L2388" t="str">
        <f>IF(ABS(tblTransactions[[#This Row],[net_sales_inr]]-tblTransactions[[#This Row],[Recalc_Net_Sales]])&lt;0.02,"OK","CHECK")</f>
        <v>OK</v>
      </c>
      <c r="M2388" s="14">
        <f>DATE(YEAR(tblTransactions[[#This Row],[date]]),MONTH(tblTransactions[[#This Row],[date]]),1)</f>
        <v>45689</v>
      </c>
      <c r="N2388" t="str">
        <f>IF(WEEKDAY(tblTransactions[[#This Row],[date]],2)&gt;5,"Weekend","Weekday")</f>
        <v>Weekend</v>
      </c>
      <c r="O2388" s="13" t="str">
        <f>IF(tblTransactions[[#This Row],[discount_pct]]=0,"0%",IF(tblTransactions[[#This Row],[discount_pct]]&lt;=10%,"1–
10%",IF(tblTransactions[[#This Row],[discount_pct]]&lt;=20%,"11–20%","&gt;20%")))</f>
        <v>0%</v>
      </c>
      <c r="P2388" s="13" t="str">
        <f>_xlfn.XLOOKUP(tblTransactions[[#This Row],[tenant_id]],tblTenants[tenant_id],tblTenants[zone],"NOT FOUND")</f>
        <v>Fashion Avenue</v>
      </c>
      <c r="Q2388" s="13" t="str">
        <f>_xlfn.XLOOKUP(tblTransactions[[#This Row],[tenant_id]],tblTenants[tenant_id],tblTenants[category],"NOT FOUND")</f>
        <v>Clothing</v>
      </c>
    </row>
    <row r="2389" spans="1:17">
      <c r="A2389" t="s">
        <v>2433</v>
      </c>
      <c r="B2389" s="2">
        <v>45759</v>
      </c>
      <c r="C2389">
        <v>20</v>
      </c>
      <c r="D2389" t="s">
        <v>36</v>
      </c>
      <c r="E2389" t="s">
        <v>12</v>
      </c>
      <c r="F2389" s="7">
        <v>1339.54</v>
      </c>
      <c r="G2389" s="10">
        <v>0.05</v>
      </c>
      <c r="H2389" s="7">
        <v>1272.56</v>
      </c>
      <c r="I2389">
        <v>5</v>
      </c>
      <c r="J2389" t="s">
        <v>13</v>
      </c>
      <c r="K2389" s="13">
        <f>ROUND(tblTransactions[[#This Row],[gross_sales_inr]]*(1-tblTransactions[[#This Row],[discount_pct]]),2)</f>
        <v>1272.56</v>
      </c>
      <c r="L2389" t="str">
        <f>IF(ABS(tblTransactions[[#This Row],[net_sales_inr]]-tblTransactions[[#This Row],[Recalc_Net_Sales]])&lt;0.02,"OK","CHECK")</f>
        <v>OK</v>
      </c>
      <c r="M2389" s="14">
        <f>DATE(YEAR(tblTransactions[[#This Row],[date]]),MONTH(tblTransactions[[#This Row],[date]]),1)</f>
        <v>45748</v>
      </c>
      <c r="N2389" t="str">
        <f>IF(WEEKDAY(tblTransactions[[#This Row],[date]],2)&gt;5,"Weekend","Weekday")</f>
        <v>Weekend</v>
      </c>
      <c r="O238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89" s="13" t="str">
        <f>_xlfn.XLOOKUP(tblTransactions[[#This Row],[tenant_id]],tblTenants[tenant_id],tblTenants[zone],"NOT FOUND")</f>
        <v>Home &amp; Living</v>
      </c>
      <c r="Q2389" s="13" t="str">
        <f>_xlfn.XLOOKUP(tblTransactions[[#This Row],[tenant_id]],tblTenants[tenant_id],tblTenants[category],"NOT FOUND")</f>
        <v>Electronics</v>
      </c>
    </row>
    <row r="2390" spans="1:17">
      <c r="A2390" t="s">
        <v>2434</v>
      </c>
      <c r="B2390" s="2">
        <v>45704</v>
      </c>
      <c r="C2390">
        <v>19</v>
      </c>
      <c r="D2390" t="s">
        <v>204</v>
      </c>
      <c r="E2390" t="s">
        <v>12</v>
      </c>
      <c r="F2390" s="7">
        <v>2259.9299999999998</v>
      </c>
      <c r="G2390" s="10">
        <v>0.05</v>
      </c>
      <c r="H2390" s="7">
        <v>2146.9299999999998</v>
      </c>
      <c r="I2390">
        <v>2</v>
      </c>
      <c r="J2390" t="s">
        <v>16</v>
      </c>
      <c r="K2390" s="13">
        <f>ROUND(tblTransactions[[#This Row],[gross_sales_inr]]*(1-tblTransactions[[#This Row],[discount_pct]]),2)</f>
        <v>2146.9299999999998</v>
      </c>
      <c r="L2390" t="str">
        <f>IF(ABS(tblTransactions[[#This Row],[net_sales_inr]]-tblTransactions[[#This Row],[Recalc_Net_Sales]])&lt;0.02,"OK","CHECK")</f>
        <v>OK</v>
      </c>
      <c r="M2390" s="14">
        <f>DATE(YEAR(tblTransactions[[#This Row],[date]]),MONTH(tblTransactions[[#This Row],[date]]),1)</f>
        <v>45689</v>
      </c>
      <c r="N2390" t="str">
        <f>IF(WEEKDAY(tblTransactions[[#This Row],[date]],2)&gt;5,"Weekend","Weekday")</f>
        <v>Weekend</v>
      </c>
      <c r="O239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90" s="13" t="str">
        <f>_xlfn.XLOOKUP(tblTransactions[[#This Row],[tenant_id]],tblTenants[tenant_id],tblTenants[zone],"NOT FOUND")</f>
        <v>Home &amp; Living</v>
      </c>
      <c r="Q2390" s="13" t="str">
        <f>_xlfn.XLOOKUP(tblTransactions[[#This Row],[tenant_id]],tblTenants[tenant_id],tblTenants[category],"NOT FOUND")</f>
        <v>Home Decor</v>
      </c>
    </row>
    <row r="2391" spans="1:17">
      <c r="A2391" t="s">
        <v>2435</v>
      </c>
      <c r="B2391" s="2">
        <v>45831</v>
      </c>
      <c r="C2391">
        <v>18</v>
      </c>
      <c r="D2391" t="s">
        <v>18</v>
      </c>
      <c r="E2391" t="s">
        <v>32</v>
      </c>
      <c r="F2391" s="7">
        <v>741.85</v>
      </c>
      <c r="G2391" s="10">
        <v>0</v>
      </c>
      <c r="H2391" s="7">
        <v>741.85</v>
      </c>
      <c r="I2391">
        <v>1</v>
      </c>
      <c r="J2391" t="s">
        <v>13</v>
      </c>
      <c r="K2391" s="13">
        <f>ROUND(tblTransactions[[#This Row],[gross_sales_inr]]*(1-tblTransactions[[#This Row],[discount_pct]]),2)</f>
        <v>741.85</v>
      </c>
      <c r="L2391" t="str">
        <f>IF(ABS(tblTransactions[[#This Row],[net_sales_inr]]-tblTransactions[[#This Row],[Recalc_Net_Sales]])&lt;0.02,"OK","CHECK")</f>
        <v>OK</v>
      </c>
      <c r="M2391" s="14">
        <f>DATE(YEAR(tblTransactions[[#This Row],[date]]),MONTH(tblTransactions[[#This Row],[date]]),1)</f>
        <v>45809</v>
      </c>
      <c r="N2391" t="str">
        <f>IF(WEEKDAY(tblTransactions[[#This Row],[date]],2)&gt;5,"Weekend","Weekday")</f>
        <v>Weekday</v>
      </c>
      <c r="O2391" s="13" t="str">
        <f>IF(tblTransactions[[#This Row],[discount_pct]]=0,"0%",IF(tblTransactions[[#This Row],[discount_pct]]&lt;=10%,"1–
10%",IF(tblTransactions[[#This Row],[discount_pct]]&lt;=20%,"11–20%","&gt;20%")))</f>
        <v>0%</v>
      </c>
      <c r="P2391" s="13" t="str">
        <f>_xlfn.XLOOKUP(tblTransactions[[#This Row],[tenant_id]],tblTenants[tenant_id],tblTenants[zone],"NOT FOUND")</f>
        <v>Beauty &amp; Wellness</v>
      </c>
      <c r="Q2391" s="13" t="str">
        <f>_xlfn.XLOOKUP(tblTransactions[[#This Row],[tenant_id]],tblTenants[tenant_id],tblTenants[category],"NOT FOUND")</f>
        <v>Beauty</v>
      </c>
    </row>
    <row r="2392" spans="1:17">
      <c r="A2392" t="s">
        <v>2436</v>
      </c>
      <c r="B2392" s="2">
        <v>45736</v>
      </c>
      <c r="C2392">
        <v>11</v>
      </c>
      <c r="D2392" t="s">
        <v>43</v>
      </c>
      <c r="E2392" t="s">
        <v>12</v>
      </c>
      <c r="F2392" s="7">
        <v>2114.75</v>
      </c>
      <c r="G2392" s="10">
        <v>0</v>
      </c>
      <c r="H2392" s="7">
        <v>2114.75</v>
      </c>
      <c r="I2392">
        <v>2</v>
      </c>
      <c r="J2392" t="s">
        <v>16</v>
      </c>
      <c r="K2392" s="13">
        <f>ROUND(tblTransactions[[#This Row],[gross_sales_inr]]*(1-tblTransactions[[#This Row],[discount_pct]]),2)</f>
        <v>2114.75</v>
      </c>
      <c r="L2392" t="str">
        <f>IF(ABS(tblTransactions[[#This Row],[net_sales_inr]]-tblTransactions[[#This Row],[Recalc_Net_Sales]])&lt;0.02,"OK","CHECK")</f>
        <v>OK</v>
      </c>
      <c r="M2392" s="14">
        <f>DATE(YEAR(tblTransactions[[#This Row],[date]]),MONTH(tblTransactions[[#This Row],[date]]),1)</f>
        <v>45717</v>
      </c>
      <c r="N2392" t="str">
        <f>IF(WEEKDAY(tblTransactions[[#This Row],[date]],2)&gt;5,"Weekend","Weekday")</f>
        <v>Weekday</v>
      </c>
      <c r="O2392" s="13" t="str">
        <f>IF(tblTransactions[[#This Row],[discount_pct]]=0,"0%",IF(tblTransactions[[#This Row],[discount_pct]]&lt;=10%,"1–
10%",IF(tblTransactions[[#This Row],[discount_pct]]&lt;=20%,"11–20%","&gt;20%")))</f>
        <v>0%</v>
      </c>
      <c r="P2392" s="13" t="str">
        <f>_xlfn.XLOOKUP(tblTransactions[[#This Row],[tenant_id]],tblTenants[tenant_id],tblTenants[zone],"NOT FOUND")</f>
        <v>Food Court</v>
      </c>
      <c r="Q2392" s="13" t="str">
        <f>_xlfn.XLOOKUP(tblTransactions[[#This Row],[tenant_id]],tblTenants[tenant_id],tblTenants[category],"NOT FOUND")</f>
        <v>Casual Dining</v>
      </c>
    </row>
    <row r="2393" spans="1:17">
      <c r="A2393" t="s">
        <v>2437</v>
      </c>
      <c r="B2393" s="2">
        <v>45767</v>
      </c>
      <c r="C2393">
        <v>14</v>
      </c>
      <c r="D2393" t="s">
        <v>27</v>
      </c>
      <c r="E2393" t="s">
        <v>32</v>
      </c>
      <c r="F2393" s="7">
        <v>1425.81</v>
      </c>
      <c r="G2393" s="10">
        <v>0.05</v>
      </c>
      <c r="H2393" s="7">
        <v>1354.52</v>
      </c>
      <c r="I2393">
        <v>3</v>
      </c>
      <c r="J2393" t="s">
        <v>13</v>
      </c>
      <c r="K2393" s="13">
        <f>ROUND(tblTransactions[[#This Row],[gross_sales_inr]]*(1-tblTransactions[[#This Row],[discount_pct]]),2)</f>
        <v>1354.52</v>
      </c>
      <c r="L2393" t="str">
        <f>IF(ABS(tblTransactions[[#This Row],[net_sales_inr]]-tblTransactions[[#This Row],[Recalc_Net_Sales]])&lt;0.02,"OK","CHECK")</f>
        <v>OK</v>
      </c>
      <c r="M2393" s="14">
        <f>DATE(YEAR(tblTransactions[[#This Row],[date]]),MONTH(tblTransactions[[#This Row],[date]]),1)</f>
        <v>45748</v>
      </c>
      <c r="N2393" t="str">
        <f>IF(WEEKDAY(tblTransactions[[#This Row],[date]],2)&gt;5,"Weekend","Weekday")</f>
        <v>Weekend</v>
      </c>
      <c r="O239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93" s="13" t="str">
        <f>_xlfn.XLOOKUP(tblTransactions[[#This Row],[tenant_id]],tblTenants[tenant_id],tblTenants[zone],"NOT FOUND")</f>
        <v>Beauty &amp; Wellness</v>
      </c>
      <c r="Q2393" s="13" t="str">
        <f>_xlfn.XLOOKUP(tblTransactions[[#This Row],[tenant_id]],tblTenants[tenant_id],tblTenants[category],"NOT FOUND")</f>
        <v>Wellness</v>
      </c>
    </row>
    <row r="2394" spans="1:17">
      <c r="A2394" t="s">
        <v>2438</v>
      </c>
      <c r="B2394" s="2">
        <v>45783</v>
      </c>
      <c r="C2394">
        <v>20</v>
      </c>
      <c r="D2394" t="s">
        <v>70</v>
      </c>
      <c r="E2394" t="s">
        <v>12</v>
      </c>
      <c r="F2394" s="7">
        <v>1064.1600000000001</v>
      </c>
      <c r="G2394" s="10">
        <v>0.2</v>
      </c>
      <c r="H2394" s="7">
        <v>851.33</v>
      </c>
      <c r="I2394">
        <v>2</v>
      </c>
      <c r="J2394" t="s">
        <v>13</v>
      </c>
      <c r="K2394" s="13">
        <f>ROUND(tblTransactions[[#This Row],[gross_sales_inr]]*(1-tblTransactions[[#This Row],[discount_pct]]),2)</f>
        <v>851.33</v>
      </c>
      <c r="L2394" t="str">
        <f>IF(ABS(tblTransactions[[#This Row],[net_sales_inr]]-tblTransactions[[#This Row],[Recalc_Net_Sales]])&lt;0.02,"OK","CHECK")</f>
        <v>OK</v>
      </c>
      <c r="M2394" s="14">
        <f>DATE(YEAR(tblTransactions[[#This Row],[date]]),MONTH(tblTransactions[[#This Row],[date]]),1)</f>
        <v>45778</v>
      </c>
      <c r="N2394" t="str">
        <f>IF(WEEKDAY(tblTransactions[[#This Row],[date]],2)&gt;5,"Weekend","Weekday")</f>
        <v>Weekday</v>
      </c>
      <c r="O239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94" s="13" t="str">
        <f>_xlfn.XLOOKUP(tblTransactions[[#This Row],[tenant_id]],tblTenants[tenant_id],tblTenants[zone],"NOT FOUND")</f>
        <v>Food Court</v>
      </c>
      <c r="Q2394" s="13" t="str">
        <f>_xlfn.XLOOKUP(tblTransactions[[#This Row],[tenant_id]],tblTenants[tenant_id],tblTenants[category],"NOT FOUND")</f>
        <v>Quick Service</v>
      </c>
    </row>
    <row r="2395" spans="1:17">
      <c r="A2395" t="s">
        <v>2439</v>
      </c>
      <c r="B2395" s="2">
        <v>45815</v>
      </c>
      <c r="C2395">
        <v>19</v>
      </c>
      <c r="D2395" t="s">
        <v>41</v>
      </c>
      <c r="E2395" t="s">
        <v>12</v>
      </c>
      <c r="F2395" s="7">
        <v>600.52</v>
      </c>
      <c r="G2395" s="10">
        <v>0</v>
      </c>
      <c r="H2395" s="7">
        <v>600.52</v>
      </c>
      <c r="I2395">
        <v>3</v>
      </c>
      <c r="J2395" t="s">
        <v>13</v>
      </c>
      <c r="K2395" s="13">
        <f>ROUND(tblTransactions[[#This Row],[gross_sales_inr]]*(1-tblTransactions[[#This Row],[discount_pct]]),2)</f>
        <v>600.52</v>
      </c>
      <c r="L2395" t="str">
        <f>IF(ABS(tblTransactions[[#This Row],[net_sales_inr]]-tblTransactions[[#This Row],[Recalc_Net_Sales]])&lt;0.02,"OK","CHECK")</f>
        <v>OK</v>
      </c>
      <c r="M2395" s="14">
        <f>DATE(YEAR(tblTransactions[[#This Row],[date]]),MONTH(tblTransactions[[#This Row],[date]]),1)</f>
        <v>45809</v>
      </c>
      <c r="N2395" t="str">
        <f>IF(WEEKDAY(tblTransactions[[#This Row],[date]],2)&gt;5,"Weekend","Weekday")</f>
        <v>Weekend</v>
      </c>
      <c r="O2395" s="13" t="str">
        <f>IF(tblTransactions[[#This Row],[discount_pct]]=0,"0%",IF(tblTransactions[[#This Row],[discount_pct]]&lt;=10%,"1–
10%",IF(tblTransactions[[#This Row],[discount_pct]]&lt;=20%,"11–20%","&gt;20%")))</f>
        <v>0%</v>
      </c>
      <c r="P2395" s="13" t="str">
        <f>_xlfn.XLOOKUP(tblTransactions[[#This Row],[tenant_id]],tblTenants[tenant_id],tblTenants[zone],"NOT FOUND")</f>
        <v>Fashion Avenue</v>
      </c>
      <c r="Q2395" s="13" t="str">
        <f>_xlfn.XLOOKUP(tblTransactions[[#This Row],[tenant_id]],tblTenants[tenant_id],tblTenants[category],"NOT FOUND")</f>
        <v>Clothing</v>
      </c>
    </row>
    <row r="2396" spans="1:17">
      <c r="A2396" t="s">
        <v>2440</v>
      </c>
      <c r="B2396" s="2">
        <v>45780</v>
      </c>
      <c r="C2396">
        <v>21</v>
      </c>
      <c r="D2396" t="s">
        <v>98</v>
      </c>
      <c r="E2396" t="s">
        <v>12</v>
      </c>
      <c r="F2396" s="7">
        <v>891.31</v>
      </c>
      <c r="G2396" s="10">
        <v>0.15</v>
      </c>
      <c r="H2396" s="7">
        <v>757.61</v>
      </c>
      <c r="I2396">
        <v>1</v>
      </c>
      <c r="J2396" t="s">
        <v>16</v>
      </c>
      <c r="K2396" s="13">
        <f>ROUND(tblTransactions[[#This Row],[gross_sales_inr]]*(1-tblTransactions[[#This Row],[discount_pct]]),2)</f>
        <v>757.61</v>
      </c>
      <c r="L2396" t="str">
        <f>IF(ABS(tblTransactions[[#This Row],[net_sales_inr]]-tblTransactions[[#This Row],[Recalc_Net_Sales]])&lt;0.02,"OK","CHECK")</f>
        <v>OK</v>
      </c>
      <c r="M2396" s="14">
        <f>DATE(YEAR(tblTransactions[[#This Row],[date]]),MONTH(tblTransactions[[#This Row],[date]]),1)</f>
        <v>45778</v>
      </c>
      <c r="N2396" t="str">
        <f>IF(WEEKDAY(tblTransactions[[#This Row],[date]],2)&gt;5,"Weekend","Weekday")</f>
        <v>Weekend</v>
      </c>
      <c r="O239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396" s="13" t="str">
        <f>_xlfn.XLOOKUP(tblTransactions[[#This Row],[tenant_id]],tblTenants[tenant_id],tblTenants[zone],"NOT FOUND")</f>
        <v>Fashion Avenue</v>
      </c>
      <c r="Q2396" s="13" t="str">
        <f>_xlfn.XLOOKUP(tblTransactions[[#This Row],[tenant_id]],tblTenants[tenant_id],tblTenants[category],"NOT FOUND")</f>
        <v>Accessories</v>
      </c>
    </row>
    <row r="2397" spans="1:17">
      <c r="A2397" t="s">
        <v>2441</v>
      </c>
      <c r="B2397" s="2">
        <v>45828</v>
      </c>
      <c r="C2397">
        <v>18</v>
      </c>
      <c r="D2397" t="s">
        <v>43</v>
      </c>
      <c r="E2397" t="s">
        <v>32</v>
      </c>
      <c r="F2397" s="7">
        <v>856.01</v>
      </c>
      <c r="G2397" s="10">
        <v>0</v>
      </c>
      <c r="H2397" s="7">
        <v>856.01</v>
      </c>
      <c r="I2397">
        <v>2</v>
      </c>
      <c r="J2397" t="s">
        <v>16</v>
      </c>
      <c r="K2397" s="13">
        <f>ROUND(tblTransactions[[#This Row],[gross_sales_inr]]*(1-tblTransactions[[#This Row],[discount_pct]]),2)</f>
        <v>856.01</v>
      </c>
      <c r="L2397" t="str">
        <f>IF(ABS(tblTransactions[[#This Row],[net_sales_inr]]-tblTransactions[[#This Row],[Recalc_Net_Sales]])&lt;0.02,"OK","CHECK")</f>
        <v>OK</v>
      </c>
      <c r="M2397" s="14">
        <f>DATE(YEAR(tblTransactions[[#This Row],[date]]),MONTH(tblTransactions[[#This Row],[date]]),1)</f>
        <v>45809</v>
      </c>
      <c r="N2397" t="str">
        <f>IF(WEEKDAY(tblTransactions[[#This Row],[date]],2)&gt;5,"Weekend","Weekday")</f>
        <v>Weekday</v>
      </c>
      <c r="O2397" s="13" t="str">
        <f>IF(tblTransactions[[#This Row],[discount_pct]]=0,"0%",IF(tblTransactions[[#This Row],[discount_pct]]&lt;=10%,"1–
10%",IF(tblTransactions[[#This Row],[discount_pct]]&lt;=20%,"11–20%","&gt;20%")))</f>
        <v>0%</v>
      </c>
      <c r="P2397" s="13" t="str">
        <f>_xlfn.XLOOKUP(tblTransactions[[#This Row],[tenant_id]],tblTenants[tenant_id],tblTenants[zone],"NOT FOUND")</f>
        <v>Food Court</v>
      </c>
      <c r="Q2397" s="13" t="str">
        <f>_xlfn.XLOOKUP(tblTransactions[[#This Row],[tenant_id]],tblTenants[tenant_id],tblTenants[category],"NOT FOUND")</f>
        <v>Casual Dining</v>
      </c>
    </row>
    <row r="2398" spans="1:17">
      <c r="A2398" t="s">
        <v>2442</v>
      </c>
      <c r="B2398" s="2">
        <v>45728</v>
      </c>
      <c r="C2398">
        <v>20</v>
      </c>
      <c r="D2398" t="s">
        <v>55</v>
      </c>
      <c r="E2398" t="s">
        <v>12</v>
      </c>
      <c r="F2398" s="7">
        <v>973.8</v>
      </c>
      <c r="G2398" s="10">
        <v>0</v>
      </c>
      <c r="H2398" s="7">
        <v>973.8</v>
      </c>
      <c r="I2398">
        <v>1</v>
      </c>
      <c r="J2398" t="s">
        <v>13</v>
      </c>
      <c r="K2398" s="13">
        <f>ROUND(tblTransactions[[#This Row],[gross_sales_inr]]*(1-tblTransactions[[#This Row],[discount_pct]]),2)</f>
        <v>973.8</v>
      </c>
      <c r="L2398" t="str">
        <f>IF(ABS(tblTransactions[[#This Row],[net_sales_inr]]-tblTransactions[[#This Row],[Recalc_Net_Sales]])&lt;0.02,"OK","CHECK")</f>
        <v>OK</v>
      </c>
      <c r="M2398" s="14">
        <f>DATE(YEAR(tblTransactions[[#This Row],[date]]),MONTH(tblTransactions[[#This Row],[date]]),1)</f>
        <v>45717</v>
      </c>
      <c r="N2398" t="str">
        <f>IF(WEEKDAY(tblTransactions[[#This Row],[date]],2)&gt;5,"Weekend","Weekday")</f>
        <v>Weekday</v>
      </c>
      <c r="O2398" s="13" t="str">
        <f>IF(tblTransactions[[#This Row],[discount_pct]]=0,"0%",IF(tblTransactions[[#This Row],[discount_pct]]&lt;=10%,"1–
10%",IF(tblTransactions[[#This Row],[discount_pct]]&lt;=20%,"11–20%","&gt;20%")))</f>
        <v>0%</v>
      </c>
      <c r="P2398" s="13" t="str">
        <f>_xlfn.XLOOKUP(tblTransactions[[#This Row],[tenant_id]],tblTenants[tenant_id],tblTenants[zone],"NOT FOUND")</f>
        <v>Food Court</v>
      </c>
      <c r="Q2398" s="13" t="str">
        <f>_xlfn.XLOOKUP(tblTransactions[[#This Row],[tenant_id]],tblTenants[tenant_id],tblTenants[category],"NOT FOUND")</f>
        <v>Quick Service</v>
      </c>
    </row>
    <row r="2399" spans="1:17">
      <c r="A2399" t="s">
        <v>2443</v>
      </c>
      <c r="B2399" s="2">
        <v>45730</v>
      </c>
      <c r="C2399">
        <v>21</v>
      </c>
      <c r="D2399" t="s">
        <v>59</v>
      </c>
      <c r="E2399" t="s">
        <v>12</v>
      </c>
      <c r="F2399" s="7">
        <v>956.67</v>
      </c>
      <c r="G2399" s="10">
        <v>0.1</v>
      </c>
      <c r="H2399" s="7">
        <v>861</v>
      </c>
      <c r="I2399">
        <v>4</v>
      </c>
      <c r="J2399" t="s">
        <v>13</v>
      </c>
      <c r="K2399" s="13">
        <f>ROUND(tblTransactions[[#This Row],[gross_sales_inr]]*(1-tblTransactions[[#This Row],[discount_pct]]),2)</f>
        <v>861</v>
      </c>
      <c r="L2399" t="str">
        <f>IF(ABS(tblTransactions[[#This Row],[net_sales_inr]]-tblTransactions[[#This Row],[Recalc_Net_Sales]])&lt;0.02,"OK","CHECK")</f>
        <v>OK</v>
      </c>
      <c r="M2399" s="14">
        <f>DATE(YEAR(tblTransactions[[#This Row],[date]]),MONTH(tblTransactions[[#This Row],[date]]),1)</f>
        <v>45717</v>
      </c>
      <c r="N2399" t="str">
        <f>IF(WEEKDAY(tblTransactions[[#This Row],[date]],2)&gt;5,"Weekend","Weekday")</f>
        <v>Weekday</v>
      </c>
      <c r="O239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399" s="13" t="str">
        <f>_xlfn.XLOOKUP(tblTransactions[[#This Row],[tenant_id]],tblTenants[tenant_id],tblTenants[zone],"NOT FOUND")</f>
        <v>Fashion Avenue</v>
      </c>
      <c r="Q2399" s="13" t="str">
        <f>_xlfn.XLOOKUP(tblTransactions[[#This Row],[tenant_id]],tblTenants[tenant_id],tblTenants[category],"NOT FOUND")</f>
        <v>Footwear</v>
      </c>
    </row>
    <row r="2400" spans="1:17">
      <c r="A2400" t="s">
        <v>2444</v>
      </c>
      <c r="B2400" s="2">
        <v>45753</v>
      </c>
      <c r="C2400">
        <v>20</v>
      </c>
      <c r="D2400" t="s">
        <v>11</v>
      </c>
      <c r="E2400" t="s">
        <v>32</v>
      </c>
      <c r="F2400" s="7">
        <v>2899.95</v>
      </c>
      <c r="G2400" s="10">
        <v>0</v>
      </c>
      <c r="H2400" s="7">
        <v>2899.95</v>
      </c>
      <c r="I2400">
        <v>1</v>
      </c>
      <c r="J2400" t="s">
        <v>13</v>
      </c>
      <c r="K2400" s="13">
        <f>ROUND(tblTransactions[[#This Row],[gross_sales_inr]]*(1-tblTransactions[[#This Row],[discount_pct]]),2)</f>
        <v>2899.95</v>
      </c>
      <c r="L2400" t="str">
        <f>IF(ABS(tblTransactions[[#This Row],[net_sales_inr]]-tblTransactions[[#This Row],[Recalc_Net_Sales]])&lt;0.02,"OK","CHECK")</f>
        <v>OK</v>
      </c>
      <c r="M2400" s="14">
        <f>DATE(YEAR(tblTransactions[[#This Row],[date]]),MONTH(tblTransactions[[#This Row],[date]]),1)</f>
        <v>45748</v>
      </c>
      <c r="N2400" t="str">
        <f>IF(WEEKDAY(tblTransactions[[#This Row],[date]],2)&gt;5,"Weekend","Weekday")</f>
        <v>Weekend</v>
      </c>
      <c r="O2400" s="13" t="str">
        <f>IF(tblTransactions[[#This Row],[discount_pct]]=0,"0%",IF(tblTransactions[[#This Row],[discount_pct]]&lt;=10%,"1–
10%",IF(tblTransactions[[#This Row],[discount_pct]]&lt;=20%,"11–20%","&gt;20%")))</f>
        <v>0%</v>
      </c>
      <c r="P2400" s="13" t="str">
        <f>_xlfn.XLOOKUP(tblTransactions[[#This Row],[tenant_id]],tblTenants[tenant_id],tblTenants[zone],"NOT FOUND")</f>
        <v>Home &amp; Living</v>
      </c>
      <c r="Q2400" s="13" t="str">
        <f>_xlfn.XLOOKUP(tblTransactions[[#This Row],[tenant_id]],tblTenants[tenant_id],tblTenants[category],"NOT FOUND")</f>
        <v>Home Decor</v>
      </c>
    </row>
    <row r="2401" spans="1:17">
      <c r="A2401" t="s">
        <v>2445</v>
      </c>
      <c r="B2401" s="2">
        <v>45702</v>
      </c>
      <c r="C2401">
        <v>16</v>
      </c>
      <c r="D2401" t="s">
        <v>85</v>
      </c>
      <c r="E2401" t="s">
        <v>32</v>
      </c>
      <c r="F2401" s="7">
        <v>399</v>
      </c>
      <c r="G2401" s="10">
        <v>0.1</v>
      </c>
      <c r="H2401" s="7">
        <v>359.1</v>
      </c>
      <c r="I2401">
        <v>2</v>
      </c>
      <c r="J2401" t="s">
        <v>13</v>
      </c>
      <c r="K2401" s="13">
        <f>ROUND(tblTransactions[[#This Row],[gross_sales_inr]]*(1-tblTransactions[[#This Row],[discount_pct]]),2)</f>
        <v>359.1</v>
      </c>
      <c r="L2401" t="str">
        <f>IF(ABS(tblTransactions[[#This Row],[net_sales_inr]]-tblTransactions[[#This Row],[Recalc_Net_Sales]])&lt;0.02,"OK","CHECK")</f>
        <v>OK</v>
      </c>
      <c r="M2401" s="14">
        <f>DATE(YEAR(tblTransactions[[#This Row],[date]]),MONTH(tblTransactions[[#This Row],[date]]),1)</f>
        <v>45689</v>
      </c>
      <c r="N2401" t="str">
        <f>IF(WEEKDAY(tblTransactions[[#This Row],[date]],2)&gt;5,"Weekend","Weekday")</f>
        <v>Weekday</v>
      </c>
      <c r="O240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01" s="13" t="str">
        <f>_xlfn.XLOOKUP(tblTransactions[[#This Row],[tenant_id]],tblTenants[tenant_id],tblTenants[zone],"NOT FOUND")</f>
        <v>Home &amp; Living</v>
      </c>
      <c r="Q2401" s="13" t="str">
        <f>_xlfn.XLOOKUP(tblTransactions[[#This Row],[tenant_id]],tblTenants[tenant_id],tblTenants[category],"NOT FOUND")</f>
        <v>Electronics</v>
      </c>
    </row>
    <row r="2402" spans="1:17">
      <c r="A2402" t="s">
        <v>2446</v>
      </c>
      <c r="B2402" s="2">
        <v>45805</v>
      </c>
      <c r="C2402">
        <v>13</v>
      </c>
      <c r="D2402" t="s">
        <v>87</v>
      </c>
      <c r="E2402" t="s">
        <v>12</v>
      </c>
      <c r="F2402" s="7">
        <v>840.53</v>
      </c>
      <c r="G2402" s="10">
        <v>0.1</v>
      </c>
      <c r="H2402" s="7">
        <v>756.48</v>
      </c>
      <c r="I2402">
        <v>6</v>
      </c>
      <c r="J2402" t="s">
        <v>13</v>
      </c>
      <c r="K2402" s="13">
        <f>ROUND(tblTransactions[[#This Row],[gross_sales_inr]]*(1-tblTransactions[[#This Row],[discount_pct]]),2)</f>
        <v>756.48</v>
      </c>
      <c r="L2402" t="str">
        <f>IF(ABS(tblTransactions[[#This Row],[net_sales_inr]]-tblTransactions[[#This Row],[Recalc_Net_Sales]])&lt;0.02,"OK","CHECK")</f>
        <v>OK</v>
      </c>
      <c r="M2402" s="14">
        <f>DATE(YEAR(tblTransactions[[#This Row],[date]]),MONTH(tblTransactions[[#This Row],[date]]),1)</f>
        <v>45778</v>
      </c>
      <c r="N2402" t="str">
        <f>IF(WEEKDAY(tblTransactions[[#This Row],[date]],2)&gt;5,"Weekend","Weekday")</f>
        <v>Weekday</v>
      </c>
      <c r="O240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02" s="13" t="str">
        <f>_xlfn.XLOOKUP(tblTransactions[[#This Row],[tenant_id]],tblTenants[tenant_id],tblTenants[zone],"NOT FOUND")</f>
        <v>Fashion Avenue</v>
      </c>
      <c r="Q2402" s="13" t="str">
        <f>_xlfn.XLOOKUP(tblTransactions[[#This Row],[tenant_id]],tblTenants[tenant_id],tblTenants[category],"NOT FOUND")</f>
        <v>Footwear</v>
      </c>
    </row>
    <row r="2403" spans="1:17">
      <c r="A2403" t="s">
        <v>2447</v>
      </c>
      <c r="B2403" s="2">
        <v>45731</v>
      </c>
      <c r="C2403">
        <v>14</v>
      </c>
      <c r="D2403" t="s">
        <v>41</v>
      </c>
      <c r="E2403" t="s">
        <v>21</v>
      </c>
      <c r="F2403" s="7">
        <v>710.84</v>
      </c>
      <c r="G2403" s="10">
        <v>0.3</v>
      </c>
      <c r="H2403" s="7">
        <v>497.59</v>
      </c>
      <c r="I2403">
        <v>1</v>
      </c>
      <c r="J2403" t="s">
        <v>13</v>
      </c>
      <c r="K2403" s="13">
        <f>ROUND(tblTransactions[[#This Row],[gross_sales_inr]]*(1-tblTransactions[[#This Row],[discount_pct]]),2)</f>
        <v>497.59</v>
      </c>
      <c r="L2403" t="str">
        <f>IF(ABS(tblTransactions[[#This Row],[net_sales_inr]]-tblTransactions[[#This Row],[Recalc_Net_Sales]])&lt;0.02,"OK","CHECK")</f>
        <v>OK</v>
      </c>
      <c r="M2403" s="14">
        <f>DATE(YEAR(tblTransactions[[#This Row],[date]]),MONTH(tblTransactions[[#This Row],[date]]),1)</f>
        <v>45717</v>
      </c>
      <c r="N2403" t="str">
        <f>IF(WEEKDAY(tblTransactions[[#This Row],[date]],2)&gt;5,"Weekend","Weekday")</f>
        <v>Weekend</v>
      </c>
      <c r="O2403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403" s="13" t="str">
        <f>_xlfn.XLOOKUP(tblTransactions[[#This Row],[tenant_id]],tblTenants[tenant_id],tblTenants[zone],"NOT FOUND")</f>
        <v>Fashion Avenue</v>
      </c>
      <c r="Q2403" s="13" t="str">
        <f>_xlfn.XLOOKUP(tblTransactions[[#This Row],[tenant_id]],tblTenants[tenant_id],tblTenants[category],"NOT FOUND")</f>
        <v>Clothing</v>
      </c>
    </row>
    <row r="2404" spans="1:17">
      <c r="A2404" t="s">
        <v>2448</v>
      </c>
      <c r="B2404" s="2">
        <v>45676</v>
      </c>
      <c r="C2404">
        <v>10</v>
      </c>
      <c r="D2404" t="s">
        <v>48</v>
      </c>
      <c r="E2404" t="s">
        <v>32</v>
      </c>
      <c r="F2404" s="7">
        <v>2392.67</v>
      </c>
      <c r="G2404" s="10">
        <v>0.05</v>
      </c>
      <c r="H2404" s="7">
        <v>2273.04</v>
      </c>
      <c r="I2404">
        <v>5</v>
      </c>
      <c r="J2404" t="s">
        <v>16</v>
      </c>
      <c r="K2404" s="13">
        <f>ROUND(tblTransactions[[#This Row],[gross_sales_inr]]*(1-tblTransactions[[#This Row],[discount_pct]]),2)</f>
        <v>2273.04</v>
      </c>
      <c r="L2404" t="str">
        <f>IF(ABS(tblTransactions[[#This Row],[net_sales_inr]]-tblTransactions[[#This Row],[Recalc_Net_Sales]])&lt;0.02,"OK","CHECK")</f>
        <v>OK</v>
      </c>
      <c r="M2404" s="14">
        <f>DATE(YEAR(tblTransactions[[#This Row],[date]]),MONTH(tblTransactions[[#This Row],[date]]),1)</f>
        <v>45658</v>
      </c>
      <c r="N2404" t="str">
        <f>IF(WEEKDAY(tblTransactions[[#This Row],[date]],2)&gt;5,"Weekend","Weekday")</f>
        <v>Weekend</v>
      </c>
      <c r="O240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04" s="13" t="str">
        <f>_xlfn.XLOOKUP(tblTransactions[[#This Row],[tenant_id]],tblTenants[tenant_id],tblTenants[zone],"NOT FOUND")</f>
        <v>Beauty &amp; Wellness</v>
      </c>
      <c r="Q2404" s="13" t="str">
        <f>_xlfn.XLOOKUP(tblTransactions[[#This Row],[tenant_id]],tblTenants[tenant_id],tblTenants[category],"NOT FOUND")</f>
        <v>Wellness</v>
      </c>
    </row>
    <row r="2405" spans="1:17">
      <c r="A2405" t="s">
        <v>2449</v>
      </c>
      <c r="B2405" s="2">
        <v>45677</v>
      </c>
      <c r="C2405">
        <v>10</v>
      </c>
      <c r="D2405" t="s">
        <v>87</v>
      </c>
      <c r="E2405" t="s">
        <v>12</v>
      </c>
      <c r="F2405" s="7">
        <v>1396.79</v>
      </c>
      <c r="G2405" s="10">
        <v>0</v>
      </c>
      <c r="H2405" s="7">
        <v>1396.79</v>
      </c>
      <c r="I2405">
        <v>2</v>
      </c>
      <c r="J2405" t="s">
        <v>16</v>
      </c>
      <c r="K2405" s="13">
        <f>ROUND(tblTransactions[[#This Row],[gross_sales_inr]]*(1-tblTransactions[[#This Row],[discount_pct]]),2)</f>
        <v>1396.79</v>
      </c>
      <c r="L2405" t="str">
        <f>IF(ABS(tblTransactions[[#This Row],[net_sales_inr]]-tblTransactions[[#This Row],[Recalc_Net_Sales]])&lt;0.02,"OK","CHECK")</f>
        <v>OK</v>
      </c>
      <c r="M2405" s="14">
        <f>DATE(YEAR(tblTransactions[[#This Row],[date]]),MONTH(tblTransactions[[#This Row],[date]]),1)</f>
        <v>45658</v>
      </c>
      <c r="N2405" t="str">
        <f>IF(WEEKDAY(tblTransactions[[#This Row],[date]],2)&gt;5,"Weekend","Weekday")</f>
        <v>Weekday</v>
      </c>
      <c r="O2405" s="13" t="str">
        <f>IF(tblTransactions[[#This Row],[discount_pct]]=0,"0%",IF(tblTransactions[[#This Row],[discount_pct]]&lt;=10%,"1–
10%",IF(tblTransactions[[#This Row],[discount_pct]]&lt;=20%,"11–20%","&gt;20%")))</f>
        <v>0%</v>
      </c>
      <c r="P2405" s="13" t="str">
        <f>_xlfn.XLOOKUP(tblTransactions[[#This Row],[tenant_id]],tblTenants[tenant_id],tblTenants[zone],"NOT FOUND")</f>
        <v>Fashion Avenue</v>
      </c>
      <c r="Q2405" s="13" t="str">
        <f>_xlfn.XLOOKUP(tblTransactions[[#This Row],[tenant_id]],tblTenants[tenant_id],tblTenants[category],"NOT FOUND")</f>
        <v>Footwear</v>
      </c>
    </row>
    <row r="2406" spans="1:17">
      <c r="A2406" t="s">
        <v>2450</v>
      </c>
      <c r="B2406" s="2">
        <v>45716</v>
      </c>
      <c r="C2406">
        <v>16</v>
      </c>
      <c r="D2406" t="s">
        <v>98</v>
      </c>
      <c r="E2406" t="s">
        <v>21</v>
      </c>
      <c r="F2406" s="7">
        <v>364.42</v>
      </c>
      <c r="G2406" s="10">
        <v>0</v>
      </c>
      <c r="H2406" s="7">
        <v>364.42</v>
      </c>
      <c r="I2406">
        <v>1</v>
      </c>
      <c r="J2406" t="s">
        <v>13</v>
      </c>
      <c r="K2406" s="13">
        <f>ROUND(tblTransactions[[#This Row],[gross_sales_inr]]*(1-tblTransactions[[#This Row],[discount_pct]]),2)</f>
        <v>364.42</v>
      </c>
      <c r="L2406" t="str">
        <f>IF(ABS(tblTransactions[[#This Row],[net_sales_inr]]-tblTransactions[[#This Row],[Recalc_Net_Sales]])&lt;0.02,"OK","CHECK")</f>
        <v>OK</v>
      </c>
      <c r="M2406" s="14">
        <f>DATE(YEAR(tblTransactions[[#This Row],[date]]),MONTH(tblTransactions[[#This Row],[date]]),1)</f>
        <v>45689</v>
      </c>
      <c r="N2406" t="str">
        <f>IF(WEEKDAY(tblTransactions[[#This Row],[date]],2)&gt;5,"Weekend","Weekday")</f>
        <v>Weekday</v>
      </c>
      <c r="O2406" s="13" t="str">
        <f>IF(tblTransactions[[#This Row],[discount_pct]]=0,"0%",IF(tblTransactions[[#This Row],[discount_pct]]&lt;=10%,"1–
10%",IF(tblTransactions[[#This Row],[discount_pct]]&lt;=20%,"11–20%","&gt;20%")))</f>
        <v>0%</v>
      </c>
      <c r="P2406" s="13" t="str">
        <f>_xlfn.XLOOKUP(tblTransactions[[#This Row],[tenant_id]],tblTenants[tenant_id],tblTenants[zone],"NOT FOUND")</f>
        <v>Fashion Avenue</v>
      </c>
      <c r="Q2406" s="13" t="str">
        <f>_xlfn.XLOOKUP(tblTransactions[[#This Row],[tenant_id]],tblTenants[tenant_id],tblTenants[category],"NOT FOUND")</f>
        <v>Accessories</v>
      </c>
    </row>
    <row r="2407" spans="1:17">
      <c r="A2407" t="s">
        <v>2451</v>
      </c>
      <c r="B2407" s="2">
        <v>45749</v>
      </c>
      <c r="C2407">
        <v>15</v>
      </c>
      <c r="D2407" t="s">
        <v>11</v>
      </c>
      <c r="E2407" t="s">
        <v>12</v>
      </c>
      <c r="F2407" s="7">
        <v>768.03</v>
      </c>
      <c r="G2407" s="10">
        <v>0.05</v>
      </c>
      <c r="H2407" s="7">
        <v>729.63</v>
      </c>
      <c r="I2407">
        <v>3</v>
      </c>
      <c r="J2407" t="s">
        <v>16</v>
      </c>
      <c r="K2407" s="13">
        <f>ROUND(tblTransactions[[#This Row],[gross_sales_inr]]*(1-tblTransactions[[#This Row],[discount_pct]]),2)</f>
        <v>729.63</v>
      </c>
      <c r="L2407" t="str">
        <f>IF(ABS(tblTransactions[[#This Row],[net_sales_inr]]-tblTransactions[[#This Row],[Recalc_Net_Sales]])&lt;0.02,"OK","CHECK")</f>
        <v>OK</v>
      </c>
      <c r="M2407" s="14">
        <f>DATE(YEAR(tblTransactions[[#This Row],[date]]),MONTH(tblTransactions[[#This Row],[date]]),1)</f>
        <v>45748</v>
      </c>
      <c r="N2407" t="str">
        <f>IF(WEEKDAY(tblTransactions[[#This Row],[date]],2)&gt;5,"Weekend","Weekday")</f>
        <v>Weekday</v>
      </c>
      <c r="O240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07" s="13" t="str">
        <f>_xlfn.XLOOKUP(tblTransactions[[#This Row],[tenant_id]],tblTenants[tenant_id],tblTenants[zone],"NOT FOUND")</f>
        <v>Home &amp; Living</v>
      </c>
      <c r="Q2407" s="13" t="str">
        <f>_xlfn.XLOOKUP(tblTransactions[[#This Row],[tenant_id]],tblTenants[tenant_id],tblTenants[category],"NOT FOUND")</f>
        <v>Home Decor</v>
      </c>
    </row>
    <row r="2408" spans="1:17">
      <c r="A2408" t="s">
        <v>2452</v>
      </c>
      <c r="B2408" s="2">
        <v>45708</v>
      </c>
      <c r="C2408">
        <v>19</v>
      </c>
      <c r="D2408" t="s">
        <v>25</v>
      </c>
      <c r="E2408" t="s">
        <v>12</v>
      </c>
      <c r="F2408" s="7">
        <v>1205.4000000000001</v>
      </c>
      <c r="G2408" s="10">
        <v>0</v>
      </c>
      <c r="H2408" s="7">
        <v>1205.4000000000001</v>
      </c>
      <c r="I2408">
        <v>1</v>
      </c>
      <c r="J2408" t="s">
        <v>16</v>
      </c>
      <c r="K2408" s="13">
        <f>ROUND(tblTransactions[[#This Row],[gross_sales_inr]]*(1-tblTransactions[[#This Row],[discount_pct]]),2)</f>
        <v>1205.4000000000001</v>
      </c>
      <c r="L2408" t="str">
        <f>IF(ABS(tblTransactions[[#This Row],[net_sales_inr]]-tblTransactions[[#This Row],[Recalc_Net_Sales]])&lt;0.02,"OK","CHECK")</f>
        <v>OK</v>
      </c>
      <c r="M2408" s="14">
        <f>DATE(YEAR(tblTransactions[[#This Row],[date]]),MONTH(tblTransactions[[#This Row],[date]]),1)</f>
        <v>45689</v>
      </c>
      <c r="N2408" t="str">
        <f>IF(WEEKDAY(tblTransactions[[#This Row],[date]],2)&gt;5,"Weekend","Weekday")</f>
        <v>Weekday</v>
      </c>
      <c r="O2408" s="13" t="str">
        <f>IF(tblTransactions[[#This Row],[discount_pct]]=0,"0%",IF(tblTransactions[[#This Row],[discount_pct]]&lt;=10%,"1–
10%",IF(tblTransactions[[#This Row],[discount_pct]]&lt;=20%,"11–20%","&gt;20%")))</f>
        <v>0%</v>
      </c>
      <c r="P2408" s="13" t="str">
        <f>_xlfn.XLOOKUP(tblTransactions[[#This Row],[tenant_id]],tblTenants[tenant_id],tblTenants[zone],"NOT FOUND")</f>
        <v>Beauty &amp; Wellness</v>
      </c>
      <c r="Q2408" s="13" t="str">
        <f>_xlfn.XLOOKUP(tblTransactions[[#This Row],[tenant_id]],tblTenants[tenant_id],tblTenants[category],"NOT FOUND")</f>
        <v>Beauty</v>
      </c>
    </row>
    <row r="2409" spans="1:17">
      <c r="A2409" t="s">
        <v>2453</v>
      </c>
      <c r="B2409" s="2">
        <v>45827</v>
      </c>
      <c r="C2409">
        <v>20</v>
      </c>
      <c r="D2409" t="s">
        <v>55</v>
      </c>
      <c r="E2409" t="s">
        <v>32</v>
      </c>
      <c r="F2409" s="7">
        <v>1314.22</v>
      </c>
      <c r="G2409" s="10">
        <v>0.3</v>
      </c>
      <c r="H2409" s="7">
        <v>919.95</v>
      </c>
      <c r="I2409">
        <v>2</v>
      </c>
      <c r="J2409" t="s">
        <v>13</v>
      </c>
      <c r="K2409" s="13">
        <f>ROUND(tblTransactions[[#This Row],[gross_sales_inr]]*(1-tblTransactions[[#This Row],[discount_pct]]),2)</f>
        <v>919.95</v>
      </c>
      <c r="L2409" t="str">
        <f>IF(ABS(tblTransactions[[#This Row],[net_sales_inr]]-tblTransactions[[#This Row],[Recalc_Net_Sales]])&lt;0.02,"OK","CHECK")</f>
        <v>OK</v>
      </c>
      <c r="M2409" s="14">
        <f>DATE(YEAR(tblTransactions[[#This Row],[date]]),MONTH(tblTransactions[[#This Row],[date]]),1)</f>
        <v>45809</v>
      </c>
      <c r="N2409" t="str">
        <f>IF(WEEKDAY(tblTransactions[[#This Row],[date]],2)&gt;5,"Weekend","Weekday")</f>
        <v>Weekday</v>
      </c>
      <c r="O2409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409" s="13" t="str">
        <f>_xlfn.XLOOKUP(tblTransactions[[#This Row],[tenant_id]],tblTenants[tenant_id],tblTenants[zone],"NOT FOUND")</f>
        <v>Food Court</v>
      </c>
      <c r="Q2409" s="13" t="str">
        <f>_xlfn.XLOOKUP(tblTransactions[[#This Row],[tenant_id]],tblTenants[tenant_id],tblTenants[category],"NOT FOUND")</f>
        <v>Quick Service</v>
      </c>
    </row>
    <row r="2410" spans="1:17">
      <c r="A2410" t="s">
        <v>2454</v>
      </c>
      <c r="B2410" s="2">
        <v>45670</v>
      </c>
      <c r="C2410">
        <v>21</v>
      </c>
      <c r="D2410" t="s">
        <v>85</v>
      </c>
      <c r="E2410" t="s">
        <v>12</v>
      </c>
      <c r="F2410" s="7">
        <v>692.79</v>
      </c>
      <c r="G2410" s="10">
        <v>0.1</v>
      </c>
      <c r="H2410" s="7">
        <v>623.51</v>
      </c>
      <c r="I2410">
        <v>5</v>
      </c>
      <c r="J2410" t="s">
        <v>13</v>
      </c>
      <c r="K2410" s="13">
        <f>ROUND(tblTransactions[[#This Row],[gross_sales_inr]]*(1-tblTransactions[[#This Row],[discount_pct]]),2)</f>
        <v>623.51</v>
      </c>
      <c r="L2410" t="str">
        <f>IF(ABS(tblTransactions[[#This Row],[net_sales_inr]]-tblTransactions[[#This Row],[Recalc_Net_Sales]])&lt;0.02,"OK","CHECK")</f>
        <v>OK</v>
      </c>
      <c r="M2410" s="14">
        <f>DATE(YEAR(tblTransactions[[#This Row],[date]]),MONTH(tblTransactions[[#This Row],[date]]),1)</f>
        <v>45658</v>
      </c>
      <c r="N2410" t="str">
        <f>IF(WEEKDAY(tblTransactions[[#This Row],[date]],2)&gt;5,"Weekend","Weekday")</f>
        <v>Weekday</v>
      </c>
      <c r="O241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10" s="13" t="str">
        <f>_xlfn.XLOOKUP(tblTransactions[[#This Row],[tenant_id]],tblTenants[tenant_id],tblTenants[zone],"NOT FOUND")</f>
        <v>Home &amp; Living</v>
      </c>
      <c r="Q2410" s="13" t="str">
        <f>_xlfn.XLOOKUP(tblTransactions[[#This Row],[tenant_id]],tblTenants[tenant_id],tblTenants[category],"NOT FOUND")</f>
        <v>Electronics</v>
      </c>
    </row>
    <row r="2411" spans="1:17">
      <c r="A2411" t="s">
        <v>2455</v>
      </c>
      <c r="B2411" s="2">
        <v>45806</v>
      </c>
      <c r="C2411">
        <v>18</v>
      </c>
      <c r="D2411" t="s">
        <v>98</v>
      </c>
      <c r="E2411" t="s">
        <v>51</v>
      </c>
      <c r="F2411" s="7">
        <v>1731.28</v>
      </c>
      <c r="G2411" s="10">
        <v>0</v>
      </c>
      <c r="H2411" s="7">
        <v>1731.28</v>
      </c>
      <c r="I2411">
        <v>4</v>
      </c>
      <c r="J2411" t="s">
        <v>13</v>
      </c>
      <c r="K2411" s="13">
        <f>ROUND(tblTransactions[[#This Row],[gross_sales_inr]]*(1-tblTransactions[[#This Row],[discount_pct]]),2)</f>
        <v>1731.28</v>
      </c>
      <c r="L2411" t="str">
        <f>IF(ABS(tblTransactions[[#This Row],[net_sales_inr]]-tblTransactions[[#This Row],[Recalc_Net_Sales]])&lt;0.02,"OK","CHECK")</f>
        <v>OK</v>
      </c>
      <c r="M2411" s="14">
        <f>DATE(YEAR(tblTransactions[[#This Row],[date]]),MONTH(tblTransactions[[#This Row],[date]]),1)</f>
        <v>45778</v>
      </c>
      <c r="N2411" t="str">
        <f>IF(WEEKDAY(tblTransactions[[#This Row],[date]],2)&gt;5,"Weekend","Weekday")</f>
        <v>Weekday</v>
      </c>
      <c r="O2411" s="13" t="str">
        <f>IF(tblTransactions[[#This Row],[discount_pct]]=0,"0%",IF(tblTransactions[[#This Row],[discount_pct]]&lt;=10%,"1–
10%",IF(tblTransactions[[#This Row],[discount_pct]]&lt;=20%,"11–20%","&gt;20%")))</f>
        <v>0%</v>
      </c>
      <c r="P2411" s="13" t="str">
        <f>_xlfn.XLOOKUP(tblTransactions[[#This Row],[tenant_id]],tblTenants[tenant_id],tblTenants[zone],"NOT FOUND")</f>
        <v>Fashion Avenue</v>
      </c>
      <c r="Q2411" s="13" t="str">
        <f>_xlfn.XLOOKUP(tblTransactions[[#This Row],[tenant_id]],tblTenants[tenant_id],tblTenants[category],"NOT FOUND")</f>
        <v>Accessories</v>
      </c>
    </row>
    <row r="2412" spans="1:17">
      <c r="A2412" t="s">
        <v>2456</v>
      </c>
      <c r="B2412" s="2">
        <v>45708</v>
      </c>
      <c r="C2412">
        <v>19</v>
      </c>
      <c r="D2412" t="s">
        <v>85</v>
      </c>
      <c r="E2412" t="s">
        <v>12</v>
      </c>
      <c r="F2412" s="7">
        <v>919.24</v>
      </c>
      <c r="G2412" s="10">
        <v>0.2</v>
      </c>
      <c r="H2412" s="7">
        <v>735.39</v>
      </c>
      <c r="I2412">
        <v>2</v>
      </c>
      <c r="J2412" t="s">
        <v>16</v>
      </c>
      <c r="K2412" s="13">
        <f>ROUND(tblTransactions[[#This Row],[gross_sales_inr]]*(1-tblTransactions[[#This Row],[discount_pct]]),2)</f>
        <v>735.39</v>
      </c>
      <c r="L2412" t="str">
        <f>IF(ABS(tblTransactions[[#This Row],[net_sales_inr]]-tblTransactions[[#This Row],[Recalc_Net_Sales]])&lt;0.02,"OK","CHECK")</f>
        <v>OK</v>
      </c>
      <c r="M2412" s="14">
        <f>DATE(YEAR(tblTransactions[[#This Row],[date]]),MONTH(tblTransactions[[#This Row],[date]]),1)</f>
        <v>45689</v>
      </c>
      <c r="N2412" t="str">
        <f>IF(WEEKDAY(tblTransactions[[#This Row],[date]],2)&gt;5,"Weekend","Weekday")</f>
        <v>Weekday</v>
      </c>
      <c r="O241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12" s="13" t="str">
        <f>_xlfn.XLOOKUP(tblTransactions[[#This Row],[tenant_id]],tblTenants[tenant_id],tblTenants[zone],"NOT FOUND")</f>
        <v>Home &amp; Living</v>
      </c>
      <c r="Q2412" s="13" t="str">
        <f>_xlfn.XLOOKUP(tblTransactions[[#This Row],[tenant_id]],tblTenants[tenant_id],tblTenants[category],"NOT FOUND")</f>
        <v>Electronics</v>
      </c>
    </row>
    <row r="2413" spans="1:17">
      <c r="A2413" t="s">
        <v>2457</v>
      </c>
      <c r="B2413" s="2">
        <v>45687</v>
      </c>
      <c r="C2413">
        <v>15</v>
      </c>
      <c r="D2413" t="s">
        <v>41</v>
      </c>
      <c r="E2413" t="s">
        <v>32</v>
      </c>
      <c r="F2413" s="7">
        <v>1151.52</v>
      </c>
      <c r="G2413" s="10">
        <v>0</v>
      </c>
      <c r="H2413" s="7">
        <v>1151.52</v>
      </c>
      <c r="I2413">
        <v>1</v>
      </c>
      <c r="J2413" t="s">
        <v>13</v>
      </c>
      <c r="K2413" s="13">
        <f>ROUND(tblTransactions[[#This Row],[gross_sales_inr]]*(1-tblTransactions[[#This Row],[discount_pct]]),2)</f>
        <v>1151.52</v>
      </c>
      <c r="L2413" t="str">
        <f>IF(ABS(tblTransactions[[#This Row],[net_sales_inr]]-tblTransactions[[#This Row],[Recalc_Net_Sales]])&lt;0.02,"OK","CHECK")</f>
        <v>OK</v>
      </c>
      <c r="M2413" s="14">
        <f>DATE(YEAR(tblTransactions[[#This Row],[date]]),MONTH(tblTransactions[[#This Row],[date]]),1)</f>
        <v>45658</v>
      </c>
      <c r="N2413" t="str">
        <f>IF(WEEKDAY(tblTransactions[[#This Row],[date]],2)&gt;5,"Weekend","Weekday")</f>
        <v>Weekday</v>
      </c>
      <c r="O2413" s="13" t="str">
        <f>IF(tblTransactions[[#This Row],[discount_pct]]=0,"0%",IF(tblTransactions[[#This Row],[discount_pct]]&lt;=10%,"1–
10%",IF(tblTransactions[[#This Row],[discount_pct]]&lt;=20%,"11–20%","&gt;20%")))</f>
        <v>0%</v>
      </c>
      <c r="P2413" s="13" t="str">
        <f>_xlfn.XLOOKUP(tblTransactions[[#This Row],[tenant_id]],tblTenants[tenant_id],tblTenants[zone],"NOT FOUND")</f>
        <v>Fashion Avenue</v>
      </c>
      <c r="Q2413" s="13" t="str">
        <f>_xlfn.XLOOKUP(tblTransactions[[#This Row],[tenant_id]],tblTenants[tenant_id],tblTenants[category],"NOT FOUND")</f>
        <v>Clothing</v>
      </c>
    </row>
    <row r="2414" spans="1:17">
      <c r="A2414" t="s">
        <v>2458</v>
      </c>
      <c r="B2414" s="2">
        <v>45683</v>
      </c>
      <c r="C2414">
        <v>16</v>
      </c>
      <c r="D2414" t="s">
        <v>43</v>
      </c>
      <c r="E2414" t="s">
        <v>12</v>
      </c>
      <c r="F2414" s="7">
        <v>301.33</v>
      </c>
      <c r="G2414" s="10">
        <v>0.1</v>
      </c>
      <c r="H2414" s="7">
        <v>271.2</v>
      </c>
      <c r="I2414">
        <v>1</v>
      </c>
      <c r="J2414" t="s">
        <v>16</v>
      </c>
      <c r="K2414" s="13">
        <f>ROUND(tblTransactions[[#This Row],[gross_sales_inr]]*(1-tblTransactions[[#This Row],[discount_pct]]),2)</f>
        <v>271.2</v>
      </c>
      <c r="L2414" t="str">
        <f>IF(ABS(tblTransactions[[#This Row],[net_sales_inr]]-tblTransactions[[#This Row],[Recalc_Net_Sales]])&lt;0.02,"OK","CHECK")</f>
        <v>OK</v>
      </c>
      <c r="M2414" s="14">
        <f>DATE(YEAR(tblTransactions[[#This Row],[date]]),MONTH(tblTransactions[[#This Row],[date]]),1)</f>
        <v>45658</v>
      </c>
      <c r="N2414" t="str">
        <f>IF(WEEKDAY(tblTransactions[[#This Row],[date]],2)&gt;5,"Weekend","Weekday")</f>
        <v>Weekend</v>
      </c>
      <c r="O241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14" s="13" t="str">
        <f>_xlfn.XLOOKUP(tblTransactions[[#This Row],[tenant_id]],tblTenants[tenant_id],tblTenants[zone],"NOT FOUND")</f>
        <v>Food Court</v>
      </c>
      <c r="Q2414" s="13" t="str">
        <f>_xlfn.XLOOKUP(tblTransactions[[#This Row],[tenant_id]],tblTenants[tenant_id],tblTenants[category],"NOT FOUND")</f>
        <v>Casual Dining</v>
      </c>
    </row>
    <row r="2415" spans="1:17">
      <c r="A2415" t="s">
        <v>2459</v>
      </c>
      <c r="B2415" s="2">
        <v>45727</v>
      </c>
      <c r="C2415">
        <v>12</v>
      </c>
      <c r="D2415" t="s">
        <v>20</v>
      </c>
      <c r="E2415" t="s">
        <v>12</v>
      </c>
      <c r="F2415" s="7">
        <v>1103.97</v>
      </c>
      <c r="G2415" s="10">
        <v>0.15</v>
      </c>
      <c r="H2415" s="7">
        <v>938.37</v>
      </c>
      <c r="I2415">
        <v>1</v>
      </c>
      <c r="J2415" t="s">
        <v>16</v>
      </c>
      <c r="K2415" s="13">
        <f>ROUND(tblTransactions[[#This Row],[gross_sales_inr]]*(1-tblTransactions[[#This Row],[discount_pct]]),2)</f>
        <v>938.37</v>
      </c>
      <c r="L2415" t="str">
        <f>IF(ABS(tblTransactions[[#This Row],[net_sales_inr]]-tblTransactions[[#This Row],[Recalc_Net_Sales]])&lt;0.02,"OK","CHECK")</f>
        <v>OK</v>
      </c>
      <c r="M2415" s="14">
        <f>DATE(YEAR(tblTransactions[[#This Row],[date]]),MONTH(tblTransactions[[#This Row],[date]]),1)</f>
        <v>45717</v>
      </c>
      <c r="N2415" t="str">
        <f>IF(WEEKDAY(tblTransactions[[#This Row],[date]],2)&gt;5,"Weekend","Weekday")</f>
        <v>Weekday</v>
      </c>
      <c r="O241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15" s="13" t="str">
        <f>_xlfn.XLOOKUP(tblTransactions[[#This Row],[tenant_id]],tblTenants[tenant_id],tblTenants[zone],"NOT FOUND")</f>
        <v>Fashion Avenue</v>
      </c>
      <c r="Q2415" s="13" t="str">
        <f>_xlfn.XLOOKUP(tblTransactions[[#This Row],[tenant_id]],tblTenants[tenant_id],tblTenants[category],"NOT FOUND")</f>
        <v>Accessories</v>
      </c>
    </row>
    <row r="2416" spans="1:17">
      <c r="A2416" t="s">
        <v>2460</v>
      </c>
      <c r="B2416" s="2">
        <v>45831</v>
      </c>
      <c r="C2416">
        <v>15</v>
      </c>
      <c r="D2416" t="s">
        <v>34</v>
      </c>
      <c r="E2416" t="s">
        <v>32</v>
      </c>
      <c r="F2416" s="7">
        <v>792.06</v>
      </c>
      <c r="G2416" s="10">
        <v>0.1</v>
      </c>
      <c r="H2416" s="7">
        <v>712.85</v>
      </c>
      <c r="I2416">
        <v>2</v>
      </c>
      <c r="J2416" t="s">
        <v>16</v>
      </c>
      <c r="K2416" s="13">
        <f>ROUND(tblTransactions[[#This Row],[gross_sales_inr]]*(1-tblTransactions[[#This Row],[discount_pct]]),2)</f>
        <v>712.85</v>
      </c>
      <c r="L2416" t="str">
        <f>IF(ABS(tblTransactions[[#This Row],[net_sales_inr]]-tblTransactions[[#This Row],[Recalc_Net_Sales]])&lt;0.02,"OK","CHECK")</f>
        <v>OK</v>
      </c>
      <c r="M2416" s="14">
        <f>DATE(YEAR(tblTransactions[[#This Row],[date]]),MONTH(tblTransactions[[#This Row],[date]]),1)</f>
        <v>45809</v>
      </c>
      <c r="N2416" t="str">
        <f>IF(WEEKDAY(tblTransactions[[#This Row],[date]],2)&gt;5,"Weekend","Weekday")</f>
        <v>Weekday</v>
      </c>
      <c r="O241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16" s="13" t="str">
        <f>_xlfn.XLOOKUP(tblTransactions[[#This Row],[tenant_id]],tblTenants[tenant_id],tblTenants[zone],"NOT FOUND")</f>
        <v>Home &amp; Living</v>
      </c>
      <c r="Q2416" s="13" t="str">
        <f>_xlfn.XLOOKUP(tblTransactions[[#This Row],[tenant_id]],tblTenants[tenant_id],tblTenants[category],"NOT FOUND")</f>
        <v>Electronics</v>
      </c>
    </row>
    <row r="2417" spans="1:17">
      <c r="A2417" t="s">
        <v>2461</v>
      </c>
      <c r="B2417" s="2">
        <v>45763</v>
      </c>
      <c r="C2417">
        <v>19</v>
      </c>
      <c r="D2417" t="s">
        <v>18</v>
      </c>
      <c r="E2417" t="s">
        <v>32</v>
      </c>
      <c r="F2417" s="7">
        <v>371.53</v>
      </c>
      <c r="G2417" s="10">
        <v>0.15</v>
      </c>
      <c r="H2417" s="7">
        <v>315.8</v>
      </c>
      <c r="I2417">
        <v>3</v>
      </c>
      <c r="J2417" t="s">
        <v>13</v>
      </c>
      <c r="K2417" s="13">
        <f>ROUND(tblTransactions[[#This Row],[gross_sales_inr]]*(1-tblTransactions[[#This Row],[discount_pct]]),2)</f>
        <v>315.8</v>
      </c>
      <c r="L2417" t="str">
        <f>IF(ABS(tblTransactions[[#This Row],[net_sales_inr]]-tblTransactions[[#This Row],[Recalc_Net_Sales]])&lt;0.02,"OK","CHECK")</f>
        <v>OK</v>
      </c>
      <c r="M2417" s="14">
        <f>DATE(YEAR(tblTransactions[[#This Row],[date]]),MONTH(tblTransactions[[#This Row],[date]]),1)</f>
        <v>45748</v>
      </c>
      <c r="N2417" t="str">
        <f>IF(WEEKDAY(tblTransactions[[#This Row],[date]],2)&gt;5,"Weekend","Weekday")</f>
        <v>Weekday</v>
      </c>
      <c r="O241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17" s="13" t="str">
        <f>_xlfn.XLOOKUP(tblTransactions[[#This Row],[tenant_id]],tblTenants[tenant_id],tblTenants[zone],"NOT FOUND")</f>
        <v>Beauty &amp; Wellness</v>
      </c>
      <c r="Q2417" s="13" t="str">
        <f>_xlfn.XLOOKUP(tblTransactions[[#This Row],[tenant_id]],tblTenants[tenant_id],tblTenants[category],"NOT FOUND")</f>
        <v>Beauty</v>
      </c>
    </row>
    <row r="2418" spans="1:17">
      <c r="A2418" t="s">
        <v>2462</v>
      </c>
      <c r="B2418" s="2">
        <v>45690</v>
      </c>
      <c r="C2418">
        <v>12</v>
      </c>
      <c r="D2418" t="s">
        <v>72</v>
      </c>
      <c r="E2418" t="s">
        <v>32</v>
      </c>
      <c r="F2418" s="7">
        <v>925.41</v>
      </c>
      <c r="G2418" s="10">
        <v>0</v>
      </c>
      <c r="H2418" s="7">
        <v>925.41</v>
      </c>
      <c r="I2418">
        <v>2</v>
      </c>
      <c r="J2418" t="s">
        <v>16</v>
      </c>
      <c r="K2418" s="13">
        <f>ROUND(tblTransactions[[#This Row],[gross_sales_inr]]*(1-tblTransactions[[#This Row],[discount_pct]]),2)</f>
        <v>925.41</v>
      </c>
      <c r="L2418" t="str">
        <f>IF(ABS(tblTransactions[[#This Row],[net_sales_inr]]-tblTransactions[[#This Row],[Recalc_Net_Sales]])&lt;0.02,"OK","CHECK")</f>
        <v>OK</v>
      </c>
      <c r="M2418" s="14">
        <f>DATE(YEAR(tblTransactions[[#This Row],[date]]),MONTH(tblTransactions[[#This Row],[date]]),1)</f>
        <v>45689</v>
      </c>
      <c r="N2418" t="str">
        <f>IF(WEEKDAY(tblTransactions[[#This Row],[date]],2)&gt;5,"Weekend","Weekday")</f>
        <v>Weekend</v>
      </c>
      <c r="O2418" s="13" t="str">
        <f>IF(tblTransactions[[#This Row],[discount_pct]]=0,"0%",IF(tblTransactions[[#This Row],[discount_pct]]&lt;=10%,"1–
10%",IF(tblTransactions[[#This Row],[discount_pct]]&lt;=20%,"11–20%","&gt;20%")))</f>
        <v>0%</v>
      </c>
      <c r="P2418" s="13" t="str">
        <f>_xlfn.XLOOKUP(tblTransactions[[#This Row],[tenant_id]],tblTenants[tenant_id],tblTenants[zone],"NOT FOUND")</f>
        <v>Entertainment</v>
      </c>
      <c r="Q2418" s="13" t="str">
        <f>_xlfn.XLOOKUP(tblTransactions[[#This Row],[tenant_id]],tblTenants[tenant_id],tblTenants[category],"NOT FOUND")</f>
        <v>Arcade</v>
      </c>
    </row>
    <row r="2419" spans="1:17">
      <c r="A2419" t="s">
        <v>2463</v>
      </c>
      <c r="B2419" s="2">
        <v>45818</v>
      </c>
      <c r="C2419">
        <v>13</v>
      </c>
      <c r="D2419" t="s">
        <v>57</v>
      </c>
      <c r="E2419" t="s">
        <v>12</v>
      </c>
      <c r="F2419" s="7">
        <v>558.41999999999996</v>
      </c>
      <c r="G2419" s="10">
        <v>0</v>
      </c>
      <c r="H2419" s="7">
        <v>558.41999999999996</v>
      </c>
      <c r="I2419">
        <v>1</v>
      </c>
      <c r="J2419" t="s">
        <v>13</v>
      </c>
      <c r="K2419" s="13">
        <f>ROUND(tblTransactions[[#This Row],[gross_sales_inr]]*(1-tblTransactions[[#This Row],[discount_pct]]),2)</f>
        <v>558.41999999999996</v>
      </c>
      <c r="L2419" t="str">
        <f>IF(ABS(tblTransactions[[#This Row],[net_sales_inr]]-tblTransactions[[#This Row],[Recalc_Net_Sales]])&lt;0.02,"OK","CHECK")</f>
        <v>OK</v>
      </c>
      <c r="M2419" s="14">
        <f>DATE(YEAR(tblTransactions[[#This Row],[date]]),MONTH(tblTransactions[[#This Row],[date]]),1)</f>
        <v>45809</v>
      </c>
      <c r="N2419" t="str">
        <f>IF(WEEKDAY(tblTransactions[[#This Row],[date]],2)&gt;5,"Weekend","Weekday")</f>
        <v>Weekday</v>
      </c>
      <c r="O2419" s="13" t="str">
        <f>IF(tblTransactions[[#This Row],[discount_pct]]=0,"0%",IF(tblTransactions[[#This Row],[discount_pct]]&lt;=10%,"1–
10%",IF(tblTransactions[[#This Row],[discount_pct]]&lt;=20%,"11–20%","&gt;20%")))</f>
        <v>0%</v>
      </c>
      <c r="P2419" s="13" t="str">
        <f>_xlfn.XLOOKUP(tblTransactions[[#This Row],[tenant_id]],tblTenants[tenant_id],tblTenants[zone],"NOT FOUND")</f>
        <v>Food Court</v>
      </c>
      <c r="Q2419" s="13" t="str">
        <f>_xlfn.XLOOKUP(tblTransactions[[#This Row],[tenant_id]],tblTenants[tenant_id],tblTenants[category],"NOT FOUND")</f>
        <v>Casual Dining</v>
      </c>
    </row>
    <row r="2420" spans="1:17">
      <c r="A2420" t="s">
        <v>2464</v>
      </c>
      <c r="B2420" s="2">
        <v>45812</v>
      </c>
      <c r="C2420">
        <v>20</v>
      </c>
      <c r="D2420" t="s">
        <v>57</v>
      </c>
      <c r="E2420" t="s">
        <v>12</v>
      </c>
      <c r="F2420" s="7">
        <v>2367.5700000000002</v>
      </c>
      <c r="G2420" s="10">
        <v>0.15</v>
      </c>
      <c r="H2420" s="7">
        <v>2012.43</v>
      </c>
      <c r="I2420">
        <v>4</v>
      </c>
      <c r="J2420" t="s">
        <v>13</v>
      </c>
      <c r="K2420" s="13">
        <f>ROUND(tblTransactions[[#This Row],[gross_sales_inr]]*(1-tblTransactions[[#This Row],[discount_pct]]),2)</f>
        <v>2012.43</v>
      </c>
      <c r="L2420" t="str">
        <f>IF(ABS(tblTransactions[[#This Row],[net_sales_inr]]-tblTransactions[[#This Row],[Recalc_Net_Sales]])&lt;0.02,"OK","CHECK")</f>
        <v>OK</v>
      </c>
      <c r="M2420" s="14">
        <f>DATE(YEAR(tblTransactions[[#This Row],[date]]),MONTH(tblTransactions[[#This Row],[date]]),1)</f>
        <v>45809</v>
      </c>
      <c r="N2420" t="str">
        <f>IF(WEEKDAY(tblTransactions[[#This Row],[date]],2)&gt;5,"Weekend","Weekday")</f>
        <v>Weekday</v>
      </c>
      <c r="O242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20" s="13" t="str">
        <f>_xlfn.XLOOKUP(tblTransactions[[#This Row],[tenant_id]],tblTenants[tenant_id],tblTenants[zone],"NOT FOUND")</f>
        <v>Food Court</v>
      </c>
      <c r="Q2420" s="13" t="str">
        <f>_xlfn.XLOOKUP(tblTransactions[[#This Row],[tenant_id]],tblTenants[tenant_id],tblTenants[category],"NOT FOUND")</f>
        <v>Casual Dining</v>
      </c>
    </row>
    <row r="2421" spans="1:17">
      <c r="A2421" t="s">
        <v>2465</v>
      </c>
      <c r="B2421" s="2">
        <v>45787</v>
      </c>
      <c r="C2421">
        <v>12</v>
      </c>
      <c r="D2421" t="s">
        <v>59</v>
      </c>
      <c r="E2421" t="s">
        <v>12</v>
      </c>
      <c r="F2421" s="7">
        <v>907.97</v>
      </c>
      <c r="G2421" s="10">
        <v>0.15</v>
      </c>
      <c r="H2421" s="7">
        <v>771.77</v>
      </c>
      <c r="I2421">
        <v>2</v>
      </c>
      <c r="J2421" t="s">
        <v>16</v>
      </c>
      <c r="K2421" s="13">
        <f>ROUND(tblTransactions[[#This Row],[gross_sales_inr]]*(1-tblTransactions[[#This Row],[discount_pct]]),2)</f>
        <v>771.77</v>
      </c>
      <c r="L2421" t="str">
        <f>IF(ABS(tblTransactions[[#This Row],[net_sales_inr]]-tblTransactions[[#This Row],[Recalc_Net_Sales]])&lt;0.02,"OK","CHECK")</f>
        <v>OK</v>
      </c>
      <c r="M2421" s="14">
        <f>DATE(YEAR(tblTransactions[[#This Row],[date]]),MONTH(tblTransactions[[#This Row],[date]]),1)</f>
        <v>45778</v>
      </c>
      <c r="N2421" t="str">
        <f>IF(WEEKDAY(tblTransactions[[#This Row],[date]],2)&gt;5,"Weekend","Weekday")</f>
        <v>Weekend</v>
      </c>
      <c r="O242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21" s="13" t="str">
        <f>_xlfn.XLOOKUP(tblTransactions[[#This Row],[tenant_id]],tblTenants[tenant_id],tblTenants[zone],"NOT FOUND")</f>
        <v>Fashion Avenue</v>
      </c>
      <c r="Q2421" s="13" t="str">
        <f>_xlfn.XLOOKUP(tblTransactions[[#This Row],[tenant_id]],tblTenants[tenant_id],tblTenants[category],"NOT FOUND")</f>
        <v>Footwear</v>
      </c>
    </row>
    <row r="2422" spans="1:17">
      <c r="A2422" t="s">
        <v>2466</v>
      </c>
      <c r="B2422" s="2">
        <v>45711</v>
      </c>
      <c r="C2422">
        <v>21</v>
      </c>
      <c r="D2422" t="s">
        <v>87</v>
      </c>
      <c r="E2422" t="s">
        <v>51</v>
      </c>
      <c r="F2422" s="7">
        <v>666.57</v>
      </c>
      <c r="G2422" s="10">
        <v>0.3</v>
      </c>
      <c r="H2422" s="7">
        <v>466.6</v>
      </c>
      <c r="I2422">
        <v>2</v>
      </c>
      <c r="J2422" t="s">
        <v>13</v>
      </c>
      <c r="K2422" s="13">
        <f>ROUND(tblTransactions[[#This Row],[gross_sales_inr]]*(1-tblTransactions[[#This Row],[discount_pct]]),2)</f>
        <v>466.6</v>
      </c>
      <c r="L2422" t="str">
        <f>IF(ABS(tblTransactions[[#This Row],[net_sales_inr]]-tblTransactions[[#This Row],[Recalc_Net_Sales]])&lt;0.02,"OK","CHECK")</f>
        <v>OK</v>
      </c>
      <c r="M2422" s="14">
        <f>DATE(YEAR(tblTransactions[[#This Row],[date]]),MONTH(tblTransactions[[#This Row],[date]]),1)</f>
        <v>45689</v>
      </c>
      <c r="N2422" t="str">
        <f>IF(WEEKDAY(tblTransactions[[#This Row],[date]],2)&gt;5,"Weekend","Weekday")</f>
        <v>Weekend</v>
      </c>
      <c r="O2422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422" s="13" t="str">
        <f>_xlfn.XLOOKUP(tblTransactions[[#This Row],[tenant_id]],tblTenants[tenant_id],tblTenants[zone],"NOT FOUND")</f>
        <v>Fashion Avenue</v>
      </c>
      <c r="Q2422" s="13" t="str">
        <f>_xlfn.XLOOKUP(tblTransactions[[#This Row],[tenant_id]],tblTenants[tenant_id],tblTenants[category],"NOT FOUND")</f>
        <v>Footwear</v>
      </c>
    </row>
    <row r="2423" spans="1:17">
      <c r="A2423" t="s">
        <v>2467</v>
      </c>
      <c r="B2423" s="2">
        <v>45743</v>
      </c>
      <c r="C2423">
        <v>18</v>
      </c>
      <c r="D2423" t="s">
        <v>55</v>
      </c>
      <c r="E2423" t="s">
        <v>12</v>
      </c>
      <c r="F2423" s="7">
        <v>4180.55</v>
      </c>
      <c r="G2423" s="10">
        <v>0.1</v>
      </c>
      <c r="H2423" s="7">
        <v>3762.5</v>
      </c>
      <c r="I2423">
        <v>2</v>
      </c>
      <c r="J2423" t="s">
        <v>13</v>
      </c>
      <c r="K2423" s="13">
        <f>ROUND(tblTransactions[[#This Row],[gross_sales_inr]]*(1-tblTransactions[[#This Row],[discount_pct]]),2)</f>
        <v>3762.5</v>
      </c>
      <c r="L2423" t="str">
        <f>IF(ABS(tblTransactions[[#This Row],[net_sales_inr]]-tblTransactions[[#This Row],[Recalc_Net_Sales]])&lt;0.02,"OK","CHECK")</f>
        <v>OK</v>
      </c>
      <c r="M2423" s="14">
        <f>DATE(YEAR(tblTransactions[[#This Row],[date]]),MONTH(tblTransactions[[#This Row],[date]]),1)</f>
        <v>45717</v>
      </c>
      <c r="N2423" t="str">
        <f>IF(WEEKDAY(tblTransactions[[#This Row],[date]],2)&gt;5,"Weekend","Weekday")</f>
        <v>Weekday</v>
      </c>
      <c r="O242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23" s="13" t="str">
        <f>_xlfn.XLOOKUP(tblTransactions[[#This Row],[tenant_id]],tblTenants[tenant_id],tblTenants[zone],"NOT FOUND")</f>
        <v>Food Court</v>
      </c>
      <c r="Q2423" s="13" t="str">
        <f>_xlfn.XLOOKUP(tblTransactions[[#This Row],[tenant_id]],tblTenants[tenant_id],tblTenants[category],"NOT FOUND")</f>
        <v>Quick Service</v>
      </c>
    </row>
    <row r="2424" spans="1:17">
      <c r="A2424" t="s">
        <v>2468</v>
      </c>
      <c r="B2424" s="2">
        <v>45690</v>
      </c>
      <c r="C2424">
        <v>11</v>
      </c>
      <c r="D2424" t="s">
        <v>61</v>
      </c>
      <c r="E2424" t="s">
        <v>32</v>
      </c>
      <c r="F2424" s="7">
        <v>1405.1</v>
      </c>
      <c r="G2424" s="10">
        <v>0</v>
      </c>
      <c r="H2424" s="7">
        <v>1405.1</v>
      </c>
      <c r="I2424">
        <v>1</v>
      </c>
      <c r="J2424" t="s">
        <v>13</v>
      </c>
      <c r="K2424" s="13">
        <f>ROUND(tblTransactions[[#This Row],[gross_sales_inr]]*(1-tblTransactions[[#This Row],[discount_pct]]),2)</f>
        <v>1405.1</v>
      </c>
      <c r="L2424" t="str">
        <f>IF(ABS(tblTransactions[[#This Row],[net_sales_inr]]-tblTransactions[[#This Row],[Recalc_Net_Sales]])&lt;0.02,"OK","CHECK")</f>
        <v>OK</v>
      </c>
      <c r="M2424" s="14">
        <f>DATE(YEAR(tblTransactions[[#This Row],[date]]),MONTH(tblTransactions[[#This Row],[date]]),1)</f>
        <v>45689</v>
      </c>
      <c r="N2424" t="str">
        <f>IF(WEEKDAY(tblTransactions[[#This Row],[date]],2)&gt;5,"Weekend","Weekday")</f>
        <v>Weekend</v>
      </c>
      <c r="O2424" s="13" t="str">
        <f>IF(tblTransactions[[#This Row],[discount_pct]]=0,"0%",IF(tblTransactions[[#This Row],[discount_pct]]&lt;=10%,"1–
10%",IF(tblTransactions[[#This Row],[discount_pct]]&lt;=20%,"11–20%","&gt;20%")))</f>
        <v>0%</v>
      </c>
      <c r="P2424" s="13" t="str">
        <f>_xlfn.XLOOKUP(tblTransactions[[#This Row],[tenant_id]],tblTenants[tenant_id],tblTenants[zone],"NOT FOUND")</f>
        <v>Food Court</v>
      </c>
      <c r="Q2424" s="13" t="str">
        <f>_xlfn.XLOOKUP(tblTransactions[[#This Row],[tenant_id]],tblTenants[tenant_id],tblTenants[category],"NOT FOUND")</f>
        <v>Quick Service</v>
      </c>
    </row>
    <row r="2425" spans="1:17">
      <c r="A2425" t="s">
        <v>2469</v>
      </c>
      <c r="B2425" s="2">
        <v>45706</v>
      </c>
      <c r="C2425">
        <v>22</v>
      </c>
      <c r="D2425" t="s">
        <v>11</v>
      </c>
      <c r="E2425" t="s">
        <v>12</v>
      </c>
      <c r="F2425" s="7">
        <v>3152.71</v>
      </c>
      <c r="G2425" s="10">
        <v>0</v>
      </c>
      <c r="H2425" s="7">
        <v>3152.71</v>
      </c>
      <c r="I2425">
        <v>4</v>
      </c>
      <c r="J2425" t="s">
        <v>16</v>
      </c>
      <c r="K2425" s="13">
        <f>ROUND(tblTransactions[[#This Row],[gross_sales_inr]]*(1-tblTransactions[[#This Row],[discount_pct]]),2)</f>
        <v>3152.71</v>
      </c>
      <c r="L2425" t="str">
        <f>IF(ABS(tblTransactions[[#This Row],[net_sales_inr]]-tblTransactions[[#This Row],[Recalc_Net_Sales]])&lt;0.02,"OK","CHECK")</f>
        <v>OK</v>
      </c>
      <c r="M2425" s="14">
        <f>DATE(YEAR(tblTransactions[[#This Row],[date]]),MONTH(tblTransactions[[#This Row],[date]]),1)</f>
        <v>45689</v>
      </c>
      <c r="N2425" t="str">
        <f>IF(WEEKDAY(tblTransactions[[#This Row],[date]],2)&gt;5,"Weekend","Weekday")</f>
        <v>Weekday</v>
      </c>
      <c r="O2425" s="13" t="str">
        <f>IF(tblTransactions[[#This Row],[discount_pct]]=0,"0%",IF(tblTransactions[[#This Row],[discount_pct]]&lt;=10%,"1–
10%",IF(tblTransactions[[#This Row],[discount_pct]]&lt;=20%,"11–20%","&gt;20%")))</f>
        <v>0%</v>
      </c>
      <c r="P2425" s="13" t="str">
        <f>_xlfn.XLOOKUP(tblTransactions[[#This Row],[tenant_id]],tblTenants[tenant_id],tblTenants[zone],"NOT FOUND")</f>
        <v>Home &amp; Living</v>
      </c>
      <c r="Q2425" s="13" t="str">
        <f>_xlfn.XLOOKUP(tblTransactions[[#This Row],[tenant_id]],tblTenants[tenant_id],tblTenants[category],"NOT FOUND")</f>
        <v>Home Decor</v>
      </c>
    </row>
    <row r="2426" spans="1:17">
      <c r="A2426" t="s">
        <v>2470</v>
      </c>
      <c r="B2426" s="2">
        <v>45720</v>
      </c>
      <c r="C2426">
        <v>17</v>
      </c>
      <c r="D2426" t="s">
        <v>72</v>
      </c>
      <c r="E2426" t="s">
        <v>12</v>
      </c>
      <c r="F2426" s="7">
        <v>182.62</v>
      </c>
      <c r="G2426" s="10">
        <v>0</v>
      </c>
      <c r="H2426" s="7">
        <v>182.62</v>
      </c>
      <c r="I2426">
        <v>2</v>
      </c>
      <c r="J2426" t="s">
        <v>16</v>
      </c>
      <c r="K2426" s="13">
        <f>ROUND(tblTransactions[[#This Row],[gross_sales_inr]]*(1-tblTransactions[[#This Row],[discount_pct]]),2)</f>
        <v>182.62</v>
      </c>
      <c r="L2426" t="str">
        <f>IF(ABS(tblTransactions[[#This Row],[net_sales_inr]]-tblTransactions[[#This Row],[Recalc_Net_Sales]])&lt;0.02,"OK","CHECK")</f>
        <v>OK</v>
      </c>
      <c r="M2426" s="14">
        <f>DATE(YEAR(tblTransactions[[#This Row],[date]]),MONTH(tblTransactions[[#This Row],[date]]),1)</f>
        <v>45717</v>
      </c>
      <c r="N2426" t="str">
        <f>IF(WEEKDAY(tblTransactions[[#This Row],[date]],2)&gt;5,"Weekend","Weekday")</f>
        <v>Weekday</v>
      </c>
      <c r="O2426" s="13" t="str">
        <f>IF(tblTransactions[[#This Row],[discount_pct]]=0,"0%",IF(tblTransactions[[#This Row],[discount_pct]]&lt;=10%,"1–
10%",IF(tblTransactions[[#This Row],[discount_pct]]&lt;=20%,"11–20%","&gt;20%")))</f>
        <v>0%</v>
      </c>
      <c r="P2426" s="13" t="str">
        <f>_xlfn.XLOOKUP(tblTransactions[[#This Row],[tenant_id]],tblTenants[tenant_id],tblTenants[zone],"NOT FOUND")</f>
        <v>Entertainment</v>
      </c>
      <c r="Q2426" s="13" t="str">
        <f>_xlfn.XLOOKUP(tblTransactions[[#This Row],[tenant_id]],tblTenants[tenant_id],tblTenants[category],"NOT FOUND")</f>
        <v>Arcade</v>
      </c>
    </row>
    <row r="2427" spans="1:17">
      <c r="A2427" t="s">
        <v>2471</v>
      </c>
      <c r="B2427" s="2">
        <v>45780</v>
      </c>
      <c r="C2427">
        <v>19</v>
      </c>
      <c r="D2427" t="s">
        <v>23</v>
      </c>
      <c r="E2427" t="s">
        <v>12</v>
      </c>
      <c r="F2427" s="7">
        <v>1513.24</v>
      </c>
      <c r="G2427" s="10">
        <v>0.2</v>
      </c>
      <c r="H2427" s="7">
        <v>1210.5899999999999</v>
      </c>
      <c r="I2427">
        <v>3</v>
      </c>
      <c r="J2427" t="s">
        <v>13</v>
      </c>
      <c r="K2427" s="13">
        <f>ROUND(tblTransactions[[#This Row],[gross_sales_inr]]*(1-tblTransactions[[#This Row],[discount_pct]]),2)</f>
        <v>1210.5899999999999</v>
      </c>
      <c r="L2427" t="str">
        <f>IF(ABS(tblTransactions[[#This Row],[net_sales_inr]]-tblTransactions[[#This Row],[Recalc_Net_Sales]])&lt;0.02,"OK","CHECK")</f>
        <v>OK</v>
      </c>
      <c r="M2427" s="14">
        <f>DATE(YEAR(tblTransactions[[#This Row],[date]]),MONTH(tblTransactions[[#This Row],[date]]),1)</f>
        <v>45778</v>
      </c>
      <c r="N2427" t="str">
        <f>IF(WEEKDAY(tblTransactions[[#This Row],[date]],2)&gt;5,"Weekend","Weekday")</f>
        <v>Weekend</v>
      </c>
      <c r="O242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27" s="13" t="str">
        <f>_xlfn.XLOOKUP(tblTransactions[[#This Row],[tenant_id]],tblTenants[tenant_id],tblTenants[zone],"NOT FOUND")</f>
        <v>Entertainment</v>
      </c>
      <c r="Q2427" s="13" t="str">
        <f>_xlfn.XLOOKUP(tblTransactions[[#This Row],[tenant_id]],tblTenants[tenant_id],tblTenants[category],"NOT FOUND")</f>
        <v>Cinema</v>
      </c>
    </row>
    <row r="2428" spans="1:17">
      <c r="A2428" t="s">
        <v>2472</v>
      </c>
      <c r="B2428" s="2">
        <v>45757</v>
      </c>
      <c r="C2428">
        <v>13</v>
      </c>
      <c r="D2428" t="s">
        <v>63</v>
      </c>
      <c r="E2428" t="s">
        <v>12</v>
      </c>
      <c r="F2428" s="7">
        <v>1179.8699999999999</v>
      </c>
      <c r="G2428" s="10">
        <v>0</v>
      </c>
      <c r="H2428" s="7">
        <v>1179.8699999999999</v>
      </c>
      <c r="I2428">
        <v>5</v>
      </c>
      <c r="J2428" t="s">
        <v>16</v>
      </c>
      <c r="K2428" s="13">
        <f>ROUND(tblTransactions[[#This Row],[gross_sales_inr]]*(1-tblTransactions[[#This Row],[discount_pct]]),2)</f>
        <v>1179.8699999999999</v>
      </c>
      <c r="L2428" t="str">
        <f>IF(ABS(tblTransactions[[#This Row],[net_sales_inr]]-tblTransactions[[#This Row],[Recalc_Net_Sales]])&lt;0.02,"OK","CHECK")</f>
        <v>OK</v>
      </c>
      <c r="M2428" s="14">
        <f>DATE(YEAR(tblTransactions[[#This Row],[date]]),MONTH(tblTransactions[[#This Row],[date]]),1)</f>
        <v>45748</v>
      </c>
      <c r="N2428" t="str">
        <f>IF(WEEKDAY(tblTransactions[[#This Row],[date]],2)&gt;5,"Weekend","Weekday")</f>
        <v>Weekday</v>
      </c>
      <c r="O2428" s="13" t="str">
        <f>IF(tblTransactions[[#This Row],[discount_pct]]=0,"0%",IF(tblTransactions[[#This Row],[discount_pct]]&lt;=10%,"1–
10%",IF(tblTransactions[[#This Row],[discount_pct]]&lt;=20%,"11–20%","&gt;20%")))</f>
        <v>0%</v>
      </c>
      <c r="P2428" s="13" t="str">
        <f>_xlfn.XLOOKUP(tblTransactions[[#This Row],[tenant_id]],tblTenants[tenant_id],tblTenants[zone],"NOT FOUND")</f>
        <v>Entertainment</v>
      </c>
      <c r="Q2428" s="13" t="str">
        <f>_xlfn.XLOOKUP(tblTransactions[[#This Row],[tenant_id]],tblTenants[tenant_id],tblTenants[category],"NOT FOUND")</f>
        <v>Family Entertainment</v>
      </c>
    </row>
    <row r="2429" spans="1:17">
      <c r="A2429" t="s">
        <v>2473</v>
      </c>
      <c r="B2429" s="2">
        <v>45741</v>
      </c>
      <c r="C2429">
        <v>15</v>
      </c>
      <c r="D2429" t="s">
        <v>122</v>
      </c>
      <c r="E2429" t="s">
        <v>21</v>
      </c>
      <c r="F2429" s="7">
        <v>729.66</v>
      </c>
      <c r="G2429" s="10">
        <v>0</v>
      </c>
      <c r="H2429" s="7">
        <v>729.66</v>
      </c>
      <c r="I2429">
        <v>1</v>
      </c>
      <c r="J2429" t="s">
        <v>16</v>
      </c>
      <c r="K2429" s="13">
        <f>ROUND(tblTransactions[[#This Row],[gross_sales_inr]]*(1-tblTransactions[[#This Row],[discount_pct]]),2)</f>
        <v>729.66</v>
      </c>
      <c r="L2429" t="str">
        <f>IF(ABS(tblTransactions[[#This Row],[net_sales_inr]]-tblTransactions[[#This Row],[Recalc_Net_Sales]])&lt;0.02,"OK","CHECK")</f>
        <v>OK</v>
      </c>
      <c r="M2429" s="14">
        <f>DATE(YEAR(tblTransactions[[#This Row],[date]]),MONTH(tblTransactions[[#This Row],[date]]),1)</f>
        <v>45717</v>
      </c>
      <c r="N2429" t="str">
        <f>IF(WEEKDAY(tblTransactions[[#This Row],[date]],2)&gt;5,"Weekend","Weekday")</f>
        <v>Weekday</v>
      </c>
      <c r="O2429" s="13" t="str">
        <f>IF(tblTransactions[[#This Row],[discount_pct]]=0,"0%",IF(tblTransactions[[#This Row],[discount_pct]]&lt;=10%,"1–
10%",IF(tblTransactions[[#This Row],[discount_pct]]&lt;=20%,"11–20%","&gt;20%")))</f>
        <v>0%</v>
      </c>
      <c r="P2429" s="13" t="str">
        <f>_xlfn.XLOOKUP(tblTransactions[[#This Row],[tenant_id]],tblTenants[tenant_id],tblTenants[zone],"NOT FOUND")</f>
        <v>Beauty &amp; Wellness</v>
      </c>
      <c r="Q2429" s="13" t="str">
        <f>_xlfn.XLOOKUP(tblTransactions[[#This Row],[tenant_id]],tblTenants[tenant_id],tblTenants[category],"NOT FOUND")</f>
        <v>Wellness</v>
      </c>
    </row>
    <row r="2430" spans="1:17">
      <c r="A2430" t="s">
        <v>2474</v>
      </c>
      <c r="B2430" s="2">
        <v>45738</v>
      </c>
      <c r="C2430">
        <v>17</v>
      </c>
      <c r="D2430" t="s">
        <v>11</v>
      </c>
      <c r="E2430" t="s">
        <v>12</v>
      </c>
      <c r="F2430" s="7">
        <v>1125.29</v>
      </c>
      <c r="G2430" s="10">
        <v>0.2</v>
      </c>
      <c r="H2430" s="7">
        <v>900.23</v>
      </c>
      <c r="I2430">
        <v>2</v>
      </c>
      <c r="J2430" t="s">
        <v>13</v>
      </c>
      <c r="K2430" s="13">
        <f>ROUND(tblTransactions[[#This Row],[gross_sales_inr]]*(1-tblTransactions[[#This Row],[discount_pct]]),2)</f>
        <v>900.23</v>
      </c>
      <c r="L2430" t="str">
        <f>IF(ABS(tblTransactions[[#This Row],[net_sales_inr]]-tblTransactions[[#This Row],[Recalc_Net_Sales]])&lt;0.02,"OK","CHECK")</f>
        <v>OK</v>
      </c>
      <c r="M2430" s="14">
        <f>DATE(YEAR(tblTransactions[[#This Row],[date]]),MONTH(tblTransactions[[#This Row],[date]]),1)</f>
        <v>45717</v>
      </c>
      <c r="N2430" t="str">
        <f>IF(WEEKDAY(tblTransactions[[#This Row],[date]],2)&gt;5,"Weekend","Weekday")</f>
        <v>Weekend</v>
      </c>
      <c r="O243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30" s="13" t="str">
        <f>_xlfn.XLOOKUP(tblTransactions[[#This Row],[tenant_id]],tblTenants[tenant_id],tblTenants[zone],"NOT FOUND")</f>
        <v>Home &amp; Living</v>
      </c>
      <c r="Q2430" s="13" t="str">
        <f>_xlfn.XLOOKUP(tblTransactions[[#This Row],[tenant_id]],tblTenants[tenant_id],tblTenants[category],"NOT FOUND")</f>
        <v>Home Decor</v>
      </c>
    </row>
    <row r="2431" spans="1:17">
      <c r="A2431" t="s">
        <v>2475</v>
      </c>
      <c r="B2431" s="2">
        <v>45734</v>
      </c>
      <c r="C2431">
        <v>17</v>
      </c>
      <c r="D2431" t="s">
        <v>25</v>
      </c>
      <c r="E2431" t="s">
        <v>21</v>
      </c>
      <c r="F2431" s="7">
        <v>784.21</v>
      </c>
      <c r="G2431" s="10">
        <v>0.1</v>
      </c>
      <c r="H2431" s="7">
        <v>705.79</v>
      </c>
      <c r="I2431">
        <v>2</v>
      </c>
      <c r="J2431" t="s">
        <v>13</v>
      </c>
      <c r="K2431" s="13">
        <f>ROUND(tblTransactions[[#This Row],[gross_sales_inr]]*(1-tblTransactions[[#This Row],[discount_pct]]),2)</f>
        <v>705.79</v>
      </c>
      <c r="L2431" t="str">
        <f>IF(ABS(tblTransactions[[#This Row],[net_sales_inr]]-tblTransactions[[#This Row],[Recalc_Net_Sales]])&lt;0.02,"OK","CHECK")</f>
        <v>OK</v>
      </c>
      <c r="M2431" s="14">
        <f>DATE(YEAR(tblTransactions[[#This Row],[date]]),MONTH(tblTransactions[[#This Row],[date]]),1)</f>
        <v>45717</v>
      </c>
      <c r="N2431" t="str">
        <f>IF(WEEKDAY(tblTransactions[[#This Row],[date]],2)&gt;5,"Weekend","Weekday")</f>
        <v>Weekday</v>
      </c>
      <c r="O243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31" s="13" t="str">
        <f>_xlfn.XLOOKUP(tblTransactions[[#This Row],[tenant_id]],tblTenants[tenant_id],tblTenants[zone],"NOT FOUND")</f>
        <v>Beauty &amp; Wellness</v>
      </c>
      <c r="Q2431" s="13" t="str">
        <f>_xlfn.XLOOKUP(tblTransactions[[#This Row],[tenant_id]],tblTenants[tenant_id],tblTenants[category],"NOT FOUND")</f>
        <v>Beauty</v>
      </c>
    </row>
    <row r="2432" spans="1:17">
      <c r="A2432" t="s">
        <v>2476</v>
      </c>
      <c r="B2432" s="2">
        <v>45803</v>
      </c>
      <c r="C2432">
        <v>13</v>
      </c>
      <c r="D2432" t="s">
        <v>43</v>
      </c>
      <c r="E2432" t="s">
        <v>12</v>
      </c>
      <c r="F2432" s="7">
        <v>1461.68</v>
      </c>
      <c r="G2432" s="10">
        <v>0</v>
      </c>
      <c r="H2432" s="7">
        <v>1461.68</v>
      </c>
      <c r="I2432">
        <v>1</v>
      </c>
      <c r="J2432" t="s">
        <v>16</v>
      </c>
      <c r="K2432" s="13">
        <f>ROUND(tblTransactions[[#This Row],[gross_sales_inr]]*(1-tblTransactions[[#This Row],[discount_pct]]),2)</f>
        <v>1461.68</v>
      </c>
      <c r="L2432" t="str">
        <f>IF(ABS(tblTransactions[[#This Row],[net_sales_inr]]-tblTransactions[[#This Row],[Recalc_Net_Sales]])&lt;0.02,"OK","CHECK")</f>
        <v>OK</v>
      </c>
      <c r="M2432" s="14">
        <f>DATE(YEAR(tblTransactions[[#This Row],[date]]),MONTH(tblTransactions[[#This Row],[date]]),1)</f>
        <v>45778</v>
      </c>
      <c r="N2432" t="str">
        <f>IF(WEEKDAY(tblTransactions[[#This Row],[date]],2)&gt;5,"Weekend","Weekday")</f>
        <v>Weekday</v>
      </c>
      <c r="O2432" s="13" t="str">
        <f>IF(tblTransactions[[#This Row],[discount_pct]]=0,"0%",IF(tblTransactions[[#This Row],[discount_pct]]&lt;=10%,"1–
10%",IF(tblTransactions[[#This Row],[discount_pct]]&lt;=20%,"11–20%","&gt;20%")))</f>
        <v>0%</v>
      </c>
      <c r="P2432" s="13" t="str">
        <f>_xlfn.XLOOKUP(tblTransactions[[#This Row],[tenant_id]],tblTenants[tenant_id],tblTenants[zone],"NOT FOUND")</f>
        <v>Food Court</v>
      </c>
      <c r="Q2432" s="13" t="str">
        <f>_xlfn.XLOOKUP(tblTransactions[[#This Row],[tenant_id]],tblTenants[tenant_id],tblTenants[category],"NOT FOUND")</f>
        <v>Casual Dining</v>
      </c>
    </row>
    <row r="2433" spans="1:17">
      <c r="A2433" t="s">
        <v>2477</v>
      </c>
      <c r="B2433" s="2">
        <v>45762</v>
      </c>
      <c r="C2433">
        <v>12</v>
      </c>
      <c r="D2433" t="s">
        <v>20</v>
      </c>
      <c r="E2433" t="s">
        <v>51</v>
      </c>
      <c r="F2433" s="7">
        <v>994.4</v>
      </c>
      <c r="G2433" s="10">
        <v>0</v>
      </c>
      <c r="H2433" s="7">
        <v>994.4</v>
      </c>
      <c r="I2433">
        <v>2</v>
      </c>
      <c r="J2433" t="s">
        <v>16</v>
      </c>
      <c r="K2433" s="13">
        <f>ROUND(tblTransactions[[#This Row],[gross_sales_inr]]*(1-tblTransactions[[#This Row],[discount_pct]]),2)</f>
        <v>994.4</v>
      </c>
      <c r="L2433" t="str">
        <f>IF(ABS(tblTransactions[[#This Row],[net_sales_inr]]-tblTransactions[[#This Row],[Recalc_Net_Sales]])&lt;0.02,"OK","CHECK")</f>
        <v>OK</v>
      </c>
      <c r="M2433" s="14">
        <f>DATE(YEAR(tblTransactions[[#This Row],[date]]),MONTH(tblTransactions[[#This Row],[date]]),1)</f>
        <v>45748</v>
      </c>
      <c r="N2433" t="str">
        <f>IF(WEEKDAY(tblTransactions[[#This Row],[date]],2)&gt;5,"Weekend","Weekday")</f>
        <v>Weekday</v>
      </c>
      <c r="O2433" s="13" t="str">
        <f>IF(tblTransactions[[#This Row],[discount_pct]]=0,"0%",IF(tblTransactions[[#This Row],[discount_pct]]&lt;=10%,"1–
10%",IF(tblTransactions[[#This Row],[discount_pct]]&lt;=20%,"11–20%","&gt;20%")))</f>
        <v>0%</v>
      </c>
      <c r="P2433" s="13" t="str">
        <f>_xlfn.XLOOKUP(tblTransactions[[#This Row],[tenant_id]],tblTenants[tenant_id],tblTenants[zone],"NOT FOUND")</f>
        <v>Fashion Avenue</v>
      </c>
      <c r="Q2433" s="13" t="str">
        <f>_xlfn.XLOOKUP(tblTransactions[[#This Row],[tenant_id]],tblTenants[tenant_id],tblTenants[category],"NOT FOUND")</f>
        <v>Accessories</v>
      </c>
    </row>
    <row r="2434" spans="1:17">
      <c r="A2434" t="s">
        <v>2478</v>
      </c>
      <c r="B2434" s="2">
        <v>45735</v>
      </c>
      <c r="C2434">
        <v>12</v>
      </c>
      <c r="D2434" t="s">
        <v>55</v>
      </c>
      <c r="E2434" t="s">
        <v>21</v>
      </c>
      <c r="F2434" s="7">
        <v>713.94</v>
      </c>
      <c r="G2434" s="10">
        <v>0.15</v>
      </c>
      <c r="H2434" s="7">
        <v>606.85</v>
      </c>
      <c r="I2434">
        <v>1</v>
      </c>
      <c r="J2434" t="s">
        <v>16</v>
      </c>
      <c r="K2434" s="13">
        <f>ROUND(tblTransactions[[#This Row],[gross_sales_inr]]*(1-tblTransactions[[#This Row],[discount_pct]]),2)</f>
        <v>606.85</v>
      </c>
      <c r="L2434" t="str">
        <f>IF(ABS(tblTransactions[[#This Row],[net_sales_inr]]-tblTransactions[[#This Row],[Recalc_Net_Sales]])&lt;0.02,"OK","CHECK")</f>
        <v>OK</v>
      </c>
      <c r="M2434" s="14">
        <f>DATE(YEAR(tblTransactions[[#This Row],[date]]),MONTH(tblTransactions[[#This Row],[date]]),1)</f>
        <v>45717</v>
      </c>
      <c r="N2434" t="str">
        <f>IF(WEEKDAY(tblTransactions[[#This Row],[date]],2)&gt;5,"Weekend","Weekday")</f>
        <v>Weekday</v>
      </c>
      <c r="O243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34" s="13" t="str">
        <f>_xlfn.XLOOKUP(tblTransactions[[#This Row],[tenant_id]],tblTenants[tenant_id],tblTenants[zone],"NOT FOUND")</f>
        <v>Food Court</v>
      </c>
      <c r="Q2434" s="13" t="str">
        <f>_xlfn.XLOOKUP(tblTransactions[[#This Row],[tenant_id]],tblTenants[tenant_id],tblTenants[category],"NOT FOUND")</f>
        <v>Quick Service</v>
      </c>
    </row>
    <row r="2435" spans="1:17">
      <c r="A2435" t="s">
        <v>2479</v>
      </c>
      <c r="B2435" s="2">
        <v>45679</v>
      </c>
      <c r="C2435">
        <v>11</v>
      </c>
      <c r="D2435" t="s">
        <v>29</v>
      </c>
      <c r="E2435" t="s">
        <v>51</v>
      </c>
      <c r="F2435" s="7">
        <v>634.70000000000005</v>
      </c>
      <c r="G2435" s="10">
        <v>0.05</v>
      </c>
      <c r="H2435" s="7">
        <v>602.97</v>
      </c>
      <c r="I2435">
        <v>2</v>
      </c>
      <c r="J2435" t="s">
        <v>16</v>
      </c>
      <c r="K2435" s="13">
        <f>ROUND(tblTransactions[[#This Row],[gross_sales_inr]]*(1-tblTransactions[[#This Row],[discount_pct]]),2)</f>
        <v>602.97</v>
      </c>
      <c r="L2435" t="str">
        <f>IF(ABS(tblTransactions[[#This Row],[net_sales_inr]]-tblTransactions[[#This Row],[Recalc_Net_Sales]])&lt;0.02,"OK","CHECK")</f>
        <v>OK</v>
      </c>
      <c r="M2435" s="14">
        <f>DATE(YEAR(tblTransactions[[#This Row],[date]]),MONTH(tblTransactions[[#This Row],[date]]),1)</f>
        <v>45658</v>
      </c>
      <c r="N2435" t="str">
        <f>IF(WEEKDAY(tblTransactions[[#This Row],[date]],2)&gt;5,"Weekend","Weekday")</f>
        <v>Weekday</v>
      </c>
      <c r="O243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35" s="13" t="str">
        <f>_xlfn.XLOOKUP(tblTransactions[[#This Row],[tenant_id]],tblTenants[tenant_id],tblTenants[zone],"NOT FOUND")</f>
        <v>Entertainment</v>
      </c>
      <c r="Q2435" s="13" t="str">
        <f>_xlfn.XLOOKUP(tblTransactions[[#This Row],[tenant_id]],tblTenants[tenant_id],tblTenants[category],"NOT FOUND")</f>
        <v>Cinema</v>
      </c>
    </row>
    <row r="2436" spans="1:17">
      <c r="A2436" t="s">
        <v>2480</v>
      </c>
      <c r="B2436" s="2">
        <v>45680</v>
      </c>
      <c r="C2436">
        <v>18</v>
      </c>
      <c r="D2436" t="s">
        <v>63</v>
      </c>
      <c r="E2436" t="s">
        <v>32</v>
      </c>
      <c r="F2436" s="7">
        <v>1409.78</v>
      </c>
      <c r="G2436" s="10">
        <v>0.15</v>
      </c>
      <c r="H2436" s="7">
        <v>1198.31</v>
      </c>
      <c r="I2436">
        <v>1</v>
      </c>
      <c r="J2436" t="s">
        <v>13</v>
      </c>
      <c r="K2436" s="13">
        <f>ROUND(tblTransactions[[#This Row],[gross_sales_inr]]*(1-tblTransactions[[#This Row],[discount_pct]]),2)</f>
        <v>1198.31</v>
      </c>
      <c r="L2436" t="str">
        <f>IF(ABS(tblTransactions[[#This Row],[net_sales_inr]]-tblTransactions[[#This Row],[Recalc_Net_Sales]])&lt;0.02,"OK","CHECK")</f>
        <v>OK</v>
      </c>
      <c r="M2436" s="14">
        <f>DATE(YEAR(tblTransactions[[#This Row],[date]]),MONTH(tblTransactions[[#This Row],[date]]),1)</f>
        <v>45658</v>
      </c>
      <c r="N2436" t="str">
        <f>IF(WEEKDAY(tblTransactions[[#This Row],[date]],2)&gt;5,"Weekend","Weekday")</f>
        <v>Weekday</v>
      </c>
      <c r="O243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36" s="13" t="str">
        <f>_xlfn.XLOOKUP(tblTransactions[[#This Row],[tenant_id]],tblTenants[tenant_id],tblTenants[zone],"NOT FOUND")</f>
        <v>Entertainment</v>
      </c>
      <c r="Q2436" s="13" t="str">
        <f>_xlfn.XLOOKUP(tblTransactions[[#This Row],[tenant_id]],tblTenants[tenant_id],tblTenants[category],"NOT FOUND")</f>
        <v>Family Entertainment</v>
      </c>
    </row>
    <row r="2437" spans="1:17">
      <c r="A2437" t="s">
        <v>2481</v>
      </c>
      <c r="B2437" s="2">
        <v>45734</v>
      </c>
      <c r="C2437">
        <v>12</v>
      </c>
      <c r="D2437" t="s">
        <v>204</v>
      </c>
      <c r="E2437" t="s">
        <v>32</v>
      </c>
      <c r="F2437" s="7">
        <v>1366.61</v>
      </c>
      <c r="G2437" s="10">
        <v>0</v>
      </c>
      <c r="H2437" s="7">
        <v>1366.61</v>
      </c>
      <c r="I2437">
        <v>4</v>
      </c>
      <c r="J2437" t="s">
        <v>13</v>
      </c>
      <c r="K2437" s="13">
        <f>ROUND(tblTransactions[[#This Row],[gross_sales_inr]]*(1-tblTransactions[[#This Row],[discount_pct]]),2)</f>
        <v>1366.61</v>
      </c>
      <c r="L2437" t="str">
        <f>IF(ABS(tblTransactions[[#This Row],[net_sales_inr]]-tblTransactions[[#This Row],[Recalc_Net_Sales]])&lt;0.02,"OK","CHECK")</f>
        <v>OK</v>
      </c>
      <c r="M2437" s="14">
        <f>DATE(YEAR(tblTransactions[[#This Row],[date]]),MONTH(tblTransactions[[#This Row],[date]]),1)</f>
        <v>45717</v>
      </c>
      <c r="N2437" t="str">
        <f>IF(WEEKDAY(tblTransactions[[#This Row],[date]],2)&gt;5,"Weekend","Weekday")</f>
        <v>Weekday</v>
      </c>
      <c r="O2437" s="13" t="str">
        <f>IF(tblTransactions[[#This Row],[discount_pct]]=0,"0%",IF(tblTransactions[[#This Row],[discount_pct]]&lt;=10%,"1–
10%",IF(tblTransactions[[#This Row],[discount_pct]]&lt;=20%,"11–20%","&gt;20%")))</f>
        <v>0%</v>
      </c>
      <c r="P2437" s="13" t="str">
        <f>_xlfn.XLOOKUP(tblTransactions[[#This Row],[tenant_id]],tblTenants[tenant_id],tblTenants[zone],"NOT FOUND")</f>
        <v>Home &amp; Living</v>
      </c>
      <c r="Q2437" s="13" t="str">
        <f>_xlfn.XLOOKUP(tblTransactions[[#This Row],[tenant_id]],tblTenants[tenant_id],tblTenants[category],"NOT FOUND")</f>
        <v>Home Decor</v>
      </c>
    </row>
    <row r="2438" spans="1:17">
      <c r="A2438" t="s">
        <v>2482</v>
      </c>
      <c r="B2438" s="2">
        <v>45765</v>
      </c>
      <c r="C2438">
        <v>22</v>
      </c>
      <c r="D2438" t="s">
        <v>122</v>
      </c>
      <c r="E2438" t="s">
        <v>32</v>
      </c>
      <c r="F2438" s="7">
        <v>1561.64</v>
      </c>
      <c r="G2438" s="10">
        <v>0.15</v>
      </c>
      <c r="H2438" s="7">
        <v>1327.39</v>
      </c>
      <c r="I2438">
        <v>1</v>
      </c>
      <c r="J2438" t="s">
        <v>13</v>
      </c>
      <c r="K2438" s="13">
        <f>ROUND(tblTransactions[[#This Row],[gross_sales_inr]]*(1-tblTransactions[[#This Row],[discount_pct]]),2)</f>
        <v>1327.39</v>
      </c>
      <c r="L2438" t="str">
        <f>IF(ABS(tblTransactions[[#This Row],[net_sales_inr]]-tblTransactions[[#This Row],[Recalc_Net_Sales]])&lt;0.02,"OK","CHECK")</f>
        <v>OK</v>
      </c>
      <c r="M2438" s="14">
        <f>DATE(YEAR(tblTransactions[[#This Row],[date]]),MONTH(tblTransactions[[#This Row],[date]]),1)</f>
        <v>45748</v>
      </c>
      <c r="N2438" t="str">
        <f>IF(WEEKDAY(tblTransactions[[#This Row],[date]],2)&gt;5,"Weekend","Weekday")</f>
        <v>Weekday</v>
      </c>
      <c r="O243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38" s="13" t="str">
        <f>_xlfn.XLOOKUP(tblTransactions[[#This Row],[tenant_id]],tblTenants[tenant_id],tblTenants[zone],"NOT FOUND")</f>
        <v>Beauty &amp; Wellness</v>
      </c>
      <c r="Q2438" s="13" t="str">
        <f>_xlfn.XLOOKUP(tblTransactions[[#This Row],[tenant_id]],tblTenants[tenant_id],tblTenants[category],"NOT FOUND")</f>
        <v>Wellness</v>
      </c>
    </row>
    <row r="2439" spans="1:17">
      <c r="A2439" t="s">
        <v>2483</v>
      </c>
      <c r="B2439" s="2">
        <v>45762</v>
      </c>
      <c r="C2439">
        <v>14</v>
      </c>
      <c r="D2439" t="s">
        <v>45</v>
      </c>
      <c r="E2439" t="s">
        <v>12</v>
      </c>
      <c r="F2439" s="7">
        <v>1252.05</v>
      </c>
      <c r="G2439" s="10">
        <v>0</v>
      </c>
      <c r="H2439" s="7">
        <v>1252.05</v>
      </c>
      <c r="I2439">
        <v>4</v>
      </c>
      <c r="J2439" t="s">
        <v>13</v>
      </c>
      <c r="K2439" s="13">
        <f>ROUND(tblTransactions[[#This Row],[gross_sales_inr]]*(1-tblTransactions[[#This Row],[discount_pct]]),2)</f>
        <v>1252.05</v>
      </c>
      <c r="L2439" t="str">
        <f>IF(ABS(tblTransactions[[#This Row],[net_sales_inr]]-tblTransactions[[#This Row],[Recalc_Net_Sales]])&lt;0.02,"OK","CHECK")</f>
        <v>OK</v>
      </c>
      <c r="M2439" s="14">
        <f>DATE(YEAR(tblTransactions[[#This Row],[date]]),MONTH(tblTransactions[[#This Row],[date]]),1)</f>
        <v>45748</v>
      </c>
      <c r="N2439" t="str">
        <f>IF(WEEKDAY(tblTransactions[[#This Row],[date]],2)&gt;5,"Weekend","Weekday")</f>
        <v>Weekday</v>
      </c>
      <c r="O2439" s="13" t="str">
        <f>IF(tblTransactions[[#This Row],[discount_pct]]=0,"0%",IF(tblTransactions[[#This Row],[discount_pct]]&lt;=10%,"1–
10%",IF(tblTransactions[[#This Row],[discount_pct]]&lt;=20%,"11–20%","&gt;20%")))</f>
        <v>0%</v>
      </c>
      <c r="P2439" s="13" t="str">
        <f>_xlfn.XLOOKUP(tblTransactions[[#This Row],[tenant_id]],tblTenants[tenant_id],tblTenants[zone],"NOT FOUND")</f>
        <v>Home &amp; Living</v>
      </c>
      <c r="Q2439" s="13" t="str">
        <f>_xlfn.XLOOKUP(tblTransactions[[#This Row],[tenant_id]],tblTenants[tenant_id],tblTenants[category],"NOT FOUND")</f>
        <v>Home Decor</v>
      </c>
    </row>
    <row r="2440" spans="1:17">
      <c r="A2440" t="s">
        <v>2484</v>
      </c>
      <c r="B2440" s="2">
        <v>45727</v>
      </c>
      <c r="C2440">
        <v>10</v>
      </c>
      <c r="D2440" t="s">
        <v>70</v>
      </c>
      <c r="E2440" t="s">
        <v>12</v>
      </c>
      <c r="F2440" s="7">
        <v>187.12</v>
      </c>
      <c r="G2440" s="10">
        <v>0</v>
      </c>
      <c r="H2440" s="7">
        <v>187.12</v>
      </c>
      <c r="I2440">
        <v>3</v>
      </c>
      <c r="J2440" t="s">
        <v>16</v>
      </c>
      <c r="K2440" s="13">
        <f>ROUND(tblTransactions[[#This Row],[gross_sales_inr]]*(1-tblTransactions[[#This Row],[discount_pct]]),2)</f>
        <v>187.12</v>
      </c>
      <c r="L2440" t="str">
        <f>IF(ABS(tblTransactions[[#This Row],[net_sales_inr]]-tblTransactions[[#This Row],[Recalc_Net_Sales]])&lt;0.02,"OK","CHECK")</f>
        <v>OK</v>
      </c>
      <c r="M2440" s="14">
        <f>DATE(YEAR(tblTransactions[[#This Row],[date]]),MONTH(tblTransactions[[#This Row],[date]]),1)</f>
        <v>45717</v>
      </c>
      <c r="N2440" t="str">
        <f>IF(WEEKDAY(tblTransactions[[#This Row],[date]],2)&gt;5,"Weekend","Weekday")</f>
        <v>Weekday</v>
      </c>
      <c r="O2440" s="13" t="str">
        <f>IF(tblTransactions[[#This Row],[discount_pct]]=0,"0%",IF(tblTransactions[[#This Row],[discount_pct]]&lt;=10%,"1–
10%",IF(tblTransactions[[#This Row],[discount_pct]]&lt;=20%,"11–20%","&gt;20%")))</f>
        <v>0%</v>
      </c>
      <c r="P2440" s="13" t="str">
        <f>_xlfn.XLOOKUP(tblTransactions[[#This Row],[tenant_id]],tblTenants[tenant_id],tblTenants[zone],"NOT FOUND")</f>
        <v>Food Court</v>
      </c>
      <c r="Q2440" s="13" t="str">
        <f>_xlfn.XLOOKUP(tblTransactions[[#This Row],[tenant_id]],tblTenants[tenant_id],tblTenants[category],"NOT FOUND")</f>
        <v>Quick Service</v>
      </c>
    </row>
    <row r="2441" spans="1:17">
      <c r="A2441" t="s">
        <v>2485</v>
      </c>
      <c r="B2441" s="2">
        <v>45748</v>
      </c>
      <c r="C2441">
        <v>16</v>
      </c>
      <c r="D2441" t="s">
        <v>27</v>
      </c>
      <c r="E2441" t="s">
        <v>21</v>
      </c>
      <c r="F2441" s="7">
        <v>892.43</v>
      </c>
      <c r="G2441" s="10">
        <v>0.1</v>
      </c>
      <c r="H2441" s="7">
        <v>803.19</v>
      </c>
      <c r="I2441">
        <v>1</v>
      </c>
      <c r="J2441" t="s">
        <v>13</v>
      </c>
      <c r="K2441" s="13">
        <f>ROUND(tblTransactions[[#This Row],[gross_sales_inr]]*(1-tblTransactions[[#This Row],[discount_pct]]),2)</f>
        <v>803.19</v>
      </c>
      <c r="L2441" t="str">
        <f>IF(ABS(tblTransactions[[#This Row],[net_sales_inr]]-tblTransactions[[#This Row],[Recalc_Net_Sales]])&lt;0.02,"OK","CHECK")</f>
        <v>OK</v>
      </c>
      <c r="M2441" s="14">
        <f>DATE(YEAR(tblTransactions[[#This Row],[date]]),MONTH(tblTransactions[[#This Row],[date]]),1)</f>
        <v>45748</v>
      </c>
      <c r="N2441" t="str">
        <f>IF(WEEKDAY(tblTransactions[[#This Row],[date]],2)&gt;5,"Weekend","Weekday")</f>
        <v>Weekday</v>
      </c>
      <c r="O244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41" s="13" t="str">
        <f>_xlfn.XLOOKUP(tblTransactions[[#This Row],[tenant_id]],tblTenants[tenant_id],tblTenants[zone],"NOT FOUND")</f>
        <v>Beauty &amp; Wellness</v>
      </c>
      <c r="Q2441" s="13" t="str">
        <f>_xlfn.XLOOKUP(tblTransactions[[#This Row],[tenant_id]],tblTenants[tenant_id],tblTenants[category],"NOT FOUND")</f>
        <v>Wellness</v>
      </c>
    </row>
    <row r="2442" spans="1:17">
      <c r="A2442" t="s">
        <v>2486</v>
      </c>
      <c r="B2442" s="2">
        <v>45738</v>
      </c>
      <c r="C2442">
        <v>10</v>
      </c>
      <c r="D2442" t="s">
        <v>122</v>
      </c>
      <c r="E2442" t="s">
        <v>32</v>
      </c>
      <c r="F2442" s="7">
        <v>3839.9</v>
      </c>
      <c r="G2442" s="10">
        <v>0</v>
      </c>
      <c r="H2442" s="7">
        <v>3839.9</v>
      </c>
      <c r="I2442">
        <v>2</v>
      </c>
      <c r="J2442" t="s">
        <v>13</v>
      </c>
      <c r="K2442" s="13">
        <f>ROUND(tblTransactions[[#This Row],[gross_sales_inr]]*(1-tblTransactions[[#This Row],[discount_pct]]),2)</f>
        <v>3839.9</v>
      </c>
      <c r="L2442" t="str">
        <f>IF(ABS(tblTransactions[[#This Row],[net_sales_inr]]-tblTransactions[[#This Row],[Recalc_Net_Sales]])&lt;0.02,"OK","CHECK")</f>
        <v>OK</v>
      </c>
      <c r="M2442" s="14">
        <f>DATE(YEAR(tblTransactions[[#This Row],[date]]),MONTH(tblTransactions[[#This Row],[date]]),1)</f>
        <v>45717</v>
      </c>
      <c r="N2442" t="str">
        <f>IF(WEEKDAY(tblTransactions[[#This Row],[date]],2)&gt;5,"Weekend","Weekday")</f>
        <v>Weekend</v>
      </c>
      <c r="O2442" s="13" t="str">
        <f>IF(tblTransactions[[#This Row],[discount_pct]]=0,"0%",IF(tblTransactions[[#This Row],[discount_pct]]&lt;=10%,"1–
10%",IF(tblTransactions[[#This Row],[discount_pct]]&lt;=20%,"11–20%","&gt;20%")))</f>
        <v>0%</v>
      </c>
      <c r="P2442" s="13" t="str">
        <f>_xlfn.XLOOKUP(tblTransactions[[#This Row],[tenant_id]],tblTenants[tenant_id],tblTenants[zone],"NOT FOUND")</f>
        <v>Beauty &amp; Wellness</v>
      </c>
      <c r="Q2442" s="13" t="str">
        <f>_xlfn.XLOOKUP(tblTransactions[[#This Row],[tenant_id]],tblTenants[tenant_id],tblTenants[category],"NOT FOUND")</f>
        <v>Wellness</v>
      </c>
    </row>
    <row r="2443" spans="1:17">
      <c r="A2443" t="s">
        <v>2487</v>
      </c>
      <c r="B2443" s="2">
        <v>45731</v>
      </c>
      <c r="C2443">
        <v>14</v>
      </c>
      <c r="D2443" t="s">
        <v>15</v>
      </c>
      <c r="E2443" t="s">
        <v>12</v>
      </c>
      <c r="F2443" s="7">
        <v>1618.31</v>
      </c>
      <c r="G2443" s="10">
        <v>0</v>
      </c>
      <c r="H2443" s="7">
        <v>1618.31</v>
      </c>
      <c r="I2443">
        <v>2</v>
      </c>
      <c r="J2443" t="s">
        <v>13</v>
      </c>
      <c r="K2443" s="13">
        <f>ROUND(tblTransactions[[#This Row],[gross_sales_inr]]*(1-tblTransactions[[#This Row],[discount_pct]]),2)</f>
        <v>1618.31</v>
      </c>
      <c r="L2443" t="str">
        <f>IF(ABS(tblTransactions[[#This Row],[net_sales_inr]]-tblTransactions[[#This Row],[Recalc_Net_Sales]])&lt;0.02,"OK","CHECK")</f>
        <v>OK</v>
      </c>
      <c r="M2443" s="14">
        <f>DATE(YEAR(tblTransactions[[#This Row],[date]]),MONTH(tblTransactions[[#This Row],[date]]),1)</f>
        <v>45717</v>
      </c>
      <c r="N2443" t="str">
        <f>IF(WEEKDAY(tblTransactions[[#This Row],[date]],2)&gt;5,"Weekend","Weekday")</f>
        <v>Weekend</v>
      </c>
      <c r="O2443" s="13" t="str">
        <f>IF(tblTransactions[[#This Row],[discount_pct]]=0,"0%",IF(tblTransactions[[#This Row],[discount_pct]]&lt;=10%,"1–
10%",IF(tblTransactions[[#This Row],[discount_pct]]&lt;=20%,"11–20%","&gt;20%")))</f>
        <v>0%</v>
      </c>
      <c r="P2443" s="13" t="str">
        <f>_xlfn.XLOOKUP(tblTransactions[[#This Row],[tenant_id]],tblTenants[tenant_id],tblTenants[zone],"NOT FOUND")</f>
        <v>Fashion Avenue</v>
      </c>
      <c r="Q2443" s="13" t="str">
        <f>_xlfn.XLOOKUP(tblTransactions[[#This Row],[tenant_id]],tblTenants[tenant_id],tblTenants[category],"NOT FOUND")</f>
        <v>Accessories</v>
      </c>
    </row>
    <row r="2444" spans="1:17">
      <c r="A2444" t="s">
        <v>2488</v>
      </c>
      <c r="B2444" s="2">
        <v>45661</v>
      </c>
      <c r="C2444">
        <v>18</v>
      </c>
      <c r="D2444" t="s">
        <v>25</v>
      </c>
      <c r="E2444" t="s">
        <v>12</v>
      </c>
      <c r="F2444" s="7">
        <v>2821.55</v>
      </c>
      <c r="G2444" s="10">
        <v>0</v>
      </c>
      <c r="H2444" s="7">
        <v>2821.55</v>
      </c>
      <c r="I2444">
        <v>3</v>
      </c>
      <c r="J2444" t="s">
        <v>13</v>
      </c>
      <c r="K2444" s="13">
        <f>ROUND(tblTransactions[[#This Row],[gross_sales_inr]]*(1-tblTransactions[[#This Row],[discount_pct]]),2)</f>
        <v>2821.55</v>
      </c>
      <c r="L2444" t="str">
        <f>IF(ABS(tblTransactions[[#This Row],[net_sales_inr]]-tblTransactions[[#This Row],[Recalc_Net_Sales]])&lt;0.02,"OK","CHECK")</f>
        <v>OK</v>
      </c>
      <c r="M2444" s="14">
        <f>DATE(YEAR(tblTransactions[[#This Row],[date]]),MONTH(tblTransactions[[#This Row],[date]]),1)</f>
        <v>45658</v>
      </c>
      <c r="N2444" t="str">
        <f>IF(WEEKDAY(tblTransactions[[#This Row],[date]],2)&gt;5,"Weekend","Weekday")</f>
        <v>Weekend</v>
      </c>
      <c r="O2444" s="13" t="str">
        <f>IF(tblTransactions[[#This Row],[discount_pct]]=0,"0%",IF(tblTransactions[[#This Row],[discount_pct]]&lt;=10%,"1–
10%",IF(tblTransactions[[#This Row],[discount_pct]]&lt;=20%,"11–20%","&gt;20%")))</f>
        <v>0%</v>
      </c>
      <c r="P2444" s="13" t="str">
        <f>_xlfn.XLOOKUP(tblTransactions[[#This Row],[tenant_id]],tblTenants[tenant_id],tblTenants[zone],"NOT FOUND")</f>
        <v>Beauty &amp; Wellness</v>
      </c>
      <c r="Q2444" s="13" t="str">
        <f>_xlfn.XLOOKUP(tblTransactions[[#This Row],[tenant_id]],tblTenants[tenant_id],tblTenants[category],"NOT FOUND")</f>
        <v>Beauty</v>
      </c>
    </row>
    <row r="2445" spans="1:17">
      <c r="A2445" t="s">
        <v>2489</v>
      </c>
      <c r="B2445" s="2">
        <v>45792</v>
      </c>
      <c r="C2445">
        <v>11</v>
      </c>
      <c r="D2445" t="s">
        <v>104</v>
      </c>
      <c r="E2445" t="s">
        <v>21</v>
      </c>
      <c r="F2445" s="7">
        <v>316.07</v>
      </c>
      <c r="G2445" s="10">
        <v>0.2</v>
      </c>
      <c r="H2445" s="7">
        <v>252.86</v>
      </c>
      <c r="I2445">
        <v>1</v>
      </c>
      <c r="J2445" t="s">
        <v>13</v>
      </c>
      <c r="K2445" s="13">
        <f>ROUND(tblTransactions[[#This Row],[gross_sales_inr]]*(1-tblTransactions[[#This Row],[discount_pct]]),2)</f>
        <v>252.86</v>
      </c>
      <c r="L2445" t="str">
        <f>IF(ABS(tblTransactions[[#This Row],[net_sales_inr]]-tblTransactions[[#This Row],[Recalc_Net_Sales]])&lt;0.02,"OK","CHECK")</f>
        <v>OK</v>
      </c>
      <c r="M2445" s="14">
        <f>DATE(YEAR(tblTransactions[[#This Row],[date]]),MONTH(tblTransactions[[#This Row],[date]]),1)</f>
        <v>45778</v>
      </c>
      <c r="N2445" t="str">
        <f>IF(WEEKDAY(tblTransactions[[#This Row],[date]],2)&gt;5,"Weekend","Weekday")</f>
        <v>Weekday</v>
      </c>
      <c r="O244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45" s="13" t="str">
        <f>_xlfn.XLOOKUP(tblTransactions[[#This Row],[tenant_id]],tblTenants[tenant_id],tblTenants[zone],"NOT FOUND")</f>
        <v>Entertainment</v>
      </c>
      <c r="Q2445" s="13" t="str">
        <f>_xlfn.XLOOKUP(tblTransactions[[#This Row],[tenant_id]],tblTenants[tenant_id],tblTenants[category],"NOT FOUND")</f>
        <v>Family Entertainment</v>
      </c>
    </row>
    <row r="2446" spans="1:17">
      <c r="A2446" t="s">
        <v>2490</v>
      </c>
      <c r="B2446" s="2">
        <v>45799</v>
      </c>
      <c r="C2446">
        <v>10</v>
      </c>
      <c r="D2446" t="s">
        <v>72</v>
      </c>
      <c r="E2446" t="s">
        <v>32</v>
      </c>
      <c r="F2446" s="7">
        <v>3070.48</v>
      </c>
      <c r="G2446" s="10">
        <v>0</v>
      </c>
      <c r="H2446" s="7">
        <v>3070.48</v>
      </c>
      <c r="I2446">
        <v>4</v>
      </c>
      <c r="J2446" t="s">
        <v>13</v>
      </c>
      <c r="K2446" s="13">
        <f>ROUND(tblTransactions[[#This Row],[gross_sales_inr]]*(1-tblTransactions[[#This Row],[discount_pct]]),2)</f>
        <v>3070.48</v>
      </c>
      <c r="L2446" t="str">
        <f>IF(ABS(tblTransactions[[#This Row],[net_sales_inr]]-tblTransactions[[#This Row],[Recalc_Net_Sales]])&lt;0.02,"OK","CHECK")</f>
        <v>OK</v>
      </c>
      <c r="M2446" s="14">
        <f>DATE(YEAR(tblTransactions[[#This Row],[date]]),MONTH(tblTransactions[[#This Row],[date]]),1)</f>
        <v>45778</v>
      </c>
      <c r="N2446" t="str">
        <f>IF(WEEKDAY(tblTransactions[[#This Row],[date]],2)&gt;5,"Weekend","Weekday")</f>
        <v>Weekday</v>
      </c>
      <c r="O2446" s="13" t="str">
        <f>IF(tblTransactions[[#This Row],[discount_pct]]=0,"0%",IF(tblTransactions[[#This Row],[discount_pct]]&lt;=10%,"1–
10%",IF(tblTransactions[[#This Row],[discount_pct]]&lt;=20%,"11–20%","&gt;20%")))</f>
        <v>0%</v>
      </c>
      <c r="P2446" s="13" t="str">
        <f>_xlfn.XLOOKUP(tblTransactions[[#This Row],[tenant_id]],tblTenants[tenant_id],tblTenants[zone],"NOT FOUND")</f>
        <v>Entertainment</v>
      </c>
      <c r="Q2446" s="13" t="str">
        <f>_xlfn.XLOOKUP(tblTransactions[[#This Row],[tenant_id]],tblTenants[tenant_id],tblTenants[category],"NOT FOUND")</f>
        <v>Arcade</v>
      </c>
    </row>
    <row r="2447" spans="1:17">
      <c r="A2447" t="s">
        <v>2491</v>
      </c>
      <c r="B2447" s="2">
        <v>45693</v>
      </c>
      <c r="C2447">
        <v>21</v>
      </c>
      <c r="D2447" t="s">
        <v>80</v>
      </c>
      <c r="E2447" t="s">
        <v>12</v>
      </c>
      <c r="F2447" s="7">
        <v>1469.56</v>
      </c>
      <c r="G2447" s="10">
        <v>0.1</v>
      </c>
      <c r="H2447" s="7">
        <v>1322.6</v>
      </c>
      <c r="I2447">
        <v>1</v>
      </c>
      <c r="J2447" t="s">
        <v>16</v>
      </c>
      <c r="K2447" s="13">
        <f>ROUND(tblTransactions[[#This Row],[gross_sales_inr]]*(1-tblTransactions[[#This Row],[discount_pct]]),2)</f>
        <v>1322.6</v>
      </c>
      <c r="L2447" t="str">
        <f>IF(ABS(tblTransactions[[#This Row],[net_sales_inr]]-tblTransactions[[#This Row],[Recalc_Net_Sales]])&lt;0.02,"OK","CHECK")</f>
        <v>OK</v>
      </c>
      <c r="M2447" s="14">
        <f>DATE(YEAR(tblTransactions[[#This Row],[date]]),MONTH(tblTransactions[[#This Row],[date]]),1)</f>
        <v>45689</v>
      </c>
      <c r="N2447" t="str">
        <f>IF(WEEKDAY(tblTransactions[[#This Row],[date]],2)&gt;5,"Weekend","Weekday")</f>
        <v>Weekday</v>
      </c>
      <c r="O244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47" s="13" t="str">
        <f>_xlfn.XLOOKUP(tblTransactions[[#This Row],[tenant_id]],tblTenants[tenant_id],tblTenants[zone],"NOT FOUND")</f>
        <v>Food Court</v>
      </c>
      <c r="Q2447" s="13" t="str">
        <f>_xlfn.XLOOKUP(tblTransactions[[#This Row],[tenant_id]],tblTenants[tenant_id],tblTenants[category],"NOT FOUND")</f>
        <v>Casual Dining</v>
      </c>
    </row>
    <row r="2448" spans="1:17">
      <c r="A2448" t="s">
        <v>2492</v>
      </c>
      <c r="B2448" s="2">
        <v>45769</v>
      </c>
      <c r="C2448">
        <v>17</v>
      </c>
      <c r="D2448" t="s">
        <v>72</v>
      </c>
      <c r="E2448" t="s">
        <v>12</v>
      </c>
      <c r="F2448" s="7">
        <v>704.15</v>
      </c>
      <c r="G2448" s="10">
        <v>0.05</v>
      </c>
      <c r="H2448" s="7">
        <v>668.94</v>
      </c>
      <c r="I2448">
        <v>2</v>
      </c>
      <c r="J2448" t="s">
        <v>16</v>
      </c>
      <c r="K2448" s="13">
        <f>ROUND(tblTransactions[[#This Row],[gross_sales_inr]]*(1-tblTransactions[[#This Row],[discount_pct]]),2)</f>
        <v>668.94</v>
      </c>
      <c r="L2448" t="str">
        <f>IF(ABS(tblTransactions[[#This Row],[net_sales_inr]]-tblTransactions[[#This Row],[Recalc_Net_Sales]])&lt;0.02,"OK","CHECK")</f>
        <v>OK</v>
      </c>
      <c r="M2448" s="14">
        <f>DATE(YEAR(tblTransactions[[#This Row],[date]]),MONTH(tblTransactions[[#This Row],[date]]),1)</f>
        <v>45748</v>
      </c>
      <c r="N2448" t="str">
        <f>IF(WEEKDAY(tblTransactions[[#This Row],[date]],2)&gt;5,"Weekend","Weekday")</f>
        <v>Weekday</v>
      </c>
      <c r="O244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48" s="13" t="str">
        <f>_xlfn.XLOOKUP(tblTransactions[[#This Row],[tenant_id]],tblTenants[tenant_id],tblTenants[zone],"NOT FOUND")</f>
        <v>Entertainment</v>
      </c>
      <c r="Q2448" s="13" t="str">
        <f>_xlfn.XLOOKUP(tblTransactions[[#This Row],[tenant_id]],tblTenants[tenant_id],tblTenants[category],"NOT FOUND")</f>
        <v>Arcade</v>
      </c>
    </row>
    <row r="2449" spans="1:17">
      <c r="A2449" t="s">
        <v>2493</v>
      </c>
      <c r="B2449" s="2">
        <v>45735</v>
      </c>
      <c r="C2449">
        <v>14</v>
      </c>
      <c r="D2449" t="s">
        <v>15</v>
      </c>
      <c r="E2449" t="s">
        <v>32</v>
      </c>
      <c r="F2449" s="7">
        <v>456</v>
      </c>
      <c r="G2449" s="10">
        <v>0.15</v>
      </c>
      <c r="H2449" s="7">
        <v>387.6</v>
      </c>
      <c r="I2449">
        <v>4</v>
      </c>
      <c r="J2449" t="s">
        <v>16</v>
      </c>
      <c r="K2449" s="13">
        <f>ROUND(tblTransactions[[#This Row],[gross_sales_inr]]*(1-tblTransactions[[#This Row],[discount_pct]]),2)</f>
        <v>387.6</v>
      </c>
      <c r="L2449" t="str">
        <f>IF(ABS(tblTransactions[[#This Row],[net_sales_inr]]-tblTransactions[[#This Row],[Recalc_Net_Sales]])&lt;0.02,"OK","CHECK")</f>
        <v>OK</v>
      </c>
      <c r="M2449" s="14">
        <f>DATE(YEAR(tblTransactions[[#This Row],[date]]),MONTH(tblTransactions[[#This Row],[date]]),1)</f>
        <v>45717</v>
      </c>
      <c r="N2449" t="str">
        <f>IF(WEEKDAY(tblTransactions[[#This Row],[date]],2)&gt;5,"Weekend","Weekday")</f>
        <v>Weekday</v>
      </c>
      <c r="O244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49" s="13" t="str">
        <f>_xlfn.XLOOKUP(tblTransactions[[#This Row],[tenant_id]],tblTenants[tenant_id],tblTenants[zone],"NOT FOUND")</f>
        <v>Fashion Avenue</v>
      </c>
      <c r="Q2449" s="13" t="str">
        <f>_xlfn.XLOOKUP(tblTransactions[[#This Row],[tenant_id]],tblTenants[tenant_id],tblTenants[category],"NOT FOUND")</f>
        <v>Accessories</v>
      </c>
    </row>
    <row r="2450" spans="1:17">
      <c r="A2450" t="s">
        <v>2494</v>
      </c>
      <c r="B2450" s="2">
        <v>45786</v>
      </c>
      <c r="C2450">
        <v>11</v>
      </c>
      <c r="D2450" t="s">
        <v>48</v>
      </c>
      <c r="E2450" t="s">
        <v>12</v>
      </c>
      <c r="F2450" s="7">
        <v>746.47</v>
      </c>
      <c r="G2450" s="10">
        <v>0.3</v>
      </c>
      <c r="H2450" s="7">
        <v>522.53</v>
      </c>
      <c r="I2450">
        <v>5</v>
      </c>
      <c r="J2450" t="s">
        <v>13</v>
      </c>
      <c r="K2450" s="13">
        <f>ROUND(tblTransactions[[#This Row],[gross_sales_inr]]*(1-tblTransactions[[#This Row],[discount_pct]]),2)</f>
        <v>522.53</v>
      </c>
      <c r="L2450" t="str">
        <f>IF(ABS(tblTransactions[[#This Row],[net_sales_inr]]-tblTransactions[[#This Row],[Recalc_Net_Sales]])&lt;0.02,"OK","CHECK")</f>
        <v>OK</v>
      </c>
      <c r="M2450" s="14">
        <f>DATE(YEAR(tblTransactions[[#This Row],[date]]),MONTH(tblTransactions[[#This Row],[date]]),1)</f>
        <v>45778</v>
      </c>
      <c r="N2450" t="str">
        <f>IF(WEEKDAY(tblTransactions[[#This Row],[date]],2)&gt;5,"Weekend","Weekday")</f>
        <v>Weekday</v>
      </c>
      <c r="O245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450" s="13" t="str">
        <f>_xlfn.XLOOKUP(tblTransactions[[#This Row],[tenant_id]],tblTenants[tenant_id],tblTenants[zone],"NOT FOUND")</f>
        <v>Beauty &amp; Wellness</v>
      </c>
      <c r="Q2450" s="13" t="str">
        <f>_xlfn.XLOOKUP(tblTransactions[[#This Row],[tenant_id]],tblTenants[tenant_id],tblTenants[category],"NOT FOUND")</f>
        <v>Wellness</v>
      </c>
    </row>
    <row r="2451" spans="1:17">
      <c r="A2451" t="s">
        <v>2495</v>
      </c>
      <c r="B2451" s="2">
        <v>45696</v>
      </c>
      <c r="C2451">
        <v>11</v>
      </c>
      <c r="D2451" t="s">
        <v>48</v>
      </c>
      <c r="E2451" t="s">
        <v>32</v>
      </c>
      <c r="F2451" s="7">
        <v>875.76</v>
      </c>
      <c r="G2451" s="10">
        <v>0</v>
      </c>
      <c r="H2451" s="7">
        <v>875.76</v>
      </c>
      <c r="I2451">
        <v>2</v>
      </c>
      <c r="J2451" t="s">
        <v>13</v>
      </c>
      <c r="K2451" s="13">
        <f>ROUND(tblTransactions[[#This Row],[gross_sales_inr]]*(1-tblTransactions[[#This Row],[discount_pct]]),2)</f>
        <v>875.76</v>
      </c>
      <c r="L2451" t="str">
        <f>IF(ABS(tblTransactions[[#This Row],[net_sales_inr]]-tblTransactions[[#This Row],[Recalc_Net_Sales]])&lt;0.02,"OK","CHECK")</f>
        <v>OK</v>
      </c>
      <c r="M2451" s="14">
        <f>DATE(YEAR(tblTransactions[[#This Row],[date]]),MONTH(tblTransactions[[#This Row],[date]]),1)</f>
        <v>45689</v>
      </c>
      <c r="N2451" t="str">
        <f>IF(WEEKDAY(tblTransactions[[#This Row],[date]],2)&gt;5,"Weekend","Weekday")</f>
        <v>Weekend</v>
      </c>
      <c r="O2451" s="13" t="str">
        <f>IF(tblTransactions[[#This Row],[discount_pct]]=0,"0%",IF(tblTransactions[[#This Row],[discount_pct]]&lt;=10%,"1–
10%",IF(tblTransactions[[#This Row],[discount_pct]]&lt;=20%,"11–20%","&gt;20%")))</f>
        <v>0%</v>
      </c>
      <c r="P2451" s="13" t="str">
        <f>_xlfn.XLOOKUP(tblTransactions[[#This Row],[tenant_id]],tblTenants[tenant_id],tblTenants[zone],"NOT FOUND")</f>
        <v>Beauty &amp; Wellness</v>
      </c>
      <c r="Q2451" s="13" t="str">
        <f>_xlfn.XLOOKUP(tblTransactions[[#This Row],[tenant_id]],tblTenants[tenant_id],tblTenants[category],"NOT FOUND")</f>
        <v>Wellness</v>
      </c>
    </row>
    <row r="2452" spans="1:17">
      <c r="A2452" t="s">
        <v>2496</v>
      </c>
      <c r="B2452" s="2">
        <v>45756</v>
      </c>
      <c r="C2452">
        <v>11</v>
      </c>
      <c r="D2452" t="s">
        <v>98</v>
      </c>
      <c r="E2452" t="s">
        <v>32</v>
      </c>
      <c r="F2452" s="7">
        <v>1130.1300000000001</v>
      </c>
      <c r="G2452" s="10">
        <v>0</v>
      </c>
      <c r="H2452" s="7">
        <v>1130.1300000000001</v>
      </c>
      <c r="I2452">
        <v>3</v>
      </c>
      <c r="J2452" t="s">
        <v>13</v>
      </c>
      <c r="K2452" s="13">
        <f>ROUND(tblTransactions[[#This Row],[gross_sales_inr]]*(1-tblTransactions[[#This Row],[discount_pct]]),2)</f>
        <v>1130.1300000000001</v>
      </c>
      <c r="L2452" t="str">
        <f>IF(ABS(tblTransactions[[#This Row],[net_sales_inr]]-tblTransactions[[#This Row],[Recalc_Net_Sales]])&lt;0.02,"OK","CHECK")</f>
        <v>OK</v>
      </c>
      <c r="M2452" s="14">
        <f>DATE(YEAR(tblTransactions[[#This Row],[date]]),MONTH(tblTransactions[[#This Row],[date]]),1)</f>
        <v>45748</v>
      </c>
      <c r="N2452" t="str">
        <f>IF(WEEKDAY(tblTransactions[[#This Row],[date]],2)&gt;5,"Weekend","Weekday")</f>
        <v>Weekday</v>
      </c>
      <c r="O2452" s="13" t="str">
        <f>IF(tblTransactions[[#This Row],[discount_pct]]=0,"0%",IF(tblTransactions[[#This Row],[discount_pct]]&lt;=10%,"1–
10%",IF(tblTransactions[[#This Row],[discount_pct]]&lt;=20%,"11–20%","&gt;20%")))</f>
        <v>0%</v>
      </c>
      <c r="P2452" s="13" t="str">
        <f>_xlfn.XLOOKUP(tblTransactions[[#This Row],[tenant_id]],tblTenants[tenant_id],tblTenants[zone],"NOT FOUND")</f>
        <v>Fashion Avenue</v>
      </c>
      <c r="Q2452" s="13" t="str">
        <f>_xlfn.XLOOKUP(tblTransactions[[#This Row],[tenant_id]],tblTenants[tenant_id],tblTenants[category],"NOT FOUND")</f>
        <v>Accessories</v>
      </c>
    </row>
    <row r="2453" spans="1:17">
      <c r="A2453" t="s">
        <v>2497</v>
      </c>
      <c r="B2453" s="2">
        <v>45771</v>
      </c>
      <c r="C2453">
        <v>19</v>
      </c>
      <c r="D2453" t="s">
        <v>55</v>
      </c>
      <c r="E2453" t="s">
        <v>51</v>
      </c>
      <c r="F2453" s="7">
        <v>2933.19</v>
      </c>
      <c r="G2453" s="10">
        <v>0</v>
      </c>
      <c r="H2453" s="7">
        <v>2933.19</v>
      </c>
      <c r="I2453">
        <v>2</v>
      </c>
      <c r="J2453" t="s">
        <v>13</v>
      </c>
      <c r="K2453" s="13">
        <f>ROUND(tblTransactions[[#This Row],[gross_sales_inr]]*(1-tblTransactions[[#This Row],[discount_pct]]),2)</f>
        <v>2933.19</v>
      </c>
      <c r="L2453" t="str">
        <f>IF(ABS(tblTransactions[[#This Row],[net_sales_inr]]-tblTransactions[[#This Row],[Recalc_Net_Sales]])&lt;0.02,"OK","CHECK")</f>
        <v>OK</v>
      </c>
      <c r="M2453" s="14">
        <f>DATE(YEAR(tblTransactions[[#This Row],[date]]),MONTH(tblTransactions[[#This Row],[date]]),1)</f>
        <v>45748</v>
      </c>
      <c r="N2453" t="str">
        <f>IF(WEEKDAY(tblTransactions[[#This Row],[date]],2)&gt;5,"Weekend","Weekday")</f>
        <v>Weekday</v>
      </c>
      <c r="O2453" s="13" t="str">
        <f>IF(tblTransactions[[#This Row],[discount_pct]]=0,"0%",IF(tblTransactions[[#This Row],[discount_pct]]&lt;=10%,"1–
10%",IF(tblTransactions[[#This Row],[discount_pct]]&lt;=20%,"11–20%","&gt;20%")))</f>
        <v>0%</v>
      </c>
      <c r="P2453" s="13" t="str">
        <f>_xlfn.XLOOKUP(tblTransactions[[#This Row],[tenant_id]],tblTenants[tenant_id],tblTenants[zone],"NOT FOUND")</f>
        <v>Food Court</v>
      </c>
      <c r="Q2453" s="13" t="str">
        <f>_xlfn.XLOOKUP(tblTransactions[[#This Row],[tenant_id]],tblTenants[tenant_id],tblTenants[category],"NOT FOUND")</f>
        <v>Quick Service</v>
      </c>
    </row>
    <row r="2454" spans="1:17">
      <c r="A2454" t="s">
        <v>2498</v>
      </c>
      <c r="B2454" s="2">
        <v>45805</v>
      </c>
      <c r="C2454">
        <v>10</v>
      </c>
      <c r="D2454" t="s">
        <v>20</v>
      </c>
      <c r="E2454" t="s">
        <v>12</v>
      </c>
      <c r="F2454" s="7">
        <v>797.34</v>
      </c>
      <c r="G2454" s="10">
        <v>0.1</v>
      </c>
      <c r="H2454" s="7">
        <v>717.61</v>
      </c>
      <c r="I2454">
        <v>5</v>
      </c>
      <c r="J2454" t="s">
        <v>13</v>
      </c>
      <c r="K2454" s="13">
        <f>ROUND(tblTransactions[[#This Row],[gross_sales_inr]]*(1-tblTransactions[[#This Row],[discount_pct]]),2)</f>
        <v>717.61</v>
      </c>
      <c r="L2454" t="str">
        <f>IF(ABS(tblTransactions[[#This Row],[net_sales_inr]]-tblTransactions[[#This Row],[Recalc_Net_Sales]])&lt;0.02,"OK","CHECK")</f>
        <v>OK</v>
      </c>
      <c r="M2454" s="14">
        <f>DATE(YEAR(tblTransactions[[#This Row],[date]]),MONTH(tblTransactions[[#This Row],[date]]),1)</f>
        <v>45778</v>
      </c>
      <c r="N2454" t="str">
        <f>IF(WEEKDAY(tblTransactions[[#This Row],[date]],2)&gt;5,"Weekend","Weekday")</f>
        <v>Weekday</v>
      </c>
      <c r="O245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54" s="13" t="str">
        <f>_xlfn.XLOOKUP(tblTransactions[[#This Row],[tenant_id]],tblTenants[tenant_id],tblTenants[zone],"NOT FOUND")</f>
        <v>Fashion Avenue</v>
      </c>
      <c r="Q2454" s="13" t="str">
        <f>_xlfn.XLOOKUP(tblTransactions[[#This Row],[tenant_id]],tblTenants[tenant_id],tblTenants[category],"NOT FOUND")</f>
        <v>Accessories</v>
      </c>
    </row>
    <row r="2455" spans="1:17">
      <c r="A2455" t="s">
        <v>2499</v>
      </c>
      <c r="B2455" s="2">
        <v>45720</v>
      </c>
      <c r="C2455">
        <v>16</v>
      </c>
      <c r="D2455" t="s">
        <v>15</v>
      </c>
      <c r="E2455" t="s">
        <v>12</v>
      </c>
      <c r="F2455" s="7">
        <v>477.97</v>
      </c>
      <c r="G2455" s="10">
        <v>0</v>
      </c>
      <c r="H2455" s="7">
        <v>477.97</v>
      </c>
      <c r="I2455">
        <v>5</v>
      </c>
      <c r="J2455" t="s">
        <v>13</v>
      </c>
      <c r="K2455" s="13">
        <f>ROUND(tblTransactions[[#This Row],[gross_sales_inr]]*(1-tblTransactions[[#This Row],[discount_pct]]),2)</f>
        <v>477.97</v>
      </c>
      <c r="L2455" t="str">
        <f>IF(ABS(tblTransactions[[#This Row],[net_sales_inr]]-tblTransactions[[#This Row],[Recalc_Net_Sales]])&lt;0.02,"OK","CHECK")</f>
        <v>OK</v>
      </c>
      <c r="M2455" s="14">
        <f>DATE(YEAR(tblTransactions[[#This Row],[date]]),MONTH(tblTransactions[[#This Row],[date]]),1)</f>
        <v>45717</v>
      </c>
      <c r="N2455" t="str">
        <f>IF(WEEKDAY(tblTransactions[[#This Row],[date]],2)&gt;5,"Weekend","Weekday")</f>
        <v>Weekday</v>
      </c>
      <c r="O2455" s="13" t="str">
        <f>IF(tblTransactions[[#This Row],[discount_pct]]=0,"0%",IF(tblTransactions[[#This Row],[discount_pct]]&lt;=10%,"1–
10%",IF(tblTransactions[[#This Row],[discount_pct]]&lt;=20%,"11–20%","&gt;20%")))</f>
        <v>0%</v>
      </c>
      <c r="P2455" s="13" t="str">
        <f>_xlfn.XLOOKUP(tblTransactions[[#This Row],[tenant_id]],tblTenants[tenant_id],tblTenants[zone],"NOT FOUND")</f>
        <v>Fashion Avenue</v>
      </c>
      <c r="Q2455" s="13" t="str">
        <f>_xlfn.XLOOKUP(tblTransactions[[#This Row],[tenant_id]],tblTenants[tenant_id],tblTenants[category],"NOT FOUND")</f>
        <v>Accessories</v>
      </c>
    </row>
    <row r="2456" spans="1:17">
      <c r="A2456" t="s">
        <v>2500</v>
      </c>
      <c r="B2456" s="2">
        <v>45796</v>
      </c>
      <c r="C2456">
        <v>11</v>
      </c>
      <c r="D2456" t="s">
        <v>63</v>
      </c>
      <c r="E2456" t="s">
        <v>51</v>
      </c>
      <c r="F2456" s="7">
        <v>824.69</v>
      </c>
      <c r="G2456" s="10">
        <v>0</v>
      </c>
      <c r="H2456" s="7">
        <v>824.69</v>
      </c>
      <c r="I2456">
        <v>1</v>
      </c>
      <c r="J2456" t="s">
        <v>13</v>
      </c>
      <c r="K2456" s="13">
        <f>ROUND(tblTransactions[[#This Row],[gross_sales_inr]]*(1-tblTransactions[[#This Row],[discount_pct]]),2)</f>
        <v>824.69</v>
      </c>
      <c r="L2456" t="str">
        <f>IF(ABS(tblTransactions[[#This Row],[net_sales_inr]]-tblTransactions[[#This Row],[Recalc_Net_Sales]])&lt;0.02,"OK","CHECK")</f>
        <v>OK</v>
      </c>
      <c r="M2456" s="14">
        <f>DATE(YEAR(tblTransactions[[#This Row],[date]]),MONTH(tblTransactions[[#This Row],[date]]),1)</f>
        <v>45778</v>
      </c>
      <c r="N2456" t="str">
        <f>IF(WEEKDAY(tblTransactions[[#This Row],[date]],2)&gt;5,"Weekend","Weekday")</f>
        <v>Weekday</v>
      </c>
      <c r="O2456" s="13" t="str">
        <f>IF(tblTransactions[[#This Row],[discount_pct]]=0,"0%",IF(tblTransactions[[#This Row],[discount_pct]]&lt;=10%,"1–
10%",IF(tblTransactions[[#This Row],[discount_pct]]&lt;=20%,"11–20%","&gt;20%")))</f>
        <v>0%</v>
      </c>
      <c r="P2456" s="13" t="str">
        <f>_xlfn.XLOOKUP(tblTransactions[[#This Row],[tenant_id]],tblTenants[tenant_id],tblTenants[zone],"NOT FOUND")</f>
        <v>Entertainment</v>
      </c>
      <c r="Q2456" s="13" t="str">
        <f>_xlfn.XLOOKUP(tblTransactions[[#This Row],[tenant_id]],tblTenants[tenant_id],tblTenants[category],"NOT FOUND")</f>
        <v>Family Entertainment</v>
      </c>
    </row>
    <row r="2457" spans="1:17">
      <c r="A2457" t="s">
        <v>2501</v>
      </c>
      <c r="B2457" s="2">
        <v>45672</v>
      </c>
      <c r="C2457">
        <v>11</v>
      </c>
      <c r="D2457" t="s">
        <v>59</v>
      </c>
      <c r="E2457" t="s">
        <v>32</v>
      </c>
      <c r="F2457" s="7">
        <v>752.91</v>
      </c>
      <c r="G2457" s="10">
        <v>0</v>
      </c>
      <c r="H2457" s="7">
        <v>752.91</v>
      </c>
      <c r="I2457">
        <v>2</v>
      </c>
      <c r="J2457" t="s">
        <v>16</v>
      </c>
      <c r="K2457" s="13">
        <f>ROUND(tblTransactions[[#This Row],[gross_sales_inr]]*(1-tblTransactions[[#This Row],[discount_pct]]),2)</f>
        <v>752.91</v>
      </c>
      <c r="L2457" t="str">
        <f>IF(ABS(tblTransactions[[#This Row],[net_sales_inr]]-tblTransactions[[#This Row],[Recalc_Net_Sales]])&lt;0.02,"OK","CHECK")</f>
        <v>OK</v>
      </c>
      <c r="M2457" s="14">
        <f>DATE(YEAR(tblTransactions[[#This Row],[date]]),MONTH(tblTransactions[[#This Row],[date]]),1)</f>
        <v>45658</v>
      </c>
      <c r="N2457" t="str">
        <f>IF(WEEKDAY(tblTransactions[[#This Row],[date]],2)&gt;5,"Weekend","Weekday")</f>
        <v>Weekday</v>
      </c>
      <c r="O2457" s="13" t="str">
        <f>IF(tblTransactions[[#This Row],[discount_pct]]=0,"0%",IF(tblTransactions[[#This Row],[discount_pct]]&lt;=10%,"1–
10%",IF(tblTransactions[[#This Row],[discount_pct]]&lt;=20%,"11–20%","&gt;20%")))</f>
        <v>0%</v>
      </c>
      <c r="P2457" s="13" t="str">
        <f>_xlfn.XLOOKUP(tblTransactions[[#This Row],[tenant_id]],tblTenants[tenant_id],tblTenants[zone],"NOT FOUND")</f>
        <v>Fashion Avenue</v>
      </c>
      <c r="Q2457" s="13" t="str">
        <f>_xlfn.XLOOKUP(tblTransactions[[#This Row],[tenant_id]],tblTenants[tenant_id],tblTenants[category],"NOT FOUND")</f>
        <v>Footwear</v>
      </c>
    </row>
    <row r="2458" spans="1:17">
      <c r="A2458" t="s">
        <v>2502</v>
      </c>
      <c r="B2458" s="2">
        <v>45686</v>
      </c>
      <c r="C2458">
        <v>14</v>
      </c>
      <c r="D2458" t="s">
        <v>41</v>
      </c>
      <c r="E2458" t="s">
        <v>12</v>
      </c>
      <c r="F2458" s="7">
        <v>4530.1099999999997</v>
      </c>
      <c r="G2458" s="10">
        <v>0.1</v>
      </c>
      <c r="H2458" s="7">
        <v>4077.1</v>
      </c>
      <c r="I2458">
        <v>2</v>
      </c>
      <c r="J2458" t="s">
        <v>16</v>
      </c>
      <c r="K2458" s="13">
        <f>ROUND(tblTransactions[[#This Row],[gross_sales_inr]]*(1-tblTransactions[[#This Row],[discount_pct]]),2)</f>
        <v>4077.1</v>
      </c>
      <c r="L2458" t="str">
        <f>IF(ABS(tblTransactions[[#This Row],[net_sales_inr]]-tblTransactions[[#This Row],[Recalc_Net_Sales]])&lt;0.02,"OK","CHECK")</f>
        <v>OK</v>
      </c>
      <c r="M2458" s="14">
        <f>DATE(YEAR(tblTransactions[[#This Row],[date]]),MONTH(tblTransactions[[#This Row],[date]]),1)</f>
        <v>45658</v>
      </c>
      <c r="N2458" t="str">
        <f>IF(WEEKDAY(tblTransactions[[#This Row],[date]],2)&gt;5,"Weekend","Weekday")</f>
        <v>Weekday</v>
      </c>
      <c r="O245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58" s="13" t="str">
        <f>_xlfn.XLOOKUP(tblTransactions[[#This Row],[tenant_id]],tblTenants[tenant_id],tblTenants[zone],"NOT FOUND")</f>
        <v>Fashion Avenue</v>
      </c>
      <c r="Q2458" s="13" t="str">
        <f>_xlfn.XLOOKUP(tblTransactions[[#This Row],[tenant_id]],tblTenants[tenant_id],tblTenants[category],"NOT FOUND")</f>
        <v>Clothing</v>
      </c>
    </row>
    <row r="2459" spans="1:17">
      <c r="A2459" t="s">
        <v>2503</v>
      </c>
      <c r="B2459" s="2">
        <v>45807</v>
      </c>
      <c r="C2459">
        <v>21</v>
      </c>
      <c r="D2459" t="s">
        <v>63</v>
      </c>
      <c r="E2459" t="s">
        <v>12</v>
      </c>
      <c r="F2459" s="7">
        <v>675.5</v>
      </c>
      <c r="G2459" s="10">
        <v>0.15</v>
      </c>
      <c r="H2459" s="7">
        <v>574.16999999999996</v>
      </c>
      <c r="I2459">
        <v>2</v>
      </c>
      <c r="J2459" t="s">
        <v>13</v>
      </c>
      <c r="K2459" s="13">
        <f>ROUND(tblTransactions[[#This Row],[gross_sales_inr]]*(1-tblTransactions[[#This Row],[discount_pct]]),2)</f>
        <v>574.17999999999995</v>
      </c>
      <c r="L2459" t="str">
        <f>IF(ABS(tblTransactions[[#This Row],[net_sales_inr]]-tblTransactions[[#This Row],[Recalc_Net_Sales]])&lt;0.02,"OK","CHECK")</f>
        <v>OK</v>
      </c>
      <c r="M2459" s="14">
        <f>DATE(YEAR(tblTransactions[[#This Row],[date]]),MONTH(tblTransactions[[#This Row],[date]]),1)</f>
        <v>45778</v>
      </c>
      <c r="N2459" t="str">
        <f>IF(WEEKDAY(tblTransactions[[#This Row],[date]],2)&gt;5,"Weekend","Weekday")</f>
        <v>Weekday</v>
      </c>
      <c r="O245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59" s="13" t="str">
        <f>_xlfn.XLOOKUP(tblTransactions[[#This Row],[tenant_id]],tblTenants[tenant_id],tblTenants[zone],"NOT FOUND")</f>
        <v>Entertainment</v>
      </c>
      <c r="Q2459" s="13" t="str">
        <f>_xlfn.XLOOKUP(tblTransactions[[#This Row],[tenant_id]],tblTenants[tenant_id],tblTenants[category],"NOT FOUND")</f>
        <v>Family Entertainment</v>
      </c>
    </row>
    <row r="2460" spans="1:17">
      <c r="A2460" t="s">
        <v>2504</v>
      </c>
      <c r="B2460" s="2">
        <v>45675</v>
      </c>
      <c r="C2460">
        <v>19</v>
      </c>
      <c r="D2460" t="s">
        <v>43</v>
      </c>
      <c r="E2460" t="s">
        <v>32</v>
      </c>
      <c r="F2460" s="7">
        <v>855.41</v>
      </c>
      <c r="G2460" s="10">
        <v>0.2</v>
      </c>
      <c r="H2460" s="7">
        <v>684.33</v>
      </c>
      <c r="I2460">
        <v>2</v>
      </c>
      <c r="J2460" t="s">
        <v>13</v>
      </c>
      <c r="K2460" s="13">
        <f>ROUND(tblTransactions[[#This Row],[gross_sales_inr]]*(1-tblTransactions[[#This Row],[discount_pct]]),2)</f>
        <v>684.33</v>
      </c>
      <c r="L2460" t="str">
        <f>IF(ABS(tblTransactions[[#This Row],[net_sales_inr]]-tblTransactions[[#This Row],[Recalc_Net_Sales]])&lt;0.02,"OK","CHECK")</f>
        <v>OK</v>
      </c>
      <c r="M2460" s="14">
        <f>DATE(YEAR(tblTransactions[[#This Row],[date]]),MONTH(tblTransactions[[#This Row],[date]]),1)</f>
        <v>45658</v>
      </c>
      <c r="N2460" t="str">
        <f>IF(WEEKDAY(tblTransactions[[#This Row],[date]],2)&gt;5,"Weekend","Weekday")</f>
        <v>Weekend</v>
      </c>
      <c r="O246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60" s="13" t="str">
        <f>_xlfn.XLOOKUP(tblTransactions[[#This Row],[tenant_id]],tblTenants[tenant_id],tblTenants[zone],"NOT FOUND")</f>
        <v>Food Court</v>
      </c>
      <c r="Q2460" s="13" t="str">
        <f>_xlfn.XLOOKUP(tblTransactions[[#This Row],[tenant_id]],tblTenants[tenant_id],tblTenants[category],"NOT FOUND")</f>
        <v>Casual Dining</v>
      </c>
    </row>
    <row r="2461" spans="1:17">
      <c r="A2461" t="s">
        <v>2505</v>
      </c>
      <c r="B2461" s="2">
        <v>45797</v>
      </c>
      <c r="C2461">
        <v>15</v>
      </c>
      <c r="D2461" t="s">
        <v>55</v>
      </c>
      <c r="E2461" t="s">
        <v>32</v>
      </c>
      <c r="F2461" s="7">
        <v>680.44</v>
      </c>
      <c r="G2461" s="10">
        <v>0</v>
      </c>
      <c r="H2461" s="7">
        <v>680.44</v>
      </c>
      <c r="I2461">
        <v>5</v>
      </c>
      <c r="J2461" t="s">
        <v>13</v>
      </c>
      <c r="K2461" s="13">
        <f>ROUND(tblTransactions[[#This Row],[gross_sales_inr]]*(1-tblTransactions[[#This Row],[discount_pct]]),2)</f>
        <v>680.44</v>
      </c>
      <c r="L2461" t="str">
        <f>IF(ABS(tblTransactions[[#This Row],[net_sales_inr]]-tblTransactions[[#This Row],[Recalc_Net_Sales]])&lt;0.02,"OK","CHECK")</f>
        <v>OK</v>
      </c>
      <c r="M2461" s="14">
        <f>DATE(YEAR(tblTransactions[[#This Row],[date]]),MONTH(tblTransactions[[#This Row],[date]]),1)</f>
        <v>45778</v>
      </c>
      <c r="N2461" t="str">
        <f>IF(WEEKDAY(tblTransactions[[#This Row],[date]],2)&gt;5,"Weekend","Weekday")</f>
        <v>Weekday</v>
      </c>
      <c r="O2461" s="13" t="str">
        <f>IF(tblTransactions[[#This Row],[discount_pct]]=0,"0%",IF(tblTransactions[[#This Row],[discount_pct]]&lt;=10%,"1–
10%",IF(tblTransactions[[#This Row],[discount_pct]]&lt;=20%,"11–20%","&gt;20%")))</f>
        <v>0%</v>
      </c>
      <c r="P2461" s="13" t="str">
        <f>_xlfn.XLOOKUP(tblTransactions[[#This Row],[tenant_id]],tblTenants[tenant_id],tblTenants[zone],"NOT FOUND")</f>
        <v>Food Court</v>
      </c>
      <c r="Q2461" s="13" t="str">
        <f>_xlfn.XLOOKUP(tblTransactions[[#This Row],[tenant_id]],tblTenants[tenant_id],tblTenants[category],"NOT FOUND")</f>
        <v>Quick Service</v>
      </c>
    </row>
    <row r="2462" spans="1:17">
      <c r="A2462" t="s">
        <v>2506</v>
      </c>
      <c r="B2462" s="2">
        <v>45709</v>
      </c>
      <c r="C2462">
        <v>12</v>
      </c>
      <c r="D2462" t="s">
        <v>27</v>
      </c>
      <c r="E2462" t="s">
        <v>12</v>
      </c>
      <c r="F2462" s="7">
        <v>1356.42</v>
      </c>
      <c r="G2462" s="10">
        <v>0.15</v>
      </c>
      <c r="H2462" s="7">
        <v>1152.96</v>
      </c>
      <c r="I2462">
        <v>4</v>
      </c>
      <c r="J2462" t="s">
        <v>13</v>
      </c>
      <c r="K2462" s="13">
        <f>ROUND(tblTransactions[[#This Row],[gross_sales_inr]]*(1-tblTransactions[[#This Row],[discount_pct]]),2)</f>
        <v>1152.96</v>
      </c>
      <c r="L2462" t="str">
        <f>IF(ABS(tblTransactions[[#This Row],[net_sales_inr]]-tblTransactions[[#This Row],[Recalc_Net_Sales]])&lt;0.02,"OK","CHECK")</f>
        <v>OK</v>
      </c>
      <c r="M2462" s="14">
        <f>DATE(YEAR(tblTransactions[[#This Row],[date]]),MONTH(tblTransactions[[#This Row],[date]]),1)</f>
        <v>45689</v>
      </c>
      <c r="N2462" t="str">
        <f>IF(WEEKDAY(tblTransactions[[#This Row],[date]],2)&gt;5,"Weekend","Weekday")</f>
        <v>Weekday</v>
      </c>
      <c r="O246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62" s="13" t="str">
        <f>_xlfn.XLOOKUP(tblTransactions[[#This Row],[tenant_id]],tblTenants[tenant_id],tblTenants[zone],"NOT FOUND")</f>
        <v>Beauty &amp; Wellness</v>
      </c>
      <c r="Q2462" s="13" t="str">
        <f>_xlfn.XLOOKUP(tblTransactions[[#This Row],[tenant_id]],tblTenants[tenant_id],tblTenants[category],"NOT FOUND")</f>
        <v>Wellness</v>
      </c>
    </row>
    <row r="2463" spans="1:17">
      <c r="A2463" t="s">
        <v>2507</v>
      </c>
      <c r="B2463" s="2">
        <v>45769</v>
      </c>
      <c r="C2463">
        <v>21</v>
      </c>
      <c r="D2463" t="s">
        <v>11</v>
      </c>
      <c r="E2463" t="s">
        <v>21</v>
      </c>
      <c r="F2463" s="7">
        <v>1703.33</v>
      </c>
      <c r="G2463" s="10">
        <v>0.3</v>
      </c>
      <c r="H2463" s="7">
        <v>1192.33</v>
      </c>
      <c r="I2463">
        <v>1</v>
      </c>
      <c r="J2463" t="s">
        <v>13</v>
      </c>
      <c r="K2463" s="13">
        <f>ROUND(tblTransactions[[#This Row],[gross_sales_inr]]*(1-tblTransactions[[#This Row],[discount_pct]]),2)</f>
        <v>1192.33</v>
      </c>
      <c r="L2463" t="str">
        <f>IF(ABS(tblTransactions[[#This Row],[net_sales_inr]]-tblTransactions[[#This Row],[Recalc_Net_Sales]])&lt;0.02,"OK","CHECK")</f>
        <v>OK</v>
      </c>
      <c r="M2463" s="14">
        <f>DATE(YEAR(tblTransactions[[#This Row],[date]]),MONTH(tblTransactions[[#This Row],[date]]),1)</f>
        <v>45748</v>
      </c>
      <c r="N2463" t="str">
        <f>IF(WEEKDAY(tblTransactions[[#This Row],[date]],2)&gt;5,"Weekend","Weekday")</f>
        <v>Weekday</v>
      </c>
      <c r="O2463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463" s="13" t="str">
        <f>_xlfn.XLOOKUP(tblTransactions[[#This Row],[tenant_id]],tblTenants[tenant_id],tblTenants[zone],"NOT FOUND")</f>
        <v>Home &amp; Living</v>
      </c>
      <c r="Q2463" s="13" t="str">
        <f>_xlfn.XLOOKUP(tblTransactions[[#This Row],[tenant_id]],tblTenants[tenant_id],tblTenants[category],"NOT FOUND")</f>
        <v>Home Decor</v>
      </c>
    </row>
    <row r="2464" spans="1:17">
      <c r="A2464" t="s">
        <v>2508</v>
      </c>
      <c r="B2464" s="2">
        <v>45739</v>
      </c>
      <c r="C2464">
        <v>18</v>
      </c>
      <c r="D2464" t="s">
        <v>57</v>
      </c>
      <c r="E2464" t="s">
        <v>12</v>
      </c>
      <c r="F2464" s="7">
        <v>908.44</v>
      </c>
      <c r="G2464" s="10">
        <v>0.15</v>
      </c>
      <c r="H2464" s="7">
        <v>772.17</v>
      </c>
      <c r="I2464">
        <v>1</v>
      </c>
      <c r="J2464" t="s">
        <v>16</v>
      </c>
      <c r="K2464" s="13">
        <f>ROUND(tblTransactions[[#This Row],[gross_sales_inr]]*(1-tblTransactions[[#This Row],[discount_pct]]),2)</f>
        <v>772.17</v>
      </c>
      <c r="L2464" t="str">
        <f>IF(ABS(tblTransactions[[#This Row],[net_sales_inr]]-tblTransactions[[#This Row],[Recalc_Net_Sales]])&lt;0.02,"OK","CHECK")</f>
        <v>OK</v>
      </c>
      <c r="M2464" s="14">
        <f>DATE(YEAR(tblTransactions[[#This Row],[date]]),MONTH(tblTransactions[[#This Row],[date]]),1)</f>
        <v>45717</v>
      </c>
      <c r="N2464" t="str">
        <f>IF(WEEKDAY(tblTransactions[[#This Row],[date]],2)&gt;5,"Weekend","Weekday")</f>
        <v>Weekend</v>
      </c>
      <c r="O246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64" s="13" t="str">
        <f>_xlfn.XLOOKUP(tblTransactions[[#This Row],[tenant_id]],tblTenants[tenant_id],tblTenants[zone],"NOT FOUND")</f>
        <v>Food Court</v>
      </c>
      <c r="Q2464" s="13" t="str">
        <f>_xlfn.XLOOKUP(tblTransactions[[#This Row],[tenant_id]],tblTenants[tenant_id],tblTenants[category],"NOT FOUND")</f>
        <v>Casual Dining</v>
      </c>
    </row>
    <row r="2465" spans="1:17">
      <c r="A2465" t="s">
        <v>2509</v>
      </c>
      <c r="B2465" s="2">
        <v>45774</v>
      </c>
      <c r="C2465">
        <v>18</v>
      </c>
      <c r="D2465" t="s">
        <v>15</v>
      </c>
      <c r="E2465" t="s">
        <v>12</v>
      </c>
      <c r="F2465" s="7">
        <v>5030.03</v>
      </c>
      <c r="G2465" s="10">
        <v>0</v>
      </c>
      <c r="H2465" s="7">
        <v>5030.03</v>
      </c>
      <c r="I2465">
        <v>3</v>
      </c>
      <c r="J2465" t="s">
        <v>16</v>
      </c>
      <c r="K2465" s="13">
        <f>ROUND(tblTransactions[[#This Row],[gross_sales_inr]]*(1-tblTransactions[[#This Row],[discount_pct]]),2)</f>
        <v>5030.03</v>
      </c>
      <c r="L2465" t="str">
        <f>IF(ABS(tblTransactions[[#This Row],[net_sales_inr]]-tblTransactions[[#This Row],[Recalc_Net_Sales]])&lt;0.02,"OK","CHECK")</f>
        <v>OK</v>
      </c>
      <c r="M2465" s="14">
        <f>DATE(YEAR(tblTransactions[[#This Row],[date]]),MONTH(tblTransactions[[#This Row],[date]]),1)</f>
        <v>45748</v>
      </c>
      <c r="N2465" t="str">
        <f>IF(WEEKDAY(tblTransactions[[#This Row],[date]],2)&gt;5,"Weekend","Weekday")</f>
        <v>Weekend</v>
      </c>
      <c r="O2465" s="13" t="str">
        <f>IF(tblTransactions[[#This Row],[discount_pct]]=0,"0%",IF(tblTransactions[[#This Row],[discount_pct]]&lt;=10%,"1–
10%",IF(tblTransactions[[#This Row],[discount_pct]]&lt;=20%,"11–20%","&gt;20%")))</f>
        <v>0%</v>
      </c>
      <c r="P2465" s="13" t="str">
        <f>_xlfn.XLOOKUP(tblTransactions[[#This Row],[tenant_id]],tblTenants[tenant_id],tblTenants[zone],"NOT FOUND")</f>
        <v>Fashion Avenue</v>
      </c>
      <c r="Q2465" s="13" t="str">
        <f>_xlfn.XLOOKUP(tblTransactions[[#This Row],[tenant_id]],tblTenants[tenant_id],tblTenants[category],"NOT FOUND")</f>
        <v>Accessories</v>
      </c>
    </row>
    <row r="2466" spans="1:17">
      <c r="A2466" t="s">
        <v>2510</v>
      </c>
      <c r="B2466" s="2">
        <v>45821</v>
      </c>
      <c r="C2466">
        <v>20</v>
      </c>
      <c r="D2466" t="s">
        <v>48</v>
      </c>
      <c r="E2466" t="s">
        <v>21</v>
      </c>
      <c r="F2466" s="7">
        <v>1647.35</v>
      </c>
      <c r="G2466" s="10">
        <v>0.1</v>
      </c>
      <c r="H2466" s="7">
        <v>1482.62</v>
      </c>
      <c r="I2466">
        <v>1</v>
      </c>
      <c r="J2466" t="s">
        <v>16</v>
      </c>
      <c r="K2466" s="13">
        <f>ROUND(tblTransactions[[#This Row],[gross_sales_inr]]*(1-tblTransactions[[#This Row],[discount_pct]]),2)</f>
        <v>1482.62</v>
      </c>
      <c r="L2466" t="str">
        <f>IF(ABS(tblTransactions[[#This Row],[net_sales_inr]]-tblTransactions[[#This Row],[Recalc_Net_Sales]])&lt;0.02,"OK","CHECK")</f>
        <v>OK</v>
      </c>
      <c r="M2466" s="14">
        <f>DATE(YEAR(tblTransactions[[#This Row],[date]]),MONTH(tblTransactions[[#This Row],[date]]),1)</f>
        <v>45809</v>
      </c>
      <c r="N2466" t="str">
        <f>IF(WEEKDAY(tblTransactions[[#This Row],[date]],2)&gt;5,"Weekend","Weekday")</f>
        <v>Weekday</v>
      </c>
      <c r="O246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66" s="13" t="str">
        <f>_xlfn.XLOOKUP(tblTransactions[[#This Row],[tenant_id]],tblTenants[tenant_id],tblTenants[zone],"NOT FOUND")</f>
        <v>Beauty &amp; Wellness</v>
      </c>
      <c r="Q2466" s="13" t="str">
        <f>_xlfn.XLOOKUP(tblTransactions[[#This Row],[tenant_id]],tblTenants[tenant_id],tblTenants[category],"NOT FOUND")</f>
        <v>Wellness</v>
      </c>
    </row>
    <row r="2467" spans="1:17">
      <c r="A2467" t="s">
        <v>2511</v>
      </c>
      <c r="B2467" s="2">
        <v>45765</v>
      </c>
      <c r="C2467">
        <v>20</v>
      </c>
      <c r="D2467" t="s">
        <v>59</v>
      </c>
      <c r="E2467" t="s">
        <v>21</v>
      </c>
      <c r="F2467" s="7">
        <v>3357.13</v>
      </c>
      <c r="G2467" s="10">
        <v>0</v>
      </c>
      <c r="H2467" s="7">
        <v>3357.13</v>
      </c>
      <c r="I2467">
        <v>3</v>
      </c>
      <c r="J2467" t="s">
        <v>13</v>
      </c>
      <c r="K2467" s="13">
        <f>ROUND(tblTransactions[[#This Row],[gross_sales_inr]]*(1-tblTransactions[[#This Row],[discount_pct]]),2)</f>
        <v>3357.13</v>
      </c>
      <c r="L2467" t="str">
        <f>IF(ABS(tblTransactions[[#This Row],[net_sales_inr]]-tblTransactions[[#This Row],[Recalc_Net_Sales]])&lt;0.02,"OK","CHECK")</f>
        <v>OK</v>
      </c>
      <c r="M2467" s="14">
        <f>DATE(YEAR(tblTransactions[[#This Row],[date]]),MONTH(tblTransactions[[#This Row],[date]]),1)</f>
        <v>45748</v>
      </c>
      <c r="N2467" t="str">
        <f>IF(WEEKDAY(tblTransactions[[#This Row],[date]],2)&gt;5,"Weekend","Weekday")</f>
        <v>Weekday</v>
      </c>
      <c r="O2467" s="13" t="str">
        <f>IF(tblTransactions[[#This Row],[discount_pct]]=0,"0%",IF(tblTransactions[[#This Row],[discount_pct]]&lt;=10%,"1–
10%",IF(tblTransactions[[#This Row],[discount_pct]]&lt;=20%,"11–20%","&gt;20%")))</f>
        <v>0%</v>
      </c>
      <c r="P2467" s="13" t="str">
        <f>_xlfn.XLOOKUP(tblTransactions[[#This Row],[tenant_id]],tblTenants[tenant_id],tblTenants[zone],"NOT FOUND")</f>
        <v>Fashion Avenue</v>
      </c>
      <c r="Q2467" s="13" t="str">
        <f>_xlfn.XLOOKUP(tblTransactions[[#This Row],[tenant_id]],tblTenants[tenant_id],tblTenants[category],"NOT FOUND")</f>
        <v>Footwear</v>
      </c>
    </row>
    <row r="2468" spans="1:17">
      <c r="A2468" t="s">
        <v>2512</v>
      </c>
      <c r="B2468" s="2">
        <v>45700</v>
      </c>
      <c r="C2468">
        <v>12</v>
      </c>
      <c r="D2468" t="s">
        <v>104</v>
      </c>
      <c r="E2468" t="s">
        <v>21</v>
      </c>
      <c r="F2468" s="7">
        <v>2527.77</v>
      </c>
      <c r="G2468" s="10">
        <v>0</v>
      </c>
      <c r="H2468" s="7">
        <v>2527.77</v>
      </c>
      <c r="I2468">
        <v>2</v>
      </c>
      <c r="J2468" t="s">
        <v>16</v>
      </c>
      <c r="K2468" s="13">
        <f>ROUND(tblTransactions[[#This Row],[gross_sales_inr]]*(1-tblTransactions[[#This Row],[discount_pct]]),2)</f>
        <v>2527.77</v>
      </c>
      <c r="L2468" t="str">
        <f>IF(ABS(tblTransactions[[#This Row],[net_sales_inr]]-tblTransactions[[#This Row],[Recalc_Net_Sales]])&lt;0.02,"OK","CHECK")</f>
        <v>OK</v>
      </c>
      <c r="M2468" s="14">
        <f>DATE(YEAR(tblTransactions[[#This Row],[date]]),MONTH(tblTransactions[[#This Row],[date]]),1)</f>
        <v>45689</v>
      </c>
      <c r="N2468" t="str">
        <f>IF(WEEKDAY(tblTransactions[[#This Row],[date]],2)&gt;5,"Weekend","Weekday")</f>
        <v>Weekday</v>
      </c>
      <c r="O2468" s="13" t="str">
        <f>IF(tblTransactions[[#This Row],[discount_pct]]=0,"0%",IF(tblTransactions[[#This Row],[discount_pct]]&lt;=10%,"1–
10%",IF(tblTransactions[[#This Row],[discount_pct]]&lt;=20%,"11–20%","&gt;20%")))</f>
        <v>0%</v>
      </c>
      <c r="P2468" s="13" t="str">
        <f>_xlfn.XLOOKUP(tblTransactions[[#This Row],[tenant_id]],tblTenants[tenant_id],tblTenants[zone],"NOT FOUND")</f>
        <v>Entertainment</v>
      </c>
      <c r="Q2468" s="13" t="str">
        <f>_xlfn.XLOOKUP(tblTransactions[[#This Row],[tenant_id]],tblTenants[tenant_id],tblTenants[category],"NOT FOUND")</f>
        <v>Family Entertainment</v>
      </c>
    </row>
    <row r="2469" spans="1:17">
      <c r="A2469" t="s">
        <v>2513</v>
      </c>
      <c r="B2469" s="2">
        <v>45795</v>
      </c>
      <c r="C2469">
        <v>10</v>
      </c>
      <c r="D2469" t="s">
        <v>45</v>
      </c>
      <c r="E2469" t="s">
        <v>12</v>
      </c>
      <c r="F2469" s="7">
        <v>2460.63</v>
      </c>
      <c r="G2469" s="10">
        <v>0.2</v>
      </c>
      <c r="H2469" s="7">
        <v>1968.5</v>
      </c>
      <c r="I2469">
        <v>3</v>
      </c>
      <c r="J2469" t="s">
        <v>13</v>
      </c>
      <c r="K2469" s="13">
        <f>ROUND(tblTransactions[[#This Row],[gross_sales_inr]]*(1-tblTransactions[[#This Row],[discount_pct]]),2)</f>
        <v>1968.5</v>
      </c>
      <c r="L2469" t="str">
        <f>IF(ABS(tblTransactions[[#This Row],[net_sales_inr]]-tblTransactions[[#This Row],[Recalc_Net_Sales]])&lt;0.02,"OK","CHECK")</f>
        <v>OK</v>
      </c>
      <c r="M2469" s="14">
        <f>DATE(YEAR(tblTransactions[[#This Row],[date]]),MONTH(tblTransactions[[#This Row],[date]]),1)</f>
        <v>45778</v>
      </c>
      <c r="N2469" t="str">
        <f>IF(WEEKDAY(tblTransactions[[#This Row],[date]],2)&gt;5,"Weekend","Weekday")</f>
        <v>Weekend</v>
      </c>
      <c r="O246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69" s="13" t="str">
        <f>_xlfn.XLOOKUP(tblTransactions[[#This Row],[tenant_id]],tblTenants[tenant_id],tblTenants[zone],"NOT FOUND")</f>
        <v>Home &amp; Living</v>
      </c>
      <c r="Q2469" s="13" t="str">
        <f>_xlfn.XLOOKUP(tblTransactions[[#This Row],[tenant_id]],tblTenants[tenant_id],tblTenants[category],"NOT FOUND")</f>
        <v>Home Decor</v>
      </c>
    </row>
    <row r="2470" spans="1:17">
      <c r="A2470" t="s">
        <v>2514</v>
      </c>
      <c r="B2470" s="2">
        <v>45708</v>
      </c>
      <c r="C2470">
        <v>22</v>
      </c>
      <c r="D2470" t="s">
        <v>70</v>
      </c>
      <c r="E2470" t="s">
        <v>21</v>
      </c>
      <c r="F2470" s="7">
        <v>401</v>
      </c>
      <c r="G2470" s="10">
        <v>0</v>
      </c>
      <c r="H2470" s="7">
        <v>401</v>
      </c>
      <c r="I2470">
        <v>5</v>
      </c>
      <c r="J2470" t="s">
        <v>13</v>
      </c>
      <c r="K2470" s="13">
        <f>ROUND(tblTransactions[[#This Row],[gross_sales_inr]]*(1-tblTransactions[[#This Row],[discount_pct]]),2)</f>
        <v>401</v>
      </c>
      <c r="L2470" t="str">
        <f>IF(ABS(tblTransactions[[#This Row],[net_sales_inr]]-tblTransactions[[#This Row],[Recalc_Net_Sales]])&lt;0.02,"OK","CHECK")</f>
        <v>OK</v>
      </c>
      <c r="M2470" s="14">
        <f>DATE(YEAR(tblTransactions[[#This Row],[date]]),MONTH(tblTransactions[[#This Row],[date]]),1)</f>
        <v>45689</v>
      </c>
      <c r="N2470" t="str">
        <f>IF(WEEKDAY(tblTransactions[[#This Row],[date]],2)&gt;5,"Weekend","Weekday")</f>
        <v>Weekday</v>
      </c>
      <c r="O2470" s="13" t="str">
        <f>IF(tblTransactions[[#This Row],[discount_pct]]=0,"0%",IF(tblTransactions[[#This Row],[discount_pct]]&lt;=10%,"1–
10%",IF(tblTransactions[[#This Row],[discount_pct]]&lt;=20%,"11–20%","&gt;20%")))</f>
        <v>0%</v>
      </c>
      <c r="P2470" s="13" t="str">
        <f>_xlfn.XLOOKUP(tblTransactions[[#This Row],[tenant_id]],tblTenants[tenant_id],tblTenants[zone],"NOT FOUND")</f>
        <v>Food Court</v>
      </c>
      <c r="Q2470" s="13" t="str">
        <f>_xlfn.XLOOKUP(tblTransactions[[#This Row],[tenant_id]],tblTenants[tenant_id],tblTenants[category],"NOT FOUND")</f>
        <v>Quick Service</v>
      </c>
    </row>
    <row r="2471" spans="1:17">
      <c r="A2471" t="s">
        <v>2515</v>
      </c>
      <c r="B2471" s="2">
        <v>45779</v>
      </c>
      <c r="C2471">
        <v>12</v>
      </c>
      <c r="D2471" t="s">
        <v>41</v>
      </c>
      <c r="E2471" t="s">
        <v>12</v>
      </c>
      <c r="F2471" s="7">
        <v>2218.94</v>
      </c>
      <c r="G2471" s="10">
        <v>0.1</v>
      </c>
      <c r="H2471" s="7">
        <v>1997.05</v>
      </c>
      <c r="I2471">
        <v>6</v>
      </c>
      <c r="J2471" t="s">
        <v>16</v>
      </c>
      <c r="K2471" s="13">
        <f>ROUND(tblTransactions[[#This Row],[gross_sales_inr]]*(1-tblTransactions[[#This Row],[discount_pct]]),2)</f>
        <v>1997.05</v>
      </c>
      <c r="L2471" t="str">
        <f>IF(ABS(tblTransactions[[#This Row],[net_sales_inr]]-tblTransactions[[#This Row],[Recalc_Net_Sales]])&lt;0.02,"OK","CHECK")</f>
        <v>OK</v>
      </c>
      <c r="M2471" s="14">
        <f>DATE(YEAR(tblTransactions[[#This Row],[date]]),MONTH(tblTransactions[[#This Row],[date]]),1)</f>
        <v>45778</v>
      </c>
      <c r="N2471" t="str">
        <f>IF(WEEKDAY(tblTransactions[[#This Row],[date]],2)&gt;5,"Weekend","Weekday")</f>
        <v>Weekday</v>
      </c>
      <c r="O247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71" s="13" t="str">
        <f>_xlfn.XLOOKUP(tblTransactions[[#This Row],[tenant_id]],tblTenants[tenant_id],tblTenants[zone],"NOT FOUND")</f>
        <v>Fashion Avenue</v>
      </c>
      <c r="Q2471" s="13" t="str">
        <f>_xlfn.XLOOKUP(tblTransactions[[#This Row],[tenant_id]],tblTenants[tenant_id],tblTenants[category],"NOT FOUND")</f>
        <v>Clothing</v>
      </c>
    </row>
    <row r="2472" spans="1:17">
      <c r="A2472" t="s">
        <v>2516</v>
      </c>
      <c r="B2472" s="2">
        <v>45831</v>
      </c>
      <c r="C2472">
        <v>14</v>
      </c>
      <c r="D2472" t="s">
        <v>72</v>
      </c>
      <c r="E2472" t="s">
        <v>32</v>
      </c>
      <c r="F2472" s="7">
        <v>1582.41</v>
      </c>
      <c r="G2472" s="10">
        <v>0</v>
      </c>
      <c r="H2472" s="7">
        <v>1582.41</v>
      </c>
      <c r="I2472">
        <v>4</v>
      </c>
      <c r="J2472" t="s">
        <v>13</v>
      </c>
      <c r="K2472" s="13">
        <f>ROUND(tblTransactions[[#This Row],[gross_sales_inr]]*(1-tblTransactions[[#This Row],[discount_pct]]),2)</f>
        <v>1582.41</v>
      </c>
      <c r="L2472" t="str">
        <f>IF(ABS(tblTransactions[[#This Row],[net_sales_inr]]-tblTransactions[[#This Row],[Recalc_Net_Sales]])&lt;0.02,"OK","CHECK")</f>
        <v>OK</v>
      </c>
      <c r="M2472" s="14">
        <f>DATE(YEAR(tblTransactions[[#This Row],[date]]),MONTH(tblTransactions[[#This Row],[date]]),1)</f>
        <v>45809</v>
      </c>
      <c r="N2472" t="str">
        <f>IF(WEEKDAY(tblTransactions[[#This Row],[date]],2)&gt;5,"Weekend","Weekday")</f>
        <v>Weekday</v>
      </c>
      <c r="O2472" s="13" t="str">
        <f>IF(tblTransactions[[#This Row],[discount_pct]]=0,"0%",IF(tblTransactions[[#This Row],[discount_pct]]&lt;=10%,"1–
10%",IF(tblTransactions[[#This Row],[discount_pct]]&lt;=20%,"11–20%","&gt;20%")))</f>
        <v>0%</v>
      </c>
      <c r="P2472" s="13" t="str">
        <f>_xlfn.XLOOKUP(tblTransactions[[#This Row],[tenant_id]],tblTenants[tenant_id],tblTenants[zone],"NOT FOUND")</f>
        <v>Entertainment</v>
      </c>
      <c r="Q2472" s="13" t="str">
        <f>_xlfn.XLOOKUP(tblTransactions[[#This Row],[tenant_id]],tblTenants[tenant_id],tblTenants[category],"NOT FOUND")</f>
        <v>Arcade</v>
      </c>
    </row>
    <row r="2473" spans="1:17">
      <c r="A2473" t="s">
        <v>2517</v>
      </c>
      <c r="B2473" s="2">
        <v>45755</v>
      </c>
      <c r="C2473">
        <v>11</v>
      </c>
      <c r="D2473" t="s">
        <v>85</v>
      </c>
      <c r="E2473" t="s">
        <v>12</v>
      </c>
      <c r="F2473" s="7">
        <v>573.99</v>
      </c>
      <c r="G2473" s="10">
        <v>0.1</v>
      </c>
      <c r="H2473" s="7">
        <v>516.59</v>
      </c>
      <c r="I2473">
        <v>5</v>
      </c>
      <c r="J2473" t="s">
        <v>16</v>
      </c>
      <c r="K2473" s="13">
        <f>ROUND(tblTransactions[[#This Row],[gross_sales_inr]]*(1-tblTransactions[[#This Row],[discount_pct]]),2)</f>
        <v>516.59</v>
      </c>
      <c r="L2473" t="str">
        <f>IF(ABS(tblTransactions[[#This Row],[net_sales_inr]]-tblTransactions[[#This Row],[Recalc_Net_Sales]])&lt;0.02,"OK","CHECK")</f>
        <v>OK</v>
      </c>
      <c r="M2473" s="14">
        <f>DATE(YEAR(tblTransactions[[#This Row],[date]]),MONTH(tblTransactions[[#This Row],[date]]),1)</f>
        <v>45748</v>
      </c>
      <c r="N2473" t="str">
        <f>IF(WEEKDAY(tblTransactions[[#This Row],[date]],2)&gt;5,"Weekend","Weekday")</f>
        <v>Weekday</v>
      </c>
      <c r="O247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73" s="13" t="str">
        <f>_xlfn.XLOOKUP(tblTransactions[[#This Row],[tenant_id]],tblTenants[tenant_id],tblTenants[zone],"NOT FOUND")</f>
        <v>Home &amp; Living</v>
      </c>
      <c r="Q2473" s="13" t="str">
        <f>_xlfn.XLOOKUP(tblTransactions[[#This Row],[tenant_id]],tblTenants[tenant_id],tblTenants[category],"NOT FOUND")</f>
        <v>Electronics</v>
      </c>
    </row>
    <row r="2474" spans="1:17">
      <c r="A2474" t="s">
        <v>2518</v>
      </c>
      <c r="B2474" s="2">
        <v>45745</v>
      </c>
      <c r="C2474">
        <v>16</v>
      </c>
      <c r="D2474" t="s">
        <v>23</v>
      </c>
      <c r="E2474" t="s">
        <v>51</v>
      </c>
      <c r="F2474" s="7">
        <v>1441.38</v>
      </c>
      <c r="G2474" s="10">
        <v>0.1</v>
      </c>
      <c r="H2474" s="7">
        <v>1297.24</v>
      </c>
      <c r="I2474">
        <v>1</v>
      </c>
      <c r="J2474" t="s">
        <v>13</v>
      </c>
      <c r="K2474" s="13">
        <f>ROUND(tblTransactions[[#This Row],[gross_sales_inr]]*(1-tblTransactions[[#This Row],[discount_pct]]),2)</f>
        <v>1297.24</v>
      </c>
      <c r="L2474" t="str">
        <f>IF(ABS(tblTransactions[[#This Row],[net_sales_inr]]-tblTransactions[[#This Row],[Recalc_Net_Sales]])&lt;0.02,"OK","CHECK")</f>
        <v>OK</v>
      </c>
      <c r="M2474" s="14">
        <f>DATE(YEAR(tblTransactions[[#This Row],[date]]),MONTH(tblTransactions[[#This Row],[date]]),1)</f>
        <v>45717</v>
      </c>
      <c r="N2474" t="str">
        <f>IF(WEEKDAY(tblTransactions[[#This Row],[date]],2)&gt;5,"Weekend","Weekday")</f>
        <v>Weekend</v>
      </c>
      <c r="O247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74" s="13" t="str">
        <f>_xlfn.XLOOKUP(tblTransactions[[#This Row],[tenant_id]],tblTenants[tenant_id],tblTenants[zone],"NOT FOUND")</f>
        <v>Entertainment</v>
      </c>
      <c r="Q2474" s="13" t="str">
        <f>_xlfn.XLOOKUP(tblTransactions[[#This Row],[tenant_id]],tblTenants[tenant_id],tblTenants[category],"NOT FOUND")</f>
        <v>Cinema</v>
      </c>
    </row>
    <row r="2475" spans="1:17">
      <c r="A2475" t="s">
        <v>2519</v>
      </c>
      <c r="B2475" s="2">
        <v>45749</v>
      </c>
      <c r="C2475">
        <v>10</v>
      </c>
      <c r="D2475" t="s">
        <v>25</v>
      </c>
      <c r="E2475" t="s">
        <v>12</v>
      </c>
      <c r="F2475" s="7">
        <v>292.11</v>
      </c>
      <c r="G2475" s="10">
        <v>0</v>
      </c>
      <c r="H2475" s="7">
        <v>292.11</v>
      </c>
      <c r="I2475">
        <v>2</v>
      </c>
      <c r="J2475" t="s">
        <v>13</v>
      </c>
      <c r="K2475" s="13">
        <f>ROUND(tblTransactions[[#This Row],[gross_sales_inr]]*(1-tblTransactions[[#This Row],[discount_pct]]),2)</f>
        <v>292.11</v>
      </c>
      <c r="L2475" t="str">
        <f>IF(ABS(tblTransactions[[#This Row],[net_sales_inr]]-tblTransactions[[#This Row],[Recalc_Net_Sales]])&lt;0.02,"OK","CHECK")</f>
        <v>OK</v>
      </c>
      <c r="M2475" s="14">
        <f>DATE(YEAR(tblTransactions[[#This Row],[date]]),MONTH(tblTransactions[[#This Row],[date]]),1)</f>
        <v>45748</v>
      </c>
      <c r="N2475" t="str">
        <f>IF(WEEKDAY(tblTransactions[[#This Row],[date]],2)&gt;5,"Weekend","Weekday")</f>
        <v>Weekday</v>
      </c>
      <c r="O2475" s="13" t="str">
        <f>IF(tblTransactions[[#This Row],[discount_pct]]=0,"0%",IF(tblTransactions[[#This Row],[discount_pct]]&lt;=10%,"1–
10%",IF(tblTransactions[[#This Row],[discount_pct]]&lt;=20%,"11–20%","&gt;20%")))</f>
        <v>0%</v>
      </c>
      <c r="P2475" s="13" t="str">
        <f>_xlfn.XLOOKUP(tblTransactions[[#This Row],[tenant_id]],tblTenants[tenant_id],tblTenants[zone],"NOT FOUND")</f>
        <v>Beauty &amp; Wellness</v>
      </c>
      <c r="Q2475" s="13" t="str">
        <f>_xlfn.XLOOKUP(tblTransactions[[#This Row],[tenant_id]],tblTenants[tenant_id],tblTenants[category],"NOT FOUND")</f>
        <v>Beauty</v>
      </c>
    </row>
    <row r="2476" spans="1:17">
      <c r="A2476" t="s">
        <v>2520</v>
      </c>
      <c r="B2476" s="2">
        <v>45808</v>
      </c>
      <c r="C2476">
        <v>21</v>
      </c>
      <c r="D2476" t="s">
        <v>18</v>
      </c>
      <c r="E2476" t="s">
        <v>12</v>
      </c>
      <c r="F2476" s="7">
        <v>393.55</v>
      </c>
      <c r="G2476" s="10">
        <v>0</v>
      </c>
      <c r="H2476" s="7">
        <v>393.55</v>
      </c>
      <c r="I2476">
        <v>3</v>
      </c>
      <c r="J2476" t="s">
        <v>13</v>
      </c>
      <c r="K2476" s="13">
        <f>ROUND(tblTransactions[[#This Row],[gross_sales_inr]]*(1-tblTransactions[[#This Row],[discount_pct]]),2)</f>
        <v>393.55</v>
      </c>
      <c r="L2476" t="str">
        <f>IF(ABS(tblTransactions[[#This Row],[net_sales_inr]]-tblTransactions[[#This Row],[Recalc_Net_Sales]])&lt;0.02,"OK","CHECK")</f>
        <v>OK</v>
      </c>
      <c r="M2476" s="14">
        <f>DATE(YEAR(tblTransactions[[#This Row],[date]]),MONTH(tblTransactions[[#This Row],[date]]),1)</f>
        <v>45778</v>
      </c>
      <c r="N2476" t="str">
        <f>IF(WEEKDAY(tblTransactions[[#This Row],[date]],2)&gt;5,"Weekend","Weekday")</f>
        <v>Weekend</v>
      </c>
      <c r="O2476" s="13" t="str">
        <f>IF(tblTransactions[[#This Row],[discount_pct]]=0,"0%",IF(tblTransactions[[#This Row],[discount_pct]]&lt;=10%,"1–
10%",IF(tblTransactions[[#This Row],[discount_pct]]&lt;=20%,"11–20%","&gt;20%")))</f>
        <v>0%</v>
      </c>
      <c r="P2476" s="13" t="str">
        <f>_xlfn.XLOOKUP(tblTransactions[[#This Row],[tenant_id]],tblTenants[tenant_id],tblTenants[zone],"NOT FOUND")</f>
        <v>Beauty &amp; Wellness</v>
      </c>
      <c r="Q2476" s="13" t="str">
        <f>_xlfn.XLOOKUP(tblTransactions[[#This Row],[tenant_id]],tblTenants[tenant_id],tblTenants[category],"NOT FOUND")</f>
        <v>Beauty</v>
      </c>
    </row>
    <row r="2477" spans="1:17">
      <c r="A2477" t="s">
        <v>2521</v>
      </c>
      <c r="B2477" s="2">
        <v>45813</v>
      </c>
      <c r="C2477">
        <v>12</v>
      </c>
      <c r="D2477" t="s">
        <v>31</v>
      </c>
      <c r="E2477" t="s">
        <v>12</v>
      </c>
      <c r="F2477" s="7">
        <v>838.78</v>
      </c>
      <c r="G2477" s="10">
        <v>0.2</v>
      </c>
      <c r="H2477" s="7">
        <v>671.02</v>
      </c>
      <c r="I2477">
        <v>3</v>
      </c>
      <c r="J2477" t="s">
        <v>13</v>
      </c>
      <c r="K2477" s="13">
        <f>ROUND(tblTransactions[[#This Row],[gross_sales_inr]]*(1-tblTransactions[[#This Row],[discount_pct]]),2)</f>
        <v>671.02</v>
      </c>
      <c r="L2477" t="str">
        <f>IF(ABS(tblTransactions[[#This Row],[net_sales_inr]]-tblTransactions[[#This Row],[Recalc_Net_Sales]])&lt;0.02,"OK","CHECK")</f>
        <v>OK</v>
      </c>
      <c r="M2477" s="14">
        <f>DATE(YEAR(tblTransactions[[#This Row],[date]]),MONTH(tblTransactions[[#This Row],[date]]),1)</f>
        <v>45809</v>
      </c>
      <c r="N2477" t="str">
        <f>IF(WEEKDAY(tblTransactions[[#This Row],[date]],2)&gt;5,"Weekend","Weekday")</f>
        <v>Weekday</v>
      </c>
      <c r="O247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77" s="13" t="str">
        <f>_xlfn.XLOOKUP(tblTransactions[[#This Row],[tenant_id]],tblTenants[tenant_id],tblTenants[zone],"NOT FOUND")</f>
        <v>Entertainment</v>
      </c>
      <c r="Q2477" s="13" t="str">
        <f>_xlfn.XLOOKUP(tblTransactions[[#This Row],[tenant_id]],tblTenants[tenant_id],tblTenants[category],"NOT FOUND")</f>
        <v>Arcade</v>
      </c>
    </row>
    <row r="2478" spans="1:17">
      <c r="A2478" t="s">
        <v>2522</v>
      </c>
      <c r="B2478" s="2">
        <v>45702</v>
      </c>
      <c r="C2478">
        <v>11</v>
      </c>
      <c r="D2478" t="s">
        <v>59</v>
      </c>
      <c r="E2478" t="s">
        <v>12</v>
      </c>
      <c r="F2478" s="7">
        <v>1010.29</v>
      </c>
      <c r="G2478" s="10">
        <v>0.05</v>
      </c>
      <c r="H2478" s="7">
        <v>959.78</v>
      </c>
      <c r="I2478">
        <v>2</v>
      </c>
      <c r="J2478" t="s">
        <v>16</v>
      </c>
      <c r="K2478" s="13">
        <f>ROUND(tblTransactions[[#This Row],[gross_sales_inr]]*(1-tblTransactions[[#This Row],[discount_pct]]),2)</f>
        <v>959.78</v>
      </c>
      <c r="L2478" t="str">
        <f>IF(ABS(tblTransactions[[#This Row],[net_sales_inr]]-tblTransactions[[#This Row],[Recalc_Net_Sales]])&lt;0.02,"OK","CHECK")</f>
        <v>OK</v>
      </c>
      <c r="M2478" s="14">
        <f>DATE(YEAR(tblTransactions[[#This Row],[date]]),MONTH(tblTransactions[[#This Row],[date]]),1)</f>
        <v>45689</v>
      </c>
      <c r="N2478" t="str">
        <f>IF(WEEKDAY(tblTransactions[[#This Row],[date]],2)&gt;5,"Weekend","Weekday")</f>
        <v>Weekday</v>
      </c>
      <c r="O247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78" s="13" t="str">
        <f>_xlfn.XLOOKUP(tblTransactions[[#This Row],[tenant_id]],tblTenants[tenant_id],tblTenants[zone],"NOT FOUND")</f>
        <v>Fashion Avenue</v>
      </c>
      <c r="Q2478" s="13" t="str">
        <f>_xlfn.XLOOKUP(tblTransactions[[#This Row],[tenant_id]],tblTenants[tenant_id],tblTenants[category],"NOT FOUND")</f>
        <v>Footwear</v>
      </c>
    </row>
    <row r="2479" spans="1:17">
      <c r="A2479" t="s">
        <v>2523</v>
      </c>
      <c r="B2479" s="2">
        <v>45803</v>
      </c>
      <c r="C2479">
        <v>22</v>
      </c>
      <c r="D2479" t="s">
        <v>87</v>
      </c>
      <c r="E2479" t="s">
        <v>51</v>
      </c>
      <c r="F2479" s="7">
        <v>1097.8</v>
      </c>
      <c r="G2479" s="10">
        <v>0.1</v>
      </c>
      <c r="H2479" s="7">
        <v>988.02</v>
      </c>
      <c r="I2479">
        <v>3</v>
      </c>
      <c r="J2479" t="s">
        <v>13</v>
      </c>
      <c r="K2479" s="13">
        <f>ROUND(tblTransactions[[#This Row],[gross_sales_inr]]*(1-tblTransactions[[#This Row],[discount_pct]]),2)</f>
        <v>988.02</v>
      </c>
      <c r="L2479" t="str">
        <f>IF(ABS(tblTransactions[[#This Row],[net_sales_inr]]-tblTransactions[[#This Row],[Recalc_Net_Sales]])&lt;0.02,"OK","CHECK")</f>
        <v>OK</v>
      </c>
      <c r="M2479" s="14">
        <f>DATE(YEAR(tblTransactions[[#This Row],[date]]),MONTH(tblTransactions[[#This Row],[date]]),1)</f>
        <v>45778</v>
      </c>
      <c r="N2479" t="str">
        <f>IF(WEEKDAY(tblTransactions[[#This Row],[date]],2)&gt;5,"Weekend","Weekday")</f>
        <v>Weekday</v>
      </c>
      <c r="O247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79" s="13" t="str">
        <f>_xlfn.XLOOKUP(tblTransactions[[#This Row],[tenant_id]],tblTenants[tenant_id],tblTenants[zone],"NOT FOUND")</f>
        <v>Fashion Avenue</v>
      </c>
      <c r="Q2479" s="13" t="str">
        <f>_xlfn.XLOOKUP(tblTransactions[[#This Row],[tenant_id]],tblTenants[tenant_id],tblTenants[category],"NOT FOUND")</f>
        <v>Footwear</v>
      </c>
    </row>
    <row r="2480" spans="1:17">
      <c r="A2480" t="s">
        <v>2524</v>
      </c>
      <c r="B2480" s="2">
        <v>45797</v>
      </c>
      <c r="C2480">
        <v>16</v>
      </c>
      <c r="D2480" t="s">
        <v>48</v>
      </c>
      <c r="E2480" t="s">
        <v>12</v>
      </c>
      <c r="F2480" s="7">
        <v>2150.37</v>
      </c>
      <c r="G2480" s="10">
        <v>0.2</v>
      </c>
      <c r="H2480" s="7">
        <v>1720.3</v>
      </c>
      <c r="I2480">
        <v>3</v>
      </c>
      <c r="J2480" t="s">
        <v>13</v>
      </c>
      <c r="K2480" s="13">
        <f>ROUND(tblTransactions[[#This Row],[gross_sales_inr]]*(1-tblTransactions[[#This Row],[discount_pct]]),2)</f>
        <v>1720.3</v>
      </c>
      <c r="L2480" t="str">
        <f>IF(ABS(tblTransactions[[#This Row],[net_sales_inr]]-tblTransactions[[#This Row],[Recalc_Net_Sales]])&lt;0.02,"OK","CHECK")</f>
        <v>OK</v>
      </c>
      <c r="M2480" s="14">
        <f>DATE(YEAR(tblTransactions[[#This Row],[date]]),MONTH(tblTransactions[[#This Row],[date]]),1)</f>
        <v>45778</v>
      </c>
      <c r="N2480" t="str">
        <f>IF(WEEKDAY(tblTransactions[[#This Row],[date]],2)&gt;5,"Weekend","Weekday")</f>
        <v>Weekday</v>
      </c>
      <c r="O248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80" s="13" t="str">
        <f>_xlfn.XLOOKUP(tblTransactions[[#This Row],[tenant_id]],tblTenants[tenant_id],tblTenants[zone],"NOT FOUND")</f>
        <v>Beauty &amp; Wellness</v>
      </c>
      <c r="Q2480" s="13" t="str">
        <f>_xlfn.XLOOKUP(tblTransactions[[#This Row],[tenant_id]],tblTenants[tenant_id],tblTenants[category],"NOT FOUND")</f>
        <v>Wellness</v>
      </c>
    </row>
    <row r="2481" spans="1:17">
      <c r="A2481" t="s">
        <v>2525</v>
      </c>
      <c r="B2481" s="2">
        <v>45733</v>
      </c>
      <c r="C2481">
        <v>14</v>
      </c>
      <c r="D2481" t="s">
        <v>122</v>
      </c>
      <c r="E2481" t="s">
        <v>12</v>
      </c>
      <c r="F2481" s="7">
        <v>817.31</v>
      </c>
      <c r="G2481" s="10">
        <v>0</v>
      </c>
      <c r="H2481" s="7">
        <v>817.31</v>
      </c>
      <c r="I2481">
        <v>1</v>
      </c>
      <c r="J2481" t="s">
        <v>13</v>
      </c>
      <c r="K2481" s="13">
        <f>ROUND(tblTransactions[[#This Row],[gross_sales_inr]]*(1-tblTransactions[[#This Row],[discount_pct]]),2)</f>
        <v>817.31</v>
      </c>
      <c r="L2481" t="str">
        <f>IF(ABS(tblTransactions[[#This Row],[net_sales_inr]]-tblTransactions[[#This Row],[Recalc_Net_Sales]])&lt;0.02,"OK","CHECK")</f>
        <v>OK</v>
      </c>
      <c r="M2481" s="14">
        <f>DATE(YEAR(tblTransactions[[#This Row],[date]]),MONTH(tblTransactions[[#This Row],[date]]),1)</f>
        <v>45717</v>
      </c>
      <c r="N2481" t="str">
        <f>IF(WEEKDAY(tblTransactions[[#This Row],[date]],2)&gt;5,"Weekend","Weekday")</f>
        <v>Weekday</v>
      </c>
      <c r="O2481" s="13" t="str">
        <f>IF(tblTransactions[[#This Row],[discount_pct]]=0,"0%",IF(tblTransactions[[#This Row],[discount_pct]]&lt;=10%,"1–
10%",IF(tblTransactions[[#This Row],[discount_pct]]&lt;=20%,"11–20%","&gt;20%")))</f>
        <v>0%</v>
      </c>
      <c r="P2481" s="13" t="str">
        <f>_xlfn.XLOOKUP(tblTransactions[[#This Row],[tenant_id]],tblTenants[tenant_id],tblTenants[zone],"NOT FOUND")</f>
        <v>Beauty &amp; Wellness</v>
      </c>
      <c r="Q2481" s="13" t="str">
        <f>_xlfn.XLOOKUP(tblTransactions[[#This Row],[tenant_id]],tblTenants[tenant_id],tblTenants[category],"NOT FOUND")</f>
        <v>Wellness</v>
      </c>
    </row>
    <row r="2482" spans="1:17">
      <c r="A2482" t="s">
        <v>2526</v>
      </c>
      <c r="B2482" s="2">
        <v>45686</v>
      </c>
      <c r="C2482">
        <v>22</v>
      </c>
      <c r="D2482" t="s">
        <v>45</v>
      </c>
      <c r="E2482" t="s">
        <v>12</v>
      </c>
      <c r="F2482" s="7">
        <v>1070.4000000000001</v>
      </c>
      <c r="G2482" s="10">
        <v>0</v>
      </c>
      <c r="H2482" s="7">
        <v>1070.4000000000001</v>
      </c>
      <c r="I2482">
        <v>2</v>
      </c>
      <c r="J2482" t="s">
        <v>16</v>
      </c>
      <c r="K2482" s="13">
        <f>ROUND(tblTransactions[[#This Row],[gross_sales_inr]]*(1-tblTransactions[[#This Row],[discount_pct]]),2)</f>
        <v>1070.4000000000001</v>
      </c>
      <c r="L2482" t="str">
        <f>IF(ABS(tblTransactions[[#This Row],[net_sales_inr]]-tblTransactions[[#This Row],[Recalc_Net_Sales]])&lt;0.02,"OK","CHECK")</f>
        <v>OK</v>
      </c>
      <c r="M2482" s="14">
        <f>DATE(YEAR(tblTransactions[[#This Row],[date]]),MONTH(tblTransactions[[#This Row],[date]]),1)</f>
        <v>45658</v>
      </c>
      <c r="N2482" t="str">
        <f>IF(WEEKDAY(tblTransactions[[#This Row],[date]],2)&gt;5,"Weekend","Weekday")</f>
        <v>Weekday</v>
      </c>
      <c r="O2482" s="13" t="str">
        <f>IF(tblTransactions[[#This Row],[discount_pct]]=0,"0%",IF(tblTransactions[[#This Row],[discount_pct]]&lt;=10%,"1–
10%",IF(tblTransactions[[#This Row],[discount_pct]]&lt;=20%,"11–20%","&gt;20%")))</f>
        <v>0%</v>
      </c>
      <c r="P2482" s="13" t="str">
        <f>_xlfn.XLOOKUP(tblTransactions[[#This Row],[tenant_id]],tblTenants[tenant_id],tblTenants[zone],"NOT FOUND")</f>
        <v>Home &amp; Living</v>
      </c>
      <c r="Q2482" s="13" t="str">
        <f>_xlfn.XLOOKUP(tblTransactions[[#This Row],[tenant_id]],tblTenants[tenant_id],tblTenants[category],"NOT FOUND")</f>
        <v>Home Decor</v>
      </c>
    </row>
    <row r="2483" spans="1:17">
      <c r="A2483" t="s">
        <v>2527</v>
      </c>
      <c r="B2483" s="2">
        <v>45775</v>
      </c>
      <c r="C2483">
        <v>18</v>
      </c>
      <c r="D2483" t="s">
        <v>53</v>
      </c>
      <c r="E2483" t="s">
        <v>32</v>
      </c>
      <c r="F2483" s="7">
        <v>2380.33</v>
      </c>
      <c r="G2483" s="10">
        <v>0</v>
      </c>
      <c r="H2483" s="7">
        <v>2380.33</v>
      </c>
      <c r="I2483">
        <v>4</v>
      </c>
      <c r="J2483" t="s">
        <v>13</v>
      </c>
      <c r="K2483" s="13">
        <f>ROUND(tblTransactions[[#This Row],[gross_sales_inr]]*(1-tblTransactions[[#This Row],[discount_pct]]),2)</f>
        <v>2380.33</v>
      </c>
      <c r="L2483" t="str">
        <f>IF(ABS(tblTransactions[[#This Row],[net_sales_inr]]-tblTransactions[[#This Row],[Recalc_Net_Sales]])&lt;0.02,"OK","CHECK")</f>
        <v>OK</v>
      </c>
      <c r="M2483" s="14">
        <f>DATE(YEAR(tblTransactions[[#This Row],[date]]),MONTH(tblTransactions[[#This Row],[date]]),1)</f>
        <v>45748</v>
      </c>
      <c r="N2483" t="str">
        <f>IF(WEEKDAY(tblTransactions[[#This Row],[date]],2)&gt;5,"Weekend","Weekday")</f>
        <v>Weekday</v>
      </c>
      <c r="O2483" s="13" t="str">
        <f>IF(tblTransactions[[#This Row],[discount_pct]]=0,"0%",IF(tblTransactions[[#This Row],[discount_pct]]&lt;=10%,"1–
10%",IF(tblTransactions[[#This Row],[discount_pct]]&lt;=20%,"11–20%","&gt;20%")))</f>
        <v>0%</v>
      </c>
      <c r="P2483" s="13" t="str">
        <f>_xlfn.XLOOKUP(tblTransactions[[#This Row],[tenant_id]],tblTenants[tenant_id],tblTenants[zone],"NOT FOUND")</f>
        <v>Beauty &amp; Wellness</v>
      </c>
      <c r="Q2483" s="13" t="str">
        <f>_xlfn.XLOOKUP(tblTransactions[[#This Row],[tenant_id]],tblTenants[tenant_id],tblTenants[category],"NOT FOUND")</f>
        <v>Beauty</v>
      </c>
    </row>
    <row r="2484" spans="1:17">
      <c r="A2484" t="s">
        <v>2528</v>
      </c>
      <c r="B2484" s="2">
        <v>45722</v>
      </c>
      <c r="C2484">
        <v>11</v>
      </c>
      <c r="D2484" t="s">
        <v>85</v>
      </c>
      <c r="E2484" t="s">
        <v>12</v>
      </c>
      <c r="F2484" s="7">
        <v>1437.74</v>
      </c>
      <c r="G2484" s="10">
        <v>0</v>
      </c>
      <c r="H2484" s="7">
        <v>1437.74</v>
      </c>
      <c r="I2484">
        <v>1</v>
      </c>
      <c r="J2484" t="s">
        <v>16</v>
      </c>
      <c r="K2484" s="13">
        <f>ROUND(tblTransactions[[#This Row],[gross_sales_inr]]*(1-tblTransactions[[#This Row],[discount_pct]]),2)</f>
        <v>1437.74</v>
      </c>
      <c r="L2484" t="str">
        <f>IF(ABS(tblTransactions[[#This Row],[net_sales_inr]]-tblTransactions[[#This Row],[Recalc_Net_Sales]])&lt;0.02,"OK","CHECK")</f>
        <v>OK</v>
      </c>
      <c r="M2484" s="14">
        <f>DATE(YEAR(tblTransactions[[#This Row],[date]]),MONTH(tblTransactions[[#This Row],[date]]),1)</f>
        <v>45717</v>
      </c>
      <c r="N2484" t="str">
        <f>IF(WEEKDAY(tblTransactions[[#This Row],[date]],2)&gt;5,"Weekend","Weekday")</f>
        <v>Weekday</v>
      </c>
      <c r="O2484" s="13" t="str">
        <f>IF(tblTransactions[[#This Row],[discount_pct]]=0,"0%",IF(tblTransactions[[#This Row],[discount_pct]]&lt;=10%,"1–
10%",IF(tblTransactions[[#This Row],[discount_pct]]&lt;=20%,"11–20%","&gt;20%")))</f>
        <v>0%</v>
      </c>
      <c r="P2484" s="13" t="str">
        <f>_xlfn.XLOOKUP(tblTransactions[[#This Row],[tenant_id]],tblTenants[tenant_id],tblTenants[zone],"NOT FOUND")</f>
        <v>Home &amp; Living</v>
      </c>
      <c r="Q2484" s="13" t="str">
        <f>_xlfn.XLOOKUP(tblTransactions[[#This Row],[tenant_id]],tblTenants[tenant_id],tblTenants[category],"NOT FOUND")</f>
        <v>Electronics</v>
      </c>
    </row>
    <row r="2485" spans="1:17">
      <c r="A2485" t="s">
        <v>2529</v>
      </c>
      <c r="B2485" s="2">
        <v>45699</v>
      </c>
      <c r="C2485">
        <v>14</v>
      </c>
      <c r="D2485" t="s">
        <v>36</v>
      </c>
      <c r="E2485" t="s">
        <v>12</v>
      </c>
      <c r="F2485" s="7">
        <v>383.09</v>
      </c>
      <c r="G2485" s="10">
        <v>0.1</v>
      </c>
      <c r="H2485" s="7">
        <v>344.78</v>
      </c>
      <c r="I2485">
        <v>2</v>
      </c>
      <c r="J2485" t="s">
        <v>16</v>
      </c>
      <c r="K2485" s="13">
        <f>ROUND(tblTransactions[[#This Row],[gross_sales_inr]]*(1-tblTransactions[[#This Row],[discount_pct]]),2)</f>
        <v>344.78</v>
      </c>
      <c r="L2485" t="str">
        <f>IF(ABS(tblTransactions[[#This Row],[net_sales_inr]]-tblTransactions[[#This Row],[Recalc_Net_Sales]])&lt;0.02,"OK","CHECK")</f>
        <v>OK</v>
      </c>
      <c r="M2485" s="14">
        <f>DATE(YEAR(tblTransactions[[#This Row],[date]]),MONTH(tblTransactions[[#This Row],[date]]),1)</f>
        <v>45689</v>
      </c>
      <c r="N2485" t="str">
        <f>IF(WEEKDAY(tblTransactions[[#This Row],[date]],2)&gt;5,"Weekend","Weekday")</f>
        <v>Weekday</v>
      </c>
      <c r="O248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485" s="13" t="str">
        <f>_xlfn.XLOOKUP(tblTransactions[[#This Row],[tenant_id]],tblTenants[tenant_id],tblTenants[zone],"NOT FOUND")</f>
        <v>Home &amp; Living</v>
      </c>
      <c r="Q2485" s="13" t="str">
        <f>_xlfn.XLOOKUP(tblTransactions[[#This Row],[tenant_id]],tblTenants[tenant_id],tblTenants[category],"NOT FOUND")</f>
        <v>Electronics</v>
      </c>
    </row>
    <row r="2486" spans="1:17">
      <c r="A2486" t="s">
        <v>2530</v>
      </c>
      <c r="B2486" s="2">
        <v>45793</v>
      </c>
      <c r="C2486">
        <v>12</v>
      </c>
      <c r="D2486" t="s">
        <v>20</v>
      </c>
      <c r="E2486" t="s">
        <v>51</v>
      </c>
      <c r="F2486" s="7">
        <v>1007.95</v>
      </c>
      <c r="G2486" s="10">
        <v>0</v>
      </c>
      <c r="H2486" s="7">
        <v>1007.95</v>
      </c>
      <c r="I2486">
        <v>2</v>
      </c>
      <c r="J2486" t="s">
        <v>13</v>
      </c>
      <c r="K2486" s="13">
        <f>ROUND(tblTransactions[[#This Row],[gross_sales_inr]]*(1-tblTransactions[[#This Row],[discount_pct]]),2)</f>
        <v>1007.95</v>
      </c>
      <c r="L2486" t="str">
        <f>IF(ABS(tblTransactions[[#This Row],[net_sales_inr]]-tblTransactions[[#This Row],[Recalc_Net_Sales]])&lt;0.02,"OK","CHECK")</f>
        <v>OK</v>
      </c>
      <c r="M2486" s="14">
        <f>DATE(YEAR(tblTransactions[[#This Row],[date]]),MONTH(tblTransactions[[#This Row],[date]]),1)</f>
        <v>45778</v>
      </c>
      <c r="N2486" t="str">
        <f>IF(WEEKDAY(tblTransactions[[#This Row],[date]],2)&gt;5,"Weekend","Weekday")</f>
        <v>Weekday</v>
      </c>
      <c r="O2486" s="13" t="str">
        <f>IF(tblTransactions[[#This Row],[discount_pct]]=0,"0%",IF(tblTransactions[[#This Row],[discount_pct]]&lt;=10%,"1–
10%",IF(tblTransactions[[#This Row],[discount_pct]]&lt;=20%,"11–20%","&gt;20%")))</f>
        <v>0%</v>
      </c>
      <c r="P2486" s="13" t="str">
        <f>_xlfn.XLOOKUP(tblTransactions[[#This Row],[tenant_id]],tblTenants[tenant_id],tblTenants[zone],"NOT FOUND")</f>
        <v>Fashion Avenue</v>
      </c>
      <c r="Q2486" s="13" t="str">
        <f>_xlfn.XLOOKUP(tblTransactions[[#This Row],[tenant_id]],tblTenants[tenant_id],tblTenants[category],"NOT FOUND")</f>
        <v>Accessories</v>
      </c>
    </row>
    <row r="2487" spans="1:17">
      <c r="A2487" t="s">
        <v>2531</v>
      </c>
      <c r="B2487" s="2">
        <v>45704</v>
      </c>
      <c r="C2487">
        <v>10</v>
      </c>
      <c r="D2487" t="s">
        <v>43</v>
      </c>
      <c r="E2487" t="s">
        <v>51</v>
      </c>
      <c r="F2487" s="7">
        <v>1776.24</v>
      </c>
      <c r="G2487" s="10">
        <v>0</v>
      </c>
      <c r="H2487" s="7">
        <v>1776.24</v>
      </c>
      <c r="I2487">
        <v>1</v>
      </c>
      <c r="J2487" t="s">
        <v>16</v>
      </c>
      <c r="K2487" s="13">
        <f>ROUND(tblTransactions[[#This Row],[gross_sales_inr]]*(1-tblTransactions[[#This Row],[discount_pct]]),2)</f>
        <v>1776.24</v>
      </c>
      <c r="L2487" t="str">
        <f>IF(ABS(tblTransactions[[#This Row],[net_sales_inr]]-tblTransactions[[#This Row],[Recalc_Net_Sales]])&lt;0.02,"OK","CHECK")</f>
        <v>OK</v>
      </c>
      <c r="M2487" s="14">
        <f>DATE(YEAR(tblTransactions[[#This Row],[date]]),MONTH(tblTransactions[[#This Row],[date]]),1)</f>
        <v>45689</v>
      </c>
      <c r="N2487" t="str">
        <f>IF(WEEKDAY(tblTransactions[[#This Row],[date]],2)&gt;5,"Weekend","Weekday")</f>
        <v>Weekend</v>
      </c>
      <c r="O2487" s="13" t="str">
        <f>IF(tblTransactions[[#This Row],[discount_pct]]=0,"0%",IF(tblTransactions[[#This Row],[discount_pct]]&lt;=10%,"1–
10%",IF(tblTransactions[[#This Row],[discount_pct]]&lt;=20%,"11–20%","&gt;20%")))</f>
        <v>0%</v>
      </c>
      <c r="P2487" s="13" t="str">
        <f>_xlfn.XLOOKUP(tblTransactions[[#This Row],[tenant_id]],tblTenants[tenant_id],tblTenants[zone],"NOT FOUND")</f>
        <v>Food Court</v>
      </c>
      <c r="Q2487" s="13" t="str">
        <f>_xlfn.XLOOKUP(tblTransactions[[#This Row],[tenant_id]],tblTenants[tenant_id],tblTenants[category],"NOT FOUND")</f>
        <v>Casual Dining</v>
      </c>
    </row>
    <row r="2488" spans="1:17">
      <c r="A2488" t="s">
        <v>2532</v>
      </c>
      <c r="B2488" s="2">
        <v>45696</v>
      </c>
      <c r="C2488">
        <v>15</v>
      </c>
      <c r="D2488" t="s">
        <v>53</v>
      </c>
      <c r="E2488" t="s">
        <v>32</v>
      </c>
      <c r="F2488" s="7">
        <v>745.01</v>
      </c>
      <c r="G2488" s="10">
        <v>0</v>
      </c>
      <c r="H2488" s="7">
        <v>745.01</v>
      </c>
      <c r="I2488">
        <v>5</v>
      </c>
      <c r="J2488" t="s">
        <v>16</v>
      </c>
      <c r="K2488" s="13">
        <f>ROUND(tblTransactions[[#This Row],[gross_sales_inr]]*(1-tblTransactions[[#This Row],[discount_pct]]),2)</f>
        <v>745.01</v>
      </c>
      <c r="L2488" t="str">
        <f>IF(ABS(tblTransactions[[#This Row],[net_sales_inr]]-tblTransactions[[#This Row],[Recalc_Net_Sales]])&lt;0.02,"OK","CHECK")</f>
        <v>OK</v>
      </c>
      <c r="M2488" s="14">
        <f>DATE(YEAR(tblTransactions[[#This Row],[date]]),MONTH(tblTransactions[[#This Row],[date]]),1)</f>
        <v>45689</v>
      </c>
      <c r="N2488" t="str">
        <f>IF(WEEKDAY(tblTransactions[[#This Row],[date]],2)&gt;5,"Weekend","Weekday")</f>
        <v>Weekend</v>
      </c>
      <c r="O2488" s="13" t="str">
        <f>IF(tblTransactions[[#This Row],[discount_pct]]=0,"0%",IF(tblTransactions[[#This Row],[discount_pct]]&lt;=10%,"1–
10%",IF(tblTransactions[[#This Row],[discount_pct]]&lt;=20%,"11–20%","&gt;20%")))</f>
        <v>0%</v>
      </c>
      <c r="P2488" s="13" t="str">
        <f>_xlfn.XLOOKUP(tblTransactions[[#This Row],[tenant_id]],tblTenants[tenant_id],tblTenants[zone],"NOT FOUND")</f>
        <v>Beauty &amp; Wellness</v>
      </c>
      <c r="Q2488" s="13" t="str">
        <f>_xlfn.XLOOKUP(tblTransactions[[#This Row],[tenant_id]],tblTenants[tenant_id],tblTenants[category],"NOT FOUND")</f>
        <v>Beauty</v>
      </c>
    </row>
    <row r="2489" spans="1:17">
      <c r="A2489" t="s">
        <v>2533</v>
      </c>
      <c r="B2489" s="2">
        <v>45772</v>
      </c>
      <c r="C2489">
        <v>20</v>
      </c>
      <c r="D2489" t="s">
        <v>57</v>
      </c>
      <c r="E2489" t="s">
        <v>21</v>
      </c>
      <c r="F2489" s="7">
        <v>1252.44</v>
      </c>
      <c r="G2489" s="10">
        <v>0.15</v>
      </c>
      <c r="H2489" s="7">
        <v>1064.57</v>
      </c>
      <c r="I2489">
        <v>4</v>
      </c>
      <c r="J2489" t="s">
        <v>13</v>
      </c>
      <c r="K2489" s="13">
        <f>ROUND(tblTransactions[[#This Row],[gross_sales_inr]]*(1-tblTransactions[[#This Row],[discount_pct]]),2)</f>
        <v>1064.57</v>
      </c>
      <c r="L2489" t="str">
        <f>IF(ABS(tblTransactions[[#This Row],[net_sales_inr]]-tblTransactions[[#This Row],[Recalc_Net_Sales]])&lt;0.02,"OK","CHECK")</f>
        <v>OK</v>
      </c>
      <c r="M2489" s="14">
        <f>DATE(YEAR(tblTransactions[[#This Row],[date]]),MONTH(tblTransactions[[#This Row],[date]]),1)</f>
        <v>45748</v>
      </c>
      <c r="N2489" t="str">
        <f>IF(WEEKDAY(tblTransactions[[#This Row],[date]],2)&gt;5,"Weekend","Weekday")</f>
        <v>Weekday</v>
      </c>
      <c r="O248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89" s="13" t="str">
        <f>_xlfn.XLOOKUP(tblTransactions[[#This Row],[tenant_id]],tblTenants[tenant_id],tblTenants[zone],"NOT FOUND")</f>
        <v>Food Court</v>
      </c>
      <c r="Q2489" s="13" t="str">
        <f>_xlfn.XLOOKUP(tblTransactions[[#This Row],[tenant_id]],tblTenants[tenant_id],tblTenants[category],"NOT FOUND")</f>
        <v>Casual Dining</v>
      </c>
    </row>
    <row r="2490" spans="1:17">
      <c r="A2490" t="s">
        <v>2534</v>
      </c>
      <c r="B2490" s="2">
        <v>45836</v>
      </c>
      <c r="C2490">
        <v>18</v>
      </c>
      <c r="D2490" t="s">
        <v>80</v>
      </c>
      <c r="E2490" t="s">
        <v>32</v>
      </c>
      <c r="F2490" s="7">
        <v>1260.8800000000001</v>
      </c>
      <c r="G2490" s="10">
        <v>0</v>
      </c>
      <c r="H2490" s="7">
        <v>1260.8800000000001</v>
      </c>
      <c r="I2490">
        <v>1</v>
      </c>
      <c r="J2490" t="s">
        <v>13</v>
      </c>
      <c r="K2490" s="13">
        <f>ROUND(tblTransactions[[#This Row],[gross_sales_inr]]*(1-tblTransactions[[#This Row],[discount_pct]]),2)</f>
        <v>1260.8800000000001</v>
      </c>
      <c r="L2490" t="str">
        <f>IF(ABS(tblTransactions[[#This Row],[net_sales_inr]]-tblTransactions[[#This Row],[Recalc_Net_Sales]])&lt;0.02,"OK","CHECK")</f>
        <v>OK</v>
      </c>
      <c r="M2490" s="14">
        <f>DATE(YEAR(tblTransactions[[#This Row],[date]]),MONTH(tblTransactions[[#This Row],[date]]),1)</f>
        <v>45809</v>
      </c>
      <c r="N2490" t="str">
        <f>IF(WEEKDAY(tblTransactions[[#This Row],[date]],2)&gt;5,"Weekend","Weekday")</f>
        <v>Weekend</v>
      </c>
      <c r="O2490" s="13" t="str">
        <f>IF(tblTransactions[[#This Row],[discount_pct]]=0,"0%",IF(tblTransactions[[#This Row],[discount_pct]]&lt;=10%,"1–
10%",IF(tblTransactions[[#This Row],[discount_pct]]&lt;=20%,"11–20%","&gt;20%")))</f>
        <v>0%</v>
      </c>
      <c r="P2490" s="13" t="str">
        <f>_xlfn.XLOOKUP(tblTransactions[[#This Row],[tenant_id]],tblTenants[tenant_id],tblTenants[zone],"NOT FOUND")</f>
        <v>Food Court</v>
      </c>
      <c r="Q2490" s="13" t="str">
        <f>_xlfn.XLOOKUP(tblTransactions[[#This Row],[tenant_id]],tblTenants[tenant_id],tblTenants[category],"NOT FOUND")</f>
        <v>Casual Dining</v>
      </c>
    </row>
    <row r="2491" spans="1:17">
      <c r="A2491" t="s">
        <v>2535</v>
      </c>
      <c r="B2491" s="2">
        <v>45719</v>
      </c>
      <c r="C2491">
        <v>19</v>
      </c>
      <c r="D2491" t="s">
        <v>43</v>
      </c>
      <c r="E2491" t="s">
        <v>32</v>
      </c>
      <c r="F2491" s="7">
        <v>1737.9</v>
      </c>
      <c r="G2491" s="10">
        <v>0</v>
      </c>
      <c r="H2491" s="7">
        <v>1737.9</v>
      </c>
      <c r="I2491">
        <v>3</v>
      </c>
      <c r="J2491" t="s">
        <v>13</v>
      </c>
      <c r="K2491" s="13">
        <f>ROUND(tblTransactions[[#This Row],[gross_sales_inr]]*(1-tblTransactions[[#This Row],[discount_pct]]),2)</f>
        <v>1737.9</v>
      </c>
      <c r="L2491" t="str">
        <f>IF(ABS(tblTransactions[[#This Row],[net_sales_inr]]-tblTransactions[[#This Row],[Recalc_Net_Sales]])&lt;0.02,"OK","CHECK")</f>
        <v>OK</v>
      </c>
      <c r="M2491" s="14">
        <f>DATE(YEAR(tblTransactions[[#This Row],[date]]),MONTH(tblTransactions[[#This Row],[date]]),1)</f>
        <v>45717</v>
      </c>
      <c r="N2491" t="str">
        <f>IF(WEEKDAY(tblTransactions[[#This Row],[date]],2)&gt;5,"Weekend","Weekday")</f>
        <v>Weekday</v>
      </c>
      <c r="O2491" s="13" t="str">
        <f>IF(tblTransactions[[#This Row],[discount_pct]]=0,"0%",IF(tblTransactions[[#This Row],[discount_pct]]&lt;=10%,"1–
10%",IF(tblTransactions[[#This Row],[discount_pct]]&lt;=20%,"11–20%","&gt;20%")))</f>
        <v>0%</v>
      </c>
      <c r="P2491" s="13" t="str">
        <f>_xlfn.XLOOKUP(tblTransactions[[#This Row],[tenant_id]],tblTenants[tenant_id],tblTenants[zone],"NOT FOUND")</f>
        <v>Food Court</v>
      </c>
      <c r="Q2491" s="13" t="str">
        <f>_xlfn.XLOOKUP(tblTransactions[[#This Row],[tenant_id]],tblTenants[tenant_id],tblTenants[category],"NOT FOUND")</f>
        <v>Casual Dining</v>
      </c>
    </row>
    <row r="2492" spans="1:17">
      <c r="A2492" t="s">
        <v>2536</v>
      </c>
      <c r="B2492" s="2">
        <v>45771</v>
      </c>
      <c r="C2492">
        <v>17</v>
      </c>
      <c r="D2492" t="s">
        <v>45</v>
      </c>
      <c r="E2492" t="s">
        <v>32</v>
      </c>
      <c r="F2492" s="7">
        <v>645.35</v>
      </c>
      <c r="G2492" s="10">
        <v>0</v>
      </c>
      <c r="H2492" s="7">
        <v>645.35</v>
      </c>
      <c r="I2492">
        <v>4</v>
      </c>
      <c r="J2492" t="s">
        <v>13</v>
      </c>
      <c r="K2492" s="13">
        <f>ROUND(tblTransactions[[#This Row],[gross_sales_inr]]*(1-tblTransactions[[#This Row],[discount_pct]]),2)</f>
        <v>645.35</v>
      </c>
      <c r="L2492" t="str">
        <f>IF(ABS(tblTransactions[[#This Row],[net_sales_inr]]-tblTransactions[[#This Row],[Recalc_Net_Sales]])&lt;0.02,"OK","CHECK")</f>
        <v>OK</v>
      </c>
      <c r="M2492" s="14">
        <f>DATE(YEAR(tblTransactions[[#This Row],[date]]),MONTH(tblTransactions[[#This Row],[date]]),1)</f>
        <v>45748</v>
      </c>
      <c r="N2492" t="str">
        <f>IF(WEEKDAY(tblTransactions[[#This Row],[date]],2)&gt;5,"Weekend","Weekday")</f>
        <v>Weekday</v>
      </c>
      <c r="O2492" s="13" t="str">
        <f>IF(tblTransactions[[#This Row],[discount_pct]]=0,"0%",IF(tblTransactions[[#This Row],[discount_pct]]&lt;=10%,"1–
10%",IF(tblTransactions[[#This Row],[discount_pct]]&lt;=20%,"11–20%","&gt;20%")))</f>
        <v>0%</v>
      </c>
      <c r="P2492" s="13" t="str">
        <f>_xlfn.XLOOKUP(tblTransactions[[#This Row],[tenant_id]],tblTenants[tenant_id],tblTenants[zone],"NOT FOUND")</f>
        <v>Home &amp; Living</v>
      </c>
      <c r="Q2492" s="13" t="str">
        <f>_xlfn.XLOOKUP(tblTransactions[[#This Row],[tenant_id]],tblTenants[tenant_id],tblTenants[category],"NOT FOUND")</f>
        <v>Home Decor</v>
      </c>
    </row>
    <row r="2493" spans="1:17">
      <c r="A2493" t="s">
        <v>2537</v>
      </c>
      <c r="B2493" s="2">
        <v>45832</v>
      </c>
      <c r="C2493">
        <v>19</v>
      </c>
      <c r="D2493" t="s">
        <v>98</v>
      </c>
      <c r="E2493" t="s">
        <v>21</v>
      </c>
      <c r="F2493" s="7">
        <v>934.28</v>
      </c>
      <c r="G2493" s="10">
        <v>0.2</v>
      </c>
      <c r="H2493" s="7">
        <v>747.42</v>
      </c>
      <c r="I2493">
        <v>2</v>
      </c>
      <c r="J2493" t="s">
        <v>16</v>
      </c>
      <c r="K2493" s="13">
        <f>ROUND(tblTransactions[[#This Row],[gross_sales_inr]]*(1-tblTransactions[[#This Row],[discount_pct]]),2)</f>
        <v>747.42</v>
      </c>
      <c r="L2493" t="str">
        <f>IF(ABS(tblTransactions[[#This Row],[net_sales_inr]]-tblTransactions[[#This Row],[Recalc_Net_Sales]])&lt;0.02,"OK","CHECK")</f>
        <v>OK</v>
      </c>
      <c r="M2493" s="14">
        <f>DATE(YEAR(tblTransactions[[#This Row],[date]]),MONTH(tblTransactions[[#This Row],[date]]),1)</f>
        <v>45809</v>
      </c>
      <c r="N2493" t="str">
        <f>IF(WEEKDAY(tblTransactions[[#This Row],[date]],2)&gt;5,"Weekend","Weekday")</f>
        <v>Weekday</v>
      </c>
      <c r="O249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93" s="13" t="str">
        <f>_xlfn.XLOOKUP(tblTransactions[[#This Row],[tenant_id]],tblTenants[tenant_id],tblTenants[zone],"NOT FOUND")</f>
        <v>Fashion Avenue</v>
      </c>
      <c r="Q2493" s="13" t="str">
        <f>_xlfn.XLOOKUP(tblTransactions[[#This Row],[tenant_id]],tblTenants[tenant_id],tblTenants[category],"NOT FOUND")</f>
        <v>Accessories</v>
      </c>
    </row>
    <row r="2494" spans="1:17">
      <c r="A2494" t="s">
        <v>2538</v>
      </c>
      <c r="B2494" s="2">
        <v>45662</v>
      </c>
      <c r="C2494">
        <v>10</v>
      </c>
      <c r="D2494" t="s">
        <v>61</v>
      </c>
      <c r="E2494" t="s">
        <v>12</v>
      </c>
      <c r="F2494" s="7">
        <v>367.56</v>
      </c>
      <c r="G2494" s="10">
        <v>0.15</v>
      </c>
      <c r="H2494" s="7">
        <v>312.43</v>
      </c>
      <c r="I2494">
        <v>1</v>
      </c>
      <c r="J2494" t="s">
        <v>13</v>
      </c>
      <c r="K2494" s="13">
        <f>ROUND(tblTransactions[[#This Row],[gross_sales_inr]]*(1-tblTransactions[[#This Row],[discount_pct]]),2)</f>
        <v>312.43</v>
      </c>
      <c r="L2494" t="str">
        <f>IF(ABS(tblTransactions[[#This Row],[net_sales_inr]]-tblTransactions[[#This Row],[Recalc_Net_Sales]])&lt;0.02,"OK","CHECK")</f>
        <v>OK</v>
      </c>
      <c r="M2494" s="14">
        <f>DATE(YEAR(tblTransactions[[#This Row],[date]]),MONTH(tblTransactions[[#This Row],[date]]),1)</f>
        <v>45658</v>
      </c>
      <c r="N2494" t="str">
        <f>IF(WEEKDAY(tblTransactions[[#This Row],[date]],2)&gt;5,"Weekend","Weekday")</f>
        <v>Weekend</v>
      </c>
      <c r="O249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94" s="13" t="str">
        <f>_xlfn.XLOOKUP(tblTransactions[[#This Row],[tenant_id]],tblTenants[tenant_id],tblTenants[zone],"NOT FOUND")</f>
        <v>Food Court</v>
      </c>
      <c r="Q2494" s="13" t="str">
        <f>_xlfn.XLOOKUP(tblTransactions[[#This Row],[tenant_id]],tblTenants[tenant_id],tblTenants[category],"NOT FOUND")</f>
        <v>Quick Service</v>
      </c>
    </row>
    <row r="2495" spans="1:17">
      <c r="A2495" t="s">
        <v>2539</v>
      </c>
      <c r="B2495" s="2">
        <v>45810</v>
      </c>
      <c r="C2495">
        <v>20</v>
      </c>
      <c r="D2495" t="s">
        <v>41</v>
      </c>
      <c r="E2495" t="s">
        <v>12</v>
      </c>
      <c r="F2495" s="7">
        <v>1035.03</v>
      </c>
      <c r="G2495" s="10">
        <v>0</v>
      </c>
      <c r="H2495" s="7">
        <v>1035.03</v>
      </c>
      <c r="I2495">
        <v>2</v>
      </c>
      <c r="J2495" t="s">
        <v>13</v>
      </c>
      <c r="K2495" s="13">
        <f>ROUND(tblTransactions[[#This Row],[gross_sales_inr]]*(1-tblTransactions[[#This Row],[discount_pct]]),2)</f>
        <v>1035.03</v>
      </c>
      <c r="L2495" t="str">
        <f>IF(ABS(tblTransactions[[#This Row],[net_sales_inr]]-tblTransactions[[#This Row],[Recalc_Net_Sales]])&lt;0.02,"OK","CHECK")</f>
        <v>OK</v>
      </c>
      <c r="M2495" s="14">
        <f>DATE(YEAR(tblTransactions[[#This Row],[date]]),MONTH(tblTransactions[[#This Row],[date]]),1)</f>
        <v>45809</v>
      </c>
      <c r="N2495" t="str">
        <f>IF(WEEKDAY(tblTransactions[[#This Row],[date]],2)&gt;5,"Weekend","Weekday")</f>
        <v>Weekday</v>
      </c>
      <c r="O2495" s="13" t="str">
        <f>IF(tblTransactions[[#This Row],[discount_pct]]=0,"0%",IF(tblTransactions[[#This Row],[discount_pct]]&lt;=10%,"1–
10%",IF(tblTransactions[[#This Row],[discount_pct]]&lt;=20%,"11–20%","&gt;20%")))</f>
        <v>0%</v>
      </c>
      <c r="P2495" s="13" t="str">
        <f>_xlfn.XLOOKUP(tblTransactions[[#This Row],[tenant_id]],tblTenants[tenant_id],tblTenants[zone],"NOT FOUND")</f>
        <v>Fashion Avenue</v>
      </c>
      <c r="Q2495" s="13" t="str">
        <f>_xlfn.XLOOKUP(tblTransactions[[#This Row],[tenant_id]],tblTenants[tenant_id],tblTenants[category],"NOT FOUND")</f>
        <v>Clothing</v>
      </c>
    </row>
    <row r="2496" spans="1:17">
      <c r="A2496" t="s">
        <v>2540</v>
      </c>
      <c r="B2496" s="2">
        <v>45698</v>
      </c>
      <c r="C2496">
        <v>16</v>
      </c>
      <c r="D2496" t="s">
        <v>18</v>
      </c>
      <c r="E2496" t="s">
        <v>12</v>
      </c>
      <c r="F2496" s="7">
        <v>596.77</v>
      </c>
      <c r="G2496" s="10">
        <v>0</v>
      </c>
      <c r="H2496" s="7">
        <v>596.77</v>
      </c>
      <c r="I2496">
        <v>1</v>
      </c>
      <c r="J2496" t="s">
        <v>13</v>
      </c>
      <c r="K2496" s="13">
        <f>ROUND(tblTransactions[[#This Row],[gross_sales_inr]]*(1-tblTransactions[[#This Row],[discount_pct]]),2)</f>
        <v>596.77</v>
      </c>
      <c r="L2496" t="str">
        <f>IF(ABS(tblTransactions[[#This Row],[net_sales_inr]]-tblTransactions[[#This Row],[Recalc_Net_Sales]])&lt;0.02,"OK","CHECK")</f>
        <v>OK</v>
      </c>
      <c r="M2496" s="14">
        <f>DATE(YEAR(tblTransactions[[#This Row],[date]]),MONTH(tblTransactions[[#This Row],[date]]),1)</f>
        <v>45689</v>
      </c>
      <c r="N2496" t="str">
        <f>IF(WEEKDAY(tblTransactions[[#This Row],[date]],2)&gt;5,"Weekend","Weekday")</f>
        <v>Weekday</v>
      </c>
      <c r="O2496" s="13" t="str">
        <f>IF(tblTransactions[[#This Row],[discount_pct]]=0,"0%",IF(tblTransactions[[#This Row],[discount_pct]]&lt;=10%,"1–
10%",IF(tblTransactions[[#This Row],[discount_pct]]&lt;=20%,"11–20%","&gt;20%")))</f>
        <v>0%</v>
      </c>
      <c r="P2496" s="13" t="str">
        <f>_xlfn.XLOOKUP(tblTransactions[[#This Row],[tenant_id]],tblTenants[tenant_id],tblTenants[zone],"NOT FOUND")</f>
        <v>Beauty &amp; Wellness</v>
      </c>
      <c r="Q2496" s="13" t="str">
        <f>_xlfn.XLOOKUP(tblTransactions[[#This Row],[tenant_id]],tblTenants[tenant_id],tblTenants[category],"NOT FOUND")</f>
        <v>Beauty</v>
      </c>
    </row>
    <row r="2497" spans="1:17">
      <c r="A2497" t="s">
        <v>2541</v>
      </c>
      <c r="B2497" s="2">
        <v>45698</v>
      </c>
      <c r="C2497">
        <v>10</v>
      </c>
      <c r="D2497" t="s">
        <v>48</v>
      </c>
      <c r="E2497" t="s">
        <v>12</v>
      </c>
      <c r="F2497" s="7">
        <v>571.57000000000005</v>
      </c>
      <c r="G2497" s="10">
        <v>0.15</v>
      </c>
      <c r="H2497" s="7">
        <v>485.83</v>
      </c>
      <c r="I2497">
        <v>4</v>
      </c>
      <c r="J2497" t="s">
        <v>16</v>
      </c>
      <c r="K2497" s="13">
        <f>ROUND(tblTransactions[[#This Row],[gross_sales_inr]]*(1-tblTransactions[[#This Row],[discount_pct]]),2)</f>
        <v>485.83</v>
      </c>
      <c r="L2497" t="str">
        <f>IF(ABS(tblTransactions[[#This Row],[net_sales_inr]]-tblTransactions[[#This Row],[Recalc_Net_Sales]])&lt;0.02,"OK","CHECK")</f>
        <v>OK</v>
      </c>
      <c r="M2497" s="14">
        <f>DATE(YEAR(tblTransactions[[#This Row],[date]]),MONTH(tblTransactions[[#This Row],[date]]),1)</f>
        <v>45689</v>
      </c>
      <c r="N2497" t="str">
        <f>IF(WEEKDAY(tblTransactions[[#This Row],[date]],2)&gt;5,"Weekend","Weekday")</f>
        <v>Weekday</v>
      </c>
      <c r="O249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97" s="13" t="str">
        <f>_xlfn.XLOOKUP(tblTransactions[[#This Row],[tenant_id]],tblTenants[tenant_id],tblTenants[zone],"NOT FOUND")</f>
        <v>Beauty &amp; Wellness</v>
      </c>
      <c r="Q2497" s="13" t="str">
        <f>_xlfn.XLOOKUP(tblTransactions[[#This Row],[tenant_id]],tblTenants[tenant_id],tblTenants[category],"NOT FOUND")</f>
        <v>Wellness</v>
      </c>
    </row>
    <row r="2498" spans="1:17">
      <c r="A2498" t="s">
        <v>2542</v>
      </c>
      <c r="B2498" s="2">
        <v>45807</v>
      </c>
      <c r="C2498">
        <v>21</v>
      </c>
      <c r="D2498" t="s">
        <v>27</v>
      </c>
      <c r="E2498" t="s">
        <v>21</v>
      </c>
      <c r="F2498" s="7">
        <v>1334.34</v>
      </c>
      <c r="G2498" s="10">
        <v>0</v>
      </c>
      <c r="H2498" s="7">
        <v>1334.34</v>
      </c>
      <c r="I2498">
        <v>5</v>
      </c>
      <c r="J2498" t="s">
        <v>16</v>
      </c>
      <c r="K2498" s="13">
        <f>ROUND(tblTransactions[[#This Row],[gross_sales_inr]]*(1-tblTransactions[[#This Row],[discount_pct]]),2)</f>
        <v>1334.34</v>
      </c>
      <c r="L2498" t="str">
        <f>IF(ABS(tblTransactions[[#This Row],[net_sales_inr]]-tblTransactions[[#This Row],[Recalc_Net_Sales]])&lt;0.02,"OK","CHECK")</f>
        <v>OK</v>
      </c>
      <c r="M2498" s="14">
        <f>DATE(YEAR(tblTransactions[[#This Row],[date]]),MONTH(tblTransactions[[#This Row],[date]]),1)</f>
        <v>45778</v>
      </c>
      <c r="N2498" t="str">
        <f>IF(WEEKDAY(tblTransactions[[#This Row],[date]],2)&gt;5,"Weekend","Weekday")</f>
        <v>Weekday</v>
      </c>
      <c r="O2498" s="13" t="str">
        <f>IF(tblTransactions[[#This Row],[discount_pct]]=0,"0%",IF(tblTransactions[[#This Row],[discount_pct]]&lt;=10%,"1–
10%",IF(tblTransactions[[#This Row],[discount_pct]]&lt;=20%,"11–20%","&gt;20%")))</f>
        <v>0%</v>
      </c>
      <c r="P2498" s="13" t="str">
        <f>_xlfn.XLOOKUP(tblTransactions[[#This Row],[tenant_id]],tblTenants[tenant_id],tblTenants[zone],"NOT FOUND")</f>
        <v>Beauty &amp; Wellness</v>
      </c>
      <c r="Q2498" s="13" t="str">
        <f>_xlfn.XLOOKUP(tblTransactions[[#This Row],[tenant_id]],tblTenants[tenant_id],tblTenants[category],"NOT FOUND")</f>
        <v>Wellness</v>
      </c>
    </row>
    <row r="2499" spans="1:17">
      <c r="A2499" t="s">
        <v>2543</v>
      </c>
      <c r="B2499" s="2">
        <v>45721</v>
      </c>
      <c r="C2499">
        <v>10</v>
      </c>
      <c r="D2499" t="s">
        <v>43</v>
      </c>
      <c r="E2499" t="s">
        <v>12</v>
      </c>
      <c r="F2499" s="7">
        <v>731.81</v>
      </c>
      <c r="G2499" s="10">
        <v>0.15</v>
      </c>
      <c r="H2499" s="7">
        <v>622.04</v>
      </c>
      <c r="I2499">
        <v>1</v>
      </c>
      <c r="J2499" t="s">
        <v>13</v>
      </c>
      <c r="K2499" s="13">
        <f>ROUND(tblTransactions[[#This Row],[gross_sales_inr]]*(1-tblTransactions[[#This Row],[discount_pct]]),2)</f>
        <v>622.04</v>
      </c>
      <c r="L2499" t="str">
        <f>IF(ABS(tblTransactions[[#This Row],[net_sales_inr]]-tblTransactions[[#This Row],[Recalc_Net_Sales]])&lt;0.02,"OK","CHECK")</f>
        <v>OK</v>
      </c>
      <c r="M2499" s="14">
        <f>DATE(YEAR(tblTransactions[[#This Row],[date]]),MONTH(tblTransactions[[#This Row],[date]]),1)</f>
        <v>45717</v>
      </c>
      <c r="N2499" t="str">
        <f>IF(WEEKDAY(tblTransactions[[#This Row],[date]],2)&gt;5,"Weekend","Weekday")</f>
        <v>Weekday</v>
      </c>
      <c r="O249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499" s="13" t="str">
        <f>_xlfn.XLOOKUP(tblTransactions[[#This Row],[tenant_id]],tblTenants[tenant_id],tblTenants[zone],"NOT FOUND")</f>
        <v>Food Court</v>
      </c>
      <c r="Q2499" s="13" t="str">
        <f>_xlfn.XLOOKUP(tblTransactions[[#This Row],[tenant_id]],tblTenants[tenant_id],tblTenants[category],"NOT FOUND")</f>
        <v>Casual Dining</v>
      </c>
    </row>
    <row r="2500" spans="1:17">
      <c r="A2500" t="s">
        <v>2544</v>
      </c>
      <c r="B2500" s="2">
        <v>45682</v>
      </c>
      <c r="C2500">
        <v>15</v>
      </c>
      <c r="D2500" t="s">
        <v>70</v>
      </c>
      <c r="E2500" t="s">
        <v>12</v>
      </c>
      <c r="F2500" s="7">
        <v>1989.91</v>
      </c>
      <c r="G2500" s="10">
        <v>0</v>
      </c>
      <c r="H2500" s="7">
        <v>1989.91</v>
      </c>
      <c r="I2500">
        <v>3</v>
      </c>
      <c r="J2500" t="s">
        <v>13</v>
      </c>
      <c r="K2500" s="13">
        <f>ROUND(tblTransactions[[#This Row],[gross_sales_inr]]*(1-tblTransactions[[#This Row],[discount_pct]]),2)</f>
        <v>1989.91</v>
      </c>
      <c r="L2500" t="str">
        <f>IF(ABS(tblTransactions[[#This Row],[net_sales_inr]]-tblTransactions[[#This Row],[Recalc_Net_Sales]])&lt;0.02,"OK","CHECK")</f>
        <v>OK</v>
      </c>
      <c r="M2500" s="14">
        <f>DATE(YEAR(tblTransactions[[#This Row],[date]]),MONTH(tblTransactions[[#This Row],[date]]),1)</f>
        <v>45658</v>
      </c>
      <c r="N2500" t="str">
        <f>IF(WEEKDAY(tblTransactions[[#This Row],[date]],2)&gt;5,"Weekend","Weekday")</f>
        <v>Weekend</v>
      </c>
      <c r="O2500" s="13" t="str">
        <f>IF(tblTransactions[[#This Row],[discount_pct]]=0,"0%",IF(tblTransactions[[#This Row],[discount_pct]]&lt;=10%,"1–
10%",IF(tblTransactions[[#This Row],[discount_pct]]&lt;=20%,"11–20%","&gt;20%")))</f>
        <v>0%</v>
      </c>
      <c r="P2500" s="13" t="str">
        <f>_xlfn.XLOOKUP(tblTransactions[[#This Row],[tenant_id]],tblTenants[tenant_id],tblTenants[zone],"NOT FOUND")</f>
        <v>Food Court</v>
      </c>
      <c r="Q2500" s="13" t="str">
        <f>_xlfn.XLOOKUP(tblTransactions[[#This Row],[tenant_id]],tblTenants[tenant_id],tblTenants[category],"NOT FOUND")</f>
        <v>Quick Service</v>
      </c>
    </row>
    <row r="2501" spans="1:17">
      <c r="A2501" t="s">
        <v>2545</v>
      </c>
      <c r="B2501" s="2">
        <v>45726</v>
      </c>
      <c r="C2501">
        <v>11</v>
      </c>
      <c r="D2501" t="s">
        <v>80</v>
      </c>
      <c r="E2501" t="s">
        <v>32</v>
      </c>
      <c r="F2501" s="7">
        <v>1105.94</v>
      </c>
      <c r="G2501" s="10">
        <v>0.05</v>
      </c>
      <c r="H2501" s="7">
        <v>1050.6400000000001</v>
      </c>
      <c r="I2501">
        <v>1</v>
      </c>
      <c r="J2501" t="s">
        <v>16</v>
      </c>
      <c r="K2501" s="13">
        <f>ROUND(tblTransactions[[#This Row],[gross_sales_inr]]*(1-tblTransactions[[#This Row],[discount_pct]]),2)</f>
        <v>1050.6400000000001</v>
      </c>
      <c r="L2501" t="str">
        <f>IF(ABS(tblTransactions[[#This Row],[net_sales_inr]]-tblTransactions[[#This Row],[Recalc_Net_Sales]])&lt;0.02,"OK","CHECK")</f>
        <v>OK</v>
      </c>
      <c r="M2501" s="14">
        <f>DATE(YEAR(tblTransactions[[#This Row],[date]]),MONTH(tblTransactions[[#This Row],[date]]),1)</f>
        <v>45717</v>
      </c>
      <c r="N2501" t="str">
        <f>IF(WEEKDAY(tblTransactions[[#This Row],[date]],2)&gt;5,"Weekend","Weekday")</f>
        <v>Weekday</v>
      </c>
      <c r="O250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01" s="13" t="str">
        <f>_xlfn.XLOOKUP(tblTransactions[[#This Row],[tenant_id]],tblTenants[tenant_id],tblTenants[zone],"NOT FOUND")</f>
        <v>Food Court</v>
      </c>
      <c r="Q2501" s="13" t="str">
        <f>_xlfn.XLOOKUP(tblTransactions[[#This Row],[tenant_id]],tblTenants[tenant_id],tblTenants[category],"NOT FOUND")</f>
        <v>Casual Dining</v>
      </c>
    </row>
    <row r="2502" spans="1:17">
      <c r="A2502" t="s">
        <v>2546</v>
      </c>
      <c r="B2502" s="2">
        <v>45831</v>
      </c>
      <c r="C2502">
        <v>12</v>
      </c>
      <c r="D2502" t="s">
        <v>41</v>
      </c>
      <c r="E2502" t="s">
        <v>32</v>
      </c>
      <c r="F2502" s="7">
        <v>558.04999999999995</v>
      </c>
      <c r="G2502" s="10">
        <v>0</v>
      </c>
      <c r="H2502" s="7">
        <v>558.04999999999995</v>
      </c>
      <c r="I2502">
        <v>3</v>
      </c>
      <c r="J2502" t="s">
        <v>13</v>
      </c>
      <c r="K2502" s="13">
        <f>ROUND(tblTransactions[[#This Row],[gross_sales_inr]]*(1-tblTransactions[[#This Row],[discount_pct]]),2)</f>
        <v>558.04999999999995</v>
      </c>
      <c r="L2502" t="str">
        <f>IF(ABS(tblTransactions[[#This Row],[net_sales_inr]]-tblTransactions[[#This Row],[Recalc_Net_Sales]])&lt;0.02,"OK","CHECK")</f>
        <v>OK</v>
      </c>
      <c r="M2502" s="14">
        <f>DATE(YEAR(tblTransactions[[#This Row],[date]]),MONTH(tblTransactions[[#This Row],[date]]),1)</f>
        <v>45809</v>
      </c>
      <c r="N2502" t="str">
        <f>IF(WEEKDAY(tblTransactions[[#This Row],[date]],2)&gt;5,"Weekend","Weekday")</f>
        <v>Weekday</v>
      </c>
      <c r="O2502" s="13" t="str">
        <f>IF(tblTransactions[[#This Row],[discount_pct]]=0,"0%",IF(tblTransactions[[#This Row],[discount_pct]]&lt;=10%,"1–
10%",IF(tblTransactions[[#This Row],[discount_pct]]&lt;=20%,"11–20%","&gt;20%")))</f>
        <v>0%</v>
      </c>
      <c r="P2502" s="13" t="str">
        <f>_xlfn.XLOOKUP(tblTransactions[[#This Row],[tenant_id]],tblTenants[tenant_id],tblTenants[zone],"NOT FOUND")</f>
        <v>Fashion Avenue</v>
      </c>
      <c r="Q2502" s="13" t="str">
        <f>_xlfn.XLOOKUP(tblTransactions[[#This Row],[tenant_id]],tblTenants[tenant_id],tblTenants[category],"NOT FOUND")</f>
        <v>Clothing</v>
      </c>
    </row>
    <row r="2503" spans="1:17">
      <c r="A2503" t="s">
        <v>2547</v>
      </c>
      <c r="B2503" s="2">
        <v>45718</v>
      </c>
      <c r="C2503">
        <v>19</v>
      </c>
      <c r="D2503" t="s">
        <v>29</v>
      </c>
      <c r="E2503" t="s">
        <v>12</v>
      </c>
      <c r="F2503" s="7">
        <v>1320.33</v>
      </c>
      <c r="G2503" s="10">
        <v>0.1</v>
      </c>
      <c r="H2503" s="7">
        <v>1188.3</v>
      </c>
      <c r="I2503">
        <v>1</v>
      </c>
      <c r="J2503" t="s">
        <v>13</v>
      </c>
      <c r="K2503" s="13">
        <f>ROUND(tblTransactions[[#This Row],[gross_sales_inr]]*(1-tblTransactions[[#This Row],[discount_pct]]),2)</f>
        <v>1188.3</v>
      </c>
      <c r="L2503" t="str">
        <f>IF(ABS(tblTransactions[[#This Row],[net_sales_inr]]-tblTransactions[[#This Row],[Recalc_Net_Sales]])&lt;0.02,"OK","CHECK")</f>
        <v>OK</v>
      </c>
      <c r="M2503" s="14">
        <f>DATE(YEAR(tblTransactions[[#This Row],[date]]),MONTH(tblTransactions[[#This Row],[date]]),1)</f>
        <v>45717</v>
      </c>
      <c r="N2503" t="str">
        <f>IF(WEEKDAY(tblTransactions[[#This Row],[date]],2)&gt;5,"Weekend","Weekday")</f>
        <v>Weekend</v>
      </c>
      <c r="O250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03" s="13" t="str">
        <f>_xlfn.XLOOKUP(tblTransactions[[#This Row],[tenant_id]],tblTenants[tenant_id],tblTenants[zone],"NOT FOUND")</f>
        <v>Entertainment</v>
      </c>
      <c r="Q2503" s="13" t="str">
        <f>_xlfn.XLOOKUP(tblTransactions[[#This Row],[tenant_id]],tblTenants[tenant_id],tblTenants[category],"NOT FOUND")</f>
        <v>Cinema</v>
      </c>
    </row>
    <row r="2504" spans="1:17">
      <c r="A2504" t="s">
        <v>2548</v>
      </c>
      <c r="B2504" s="2">
        <v>45814</v>
      </c>
      <c r="C2504">
        <v>18</v>
      </c>
      <c r="D2504" t="s">
        <v>61</v>
      </c>
      <c r="E2504" t="s">
        <v>32</v>
      </c>
      <c r="F2504" s="7">
        <v>324.27</v>
      </c>
      <c r="G2504" s="10">
        <v>0.05</v>
      </c>
      <c r="H2504" s="7">
        <v>308.06</v>
      </c>
      <c r="I2504">
        <v>3</v>
      </c>
      <c r="J2504" t="s">
        <v>13</v>
      </c>
      <c r="K2504" s="13">
        <f>ROUND(tblTransactions[[#This Row],[gross_sales_inr]]*(1-tblTransactions[[#This Row],[discount_pct]]),2)</f>
        <v>308.06</v>
      </c>
      <c r="L2504" t="str">
        <f>IF(ABS(tblTransactions[[#This Row],[net_sales_inr]]-tblTransactions[[#This Row],[Recalc_Net_Sales]])&lt;0.02,"OK","CHECK")</f>
        <v>OK</v>
      </c>
      <c r="M2504" s="14">
        <f>DATE(YEAR(tblTransactions[[#This Row],[date]]),MONTH(tblTransactions[[#This Row],[date]]),1)</f>
        <v>45809</v>
      </c>
      <c r="N2504" t="str">
        <f>IF(WEEKDAY(tblTransactions[[#This Row],[date]],2)&gt;5,"Weekend","Weekday")</f>
        <v>Weekday</v>
      </c>
      <c r="O250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04" s="13" t="str">
        <f>_xlfn.XLOOKUP(tblTransactions[[#This Row],[tenant_id]],tblTenants[tenant_id],tblTenants[zone],"NOT FOUND")</f>
        <v>Food Court</v>
      </c>
      <c r="Q2504" s="13" t="str">
        <f>_xlfn.XLOOKUP(tblTransactions[[#This Row],[tenant_id]],tblTenants[tenant_id],tblTenants[category],"NOT FOUND")</f>
        <v>Quick Service</v>
      </c>
    </row>
    <row r="2505" spans="1:17">
      <c r="A2505" t="s">
        <v>2549</v>
      </c>
      <c r="B2505" s="2">
        <v>45690</v>
      </c>
      <c r="C2505">
        <v>22</v>
      </c>
      <c r="D2505" t="s">
        <v>80</v>
      </c>
      <c r="E2505" t="s">
        <v>12</v>
      </c>
      <c r="F2505" s="7">
        <v>1481.54</v>
      </c>
      <c r="G2505" s="10">
        <v>0</v>
      </c>
      <c r="H2505" s="7">
        <v>1481.54</v>
      </c>
      <c r="I2505">
        <v>2</v>
      </c>
      <c r="J2505" t="s">
        <v>16</v>
      </c>
      <c r="K2505" s="13">
        <f>ROUND(tblTransactions[[#This Row],[gross_sales_inr]]*(1-tblTransactions[[#This Row],[discount_pct]]),2)</f>
        <v>1481.54</v>
      </c>
      <c r="L2505" t="str">
        <f>IF(ABS(tblTransactions[[#This Row],[net_sales_inr]]-tblTransactions[[#This Row],[Recalc_Net_Sales]])&lt;0.02,"OK","CHECK")</f>
        <v>OK</v>
      </c>
      <c r="M2505" s="14">
        <f>DATE(YEAR(tblTransactions[[#This Row],[date]]),MONTH(tblTransactions[[#This Row],[date]]),1)</f>
        <v>45689</v>
      </c>
      <c r="N2505" t="str">
        <f>IF(WEEKDAY(tblTransactions[[#This Row],[date]],2)&gt;5,"Weekend","Weekday")</f>
        <v>Weekend</v>
      </c>
      <c r="O2505" s="13" t="str">
        <f>IF(tblTransactions[[#This Row],[discount_pct]]=0,"0%",IF(tblTransactions[[#This Row],[discount_pct]]&lt;=10%,"1–
10%",IF(tblTransactions[[#This Row],[discount_pct]]&lt;=20%,"11–20%","&gt;20%")))</f>
        <v>0%</v>
      </c>
      <c r="P2505" s="13" t="str">
        <f>_xlfn.XLOOKUP(tblTransactions[[#This Row],[tenant_id]],tblTenants[tenant_id],tblTenants[zone],"NOT FOUND")</f>
        <v>Food Court</v>
      </c>
      <c r="Q2505" s="13" t="str">
        <f>_xlfn.XLOOKUP(tblTransactions[[#This Row],[tenant_id]],tblTenants[tenant_id],tblTenants[category],"NOT FOUND")</f>
        <v>Casual Dining</v>
      </c>
    </row>
    <row r="2506" spans="1:17">
      <c r="A2506" t="s">
        <v>2550</v>
      </c>
      <c r="B2506" s="2">
        <v>45815</v>
      </c>
      <c r="C2506">
        <v>13</v>
      </c>
      <c r="D2506" t="s">
        <v>70</v>
      </c>
      <c r="E2506" t="s">
        <v>12</v>
      </c>
      <c r="F2506" s="7">
        <v>746.69</v>
      </c>
      <c r="G2506" s="10">
        <v>0.05</v>
      </c>
      <c r="H2506" s="7">
        <v>709.36</v>
      </c>
      <c r="I2506">
        <v>3</v>
      </c>
      <c r="J2506" t="s">
        <v>13</v>
      </c>
      <c r="K2506" s="13">
        <f>ROUND(tblTransactions[[#This Row],[gross_sales_inr]]*(1-tblTransactions[[#This Row],[discount_pct]]),2)</f>
        <v>709.36</v>
      </c>
      <c r="L2506" t="str">
        <f>IF(ABS(tblTransactions[[#This Row],[net_sales_inr]]-tblTransactions[[#This Row],[Recalc_Net_Sales]])&lt;0.02,"OK","CHECK")</f>
        <v>OK</v>
      </c>
      <c r="M2506" s="14">
        <f>DATE(YEAR(tblTransactions[[#This Row],[date]]),MONTH(tblTransactions[[#This Row],[date]]),1)</f>
        <v>45809</v>
      </c>
      <c r="N2506" t="str">
        <f>IF(WEEKDAY(tblTransactions[[#This Row],[date]],2)&gt;5,"Weekend","Weekday")</f>
        <v>Weekend</v>
      </c>
      <c r="O250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06" s="13" t="str">
        <f>_xlfn.XLOOKUP(tblTransactions[[#This Row],[tenant_id]],tblTenants[tenant_id],tblTenants[zone],"NOT FOUND")</f>
        <v>Food Court</v>
      </c>
      <c r="Q2506" s="13" t="str">
        <f>_xlfn.XLOOKUP(tblTransactions[[#This Row],[tenant_id]],tblTenants[tenant_id],tblTenants[category],"NOT FOUND")</f>
        <v>Quick Service</v>
      </c>
    </row>
    <row r="2507" spans="1:17">
      <c r="A2507" t="s">
        <v>2551</v>
      </c>
      <c r="B2507" s="2">
        <v>45753</v>
      </c>
      <c r="C2507">
        <v>19</v>
      </c>
      <c r="D2507" t="s">
        <v>25</v>
      </c>
      <c r="E2507" t="s">
        <v>12</v>
      </c>
      <c r="F2507" s="7">
        <v>2812.37</v>
      </c>
      <c r="G2507" s="10">
        <v>0.05</v>
      </c>
      <c r="H2507" s="7">
        <v>2671.75</v>
      </c>
      <c r="I2507">
        <v>3</v>
      </c>
      <c r="J2507" t="s">
        <v>16</v>
      </c>
      <c r="K2507" s="13">
        <f>ROUND(tblTransactions[[#This Row],[gross_sales_inr]]*(1-tblTransactions[[#This Row],[discount_pct]]),2)</f>
        <v>2671.75</v>
      </c>
      <c r="L2507" t="str">
        <f>IF(ABS(tblTransactions[[#This Row],[net_sales_inr]]-tblTransactions[[#This Row],[Recalc_Net_Sales]])&lt;0.02,"OK","CHECK")</f>
        <v>OK</v>
      </c>
      <c r="M2507" s="14">
        <f>DATE(YEAR(tblTransactions[[#This Row],[date]]),MONTH(tblTransactions[[#This Row],[date]]),1)</f>
        <v>45748</v>
      </c>
      <c r="N2507" t="str">
        <f>IF(WEEKDAY(tblTransactions[[#This Row],[date]],2)&gt;5,"Weekend","Weekday")</f>
        <v>Weekend</v>
      </c>
      <c r="O250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07" s="13" t="str">
        <f>_xlfn.XLOOKUP(tblTransactions[[#This Row],[tenant_id]],tblTenants[tenant_id],tblTenants[zone],"NOT FOUND")</f>
        <v>Beauty &amp; Wellness</v>
      </c>
      <c r="Q2507" s="13" t="str">
        <f>_xlfn.XLOOKUP(tblTransactions[[#This Row],[tenant_id]],tblTenants[tenant_id],tblTenants[category],"NOT FOUND")</f>
        <v>Beauty</v>
      </c>
    </row>
    <row r="2508" spans="1:17">
      <c r="A2508" t="s">
        <v>2552</v>
      </c>
      <c r="B2508" s="2">
        <v>45789</v>
      </c>
      <c r="C2508">
        <v>12</v>
      </c>
      <c r="D2508" t="s">
        <v>34</v>
      </c>
      <c r="E2508" t="s">
        <v>51</v>
      </c>
      <c r="F2508" s="7">
        <v>1351.2</v>
      </c>
      <c r="G2508" s="10">
        <v>0.1</v>
      </c>
      <c r="H2508" s="7">
        <v>1216.08</v>
      </c>
      <c r="I2508">
        <v>1</v>
      </c>
      <c r="J2508" t="s">
        <v>13</v>
      </c>
      <c r="K2508" s="13">
        <f>ROUND(tblTransactions[[#This Row],[gross_sales_inr]]*(1-tblTransactions[[#This Row],[discount_pct]]),2)</f>
        <v>1216.08</v>
      </c>
      <c r="L2508" t="str">
        <f>IF(ABS(tblTransactions[[#This Row],[net_sales_inr]]-tblTransactions[[#This Row],[Recalc_Net_Sales]])&lt;0.02,"OK","CHECK")</f>
        <v>OK</v>
      </c>
      <c r="M2508" s="14">
        <f>DATE(YEAR(tblTransactions[[#This Row],[date]]),MONTH(tblTransactions[[#This Row],[date]]),1)</f>
        <v>45778</v>
      </c>
      <c r="N2508" t="str">
        <f>IF(WEEKDAY(tblTransactions[[#This Row],[date]],2)&gt;5,"Weekend","Weekday")</f>
        <v>Weekday</v>
      </c>
      <c r="O250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08" s="13" t="str">
        <f>_xlfn.XLOOKUP(tblTransactions[[#This Row],[tenant_id]],tblTenants[tenant_id],tblTenants[zone],"NOT FOUND")</f>
        <v>Home &amp; Living</v>
      </c>
      <c r="Q2508" s="13" t="str">
        <f>_xlfn.XLOOKUP(tblTransactions[[#This Row],[tenant_id]],tblTenants[tenant_id],tblTenants[category],"NOT FOUND")</f>
        <v>Electronics</v>
      </c>
    </row>
    <row r="2509" spans="1:17">
      <c r="A2509" t="s">
        <v>2553</v>
      </c>
      <c r="B2509" s="2">
        <v>45671</v>
      </c>
      <c r="C2509">
        <v>13</v>
      </c>
      <c r="D2509" t="s">
        <v>72</v>
      </c>
      <c r="E2509" t="s">
        <v>32</v>
      </c>
      <c r="F2509" s="7">
        <v>781.68</v>
      </c>
      <c r="G2509" s="10">
        <v>0</v>
      </c>
      <c r="H2509" s="7">
        <v>781.68</v>
      </c>
      <c r="I2509">
        <v>1</v>
      </c>
      <c r="J2509" t="s">
        <v>16</v>
      </c>
      <c r="K2509" s="13">
        <f>ROUND(tblTransactions[[#This Row],[gross_sales_inr]]*(1-tblTransactions[[#This Row],[discount_pct]]),2)</f>
        <v>781.68</v>
      </c>
      <c r="L2509" t="str">
        <f>IF(ABS(tblTransactions[[#This Row],[net_sales_inr]]-tblTransactions[[#This Row],[Recalc_Net_Sales]])&lt;0.02,"OK","CHECK")</f>
        <v>OK</v>
      </c>
      <c r="M2509" s="14">
        <f>DATE(YEAR(tblTransactions[[#This Row],[date]]),MONTH(tblTransactions[[#This Row],[date]]),1)</f>
        <v>45658</v>
      </c>
      <c r="N2509" t="str">
        <f>IF(WEEKDAY(tblTransactions[[#This Row],[date]],2)&gt;5,"Weekend","Weekday")</f>
        <v>Weekday</v>
      </c>
      <c r="O2509" s="13" t="str">
        <f>IF(tblTransactions[[#This Row],[discount_pct]]=0,"0%",IF(tblTransactions[[#This Row],[discount_pct]]&lt;=10%,"1–
10%",IF(tblTransactions[[#This Row],[discount_pct]]&lt;=20%,"11–20%","&gt;20%")))</f>
        <v>0%</v>
      </c>
      <c r="P2509" s="13" t="str">
        <f>_xlfn.XLOOKUP(tblTransactions[[#This Row],[tenant_id]],tblTenants[tenant_id],tblTenants[zone],"NOT FOUND")</f>
        <v>Entertainment</v>
      </c>
      <c r="Q2509" s="13" t="str">
        <f>_xlfn.XLOOKUP(tblTransactions[[#This Row],[tenant_id]],tblTenants[tenant_id],tblTenants[category],"NOT FOUND")</f>
        <v>Arcade</v>
      </c>
    </row>
    <row r="2510" spans="1:17">
      <c r="A2510" t="s">
        <v>2554</v>
      </c>
      <c r="B2510" s="2">
        <v>45814</v>
      </c>
      <c r="C2510">
        <v>17</v>
      </c>
      <c r="D2510" t="s">
        <v>204</v>
      </c>
      <c r="E2510" t="s">
        <v>32</v>
      </c>
      <c r="F2510" s="7">
        <v>556.85</v>
      </c>
      <c r="G2510" s="10">
        <v>0.2</v>
      </c>
      <c r="H2510" s="7">
        <v>445.48</v>
      </c>
      <c r="I2510">
        <v>2</v>
      </c>
      <c r="J2510" t="s">
        <v>13</v>
      </c>
      <c r="K2510" s="13">
        <f>ROUND(tblTransactions[[#This Row],[gross_sales_inr]]*(1-tblTransactions[[#This Row],[discount_pct]]),2)</f>
        <v>445.48</v>
      </c>
      <c r="L2510" t="str">
        <f>IF(ABS(tblTransactions[[#This Row],[net_sales_inr]]-tblTransactions[[#This Row],[Recalc_Net_Sales]])&lt;0.02,"OK","CHECK")</f>
        <v>OK</v>
      </c>
      <c r="M2510" s="14">
        <f>DATE(YEAR(tblTransactions[[#This Row],[date]]),MONTH(tblTransactions[[#This Row],[date]]),1)</f>
        <v>45809</v>
      </c>
      <c r="N2510" t="str">
        <f>IF(WEEKDAY(tblTransactions[[#This Row],[date]],2)&gt;5,"Weekend","Weekday")</f>
        <v>Weekday</v>
      </c>
      <c r="O251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10" s="13" t="str">
        <f>_xlfn.XLOOKUP(tblTransactions[[#This Row],[tenant_id]],tblTenants[tenant_id],tblTenants[zone],"NOT FOUND")</f>
        <v>Home &amp; Living</v>
      </c>
      <c r="Q2510" s="13" t="str">
        <f>_xlfn.XLOOKUP(tblTransactions[[#This Row],[tenant_id]],tblTenants[tenant_id],tblTenants[category],"NOT FOUND")</f>
        <v>Home Decor</v>
      </c>
    </row>
    <row r="2511" spans="1:17">
      <c r="A2511" t="s">
        <v>2555</v>
      </c>
      <c r="B2511" s="2">
        <v>45726</v>
      </c>
      <c r="C2511">
        <v>20</v>
      </c>
      <c r="D2511" t="s">
        <v>59</v>
      </c>
      <c r="E2511" t="s">
        <v>32</v>
      </c>
      <c r="F2511" s="7">
        <v>1106.56</v>
      </c>
      <c r="G2511" s="10">
        <v>0.2</v>
      </c>
      <c r="H2511" s="7">
        <v>885.25</v>
      </c>
      <c r="I2511">
        <v>2</v>
      </c>
      <c r="J2511" t="s">
        <v>13</v>
      </c>
      <c r="K2511" s="13">
        <f>ROUND(tblTransactions[[#This Row],[gross_sales_inr]]*(1-tblTransactions[[#This Row],[discount_pct]]),2)</f>
        <v>885.25</v>
      </c>
      <c r="L2511" t="str">
        <f>IF(ABS(tblTransactions[[#This Row],[net_sales_inr]]-tblTransactions[[#This Row],[Recalc_Net_Sales]])&lt;0.02,"OK","CHECK")</f>
        <v>OK</v>
      </c>
      <c r="M2511" s="14">
        <f>DATE(YEAR(tblTransactions[[#This Row],[date]]),MONTH(tblTransactions[[#This Row],[date]]),1)</f>
        <v>45717</v>
      </c>
      <c r="N2511" t="str">
        <f>IF(WEEKDAY(tblTransactions[[#This Row],[date]],2)&gt;5,"Weekend","Weekday")</f>
        <v>Weekday</v>
      </c>
      <c r="O251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11" s="13" t="str">
        <f>_xlfn.XLOOKUP(tblTransactions[[#This Row],[tenant_id]],tblTenants[tenant_id],tblTenants[zone],"NOT FOUND")</f>
        <v>Fashion Avenue</v>
      </c>
      <c r="Q2511" s="13" t="str">
        <f>_xlfn.XLOOKUP(tblTransactions[[#This Row],[tenant_id]],tblTenants[tenant_id],tblTenants[category],"NOT FOUND")</f>
        <v>Footwear</v>
      </c>
    </row>
    <row r="2512" spans="1:17">
      <c r="A2512" t="s">
        <v>2556</v>
      </c>
      <c r="B2512" s="2">
        <v>45677</v>
      </c>
      <c r="C2512">
        <v>14</v>
      </c>
      <c r="D2512" t="s">
        <v>59</v>
      </c>
      <c r="E2512" t="s">
        <v>12</v>
      </c>
      <c r="F2512" s="7">
        <v>3219.7</v>
      </c>
      <c r="G2512" s="10">
        <v>0.2</v>
      </c>
      <c r="H2512" s="7">
        <v>2575.7600000000002</v>
      </c>
      <c r="I2512">
        <v>4</v>
      </c>
      <c r="J2512" t="s">
        <v>16</v>
      </c>
      <c r="K2512" s="13">
        <f>ROUND(tblTransactions[[#This Row],[gross_sales_inr]]*(1-tblTransactions[[#This Row],[discount_pct]]),2)</f>
        <v>2575.7600000000002</v>
      </c>
      <c r="L2512" t="str">
        <f>IF(ABS(tblTransactions[[#This Row],[net_sales_inr]]-tblTransactions[[#This Row],[Recalc_Net_Sales]])&lt;0.02,"OK","CHECK")</f>
        <v>OK</v>
      </c>
      <c r="M2512" s="14">
        <f>DATE(YEAR(tblTransactions[[#This Row],[date]]),MONTH(tblTransactions[[#This Row],[date]]),1)</f>
        <v>45658</v>
      </c>
      <c r="N2512" t="str">
        <f>IF(WEEKDAY(tblTransactions[[#This Row],[date]],2)&gt;5,"Weekend","Weekday")</f>
        <v>Weekday</v>
      </c>
      <c r="O251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12" s="13" t="str">
        <f>_xlfn.XLOOKUP(tblTransactions[[#This Row],[tenant_id]],tblTenants[tenant_id],tblTenants[zone],"NOT FOUND")</f>
        <v>Fashion Avenue</v>
      </c>
      <c r="Q2512" s="13" t="str">
        <f>_xlfn.XLOOKUP(tblTransactions[[#This Row],[tenant_id]],tblTenants[tenant_id],tblTenants[category],"NOT FOUND")</f>
        <v>Footwear</v>
      </c>
    </row>
    <row r="2513" spans="1:17">
      <c r="A2513" t="s">
        <v>2557</v>
      </c>
      <c r="B2513" s="2">
        <v>45706</v>
      </c>
      <c r="C2513">
        <v>19</v>
      </c>
      <c r="D2513" t="s">
        <v>85</v>
      </c>
      <c r="E2513" t="s">
        <v>32</v>
      </c>
      <c r="F2513" s="7">
        <v>926.26</v>
      </c>
      <c r="G2513" s="10">
        <v>0</v>
      </c>
      <c r="H2513" s="7">
        <v>926.26</v>
      </c>
      <c r="I2513">
        <v>3</v>
      </c>
      <c r="J2513" t="s">
        <v>13</v>
      </c>
      <c r="K2513" s="13">
        <f>ROUND(tblTransactions[[#This Row],[gross_sales_inr]]*(1-tblTransactions[[#This Row],[discount_pct]]),2)</f>
        <v>926.26</v>
      </c>
      <c r="L2513" t="str">
        <f>IF(ABS(tblTransactions[[#This Row],[net_sales_inr]]-tblTransactions[[#This Row],[Recalc_Net_Sales]])&lt;0.02,"OK","CHECK")</f>
        <v>OK</v>
      </c>
      <c r="M2513" s="14">
        <f>DATE(YEAR(tblTransactions[[#This Row],[date]]),MONTH(tblTransactions[[#This Row],[date]]),1)</f>
        <v>45689</v>
      </c>
      <c r="N2513" t="str">
        <f>IF(WEEKDAY(tblTransactions[[#This Row],[date]],2)&gt;5,"Weekend","Weekday")</f>
        <v>Weekday</v>
      </c>
      <c r="O2513" s="13" t="str">
        <f>IF(tblTransactions[[#This Row],[discount_pct]]=0,"0%",IF(tblTransactions[[#This Row],[discount_pct]]&lt;=10%,"1–
10%",IF(tblTransactions[[#This Row],[discount_pct]]&lt;=20%,"11–20%","&gt;20%")))</f>
        <v>0%</v>
      </c>
      <c r="P2513" s="13" t="str">
        <f>_xlfn.XLOOKUP(tblTransactions[[#This Row],[tenant_id]],tblTenants[tenant_id],tblTenants[zone],"NOT FOUND")</f>
        <v>Home &amp; Living</v>
      </c>
      <c r="Q2513" s="13" t="str">
        <f>_xlfn.XLOOKUP(tblTransactions[[#This Row],[tenant_id]],tblTenants[tenant_id],tblTenants[category],"NOT FOUND")</f>
        <v>Electronics</v>
      </c>
    </row>
    <row r="2514" spans="1:17">
      <c r="A2514" t="s">
        <v>2558</v>
      </c>
      <c r="B2514" s="2">
        <v>45677</v>
      </c>
      <c r="C2514">
        <v>20</v>
      </c>
      <c r="D2514" t="s">
        <v>11</v>
      </c>
      <c r="E2514" t="s">
        <v>12</v>
      </c>
      <c r="F2514" s="7">
        <v>746.95</v>
      </c>
      <c r="G2514" s="10">
        <v>0</v>
      </c>
      <c r="H2514" s="7">
        <v>746.95</v>
      </c>
      <c r="I2514">
        <v>2</v>
      </c>
      <c r="J2514" t="s">
        <v>13</v>
      </c>
      <c r="K2514" s="13">
        <f>ROUND(tblTransactions[[#This Row],[gross_sales_inr]]*(1-tblTransactions[[#This Row],[discount_pct]]),2)</f>
        <v>746.95</v>
      </c>
      <c r="L2514" t="str">
        <f>IF(ABS(tblTransactions[[#This Row],[net_sales_inr]]-tblTransactions[[#This Row],[Recalc_Net_Sales]])&lt;0.02,"OK","CHECK")</f>
        <v>OK</v>
      </c>
      <c r="M2514" s="14">
        <f>DATE(YEAR(tblTransactions[[#This Row],[date]]),MONTH(tblTransactions[[#This Row],[date]]),1)</f>
        <v>45658</v>
      </c>
      <c r="N2514" t="str">
        <f>IF(WEEKDAY(tblTransactions[[#This Row],[date]],2)&gt;5,"Weekend","Weekday")</f>
        <v>Weekday</v>
      </c>
      <c r="O2514" s="13" t="str">
        <f>IF(tblTransactions[[#This Row],[discount_pct]]=0,"0%",IF(tblTransactions[[#This Row],[discount_pct]]&lt;=10%,"1–
10%",IF(tblTransactions[[#This Row],[discount_pct]]&lt;=20%,"11–20%","&gt;20%")))</f>
        <v>0%</v>
      </c>
      <c r="P2514" s="13" t="str">
        <f>_xlfn.XLOOKUP(tblTransactions[[#This Row],[tenant_id]],tblTenants[tenant_id],tblTenants[zone],"NOT FOUND")</f>
        <v>Home &amp; Living</v>
      </c>
      <c r="Q2514" s="13" t="str">
        <f>_xlfn.XLOOKUP(tblTransactions[[#This Row],[tenant_id]],tblTenants[tenant_id],tblTenants[category],"NOT FOUND")</f>
        <v>Home Decor</v>
      </c>
    </row>
    <row r="2515" spans="1:17">
      <c r="A2515" t="s">
        <v>2559</v>
      </c>
      <c r="B2515" s="2">
        <v>45702</v>
      </c>
      <c r="C2515">
        <v>12</v>
      </c>
      <c r="D2515" t="s">
        <v>48</v>
      </c>
      <c r="E2515" t="s">
        <v>12</v>
      </c>
      <c r="F2515" s="7">
        <v>1517.53</v>
      </c>
      <c r="G2515" s="10">
        <v>0.1</v>
      </c>
      <c r="H2515" s="7">
        <v>1365.78</v>
      </c>
      <c r="I2515">
        <v>6</v>
      </c>
      <c r="J2515" t="s">
        <v>16</v>
      </c>
      <c r="K2515" s="13">
        <f>ROUND(tblTransactions[[#This Row],[gross_sales_inr]]*(1-tblTransactions[[#This Row],[discount_pct]]),2)</f>
        <v>1365.78</v>
      </c>
      <c r="L2515" t="str">
        <f>IF(ABS(tblTransactions[[#This Row],[net_sales_inr]]-tblTransactions[[#This Row],[Recalc_Net_Sales]])&lt;0.02,"OK","CHECK")</f>
        <v>OK</v>
      </c>
      <c r="M2515" s="14">
        <f>DATE(YEAR(tblTransactions[[#This Row],[date]]),MONTH(tblTransactions[[#This Row],[date]]),1)</f>
        <v>45689</v>
      </c>
      <c r="N2515" t="str">
        <f>IF(WEEKDAY(tblTransactions[[#This Row],[date]],2)&gt;5,"Weekend","Weekday")</f>
        <v>Weekday</v>
      </c>
      <c r="O251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15" s="13" t="str">
        <f>_xlfn.XLOOKUP(tblTransactions[[#This Row],[tenant_id]],tblTenants[tenant_id],tblTenants[zone],"NOT FOUND")</f>
        <v>Beauty &amp; Wellness</v>
      </c>
      <c r="Q2515" s="13" t="str">
        <f>_xlfn.XLOOKUP(tblTransactions[[#This Row],[tenant_id]],tblTenants[tenant_id],tblTenants[category],"NOT FOUND")</f>
        <v>Wellness</v>
      </c>
    </row>
    <row r="2516" spans="1:17">
      <c r="A2516" t="s">
        <v>2560</v>
      </c>
      <c r="B2516" s="2">
        <v>45815</v>
      </c>
      <c r="C2516">
        <v>14</v>
      </c>
      <c r="D2516" t="s">
        <v>41</v>
      </c>
      <c r="E2516" t="s">
        <v>12</v>
      </c>
      <c r="F2516" s="7">
        <v>1162.83</v>
      </c>
      <c r="G2516" s="10">
        <v>0.1</v>
      </c>
      <c r="H2516" s="7">
        <v>1046.55</v>
      </c>
      <c r="I2516">
        <v>2</v>
      </c>
      <c r="J2516" t="s">
        <v>13</v>
      </c>
      <c r="K2516" s="13">
        <f>ROUND(tblTransactions[[#This Row],[gross_sales_inr]]*(1-tblTransactions[[#This Row],[discount_pct]]),2)</f>
        <v>1046.55</v>
      </c>
      <c r="L2516" t="str">
        <f>IF(ABS(tblTransactions[[#This Row],[net_sales_inr]]-tblTransactions[[#This Row],[Recalc_Net_Sales]])&lt;0.02,"OK","CHECK")</f>
        <v>OK</v>
      </c>
      <c r="M2516" s="14">
        <f>DATE(YEAR(tblTransactions[[#This Row],[date]]),MONTH(tblTransactions[[#This Row],[date]]),1)</f>
        <v>45809</v>
      </c>
      <c r="N2516" t="str">
        <f>IF(WEEKDAY(tblTransactions[[#This Row],[date]],2)&gt;5,"Weekend","Weekday")</f>
        <v>Weekend</v>
      </c>
      <c r="O251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16" s="13" t="str">
        <f>_xlfn.XLOOKUP(tblTransactions[[#This Row],[tenant_id]],tblTenants[tenant_id],tblTenants[zone],"NOT FOUND")</f>
        <v>Fashion Avenue</v>
      </c>
      <c r="Q2516" s="13" t="str">
        <f>_xlfn.XLOOKUP(tblTransactions[[#This Row],[tenant_id]],tblTenants[tenant_id],tblTenants[category],"NOT FOUND")</f>
        <v>Clothing</v>
      </c>
    </row>
    <row r="2517" spans="1:17">
      <c r="A2517" t="s">
        <v>2561</v>
      </c>
      <c r="B2517" s="2">
        <v>45805</v>
      </c>
      <c r="C2517">
        <v>15</v>
      </c>
      <c r="D2517" t="s">
        <v>18</v>
      </c>
      <c r="E2517" t="s">
        <v>12</v>
      </c>
      <c r="F2517" s="7">
        <v>1178.83</v>
      </c>
      <c r="G2517" s="10">
        <v>0</v>
      </c>
      <c r="H2517" s="7">
        <v>1178.83</v>
      </c>
      <c r="I2517">
        <v>1</v>
      </c>
      <c r="J2517" t="s">
        <v>13</v>
      </c>
      <c r="K2517" s="13">
        <f>ROUND(tblTransactions[[#This Row],[gross_sales_inr]]*(1-tblTransactions[[#This Row],[discount_pct]]),2)</f>
        <v>1178.83</v>
      </c>
      <c r="L2517" t="str">
        <f>IF(ABS(tblTransactions[[#This Row],[net_sales_inr]]-tblTransactions[[#This Row],[Recalc_Net_Sales]])&lt;0.02,"OK","CHECK")</f>
        <v>OK</v>
      </c>
      <c r="M2517" s="14">
        <f>DATE(YEAR(tblTransactions[[#This Row],[date]]),MONTH(tblTransactions[[#This Row],[date]]),1)</f>
        <v>45778</v>
      </c>
      <c r="N2517" t="str">
        <f>IF(WEEKDAY(tblTransactions[[#This Row],[date]],2)&gt;5,"Weekend","Weekday")</f>
        <v>Weekday</v>
      </c>
      <c r="O2517" s="13" t="str">
        <f>IF(tblTransactions[[#This Row],[discount_pct]]=0,"0%",IF(tblTransactions[[#This Row],[discount_pct]]&lt;=10%,"1–
10%",IF(tblTransactions[[#This Row],[discount_pct]]&lt;=20%,"11–20%","&gt;20%")))</f>
        <v>0%</v>
      </c>
      <c r="P2517" s="13" t="str">
        <f>_xlfn.XLOOKUP(tblTransactions[[#This Row],[tenant_id]],tblTenants[tenant_id],tblTenants[zone],"NOT FOUND")</f>
        <v>Beauty &amp; Wellness</v>
      </c>
      <c r="Q2517" s="13" t="str">
        <f>_xlfn.XLOOKUP(tblTransactions[[#This Row],[tenant_id]],tblTenants[tenant_id],tblTenants[category],"NOT FOUND")</f>
        <v>Beauty</v>
      </c>
    </row>
    <row r="2518" spans="1:17">
      <c r="A2518" t="s">
        <v>2562</v>
      </c>
      <c r="B2518" s="2">
        <v>45664</v>
      </c>
      <c r="C2518">
        <v>18</v>
      </c>
      <c r="D2518" t="s">
        <v>59</v>
      </c>
      <c r="E2518" t="s">
        <v>12</v>
      </c>
      <c r="F2518" s="7">
        <v>262.76</v>
      </c>
      <c r="G2518" s="10">
        <v>0</v>
      </c>
      <c r="H2518" s="7">
        <v>262.76</v>
      </c>
      <c r="I2518">
        <v>3</v>
      </c>
      <c r="J2518" t="s">
        <v>13</v>
      </c>
      <c r="K2518" s="13">
        <f>ROUND(tblTransactions[[#This Row],[gross_sales_inr]]*(1-tblTransactions[[#This Row],[discount_pct]]),2)</f>
        <v>262.76</v>
      </c>
      <c r="L2518" t="str">
        <f>IF(ABS(tblTransactions[[#This Row],[net_sales_inr]]-tblTransactions[[#This Row],[Recalc_Net_Sales]])&lt;0.02,"OK","CHECK")</f>
        <v>OK</v>
      </c>
      <c r="M2518" s="14">
        <f>DATE(YEAR(tblTransactions[[#This Row],[date]]),MONTH(tblTransactions[[#This Row],[date]]),1)</f>
        <v>45658</v>
      </c>
      <c r="N2518" t="str">
        <f>IF(WEEKDAY(tblTransactions[[#This Row],[date]],2)&gt;5,"Weekend","Weekday")</f>
        <v>Weekday</v>
      </c>
      <c r="O2518" s="13" t="str">
        <f>IF(tblTransactions[[#This Row],[discount_pct]]=0,"0%",IF(tblTransactions[[#This Row],[discount_pct]]&lt;=10%,"1–
10%",IF(tblTransactions[[#This Row],[discount_pct]]&lt;=20%,"11–20%","&gt;20%")))</f>
        <v>0%</v>
      </c>
      <c r="P2518" s="13" t="str">
        <f>_xlfn.XLOOKUP(tblTransactions[[#This Row],[tenant_id]],tblTenants[tenant_id],tblTenants[zone],"NOT FOUND")</f>
        <v>Fashion Avenue</v>
      </c>
      <c r="Q2518" s="13" t="str">
        <f>_xlfn.XLOOKUP(tblTransactions[[#This Row],[tenant_id]],tblTenants[tenant_id],tblTenants[category],"NOT FOUND")</f>
        <v>Footwear</v>
      </c>
    </row>
    <row r="2519" spans="1:17">
      <c r="A2519" t="s">
        <v>2563</v>
      </c>
      <c r="B2519" s="2">
        <v>45743</v>
      </c>
      <c r="C2519">
        <v>16</v>
      </c>
      <c r="D2519" t="s">
        <v>55</v>
      </c>
      <c r="E2519" t="s">
        <v>12</v>
      </c>
      <c r="F2519" s="7">
        <v>2304.38</v>
      </c>
      <c r="G2519" s="10">
        <v>0.15</v>
      </c>
      <c r="H2519" s="7">
        <v>1958.72</v>
      </c>
      <c r="I2519">
        <v>3</v>
      </c>
      <c r="J2519" t="s">
        <v>13</v>
      </c>
      <c r="K2519" s="13">
        <f>ROUND(tblTransactions[[#This Row],[gross_sales_inr]]*(1-tblTransactions[[#This Row],[discount_pct]]),2)</f>
        <v>1958.72</v>
      </c>
      <c r="L2519" t="str">
        <f>IF(ABS(tblTransactions[[#This Row],[net_sales_inr]]-tblTransactions[[#This Row],[Recalc_Net_Sales]])&lt;0.02,"OK","CHECK")</f>
        <v>OK</v>
      </c>
      <c r="M2519" s="14">
        <f>DATE(YEAR(tblTransactions[[#This Row],[date]]),MONTH(tblTransactions[[#This Row],[date]]),1)</f>
        <v>45717</v>
      </c>
      <c r="N2519" t="str">
        <f>IF(WEEKDAY(tblTransactions[[#This Row],[date]],2)&gt;5,"Weekend","Weekday")</f>
        <v>Weekday</v>
      </c>
      <c r="O251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19" s="13" t="str">
        <f>_xlfn.XLOOKUP(tblTransactions[[#This Row],[tenant_id]],tblTenants[tenant_id],tblTenants[zone],"NOT FOUND")</f>
        <v>Food Court</v>
      </c>
      <c r="Q2519" s="13" t="str">
        <f>_xlfn.XLOOKUP(tblTransactions[[#This Row],[tenant_id]],tblTenants[tenant_id],tblTenants[category],"NOT FOUND")</f>
        <v>Quick Service</v>
      </c>
    </row>
    <row r="2520" spans="1:17">
      <c r="A2520" t="s">
        <v>2564</v>
      </c>
      <c r="B2520" s="2">
        <v>45780</v>
      </c>
      <c r="C2520">
        <v>18</v>
      </c>
      <c r="D2520" t="s">
        <v>36</v>
      </c>
      <c r="E2520" t="s">
        <v>12</v>
      </c>
      <c r="F2520" s="7">
        <v>1450.99</v>
      </c>
      <c r="G2520" s="10">
        <v>0.15</v>
      </c>
      <c r="H2520" s="7">
        <v>1233.3399999999999</v>
      </c>
      <c r="I2520">
        <v>2</v>
      </c>
      <c r="J2520" t="s">
        <v>13</v>
      </c>
      <c r="K2520" s="13">
        <f>ROUND(tblTransactions[[#This Row],[gross_sales_inr]]*(1-tblTransactions[[#This Row],[discount_pct]]),2)</f>
        <v>1233.3399999999999</v>
      </c>
      <c r="L2520" t="str">
        <f>IF(ABS(tblTransactions[[#This Row],[net_sales_inr]]-tblTransactions[[#This Row],[Recalc_Net_Sales]])&lt;0.02,"OK","CHECK")</f>
        <v>OK</v>
      </c>
      <c r="M2520" s="14">
        <f>DATE(YEAR(tblTransactions[[#This Row],[date]]),MONTH(tblTransactions[[#This Row],[date]]),1)</f>
        <v>45778</v>
      </c>
      <c r="N2520" t="str">
        <f>IF(WEEKDAY(tblTransactions[[#This Row],[date]],2)&gt;5,"Weekend","Weekday")</f>
        <v>Weekend</v>
      </c>
      <c r="O252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20" s="13" t="str">
        <f>_xlfn.XLOOKUP(tblTransactions[[#This Row],[tenant_id]],tblTenants[tenant_id],tblTenants[zone],"NOT FOUND")</f>
        <v>Home &amp; Living</v>
      </c>
      <c r="Q2520" s="13" t="str">
        <f>_xlfn.XLOOKUP(tblTransactions[[#This Row],[tenant_id]],tblTenants[tenant_id],tblTenants[category],"NOT FOUND")</f>
        <v>Electronics</v>
      </c>
    </row>
    <row r="2521" spans="1:17">
      <c r="A2521" t="s">
        <v>2565</v>
      </c>
      <c r="B2521" s="2">
        <v>45679</v>
      </c>
      <c r="C2521">
        <v>17</v>
      </c>
      <c r="D2521" t="s">
        <v>98</v>
      </c>
      <c r="E2521" t="s">
        <v>12</v>
      </c>
      <c r="F2521" s="7">
        <v>549.69000000000005</v>
      </c>
      <c r="G2521" s="10">
        <v>0</v>
      </c>
      <c r="H2521" s="7">
        <v>549.69000000000005</v>
      </c>
      <c r="I2521">
        <v>1</v>
      </c>
      <c r="J2521" t="s">
        <v>16</v>
      </c>
      <c r="K2521" s="13">
        <f>ROUND(tblTransactions[[#This Row],[gross_sales_inr]]*(1-tblTransactions[[#This Row],[discount_pct]]),2)</f>
        <v>549.69000000000005</v>
      </c>
      <c r="L2521" t="str">
        <f>IF(ABS(tblTransactions[[#This Row],[net_sales_inr]]-tblTransactions[[#This Row],[Recalc_Net_Sales]])&lt;0.02,"OK","CHECK")</f>
        <v>OK</v>
      </c>
      <c r="M2521" s="14">
        <f>DATE(YEAR(tblTransactions[[#This Row],[date]]),MONTH(tblTransactions[[#This Row],[date]]),1)</f>
        <v>45658</v>
      </c>
      <c r="N2521" t="str">
        <f>IF(WEEKDAY(tblTransactions[[#This Row],[date]],2)&gt;5,"Weekend","Weekday")</f>
        <v>Weekday</v>
      </c>
      <c r="O2521" s="13" t="str">
        <f>IF(tblTransactions[[#This Row],[discount_pct]]=0,"0%",IF(tblTransactions[[#This Row],[discount_pct]]&lt;=10%,"1–
10%",IF(tblTransactions[[#This Row],[discount_pct]]&lt;=20%,"11–20%","&gt;20%")))</f>
        <v>0%</v>
      </c>
      <c r="P2521" s="13" t="str">
        <f>_xlfn.XLOOKUP(tblTransactions[[#This Row],[tenant_id]],tblTenants[tenant_id],tblTenants[zone],"NOT FOUND")</f>
        <v>Fashion Avenue</v>
      </c>
      <c r="Q2521" s="13" t="str">
        <f>_xlfn.XLOOKUP(tblTransactions[[#This Row],[tenant_id]],tblTenants[tenant_id],tblTenants[category],"NOT FOUND")</f>
        <v>Accessories</v>
      </c>
    </row>
    <row r="2522" spans="1:17">
      <c r="A2522" t="s">
        <v>2566</v>
      </c>
      <c r="B2522" s="2">
        <v>45804</v>
      </c>
      <c r="C2522">
        <v>15</v>
      </c>
      <c r="D2522" t="s">
        <v>204</v>
      </c>
      <c r="E2522" t="s">
        <v>12</v>
      </c>
      <c r="F2522" s="7">
        <v>355.7</v>
      </c>
      <c r="G2522" s="10">
        <v>0.1</v>
      </c>
      <c r="H2522" s="7">
        <v>320.13</v>
      </c>
      <c r="I2522">
        <v>3</v>
      </c>
      <c r="J2522" t="s">
        <v>16</v>
      </c>
      <c r="K2522" s="13">
        <f>ROUND(tblTransactions[[#This Row],[gross_sales_inr]]*(1-tblTransactions[[#This Row],[discount_pct]]),2)</f>
        <v>320.13</v>
      </c>
      <c r="L2522" t="str">
        <f>IF(ABS(tblTransactions[[#This Row],[net_sales_inr]]-tblTransactions[[#This Row],[Recalc_Net_Sales]])&lt;0.02,"OK","CHECK")</f>
        <v>OK</v>
      </c>
      <c r="M2522" s="14">
        <f>DATE(YEAR(tblTransactions[[#This Row],[date]]),MONTH(tblTransactions[[#This Row],[date]]),1)</f>
        <v>45778</v>
      </c>
      <c r="N2522" t="str">
        <f>IF(WEEKDAY(tblTransactions[[#This Row],[date]],2)&gt;5,"Weekend","Weekday")</f>
        <v>Weekday</v>
      </c>
      <c r="O252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22" s="13" t="str">
        <f>_xlfn.XLOOKUP(tblTransactions[[#This Row],[tenant_id]],tblTenants[tenant_id],tblTenants[zone],"NOT FOUND")</f>
        <v>Home &amp; Living</v>
      </c>
      <c r="Q2522" s="13" t="str">
        <f>_xlfn.XLOOKUP(tblTransactions[[#This Row],[tenant_id]],tblTenants[tenant_id],tblTenants[category],"NOT FOUND")</f>
        <v>Home Decor</v>
      </c>
    </row>
    <row r="2523" spans="1:17">
      <c r="A2523" t="s">
        <v>2567</v>
      </c>
      <c r="B2523" s="2">
        <v>45766</v>
      </c>
      <c r="C2523">
        <v>14</v>
      </c>
      <c r="D2523" t="s">
        <v>43</v>
      </c>
      <c r="E2523" t="s">
        <v>12</v>
      </c>
      <c r="F2523" s="7">
        <v>3192.17</v>
      </c>
      <c r="G2523" s="10">
        <v>0.05</v>
      </c>
      <c r="H2523" s="7">
        <v>3032.56</v>
      </c>
      <c r="I2523">
        <v>2</v>
      </c>
      <c r="J2523" t="s">
        <v>13</v>
      </c>
      <c r="K2523" s="13">
        <f>ROUND(tblTransactions[[#This Row],[gross_sales_inr]]*(1-tblTransactions[[#This Row],[discount_pct]]),2)</f>
        <v>3032.56</v>
      </c>
      <c r="L2523" t="str">
        <f>IF(ABS(tblTransactions[[#This Row],[net_sales_inr]]-tblTransactions[[#This Row],[Recalc_Net_Sales]])&lt;0.02,"OK","CHECK")</f>
        <v>OK</v>
      </c>
      <c r="M2523" s="14">
        <f>DATE(YEAR(tblTransactions[[#This Row],[date]]),MONTH(tblTransactions[[#This Row],[date]]),1)</f>
        <v>45748</v>
      </c>
      <c r="N2523" t="str">
        <f>IF(WEEKDAY(tblTransactions[[#This Row],[date]],2)&gt;5,"Weekend","Weekday")</f>
        <v>Weekend</v>
      </c>
      <c r="O252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23" s="13" t="str">
        <f>_xlfn.XLOOKUP(tblTransactions[[#This Row],[tenant_id]],tblTenants[tenant_id],tblTenants[zone],"NOT FOUND")</f>
        <v>Food Court</v>
      </c>
      <c r="Q2523" s="13" t="str">
        <f>_xlfn.XLOOKUP(tblTransactions[[#This Row],[tenant_id]],tblTenants[tenant_id],tblTenants[category],"NOT FOUND")</f>
        <v>Casual Dining</v>
      </c>
    </row>
    <row r="2524" spans="1:17">
      <c r="A2524" t="s">
        <v>2568</v>
      </c>
      <c r="B2524" s="2">
        <v>45704</v>
      </c>
      <c r="C2524">
        <v>20</v>
      </c>
      <c r="D2524" t="s">
        <v>43</v>
      </c>
      <c r="E2524" t="s">
        <v>32</v>
      </c>
      <c r="F2524" s="7">
        <v>1970.11</v>
      </c>
      <c r="G2524" s="10">
        <v>0</v>
      </c>
      <c r="H2524" s="7">
        <v>1970.11</v>
      </c>
      <c r="I2524">
        <v>3</v>
      </c>
      <c r="J2524" t="s">
        <v>13</v>
      </c>
      <c r="K2524" s="13">
        <f>ROUND(tblTransactions[[#This Row],[gross_sales_inr]]*(1-tblTransactions[[#This Row],[discount_pct]]),2)</f>
        <v>1970.11</v>
      </c>
      <c r="L2524" t="str">
        <f>IF(ABS(tblTransactions[[#This Row],[net_sales_inr]]-tblTransactions[[#This Row],[Recalc_Net_Sales]])&lt;0.02,"OK","CHECK")</f>
        <v>OK</v>
      </c>
      <c r="M2524" s="14">
        <f>DATE(YEAR(tblTransactions[[#This Row],[date]]),MONTH(tblTransactions[[#This Row],[date]]),1)</f>
        <v>45689</v>
      </c>
      <c r="N2524" t="str">
        <f>IF(WEEKDAY(tblTransactions[[#This Row],[date]],2)&gt;5,"Weekend","Weekday")</f>
        <v>Weekend</v>
      </c>
      <c r="O2524" s="13" t="str">
        <f>IF(tblTransactions[[#This Row],[discount_pct]]=0,"0%",IF(tblTransactions[[#This Row],[discount_pct]]&lt;=10%,"1–
10%",IF(tblTransactions[[#This Row],[discount_pct]]&lt;=20%,"11–20%","&gt;20%")))</f>
        <v>0%</v>
      </c>
      <c r="P2524" s="13" t="str">
        <f>_xlfn.XLOOKUP(tblTransactions[[#This Row],[tenant_id]],tblTenants[tenant_id],tblTenants[zone],"NOT FOUND")</f>
        <v>Food Court</v>
      </c>
      <c r="Q2524" s="13" t="str">
        <f>_xlfn.XLOOKUP(tblTransactions[[#This Row],[tenant_id]],tblTenants[tenant_id],tblTenants[category],"NOT FOUND")</f>
        <v>Casual Dining</v>
      </c>
    </row>
    <row r="2525" spans="1:17">
      <c r="A2525" t="s">
        <v>2569</v>
      </c>
      <c r="B2525" s="2">
        <v>45661</v>
      </c>
      <c r="C2525">
        <v>22</v>
      </c>
      <c r="D2525" t="s">
        <v>72</v>
      </c>
      <c r="E2525" t="s">
        <v>12</v>
      </c>
      <c r="F2525" s="7">
        <v>1391.94</v>
      </c>
      <c r="G2525" s="10">
        <v>0</v>
      </c>
      <c r="H2525" s="7">
        <v>1391.94</v>
      </c>
      <c r="I2525">
        <v>1</v>
      </c>
      <c r="J2525" t="s">
        <v>13</v>
      </c>
      <c r="K2525" s="13">
        <f>ROUND(tblTransactions[[#This Row],[gross_sales_inr]]*(1-tblTransactions[[#This Row],[discount_pct]]),2)</f>
        <v>1391.94</v>
      </c>
      <c r="L2525" t="str">
        <f>IF(ABS(tblTransactions[[#This Row],[net_sales_inr]]-tblTransactions[[#This Row],[Recalc_Net_Sales]])&lt;0.02,"OK","CHECK")</f>
        <v>OK</v>
      </c>
      <c r="M2525" s="14">
        <f>DATE(YEAR(tblTransactions[[#This Row],[date]]),MONTH(tblTransactions[[#This Row],[date]]),1)</f>
        <v>45658</v>
      </c>
      <c r="N2525" t="str">
        <f>IF(WEEKDAY(tblTransactions[[#This Row],[date]],2)&gt;5,"Weekend","Weekday")</f>
        <v>Weekend</v>
      </c>
      <c r="O2525" s="13" t="str">
        <f>IF(tblTransactions[[#This Row],[discount_pct]]=0,"0%",IF(tblTransactions[[#This Row],[discount_pct]]&lt;=10%,"1–
10%",IF(tblTransactions[[#This Row],[discount_pct]]&lt;=20%,"11–20%","&gt;20%")))</f>
        <v>0%</v>
      </c>
      <c r="P2525" s="13" t="str">
        <f>_xlfn.XLOOKUP(tblTransactions[[#This Row],[tenant_id]],tblTenants[tenant_id],tblTenants[zone],"NOT FOUND")</f>
        <v>Entertainment</v>
      </c>
      <c r="Q2525" s="13" t="str">
        <f>_xlfn.XLOOKUP(tblTransactions[[#This Row],[tenant_id]],tblTenants[tenant_id],tblTenants[category],"NOT FOUND")</f>
        <v>Arcade</v>
      </c>
    </row>
    <row r="2526" spans="1:17">
      <c r="A2526" t="s">
        <v>2570</v>
      </c>
      <c r="B2526" s="2">
        <v>45732</v>
      </c>
      <c r="C2526">
        <v>14</v>
      </c>
      <c r="D2526" t="s">
        <v>11</v>
      </c>
      <c r="E2526" t="s">
        <v>21</v>
      </c>
      <c r="F2526" s="7">
        <v>945.18</v>
      </c>
      <c r="G2526" s="10">
        <v>0.3</v>
      </c>
      <c r="H2526" s="7">
        <v>661.63</v>
      </c>
      <c r="I2526">
        <v>4</v>
      </c>
      <c r="J2526" t="s">
        <v>16</v>
      </c>
      <c r="K2526" s="13">
        <f>ROUND(tblTransactions[[#This Row],[gross_sales_inr]]*(1-tblTransactions[[#This Row],[discount_pct]]),2)</f>
        <v>661.63</v>
      </c>
      <c r="L2526" t="str">
        <f>IF(ABS(tblTransactions[[#This Row],[net_sales_inr]]-tblTransactions[[#This Row],[Recalc_Net_Sales]])&lt;0.02,"OK","CHECK")</f>
        <v>OK</v>
      </c>
      <c r="M2526" s="14">
        <f>DATE(YEAR(tblTransactions[[#This Row],[date]]),MONTH(tblTransactions[[#This Row],[date]]),1)</f>
        <v>45717</v>
      </c>
      <c r="N2526" t="str">
        <f>IF(WEEKDAY(tblTransactions[[#This Row],[date]],2)&gt;5,"Weekend","Weekday")</f>
        <v>Weekend</v>
      </c>
      <c r="O2526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526" s="13" t="str">
        <f>_xlfn.XLOOKUP(tblTransactions[[#This Row],[tenant_id]],tblTenants[tenant_id],tblTenants[zone],"NOT FOUND")</f>
        <v>Home &amp; Living</v>
      </c>
      <c r="Q2526" s="13" t="str">
        <f>_xlfn.XLOOKUP(tblTransactions[[#This Row],[tenant_id]],tblTenants[tenant_id],tblTenants[category],"NOT FOUND")</f>
        <v>Home Decor</v>
      </c>
    </row>
    <row r="2527" spans="1:17">
      <c r="A2527" t="s">
        <v>2571</v>
      </c>
      <c r="B2527" s="2">
        <v>45713</v>
      </c>
      <c r="C2527">
        <v>13</v>
      </c>
      <c r="D2527" t="s">
        <v>104</v>
      </c>
      <c r="E2527" t="s">
        <v>12</v>
      </c>
      <c r="F2527" s="7">
        <v>1487.92</v>
      </c>
      <c r="G2527" s="10">
        <v>0.2</v>
      </c>
      <c r="H2527" s="7">
        <v>1190.3399999999999</v>
      </c>
      <c r="I2527">
        <v>4</v>
      </c>
      <c r="J2527" t="s">
        <v>13</v>
      </c>
      <c r="K2527" s="13">
        <f>ROUND(tblTransactions[[#This Row],[gross_sales_inr]]*(1-tblTransactions[[#This Row],[discount_pct]]),2)</f>
        <v>1190.3399999999999</v>
      </c>
      <c r="L2527" t="str">
        <f>IF(ABS(tblTransactions[[#This Row],[net_sales_inr]]-tblTransactions[[#This Row],[Recalc_Net_Sales]])&lt;0.02,"OK","CHECK")</f>
        <v>OK</v>
      </c>
      <c r="M2527" s="14">
        <f>DATE(YEAR(tblTransactions[[#This Row],[date]]),MONTH(tblTransactions[[#This Row],[date]]),1)</f>
        <v>45689</v>
      </c>
      <c r="N2527" t="str">
        <f>IF(WEEKDAY(tblTransactions[[#This Row],[date]],2)&gt;5,"Weekend","Weekday")</f>
        <v>Weekday</v>
      </c>
      <c r="O252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27" s="13" t="str">
        <f>_xlfn.XLOOKUP(tblTransactions[[#This Row],[tenant_id]],tblTenants[tenant_id],tblTenants[zone],"NOT FOUND")</f>
        <v>Entertainment</v>
      </c>
      <c r="Q2527" s="13" t="str">
        <f>_xlfn.XLOOKUP(tblTransactions[[#This Row],[tenant_id]],tblTenants[tenant_id],tblTenants[category],"NOT FOUND")</f>
        <v>Family Entertainment</v>
      </c>
    </row>
    <row r="2528" spans="1:17">
      <c r="A2528" t="s">
        <v>2572</v>
      </c>
      <c r="B2528" s="2">
        <v>45823</v>
      </c>
      <c r="C2528">
        <v>21</v>
      </c>
      <c r="D2528" t="s">
        <v>34</v>
      </c>
      <c r="E2528" t="s">
        <v>12</v>
      </c>
      <c r="F2528" s="7">
        <v>990.64</v>
      </c>
      <c r="G2528" s="10">
        <v>0</v>
      </c>
      <c r="H2528" s="7">
        <v>990.64</v>
      </c>
      <c r="I2528">
        <v>1</v>
      </c>
      <c r="J2528" t="s">
        <v>16</v>
      </c>
      <c r="K2528" s="13">
        <f>ROUND(tblTransactions[[#This Row],[gross_sales_inr]]*(1-tblTransactions[[#This Row],[discount_pct]]),2)</f>
        <v>990.64</v>
      </c>
      <c r="L2528" t="str">
        <f>IF(ABS(tblTransactions[[#This Row],[net_sales_inr]]-tblTransactions[[#This Row],[Recalc_Net_Sales]])&lt;0.02,"OK","CHECK")</f>
        <v>OK</v>
      </c>
      <c r="M2528" s="14">
        <f>DATE(YEAR(tblTransactions[[#This Row],[date]]),MONTH(tblTransactions[[#This Row],[date]]),1)</f>
        <v>45809</v>
      </c>
      <c r="N2528" t="str">
        <f>IF(WEEKDAY(tblTransactions[[#This Row],[date]],2)&gt;5,"Weekend","Weekday")</f>
        <v>Weekend</v>
      </c>
      <c r="O2528" s="13" t="str">
        <f>IF(tblTransactions[[#This Row],[discount_pct]]=0,"0%",IF(tblTransactions[[#This Row],[discount_pct]]&lt;=10%,"1–
10%",IF(tblTransactions[[#This Row],[discount_pct]]&lt;=20%,"11–20%","&gt;20%")))</f>
        <v>0%</v>
      </c>
      <c r="P2528" s="13" t="str">
        <f>_xlfn.XLOOKUP(tblTransactions[[#This Row],[tenant_id]],tblTenants[tenant_id],tblTenants[zone],"NOT FOUND")</f>
        <v>Home &amp; Living</v>
      </c>
      <c r="Q2528" s="13" t="str">
        <f>_xlfn.XLOOKUP(tblTransactions[[#This Row],[tenant_id]],tblTenants[tenant_id],tblTenants[category],"NOT FOUND")</f>
        <v>Electronics</v>
      </c>
    </row>
    <row r="2529" spans="1:17">
      <c r="A2529" t="s">
        <v>2573</v>
      </c>
      <c r="B2529" s="2">
        <v>45792</v>
      </c>
      <c r="C2529">
        <v>12</v>
      </c>
      <c r="D2529" t="s">
        <v>87</v>
      </c>
      <c r="E2529" t="s">
        <v>12</v>
      </c>
      <c r="F2529" s="7">
        <v>3662.08</v>
      </c>
      <c r="G2529" s="10">
        <v>0</v>
      </c>
      <c r="H2529" s="7">
        <v>3662.08</v>
      </c>
      <c r="I2529">
        <v>1</v>
      </c>
      <c r="J2529" t="s">
        <v>13</v>
      </c>
      <c r="K2529" s="13">
        <f>ROUND(tblTransactions[[#This Row],[gross_sales_inr]]*(1-tblTransactions[[#This Row],[discount_pct]]),2)</f>
        <v>3662.08</v>
      </c>
      <c r="L2529" t="str">
        <f>IF(ABS(tblTransactions[[#This Row],[net_sales_inr]]-tblTransactions[[#This Row],[Recalc_Net_Sales]])&lt;0.02,"OK","CHECK")</f>
        <v>OK</v>
      </c>
      <c r="M2529" s="14">
        <f>DATE(YEAR(tblTransactions[[#This Row],[date]]),MONTH(tblTransactions[[#This Row],[date]]),1)</f>
        <v>45778</v>
      </c>
      <c r="N2529" t="str">
        <f>IF(WEEKDAY(tblTransactions[[#This Row],[date]],2)&gt;5,"Weekend","Weekday")</f>
        <v>Weekday</v>
      </c>
      <c r="O2529" s="13" t="str">
        <f>IF(tblTransactions[[#This Row],[discount_pct]]=0,"0%",IF(tblTransactions[[#This Row],[discount_pct]]&lt;=10%,"1–
10%",IF(tblTransactions[[#This Row],[discount_pct]]&lt;=20%,"11–20%","&gt;20%")))</f>
        <v>0%</v>
      </c>
      <c r="P2529" s="13" t="str">
        <f>_xlfn.XLOOKUP(tblTransactions[[#This Row],[tenant_id]],tblTenants[tenant_id],tblTenants[zone],"NOT FOUND")</f>
        <v>Fashion Avenue</v>
      </c>
      <c r="Q2529" s="13" t="str">
        <f>_xlfn.XLOOKUP(tblTransactions[[#This Row],[tenant_id]],tblTenants[tenant_id],tblTenants[category],"NOT FOUND")</f>
        <v>Footwear</v>
      </c>
    </row>
    <row r="2530" spans="1:17">
      <c r="A2530" t="s">
        <v>2574</v>
      </c>
      <c r="B2530" s="2">
        <v>45785</v>
      </c>
      <c r="C2530">
        <v>12</v>
      </c>
      <c r="D2530" t="s">
        <v>18</v>
      </c>
      <c r="E2530" t="s">
        <v>12</v>
      </c>
      <c r="F2530" s="7">
        <v>1094.8900000000001</v>
      </c>
      <c r="G2530" s="10">
        <v>0</v>
      </c>
      <c r="H2530" s="7">
        <v>1094.8900000000001</v>
      </c>
      <c r="I2530">
        <v>3</v>
      </c>
      <c r="J2530" t="s">
        <v>13</v>
      </c>
      <c r="K2530" s="13">
        <f>ROUND(tblTransactions[[#This Row],[gross_sales_inr]]*(1-tblTransactions[[#This Row],[discount_pct]]),2)</f>
        <v>1094.8900000000001</v>
      </c>
      <c r="L2530" t="str">
        <f>IF(ABS(tblTransactions[[#This Row],[net_sales_inr]]-tblTransactions[[#This Row],[Recalc_Net_Sales]])&lt;0.02,"OK","CHECK")</f>
        <v>OK</v>
      </c>
      <c r="M2530" s="14">
        <f>DATE(YEAR(tblTransactions[[#This Row],[date]]),MONTH(tblTransactions[[#This Row],[date]]),1)</f>
        <v>45778</v>
      </c>
      <c r="N2530" t="str">
        <f>IF(WEEKDAY(tblTransactions[[#This Row],[date]],2)&gt;5,"Weekend","Weekday")</f>
        <v>Weekday</v>
      </c>
      <c r="O2530" s="13" t="str">
        <f>IF(tblTransactions[[#This Row],[discount_pct]]=0,"0%",IF(tblTransactions[[#This Row],[discount_pct]]&lt;=10%,"1–
10%",IF(tblTransactions[[#This Row],[discount_pct]]&lt;=20%,"11–20%","&gt;20%")))</f>
        <v>0%</v>
      </c>
      <c r="P2530" s="13" t="str">
        <f>_xlfn.XLOOKUP(tblTransactions[[#This Row],[tenant_id]],tblTenants[tenant_id],tblTenants[zone],"NOT FOUND")</f>
        <v>Beauty &amp; Wellness</v>
      </c>
      <c r="Q2530" s="13" t="str">
        <f>_xlfn.XLOOKUP(tblTransactions[[#This Row],[tenant_id]],tblTenants[tenant_id],tblTenants[category],"NOT FOUND")</f>
        <v>Beauty</v>
      </c>
    </row>
    <row r="2531" spans="1:17">
      <c r="A2531" t="s">
        <v>2575</v>
      </c>
      <c r="B2531" s="2">
        <v>45748</v>
      </c>
      <c r="C2531">
        <v>11</v>
      </c>
      <c r="D2531" t="s">
        <v>48</v>
      </c>
      <c r="E2531" t="s">
        <v>32</v>
      </c>
      <c r="F2531" s="7">
        <v>1195.54</v>
      </c>
      <c r="G2531" s="10">
        <v>0</v>
      </c>
      <c r="H2531" s="7">
        <v>1195.54</v>
      </c>
      <c r="I2531">
        <v>2</v>
      </c>
      <c r="J2531" t="s">
        <v>13</v>
      </c>
      <c r="K2531" s="13">
        <f>ROUND(tblTransactions[[#This Row],[gross_sales_inr]]*(1-tblTransactions[[#This Row],[discount_pct]]),2)</f>
        <v>1195.54</v>
      </c>
      <c r="L2531" t="str">
        <f>IF(ABS(tblTransactions[[#This Row],[net_sales_inr]]-tblTransactions[[#This Row],[Recalc_Net_Sales]])&lt;0.02,"OK","CHECK")</f>
        <v>OK</v>
      </c>
      <c r="M2531" s="14">
        <f>DATE(YEAR(tblTransactions[[#This Row],[date]]),MONTH(tblTransactions[[#This Row],[date]]),1)</f>
        <v>45748</v>
      </c>
      <c r="N2531" t="str">
        <f>IF(WEEKDAY(tblTransactions[[#This Row],[date]],2)&gt;5,"Weekend","Weekday")</f>
        <v>Weekday</v>
      </c>
      <c r="O2531" s="13" t="str">
        <f>IF(tblTransactions[[#This Row],[discount_pct]]=0,"0%",IF(tblTransactions[[#This Row],[discount_pct]]&lt;=10%,"1–
10%",IF(tblTransactions[[#This Row],[discount_pct]]&lt;=20%,"11–20%","&gt;20%")))</f>
        <v>0%</v>
      </c>
      <c r="P2531" s="13" t="str">
        <f>_xlfn.XLOOKUP(tblTransactions[[#This Row],[tenant_id]],tblTenants[tenant_id],tblTenants[zone],"NOT FOUND")</f>
        <v>Beauty &amp; Wellness</v>
      </c>
      <c r="Q2531" s="13" t="str">
        <f>_xlfn.XLOOKUP(tblTransactions[[#This Row],[tenant_id]],tblTenants[tenant_id],tblTenants[category],"NOT FOUND")</f>
        <v>Wellness</v>
      </c>
    </row>
    <row r="2532" spans="1:17">
      <c r="A2532" t="s">
        <v>2576</v>
      </c>
      <c r="B2532" s="2">
        <v>45697</v>
      </c>
      <c r="C2532">
        <v>15</v>
      </c>
      <c r="D2532" t="s">
        <v>23</v>
      </c>
      <c r="E2532" t="s">
        <v>32</v>
      </c>
      <c r="F2532" s="7">
        <v>983.99</v>
      </c>
      <c r="G2532" s="10">
        <v>0.2</v>
      </c>
      <c r="H2532" s="7">
        <v>787.19</v>
      </c>
      <c r="I2532">
        <v>3</v>
      </c>
      <c r="J2532" t="s">
        <v>13</v>
      </c>
      <c r="K2532" s="13">
        <f>ROUND(tblTransactions[[#This Row],[gross_sales_inr]]*(1-tblTransactions[[#This Row],[discount_pct]]),2)</f>
        <v>787.19</v>
      </c>
      <c r="L2532" t="str">
        <f>IF(ABS(tblTransactions[[#This Row],[net_sales_inr]]-tblTransactions[[#This Row],[Recalc_Net_Sales]])&lt;0.02,"OK","CHECK")</f>
        <v>OK</v>
      </c>
      <c r="M2532" s="14">
        <f>DATE(YEAR(tblTransactions[[#This Row],[date]]),MONTH(tblTransactions[[#This Row],[date]]),1)</f>
        <v>45689</v>
      </c>
      <c r="N2532" t="str">
        <f>IF(WEEKDAY(tblTransactions[[#This Row],[date]],2)&gt;5,"Weekend","Weekday")</f>
        <v>Weekend</v>
      </c>
      <c r="O253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32" s="13" t="str">
        <f>_xlfn.XLOOKUP(tblTransactions[[#This Row],[tenant_id]],tblTenants[tenant_id],tblTenants[zone],"NOT FOUND")</f>
        <v>Entertainment</v>
      </c>
      <c r="Q2532" s="13" t="str">
        <f>_xlfn.XLOOKUP(tblTransactions[[#This Row],[tenant_id]],tblTenants[tenant_id],tblTenants[category],"NOT FOUND")</f>
        <v>Cinema</v>
      </c>
    </row>
    <row r="2533" spans="1:17">
      <c r="A2533" t="s">
        <v>2577</v>
      </c>
      <c r="B2533" s="2">
        <v>45751</v>
      </c>
      <c r="C2533">
        <v>17</v>
      </c>
      <c r="D2533" t="s">
        <v>55</v>
      </c>
      <c r="E2533" t="s">
        <v>32</v>
      </c>
      <c r="F2533" s="7">
        <v>1639.22</v>
      </c>
      <c r="G2533" s="10">
        <v>0.2</v>
      </c>
      <c r="H2533" s="7">
        <v>1311.38</v>
      </c>
      <c r="I2533">
        <v>1</v>
      </c>
      <c r="J2533" t="s">
        <v>13</v>
      </c>
      <c r="K2533" s="13">
        <f>ROUND(tblTransactions[[#This Row],[gross_sales_inr]]*(1-tblTransactions[[#This Row],[discount_pct]]),2)</f>
        <v>1311.38</v>
      </c>
      <c r="L2533" t="str">
        <f>IF(ABS(tblTransactions[[#This Row],[net_sales_inr]]-tblTransactions[[#This Row],[Recalc_Net_Sales]])&lt;0.02,"OK","CHECK")</f>
        <v>OK</v>
      </c>
      <c r="M2533" s="14">
        <f>DATE(YEAR(tblTransactions[[#This Row],[date]]),MONTH(tblTransactions[[#This Row],[date]]),1)</f>
        <v>45748</v>
      </c>
      <c r="N2533" t="str">
        <f>IF(WEEKDAY(tblTransactions[[#This Row],[date]],2)&gt;5,"Weekend","Weekday")</f>
        <v>Weekday</v>
      </c>
      <c r="O253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33" s="13" t="str">
        <f>_xlfn.XLOOKUP(tblTransactions[[#This Row],[tenant_id]],tblTenants[tenant_id],tblTenants[zone],"NOT FOUND")</f>
        <v>Food Court</v>
      </c>
      <c r="Q2533" s="13" t="str">
        <f>_xlfn.XLOOKUP(tblTransactions[[#This Row],[tenant_id]],tblTenants[tenant_id],tblTenants[category],"NOT FOUND")</f>
        <v>Quick Service</v>
      </c>
    </row>
    <row r="2534" spans="1:17">
      <c r="A2534" t="s">
        <v>2578</v>
      </c>
      <c r="B2534" s="2">
        <v>45664</v>
      </c>
      <c r="C2534">
        <v>11</v>
      </c>
      <c r="D2534" t="s">
        <v>43</v>
      </c>
      <c r="E2534" t="s">
        <v>12</v>
      </c>
      <c r="F2534" s="7">
        <v>1089.67</v>
      </c>
      <c r="G2534" s="10">
        <v>0.3</v>
      </c>
      <c r="H2534" s="7">
        <v>762.77</v>
      </c>
      <c r="I2534">
        <v>2</v>
      </c>
      <c r="J2534" t="s">
        <v>13</v>
      </c>
      <c r="K2534" s="13">
        <f>ROUND(tblTransactions[[#This Row],[gross_sales_inr]]*(1-tblTransactions[[#This Row],[discount_pct]]),2)</f>
        <v>762.77</v>
      </c>
      <c r="L2534" t="str">
        <f>IF(ABS(tblTransactions[[#This Row],[net_sales_inr]]-tblTransactions[[#This Row],[Recalc_Net_Sales]])&lt;0.02,"OK","CHECK")</f>
        <v>OK</v>
      </c>
      <c r="M2534" s="14">
        <f>DATE(YEAR(tblTransactions[[#This Row],[date]]),MONTH(tblTransactions[[#This Row],[date]]),1)</f>
        <v>45658</v>
      </c>
      <c r="N2534" t="str">
        <f>IF(WEEKDAY(tblTransactions[[#This Row],[date]],2)&gt;5,"Weekend","Weekday")</f>
        <v>Weekday</v>
      </c>
      <c r="O253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534" s="13" t="str">
        <f>_xlfn.XLOOKUP(tblTransactions[[#This Row],[tenant_id]],tblTenants[tenant_id],tblTenants[zone],"NOT FOUND")</f>
        <v>Food Court</v>
      </c>
      <c r="Q2534" s="13" t="str">
        <f>_xlfn.XLOOKUP(tblTransactions[[#This Row],[tenant_id]],tblTenants[tenant_id],tblTenants[category],"NOT FOUND")</f>
        <v>Casual Dining</v>
      </c>
    </row>
    <row r="2535" spans="1:17">
      <c r="A2535" t="s">
        <v>2579</v>
      </c>
      <c r="B2535" s="2">
        <v>45696</v>
      </c>
      <c r="C2535">
        <v>10</v>
      </c>
      <c r="D2535" t="s">
        <v>41</v>
      </c>
      <c r="E2535" t="s">
        <v>12</v>
      </c>
      <c r="F2535" s="7">
        <v>554.22</v>
      </c>
      <c r="G2535" s="10">
        <v>0</v>
      </c>
      <c r="H2535" s="7">
        <v>554.22</v>
      </c>
      <c r="I2535">
        <v>2</v>
      </c>
      <c r="J2535" t="s">
        <v>16</v>
      </c>
      <c r="K2535" s="13">
        <f>ROUND(tblTransactions[[#This Row],[gross_sales_inr]]*(1-tblTransactions[[#This Row],[discount_pct]]),2)</f>
        <v>554.22</v>
      </c>
      <c r="L2535" t="str">
        <f>IF(ABS(tblTransactions[[#This Row],[net_sales_inr]]-tblTransactions[[#This Row],[Recalc_Net_Sales]])&lt;0.02,"OK","CHECK")</f>
        <v>OK</v>
      </c>
      <c r="M2535" s="14">
        <f>DATE(YEAR(tblTransactions[[#This Row],[date]]),MONTH(tblTransactions[[#This Row],[date]]),1)</f>
        <v>45689</v>
      </c>
      <c r="N2535" t="str">
        <f>IF(WEEKDAY(tblTransactions[[#This Row],[date]],2)&gt;5,"Weekend","Weekday")</f>
        <v>Weekend</v>
      </c>
      <c r="O2535" s="13" t="str">
        <f>IF(tblTransactions[[#This Row],[discount_pct]]=0,"0%",IF(tblTransactions[[#This Row],[discount_pct]]&lt;=10%,"1–
10%",IF(tblTransactions[[#This Row],[discount_pct]]&lt;=20%,"11–20%","&gt;20%")))</f>
        <v>0%</v>
      </c>
      <c r="P2535" s="13" t="str">
        <f>_xlfn.XLOOKUP(tblTransactions[[#This Row],[tenant_id]],tblTenants[tenant_id],tblTenants[zone],"NOT FOUND")</f>
        <v>Fashion Avenue</v>
      </c>
      <c r="Q2535" s="13" t="str">
        <f>_xlfn.XLOOKUP(tblTransactions[[#This Row],[tenant_id]],tblTenants[tenant_id],tblTenants[category],"NOT FOUND")</f>
        <v>Clothing</v>
      </c>
    </row>
    <row r="2536" spans="1:17">
      <c r="A2536" t="s">
        <v>2580</v>
      </c>
      <c r="B2536" s="2">
        <v>45751</v>
      </c>
      <c r="C2536">
        <v>20</v>
      </c>
      <c r="D2536" t="s">
        <v>72</v>
      </c>
      <c r="E2536" t="s">
        <v>51</v>
      </c>
      <c r="F2536" s="7">
        <v>1049.54</v>
      </c>
      <c r="G2536" s="10">
        <v>0.15</v>
      </c>
      <c r="H2536" s="7">
        <v>892.11</v>
      </c>
      <c r="I2536">
        <v>3</v>
      </c>
      <c r="J2536" t="s">
        <v>16</v>
      </c>
      <c r="K2536" s="13">
        <f>ROUND(tblTransactions[[#This Row],[gross_sales_inr]]*(1-tblTransactions[[#This Row],[discount_pct]]),2)</f>
        <v>892.11</v>
      </c>
      <c r="L2536" t="str">
        <f>IF(ABS(tblTransactions[[#This Row],[net_sales_inr]]-tblTransactions[[#This Row],[Recalc_Net_Sales]])&lt;0.02,"OK","CHECK")</f>
        <v>OK</v>
      </c>
      <c r="M2536" s="14">
        <f>DATE(YEAR(tblTransactions[[#This Row],[date]]),MONTH(tblTransactions[[#This Row],[date]]),1)</f>
        <v>45748</v>
      </c>
      <c r="N2536" t="str">
        <f>IF(WEEKDAY(tblTransactions[[#This Row],[date]],2)&gt;5,"Weekend","Weekday")</f>
        <v>Weekday</v>
      </c>
      <c r="O253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36" s="13" t="str">
        <f>_xlfn.XLOOKUP(tblTransactions[[#This Row],[tenant_id]],tblTenants[tenant_id],tblTenants[zone],"NOT FOUND")</f>
        <v>Entertainment</v>
      </c>
      <c r="Q2536" s="13" t="str">
        <f>_xlfn.XLOOKUP(tblTransactions[[#This Row],[tenant_id]],tblTenants[tenant_id],tblTenants[category],"NOT FOUND")</f>
        <v>Arcade</v>
      </c>
    </row>
    <row r="2537" spans="1:17">
      <c r="A2537" t="s">
        <v>2581</v>
      </c>
      <c r="B2537" s="2">
        <v>45821</v>
      </c>
      <c r="C2537">
        <v>20</v>
      </c>
      <c r="D2537" t="s">
        <v>29</v>
      </c>
      <c r="E2537" t="s">
        <v>12</v>
      </c>
      <c r="F2537" s="7">
        <v>824.05</v>
      </c>
      <c r="G2537" s="10">
        <v>0</v>
      </c>
      <c r="H2537" s="7">
        <v>824.05</v>
      </c>
      <c r="I2537">
        <v>1</v>
      </c>
      <c r="J2537" t="s">
        <v>13</v>
      </c>
      <c r="K2537" s="13">
        <f>ROUND(tblTransactions[[#This Row],[gross_sales_inr]]*(1-tblTransactions[[#This Row],[discount_pct]]),2)</f>
        <v>824.05</v>
      </c>
      <c r="L2537" t="str">
        <f>IF(ABS(tblTransactions[[#This Row],[net_sales_inr]]-tblTransactions[[#This Row],[Recalc_Net_Sales]])&lt;0.02,"OK","CHECK")</f>
        <v>OK</v>
      </c>
      <c r="M2537" s="14">
        <f>DATE(YEAR(tblTransactions[[#This Row],[date]]),MONTH(tblTransactions[[#This Row],[date]]),1)</f>
        <v>45809</v>
      </c>
      <c r="N2537" t="str">
        <f>IF(WEEKDAY(tblTransactions[[#This Row],[date]],2)&gt;5,"Weekend","Weekday")</f>
        <v>Weekday</v>
      </c>
      <c r="O2537" s="13" t="str">
        <f>IF(tblTransactions[[#This Row],[discount_pct]]=0,"0%",IF(tblTransactions[[#This Row],[discount_pct]]&lt;=10%,"1–
10%",IF(tblTransactions[[#This Row],[discount_pct]]&lt;=20%,"11–20%","&gt;20%")))</f>
        <v>0%</v>
      </c>
      <c r="P2537" s="13" t="str">
        <f>_xlfn.XLOOKUP(tblTransactions[[#This Row],[tenant_id]],tblTenants[tenant_id],tblTenants[zone],"NOT FOUND")</f>
        <v>Entertainment</v>
      </c>
      <c r="Q2537" s="13" t="str">
        <f>_xlfn.XLOOKUP(tblTransactions[[#This Row],[tenant_id]],tblTenants[tenant_id],tblTenants[category],"NOT FOUND")</f>
        <v>Cinema</v>
      </c>
    </row>
    <row r="2538" spans="1:17">
      <c r="A2538" t="s">
        <v>2582</v>
      </c>
      <c r="B2538" s="2">
        <v>45738</v>
      </c>
      <c r="C2538">
        <v>14</v>
      </c>
      <c r="D2538" t="s">
        <v>45</v>
      </c>
      <c r="E2538" t="s">
        <v>21</v>
      </c>
      <c r="F2538" s="7">
        <v>676.92</v>
      </c>
      <c r="G2538" s="10">
        <v>0</v>
      </c>
      <c r="H2538" s="7">
        <v>676.92</v>
      </c>
      <c r="I2538">
        <v>2</v>
      </c>
      <c r="J2538" t="s">
        <v>13</v>
      </c>
      <c r="K2538" s="13">
        <f>ROUND(tblTransactions[[#This Row],[gross_sales_inr]]*(1-tblTransactions[[#This Row],[discount_pct]]),2)</f>
        <v>676.92</v>
      </c>
      <c r="L2538" t="str">
        <f>IF(ABS(tblTransactions[[#This Row],[net_sales_inr]]-tblTransactions[[#This Row],[Recalc_Net_Sales]])&lt;0.02,"OK","CHECK")</f>
        <v>OK</v>
      </c>
      <c r="M2538" s="14">
        <f>DATE(YEAR(tblTransactions[[#This Row],[date]]),MONTH(tblTransactions[[#This Row],[date]]),1)</f>
        <v>45717</v>
      </c>
      <c r="N2538" t="str">
        <f>IF(WEEKDAY(tblTransactions[[#This Row],[date]],2)&gt;5,"Weekend","Weekday")</f>
        <v>Weekend</v>
      </c>
      <c r="O2538" s="13" t="str">
        <f>IF(tblTransactions[[#This Row],[discount_pct]]=0,"0%",IF(tblTransactions[[#This Row],[discount_pct]]&lt;=10%,"1–
10%",IF(tblTransactions[[#This Row],[discount_pct]]&lt;=20%,"11–20%","&gt;20%")))</f>
        <v>0%</v>
      </c>
      <c r="P2538" s="13" t="str">
        <f>_xlfn.XLOOKUP(tblTransactions[[#This Row],[tenant_id]],tblTenants[tenant_id],tblTenants[zone],"NOT FOUND")</f>
        <v>Home &amp; Living</v>
      </c>
      <c r="Q2538" s="13" t="str">
        <f>_xlfn.XLOOKUP(tblTransactions[[#This Row],[tenant_id]],tblTenants[tenant_id],tblTenants[category],"NOT FOUND")</f>
        <v>Home Decor</v>
      </c>
    </row>
    <row r="2539" spans="1:17">
      <c r="A2539" t="s">
        <v>2583</v>
      </c>
      <c r="B2539" s="2">
        <v>45673</v>
      </c>
      <c r="C2539">
        <v>19</v>
      </c>
      <c r="D2539" t="s">
        <v>55</v>
      </c>
      <c r="E2539" t="s">
        <v>32</v>
      </c>
      <c r="F2539" s="7">
        <v>1865.62</v>
      </c>
      <c r="G2539" s="10">
        <v>0.05</v>
      </c>
      <c r="H2539" s="7">
        <v>1772.34</v>
      </c>
      <c r="I2539">
        <v>1</v>
      </c>
      <c r="J2539" t="s">
        <v>13</v>
      </c>
      <c r="K2539" s="13">
        <f>ROUND(tblTransactions[[#This Row],[gross_sales_inr]]*(1-tblTransactions[[#This Row],[discount_pct]]),2)</f>
        <v>1772.34</v>
      </c>
      <c r="L2539" t="str">
        <f>IF(ABS(tblTransactions[[#This Row],[net_sales_inr]]-tblTransactions[[#This Row],[Recalc_Net_Sales]])&lt;0.02,"OK","CHECK")</f>
        <v>OK</v>
      </c>
      <c r="M2539" s="14">
        <f>DATE(YEAR(tblTransactions[[#This Row],[date]]),MONTH(tblTransactions[[#This Row],[date]]),1)</f>
        <v>45658</v>
      </c>
      <c r="N2539" t="str">
        <f>IF(WEEKDAY(tblTransactions[[#This Row],[date]],2)&gt;5,"Weekend","Weekday")</f>
        <v>Weekday</v>
      </c>
      <c r="O253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39" s="13" t="str">
        <f>_xlfn.XLOOKUP(tblTransactions[[#This Row],[tenant_id]],tblTenants[tenant_id],tblTenants[zone],"NOT FOUND")</f>
        <v>Food Court</v>
      </c>
      <c r="Q2539" s="13" t="str">
        <f>_xlfn.XLOOKUP(tblTransactions[[#This Row],[tenant_id]],tblTenants[tenant_id],tblTenants[category],"NOT FOUND")</f>
        <v>Quick Service</v>
      </c>
    </row>
    <row r="2540" spans="1:17">
      <c r="A2540" t="s">
        <v>2584</v>
      </c>
      <c r="B2540" s="2">
        <v>45663</v>
      </c>
      <c r="C2540">
        <v>16</v>
      </c>
      <c r="D2540" t="s">
        <v>29</v>
      </c>
      <c r="E2540" t="s">
        <v>12</v>
      </c>
      <c r="F2540" s="7">
        <v>1502.55</v>
      </c>
      <c r="G2540" s="10">
        <v>0</v>
      </c>
      <c r="H2540" s="7">
        <v>1502.55</v>
      </c>
      <c r="I2540">
        <v>2</v>
      </c>
      <c r="J2540" t="s">
        <v>13</v>
      </c>
      <c r="K2540" s="13">
        <f>ROUND(tblTransactions[[#This Row],[gross_sales_inr]]*(1-tblTransactions[[#This Row],[discount_pct]]),2)</f>
        <v>1502.55</v>
      </c>
      <c r="L2540" t="str">
        <f>IF(ABS(tblTransactions[[#This Row],[net_sales_inr]]-tblTransactions[[#This Row],[Recalc_Net_Sales]])&lt;0.02,"OK","CHECK")</f>
        <v>OK</v>
      </c>
      <c r="M2540" s="14">
        <f>DATE(YEAR(tblTransactions[[#This Row],[date]]),MONTH(tblTransactions[[#This Row],[date]]),1)</f>
        <v>45658</v>
      </c>
      <c r="N2540" t="str">
        <f>IF(WEEKDAY(tblTransactions[[#This Row],[date]],2)&gt;5,"Weekend","Weekday")</f>
        <v>Weekday</v>
      </c>
      <c r="O2540" s="13" t="str">
        <f>IF(tblTransactions[[#This Row],[discount_pct]]=0,"0%",IF(tblTransactions[[#This Row],[discount_pct]]&lt;=10%,"1–
10%",IF(tblTransactions[[#This Row],[discount_pct]]&lt;=20%,"11–20%","&gt;20%")))</f>
        <v>0%</v>
      </c>
      <c r="P2540" s="13" t="str">
        <f>_xlfn.XLOOKUP(tblTransactions[[#This Row],[tenant_id]],tblTenants[tenant_id],tblTenants[zone],"NOT FOUND")</f>
        <v>Entertainment</v>
      </c>
      <c r="Q2540" s="13" t="str">
        <f>_xlfn.XLOOKUP(tblTransactions[[#This Row],[tenant_id]],tblTenants[tenant_id],tblTenants[category],"NOT FOUND")</f>
        <v>Cinema</v>
      </c>
    </row>
    <row r="2541" spans="1:17">
      <c r="A2541" t="s">
        <v>2585</v>
      </c>
      <c r="B2541" s="2">
        <v>45772</v>
      </c>
      <c r="C2541">
        <v>20</v>
      </c>
      <c r="D2541" t="s">
        <v>53</v>
      </c>
      <c r="E2541" t="s">
        <v>12</v>
      </c>
      <c r="F2541" s="7">
        <v>3229.78</v>
      </c>
      <c r="G2541" s="10">
        <v>0.2</v>
      </c>
      <c r="H2541" s="7">
        <v>2583.8200000000002</v>
      </c>
      <c r="I2541">
        <v>2</v>
      </c>
      <c r="J2541" t="s">
        <v>16</v>
      </c>
      <c r="K2541" s="13">
        <f>ROUND(tblTransactions[[#This Row],[gross_sales_inr]]*(1-tblTransactions[[#This Row],[discount_pct]]),2)</f>
        <v>2583.8200000000002</v>
      </c>
      <c r="L2541" t="str">
        <f>IF(ABS(tblTransactions[[#This Row],[net_sales_inr]]-tblTransactions[[#This Row],[Recalc_Net_Sales]])&lt;0.02,"OK","CHECK")</f>
        <v>OK</v>
      </c>
      <c r="M2541" s="14">
        <f>DATE(YEAR(tblTransactions[[#This Row],[date]]),MONTH(tblTransactions[[#This Row],[date]]),1)</f>
        <v>45748</v>
      </c>
      <c r="N2541" t="str">
        <f>IF(WEEKDAY(tblTransactions[[#This Row],[date]],2)&gt;5,"Weekend","Weekday")</f>
        <v>Weekday</v>
      </c>
      <c r="O254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41" s="13" t="str">
        <f>_xlfn.XLOOKUP(tblTransactions[[#This Row],[tenant_id]],tblTenants[tenant_id],tblTenants[zone],"NOT FOUND")</f>
        <v>Beauty &amp; Wellness</v>
      </c>
      <c r="Q2541" s="13" t="str">
        <f>_xlfn.XLOOKUP(tblTransactions[[#This Row],[tenant_id]],tblTenants[tenant_id],tblTenants[category],"NOT FOUND")</f>
        <v>Beauty</v>
      </c>
    </row>
    <row r="2542" spans="1:17">
      <c r="A2542" t="s">
        <v>2586</v>
      </c>
      <c r="B2542" s="2">
        <v>45803</v>
      </c>
      <c r="C2542">
        <v>11</v>
      </c>
      <c r="D2542" t="s">
        <v>36</v>
      </c>
      <c r="E2542" t="s">
        <v>12</v>
      </c>
      <c r="F2542" s="7">
        <v>877.43</v>
      </c>
      <c r="G2542" s="10">
        <v>0</v>
      </c>
      <c r="H2542" s="7">
        <v>877.43</v>
      </c>
      <c r="I2542">
        <v>3</v>
      </c>
      <c r="J2542" t="s">
        <v>16</v>
      </c>
      <c r="K2542" s="13">
        <f>ROUND(tblTransactions[[#This Row],[gross_sales_inr]]*(1-tblTransactions[[#This Row],[discount_pct]]),2)</f>
        <v>877.43</v>
      </c>
      <c r="L2542" t="str">
        <f>IF(ABS(tblTransactions[[#This Row],[net_sales_inr]]-tblTransactions[[#This Row],[Recalc_Net_Sales]])&lt;0.02,"OK","CHECK")</f>
        <v>OK</v>
      </c>
      <c r="M2542" s="14">
        <f>DATE(YEAR(tblTransactions[[#This Row],[date]]),MONTH(tblTransactions[[#This Row],[date]]),1)</f>
        <v>45778</v>
      </c>
      <c r="N2542" t="str">
        <f>IF(WEEKDAY(tblTransactions[[#This Row],[date]],2)&gt;5,"Weekend","Weekday")</f>
        <v>Weekday</v>
      </c>
      <c r="O2542" s="13" t="str">
        <f>IF(tblTransactions[[#This Row],[discount_pct]]=0,"0%",IF(tblTransactions[[#This Row],[discount_pct]]&lt;=10%,"1–
10%",IF(tblTransactions[[#This Row],[discount_pct]]&lt;=20%,"11–20%","&gt;20%")))</f>
        <v>0%</v>
      </c>
      <c r="P2542" s="13" t="str">
        <f>_xlfn.XLOOKUP(tblTransactions[[#This Row],[tenant_id]],tblTenants[tenant_id],tblTenants[zone],"NOT FOUND")</f>
        <v>Home &amp; Living</v>
      </c>
      <c r="Q2542" s="13" t="str">
        <f>_xlfn.XLOOKUP(tblTransactions[[#This Row],[tenant_id]],tblTenants[tenant_id],tblTenants[category],"NOT FOUND")</f>
        <v>Electronics</v>
      </c>
    </row>
    <row r="2543" spans="1:17">
      <c r="A2543" t="s">
        <v>2587</v>
      </c>
      <c r="B2543" s="2">
        <v>45822</v>
      </c>
      <c r="C2543">
        <v>18</v>
      </c>
      <c r="D2543" t="s">
        <v>29</v>
      </c>
      <c r="E2543" t="s">
        <v>12</v>
      </c>
      <c r="F2543" s="7">
        <v>849.06</v>
      </c>
      <c r="G2543" s="10">
        <v>0.1</v>
      </c>
      <c r="H2543" s="7">
        <v>764.15</v>
      </c>
      <c r="I2543">
        <v>4</v>
      </c>
      <c r="J2543" t="s">
        <v>13</v>
      </c>
      <c r="K2543" s="13">
        <f>ROUND(tblTransactions[[#This Row],[gross_sales_inr]]*(1-tblTransactions[[#This Row],[discount_pct]]),2)</f>
        <v>764.15</v>
      </c>
      <c r="L2543" t="str">
        <f>IF(ABS(tblTransactions[[#This Row],[net_sales_inr]]-tblTransactions[[#This Row],[Recalc_Net_Sales]])&lt;0.02,"OK","CHECK")</f>
        <v>OK</v>
      </c>
      <c r="M2543" s="14">
        <f>DATE(YEAR(tblTransactions[[#This Row],[date]]),MONTH(tblTransactions[[#This Row],[date]]),1)</f>
        <v>45809</v>
      </c>
      <c r="N2543" t="str">
        <f>IF(WEEKDAY(tblTransactions[[#This Row],[date]],2)&gt;5,"Weekend","Weekday")</f>
        <v>Weekend</v>
      </c>
      <c r="O254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43" s="13" t="str">
        <f>_xlfn.XLOOKUP(tblTransactions[[#This Row],[tenant_id]],tblTenants[tenant_id],tblTenants[zone],"NOT FOUND")</f>
        <v>Entertainment</v>
      </c>
      <c r="Q2543" s="13" t="str">
        <f>_xlfn.XLOOKUP(tblTransactions[[#This Row],[tenant_id]],tblTenants[tenant_id],tblTenants[category],"NOT FOUND")</f>
        <v>Cinema</v>
      </c>
    </row>
    <row r="2544" spans="1:17">
      <c r="A2544" t="s">
        <v>2588</v>
      </c>
      <c r="B2544" s="2">
        <v>45683</v>
      </c>
      <c r="C2544">
        <v>22</v>
      </c>
      <c r="D2544" t="s">
        <v>204</v>
      </c>
      <c r="E2544" t="s">
        <v>12</v>
      </c>
      <c r="F2544" s="7">
        <v>639.36</v>
      </c>
      <c r="G2544" s="10">
        <v>0.1</v>
      </c>
      <c r="H2544" s="7">
        <v>575.41999999999996</v>
      </c>
      <c r="I2544">
        <v>2</v>
      </c>
      <c r="J2544" t="s">
        <v>13</v>
      </c>
      <c r="K2544" s="13">
        <f>ROUND(tblTransactions[[#This Row],[gross_sales_inr]]*(1-tblTransactions[[#This Row],[discount_pct]]),2)</f>
        <v>575.41999999999996</v>
      </c>
      <c r="L2544" t="str">
        <f>IF(ABS(tblTransactions[[#This Row],[net_sales_inr]]-tblTransactions[[#This Row],[Recalc_Net_Sales]])&lt;0.02,"OK","CHECK")</f>
        <v>OK</v>
      </c>
      <c r="M2544" s="14">
        <f>DATE(YEAR(tblTransactions[[#This Row],[date]]),MONTH(tblTransactions[[#This Row],[date]]),1)</f>
        <v>45658</v>
      </c>
      <c r="N2544" t="str">
        <f>IF(WEEKDAY(tblTransactions[[#This Row],[date]],2)&gt;5,"Weekend","Weekday")</f>
        <v>Weekend</v>
      </c>
      <c r="O254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44" s="13" t="str">
        <f>_xlfn.XLOOKUP(tblTransactions[[#This Row],[tenant_id]],tblTenants[tenant_id],tblTenants[zone],"NOT FOUND")</f>
        <v>Home &amp; Living</v>
      </c>
      <c r="Q2544" s="13" t="str">
        <f>_xlfn.XLOOKUP(tblTransactions[[#This Row],[tenant_id]],tblTenants[tenant_id],tblTenants[category],"NOT FOUND")</f>
        <v>Home Decor</v>
      </c>
    </row>
    <row r="2545" spans="1:17">
      <c r="A2545" t="s">
        <v>2589</v>
      </c>
      <c r="B2545" s="2">
        <v>45793</v>
      </c>
      <c r="C2545">
        <v>17</v>
      </c>
      <c r="D2545" t="s">
        <v>104</v>
      </c>
      <c r="E2545" t="s">
        <v>12</v>
      </c>
      <c r="F2545" s="7">
        <v>992.7</v>
      </c>
      <c r="G2545" s="10">
        <v>0.3</v>
      </c>
      <c r="H2545" s="7">
        <v>694.89</v>
      </c>
      <c r="I2545">
        <v>2</v>
      </c>
      <c r="J2545" t="s">
        <v>13</v>
      </c>
      <c r="K2545" s="13">
        <f>ROUND(tblTransactions[[#This Row],[gross_sales_inr]]*(1-tblTransactions[[#This Row],[discount_pct]]),2)</f>
        <v>694.89</v>
      </c>
      <c r="L2545" t="str">
        <f>IF(ABS(tblTransactions[[#This Row],[net_sales_inr]]-tblTransactions[[#This Row],[Recalc_Net_Sales]])&lt;0.02,"OK","CHECK")</f>
        <v>OK</v>
      </c>
      <c r="M2545" s="14">
        <f>DATE(YEAR(tblTransactions[[#This Row],[date]]),MONTH(tblTransactions[[#This Row],[date]]),1)</f>
        <v>45778</v>
      </c>
      <c r="N2545" t="str">
        <f>IF(WEEKDAY(tblTransactions[[#This Row],[date]],2)&gt;5,"Weekend","Weekday")</f>
        <v>Weekday</v>
      </c>
      <c r="O2545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545" s="13" t="str">
        <f>_xlfn.XLOOKUP(tblTransactions[[#This Row],[tenant_id]],tblTenants[tenant_id],tblTenants[zone],"NOT FOUND")</f>
        <v>Entertainment</v>
      </c>
      <c r="Q2545" s="13" t="str">
        <f>_xlfn.XLOOKUP(tblTransactions[[#This Row],[tenant_id]],tblTenants[tenant_id],tblTenants[category],"NOT FOUND")</f>
        <v>Family Entertainment</v>
      </c>
    </row>
    <row r="2546" spans="1:17">
      <c r="A2546" t="s">
        <v>2590</v>
      </c>
      <c r="B2546" s="2">
        <v>45726</v>
      </c>
      <c r="C2546">
        <v>18</v>
      </c>
      <c r="D2546" t="s">
        <v>80</v>
      </c>
      <c r="E2546" t="s">
        <v>12</v>
      </c>
      <c r="F2546" s="7">
        <v>309.56</v>
      </c>
      <c r="G2546" s="10">
        <v>0.1</v>
      </c>
      <c r="H2546" s="7">
        <v>278.60000000000002</v>
      </c>
      <c r="I2546">
        <v>1</v>
      </c>
      <c r="J2546" t="s">
        <v>13</v>
      </c>
      <c r="K2546" s="13">
        <f>ROUND(tblTransactions[[#This Row],[gross_sales_inr]]*(1-tblTransactions[[#This Row],[discount_pct]]),2)</f>
        <v>278.60000000000002</v>
      </c>
      <c r="L2546" t="str">
        <f>IF(ABS(tblTransactions[[#This Row],[net_sales_inr]]-tblTransactions[[#This Row],[Recalc_Net_Sales]])&lt;0.02,"OK","CHECK")</f>
        <v>OK</v>
      </c>
      <c r="M2546" s="14">
        <f>DATE(YEAR(tblTransactions[[#This Row],[date]]),MONTH(tblTransactions[[#This Row],[date]]),1)</f>
        <v>45717</v>
      </c>
      <c r="N2546" t="str">
        <f>IF(WEEKDAY(tblTransactions[[#This Row],[date]],2)&gt;5,"Weekend","Weekday")</f>
        <v>Weekday</v>
      </c>
      <c r="O254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46" s="13" t="str">
        <f>_xlfn.XLOOKUP(tblTransactions[[#This Row],[tenant_id]],tblTenants[tenant_id],tblTenants[zone],"NOT FOUND")</f>
        <v>Food Court</v>
      </c>
      <c r="Q2546" s="13" t="str">
        <f>_xlfn.XLOOKUP(tblTransactions[[#This Row],[tenant_id]],tblTenants[tenant_id],tblTenants[category],"NOT FOUND")</f>
        <v>Casual Dining</v>
      </c>
    </row>
    <row r="2547" spans="1:17">
      <c r="A2547" t="s">
        <v>2591</v>
      </c>
      <c r="B2547" s="2">
        <v>45714</v>
      </c>
      <c r="C2547">
        <v>11</v>
      </c>
      <c r="D2547" t="s">
        <v>63</v>
      </c>
      <c r="E2547" t="s">
        <v>12</v>
      </c>
      <c r="F2547" s="7">
        <v>1463.71</v>
      </c>
      <c r="G2547" s="10">
        <v>0</v>
      </c>
      <c r="H2547" s="7">
        <v>1463.71</v>
      </c>
      <c r="I2547">
        <v>1</v>
      </c>
      <c r="J2547" t="s">
        <v>13</v>
      </c>
      <c r="K2547" s="13">
        <f>ROUND(tblTransactions[[#This Row],[gross_sales_inr]]*(1-tblTransactions[[#This Row],[discount_pct]]),2)</f>
        <v>1463.71</v>
      </c>
      <c r="L2547" t="str">
        <f>IF(ABS(tblTransactions[[#This Row],[net_sales_inr]]-tblTransactions[[#This Row],[Recalc_Net_Sales]])&lt;0.02,"OK","CHECK")</f>
        <v>OK</v>
      </c>
      <c r="M2547" s="14">
        <f>DATE(YEAR(tblTransactions[[#This Row],[date]]),MONTH(tblTransactions[[#This Row],[date]]),1)</f>
        <v>45689</v>
      </c>
      <c r="N2547" t="str">
        <f>IF(WEEKDAY(tblTransactions[[#This Row],[date]],2)&gt;5,"Weekend","Weekday")</f>
        <v>Weekday</v>
      </c>
      <c r="O2547" s="13" t="str">
        <f>IF(tblTransactions[[#This Row],[discount_pct]]=0,"0%",IF(tblTransactions[[#This Row],[discount_pct]]&lt;=10%,"1–
10%",IF(tblTransactions[[#This Row],[discount_pct]]&lt;=20%,"11–20%","&gt;20%")))</f>
        <v>0%</v>
      </c>
      <c r="P2547" s="13" t="str">
        <f>_xlfn.XLOOKUP(tblTransactions[[#This Row],[tenant_id]],tblTenants[tenant_id],tblTenants[zone],"NOT FOUND")</f>
        <v>Entertainment</v>
      </c>
      <c r="Q2547" s="13" t="str">
        <f>_xlfn.XLOOKUP(tblTransactions[[#This Row],[tenant_id]],tblTenants[tenant_id],tblTenants[category],"NOT FOUND")</f>
        <v>Family Entertainment</v>
      </c>
    </row>
    <row r="2548" spans="1:17">
      <c r="A2548" t="s">
        <v>2592</v>
      </c>
      <c r="B2548" s="2">
        <v>45707</v>
      </c>
      <c r="C2548">
        <v>12</v>
      </c>
      <c r="D2548" t="s">
        <v>41</v>
      </c>
      <c r="E2548" t="s">
        <v>21</v>
      </c>
      <c r="F2548" s="7">
        <v>1763.14</v>
      </c>
      <c r="G2548" s="10">
        <v>0.2</v>
      </c>
      <c r="H2548" s="7">
        <v>1410.51</v>
      </c>
      <c r="I2548">
        <v>2</v>
      </c>
      <c r="J2548" t="s">
        <v>16</v>
      </c>
      <c r="K2548" s="13">
        <f>ROUND(tblTransactions[[#This Row],[gross_sales_inr]]*(1-tblTransactions[[#This Row],[discount_pct]]),2)</f>
        <v>1410.51</v>
      </c>
      <c r="L2548" t="str">
        <f>IF(ABS(tblTransactions[[#This Row],[net_sales_inr]]-tblTransactions[[#This Row],[Recalc_Net_Sales]])&lt;0.02,"OK","CHECK")</f>
        <v>OK</v>
      </c>
      <c r="M2548" s="14">
        <f>DATE(YEAR(tblTransactions[[#This Row],[date]]),MONTH(tblTransactions[[#This Row],[date]]),1)</f>
        <v>45689</v>
      </c>
      <c r="N2548" t="str">
        <f>IF(WEEKDAY(tblTransactions[[#This Row],[date]],2)&gt;5,"Weekend","Weekday")</f>
        <v>Weekday</v>
      </c>
      <c r="O254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48" s="13" t="str">
        <f>_xlfn.XLOOKUP(tblTransactions[[#This Row],[tenant_id]],tblTenants[tenant_id],tblTenants[zone],"NOT FOUND")</f>
        <v>Fashion Avenue</v>
      </c>
      <c r="Q2548" s="13" t="str">
        <f>_xlfn.XLOOKUP(tblTransactions[[#This Row],[tenant_id]],tblTenants[tenant_id],tblTenants[category],"NOT FOUND")</f>
        <v>Clothing</v>
      </c>
    </row>
    <row r="2549" spans="1:17">
      <c r="A2549" t="s">
        <v>2593</v>
      </c>
      <c r="B2549" s="2">
        <v>45673</v>
      </c>
      <c r="C2549">
        <v>13</v>
      </c>
      <c r="D2549" t="s">
        <v>98</v>
      </c>
      <c r="E2549" t="s">
        <v>12</v>
      </c>
      <c r="F2549" s="7">
        <v>1280.1500000000001</v>
      </c>
      <c r="G2549" s="10">
        <v>0.1</v>
      </c>
      <c r="H2549" s="7">
        <v>1152.1400000000001</v>
      </c>
      <c r="I2549">
        <v>3</v>
      </c>
      <c r="J2549" t="s">
        <v>13</v>
      </c>
      <c r="K2549" s="13">
        <f>ROUND(tblTransactions[[#This Row],[gross_sales_inr]]*(1-tblTransactions[[#This Row],[discount_pct]]),2)</f>
        <v>1152.1400000000001</v>
      </c>
      <c r="L2549" t="str">
        <f>IF(ABS(tblTransactions[[#This Row],[net_sales_inr]]-tblTransactions[[#This Row],[Recalc_Net_Sales]])&lt;0.02,"OK","CHECK")</f>
        <v>OK</v>
      </c>
      <c r="M2549" s="14">
        <f>DATE(YEAR(tblTransactions[[#This Row],[date]]),MONTH(tblTransactions[[#This Row],[date]]),1)</f>
        <v>45658</v>
      </c>
      <c r="N2549" t="str">
        <f>IF(WEEKDAY(tblTransactions[[#This Row],[date]],2)&gt;5,"Weekend","Weekday")</f>
        <v>Weekday</v>
      </c>
      <c r="O254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49" s="13" t="str">
        <f>_xlfn.XLOOKUP(tblTransactions[[#This Row],[tenant_id]],tblTenants[tenant_id],tblTenants[zone],"NOT FOUND")</f>
        <v>Fashion Avenue</v>
      </c>
      <c r="Q2549" s="13" t="str">
        <f>_xlfn.XLOOKUP(tblTransactions[[#This Row],[tenant_id]],tblTenants[tenant_id],tblTenants[category],"NOT FOUND")</f>
        <v>Accessories</v>
      </c>
    </row>
    <row r="2550" spans="1:17">
      <c r="A2550" t="s">
        <v>2594</v>
      </c>
      <c r="B2550" s="2">
        <v>45788</v>
      </c>
      <c r="C2550">
        <v>10</v>
      </c>
      <c r="D2550" t="s">
        <v>63</v>
      </c>
      <c r="E2550" t="s">
        <v>12</v>
      </c>
      <c r="F2550" s="7">
        <v>1586.44</v>
      </c>
      <c r="G2550" s="10">
        <v>0.15</v>
      </c>
      <c r="H2550" s="7">
        <v>1348.47</v>
      </c>
      <c r="I2550">
        <v>4</v>
      </c>
      <c r="J2550" t="s">
        <v>16</v>
      </c>
      <c r="K2550" s="13">
        <f>ROUND(tblTransactions[[#This Row],[gross_sales_inr]]*(1-tblTransactions[[#This Row],[discount_pct]]),2)</f>
        <v>1348.47</v>
      </c>
      <c r="L2550" t="str">
        <f>IF(ABS(tblTransactions[[#This Row],[net_sales_inr]]-tblTransactions[[#This Row],[Recalc_Net_Sales]])&lt;0.02,"OK","CHECK")</f>
        <v>OK</v>
      </c>
      <c r="M2550" s="14">
        <f>DATE(YEAR(tblTransactions[[#This Row],[date]]),MONTH(tblTransactions[[#This Row],[date]]),1)</f>
        <v>45778</v>
      </c>
      <c r="N2550" t="str">
        <f>IF(WEEKDAY(tblTransactions[[#This Row],[date]],2)&gt;5,"Weekend","Weekday")</f>
        <v>Weekend</v>
      </c>
      <c r="O255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50" s="13" t="str">
        <f>_xlfn.XLOOKUP(tblTransactions[[#This Row],[tenant_id]],tblTenants[tenant_id],tblTenants[zone],"NOT FOUND")</f>
        <v>Entertainment</v>
      </c>
      <c r="Q2550" s="13" t="str">
        <f>_xlfn.XLOOKUP(tblTransactions[[#This Row],[tenant_id]],tblTenants[tenant_id],tblTenants[category],"NOT FOUND")</f>
        <v>Family Entertainment</v>
      </c>
    </row>
    <row r="2551" spans="1:17">
      <c r="A2551" t="s">
        <v>2595</v>
      </c>
      <c r="B2551" s="2">
        <v>45773</v>
      </c>
      <c r="C2551">
        <v>19</v>
      </c>
      <c r="D2551" t="s">
        <v>43</v>
      </c>
      <c r="E2551" t="s">
        <v>12</v>
      </c>
      <c r="F2551" s="7">
        <v>1648.03</v>
      </c>
      <c r="G2551" s="10">
        <v>0</v>
      </c>
      <c r="H2551" s="7">
        <v>1648.03</v>
      </c>
      <c r="I2551">
        <v>3</v>
      </c>
      <c r="J2551" t="s">
        <v>13</v>
      </c>
      <c r="K2551" s="13">
        <f>ROUND(tblTransactions[[#This Row],[gross_sales_inr]]*(1-tblTransactions[[#This Row],[discount_pct]]),2)</f>
        <v>1648.03</v>
      </c>
      <c r="L2551" t="str">
        <f>IF(ABS(tblTransactions[[#This Row],[net_sales_inr]]-tblTransactions[[#This Row],[Recalc_Net_Sales]])&lt;0.02,"OK","CHECK")</f>
        <v>OK</v>
      </c>
      <c r="M2551" s="14">
        <f>DATE(YEAR(tblTransactions[[#This Row],[date]]),MONTH(tblTransactions[[#This Row],[date]]),1)</f>
        <v>45748</v>
      </c>
      <c r="N2551" t="str">
        <f>IF(WEEKDAY(tblTransactions[[#This Row],[date]],2)&gt;5,"Weekend","Weekday")</f>
        <v>Weekend</v>
      </c>
      <c r="O2551" s="13" t="str">
        <f>IF(tblTransactions[[#This Row],[discount_pct]]=0,"0%",IF(tblTransactions[[#This Row],[discount_pct]]&lt;=10%,"1–
10%",IF(tblTransactions[[#This Row],[discount_pct]]&lt;=20%,"11–20%","&gt;20%")))</f>
        <v>0%</v>
      </c>
      <c r="P2551" s="13" t="str">
        <f>_xlfn.XLOOKUP(tblTransactions[[#This Row],[tenant_id]],tblTenants[tenant_id],tblTenants[zone],"NOT FOUND")</f>
        <v>Food Court</v>
      </c>
      <c r="Q2551" s="13" t="str">
        <f>_xlfn.XLOOKUP(tblTransactions[[#This Row],[tenant_id]],tblTenants[tenant_id],tblTenants[category],"NOT FOUND")</f>
        <v>Casual Dining</v>
      </c>
    </row>
    <row r="2552" spans="1:17">
      <c r="A2552" t="s">
        <v>2596</v>
      </c>
      <c r="B2552" s="2">
        <v>45787</v>
      </c>
      <c r="C2552">
        <v>13</v>
      </c>
      <c r="D2552" t="s">
        <v>87</v>
      </c>
      <c r="E2552" t="s">
        <v>32</v>
      </c>
      <c r="F2552" s="7">
        <v>1077.82</v>
      </c>
      <c r="G2552" s="10">
        <v>0</v>
      </c>
      <c r="H2552" s="7">
        <v>1077.82</v>
      </c>
      <c r="I2552">
        <v>2</v>
      </c>
      <c r="J2552" t="s">
        <v>13</v>
      </c>
      <c r="K2552" s="13">
        <f>ROUND(tblTransactions[[#This Row],[gross_sales_inr]]*(1-tblTransactions[[#This Row],[discount_pct]]),2)</f>
        <v>1077.82</v>
      </c>
      <c r="L2552" t="str">
        <f>IF(ABS(tblTransactions[[#This Row],[net_sales_inr]]-tblTransactions[[#This Row],[Recalc_Net_Sales]])&lt;0.02,"OK","CHECK")</f>
        <v>OK</v>
      </c>
      <c r="M2552" s="14">
        <f>DATE(YEAR(tblTransactions[[#This Row],[date]]),MONTH(tblTransactions[[#This Row],[date]]),1)</f>
        <v>45778</v>
      </c>
      <c r="N2552" t="str">
        <f>IF(WEEKDAY(tblTransactions[[#This Row],[date]],2)&gt;5,"Weekend","Weekday")</f>
        <v>Weekend</v>
      </c>
      <c r="O2552" s="13" t="str">
        <f>IF(tblTransactions[[#This Row],[discount_pct]]=0,"0%",IF(tblTransactions[[#This Row],[discount_pct]]&lt;=10%,"1–
10%",IF(tblTransactions[[#This Row],[discount_pct]]&lt;=20%,"11–20%","&gt;20%")))</f>
        <v>0%</v>
      </c>
      <c r="P2552" s="13" t="str">
        <f>_xlfn.XLOOKUP(tblTransactions[[#This Row],[tenant_id]],tblTenants[tenant_id],tblTenants[zone],"NOT FOUND")</f>
        <v>Fashion Avenue</v>
      </c>
      <c r="Q2552" s="13" t="str">
        <f>_xlfn.XLOOKUP(tblTransactions[[#This Row],[tenant_id]],tblTenants[tenant_id],tblTenants[category],"NOT FOUND")</f>
        <v>Footwear</v>
      </c>
    </row>
    <row r="2553" spans="1:17">
      <c r="A2553" t="s">
        <v>2597</v>
      </c>
      <c r="B2553" s="2">
        <v>45714</v>
      </c>
      <c r="C2553">
        <v>14</v>
      </c>
      <c r="D2553" t="s">
        <v>85</v>
      </c>
      <c r="E2553" t="s">
        <v>32</v>
      </c>
      <c r="F2553" s="7">
        <v>884.94</v>
      </c>
      <c r="G2553" s="10">
        <v>0.1</v>
      </c>
      <c r="H2553" s="7">
        <v>796.45</v>
      </c>
      <c r="I2553">
        <v>3</v>
      </c>
      <c r="J2553" t="s">
        <v>16</v>
      </c>
      <c r="K2553" s="13">
        <f>ROUND(tblTransactions[[#This Row],[gross_sales_inr]]*(1-tblTransactions[[#This Row],[discount_pct]]),2)</f>
        <v>796.45</v>
      </c>
      <c r="L2553" t="str">
        <f>IF(ABS(tblTransactions[[#This Row],[net_sales_inr]]-tblTransactions[[#This Row],[Recalc_Net_Sales]])&lt;0.02,"OK","CHECK")</f>
        <v>OK</v>
      </c>
      <c r="M2553" s="14">
        <f>DATE(YEAR(tblTransactions[[#This Row],[date]]),MONTH(tblTransactions[[#This Row],[date]]),1)</f>
        <v>45689</v>
      </c>
      <c r="N2553" t="str">
        <f>IF(WEEKDAY(tblTransactions[[#This Row],[date]],2)&gt;5,"Weekend","Weekday")</f>
        <v>Weekday</v>
      </c>
      <c r="O255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53" s="13" t="str">
        <f>_xlfn.XLOOKUP(tblTransactions[[#This Row],[tenant_id]],tblTenants[tenant_id],tblTenants[zone],"NOT FOUND")</f>
        <v>Home &amp; Living</v>
      </c>
      <c r="Q2553" s="13" t="str">
        <f>_xlfn.XLOOKUP(tblTransactions[[#This Row],[tenant_id]],tblTenants[tenant_id],tblTenants[category],"NOT FOUND")</f>
        <v>Electronics</v>
      </c>
    </row>
    <row r="2554" spans="1:17">
      <c r="A2554" t="s">
        <v>2598</v>
      </c>
      <c r="B2554" s="2">
        <v>45716</v>
      </c>
      <c r="C2554">
        <v>13</v>
      </c>
      <c r="D2554" t="s">
        <v>18</v>
      </c>
      <c r="E2554" t="s">
        <v>12</v>
      </c>
      <c r="F2554" s="7">
        <v>545.85</v>
      </c>
      <c r="G2554" s="10">
        <v>0.15</v>
      </c>
      <c r="H2554" s="7">
        <v>463.97</v>
      </c>
      <c r="I2554">
        <v>3</v>
      </c>
      <c r="J2554" t="s">
        <v>13</v>
      </c>
      <c r="K2554" s="13">
        <f>ROUND(tblTransactions[[#This Row],[gross_sales_inr]]*(1-tblTransactions[[#This Row],[discount_pct]]),2)</f>
        <v>463.97</v>
      </c>
      <c r="L2554" t="str">
        <f>IF(ABS(tblTransactions[[#This Row],[net_sales_inr]]-tblTransactions[[#This Row],[Recalc_Net_Sales]])&lt;0.02,"OK","CHECK")</f>
        <v>OK</v>
      </c>
      <c r="M2554" s="14">
        <f>DATE(YEAR(tblTransactions[[#This Row],[date]]),MONTH(tblTransactions[[#This Row],[date]]),1)</f>
        <v>45689</v>
      </c>
      <c r="N2554" t="str">
        <f>IF(WEEKDAY(tblTransactions[[#This Row],[date]],2)&gt;5,"Weekend","Weekday")</f>
        <v>Weekday</v>
      </c>
      <c r="O255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54" s="13" t="str">
        <f>_xlfn.XLOOKUP(tblTransactions[[#This Row],[tenant_id]],tblTenants[tenant_id],tblTenants[zone],"NOT FOUND")</f>
        <v>Beauty &amp; Wellness</v>
      </c>
      <c r="Q2554" s="13" t="str">
        <f>_xlfn.XLOOKUP(tblTransactions[[#This Row],[tenant_id]],tblTenants[tenant_id],tblTenants[category],"NOT FOUND")</f>
        <v>Beauty</v>
      </c>
    </row>
    <row r="2555" spans="1:17">
      <c r="A2555" t="s">
        <v>2599</v>
      </c>
      <c r="B2555" s="2">
        <v>45767</v>
      </c>
      <c r="C2555">
        <v>16</v>
      </c>
      <c r="D2555" t="s">
        <v>25</v>
      </c>
      <c r="E2555" t="s">
        <v>21</v>
      </c>
      <c r="F2555" s="7">
        <v>1266.58</v>
      </c>
      <c r="G2555" s="10">
        <v>0</v>
      </c>
      <c r="H2555" s="7">
        <v>1266.58</v>
      </c>
      <c r="I2555">
        <v>2</v>
      </c>
      <c r="J2555" t="s">
        <v>16</v>
      </c>
      <c r="K2555" s="13">
        <f>ROUND(tblTransactions[[#This Row],[gross_sales_inr]]*(1-tblTransactions[[#This Row],[discount_pct]]),2)</f>
        <v>1266.58</v>
      </c>
      <c r="L2555" t="str">
        <f>IF(ABS(tblTransactions[[#This Row],[net_sales_inr]]-tblTransactions[[#This Row],[Recalc_Net_Sales]])&lt;0.02,"OK","CHECK")</f>
        <v>OK</v>
      </c>
      <c r="M2555" s="14">
        <f>DATE(YEAR(tblTransactions[[#This Row],[date]]),MONTH(tblTransactions[[#This Row],[date]]),1)</f>
        <v>45748</v>
      </c>
      <c r="N2555" t="str">
        <f>IF(WEEKDAY(tblTransactions[[#This Row],[date]],2)&gt;5,"Weekend","Weekday")</f>
        <v>Weekend</v>
      </c>
      <c r="O2555" s="13" t="str">
        <f>IF(tblTransactions[[#This Row],[discount_pct]]=0,"0%",IF(tblTransactions[[#This Row],[discount_pct]]&lt;=10%,"1–
10%",IF(tblTransactions[[#This Row],[discount_pct]]&lt;=20%,"11–20%","&gt;20%")))</f>
        <v>0%</v>
      </c>
      <c r="P2555" s="13" t="str">
        <f>_xlfn.XLOOKUP(tblTransactions[[#This Row],[tenant_id]],tblTenants[tenant_id],tblTenants[zone],"NOT FOUND")</f>
        <v>Beauty &amp; Wellness</v>
      </c>
      <c r="Q2555" s="13" t="str">
        <f>_xlfn.XLOOKUP(tblTransactions[[#This Row],[tenant_id]],tblTenants[tenant_id],tblTenants[category],"NOT FOUND")</f>
        <v>Beauty</v>
      </c>
    </row>
    <row r="2556" spans="1:17">
      <c r="A2556" t="s">
        <v>2600</v>
      </c>
      <c r="B2556" s="2">
        <v>45728</v>
      </c>
      <c r="C2556">
        <v>12</v>
      </c>
      <c r="D2556" t="s">
        <v>45</v>
      </c>
      <c r="E2556" t="s">
        <v>12</v>
      </c>
      <c r="F2556" s="7">
        <v>477.95</v>
      </c>
      <c r="G2556" s="10">
        <v>0.3</v>
      </c>
      <c r="H2556" s="7">
        <v>334.56</v>
      </c>
      <c r="I2556">
        <v>1</v>
      </c>
      <c r="J2556" t="s">
        <v>16</v>
      </c>
      <c r="K2556" s="13">
        <f>ROUND(tblTransactions[[#This Row],[gross_sales_inr]]*(1-tblTransactions[[#This Row],[discount_pct]]),2)</f>
        <v>334.57</v>
      </c>
      <c r="L2556" t="str">
        <f>IF(ABS(tblTransactions[[#This Row],[net_sales_inr]]-tblTransactions[[#This Row],[Recalc_Net_Sales]])&lt;0.02,"OK","CHECK")</f>
        <v>OK</v>
      </c>
      <c r="M2556" s="14">
        <f>DATE(YEAR(tblTransactions[[#This Row],[date]]),MONTH(tblTransactions[[#This Row],[date]]),1)</f>
        <v>45717</v>
      </c>
      <c r="N2556" t="str">
        <f>IF(WEEKDAY(tblTransactions[[#This Row],[date]],2)&gt;5,"Weekend","Weekday")</f>
        <v>Weekday</v>
      </c>
      <c r="O2556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556" s="13" t="str">
        <f>_xlfn.XLOOKUP(tblTransactions[[#This Row],[tenant_id]],tblTenants[tenant_id],tblTenants[zone],"NOT FOUND")</f>
        <v>Home &amp; Living</v>
      </c>
      <c r="Q2556" s="13" t="str">
        <f>_xlfn.XLOOKUP(tblTransactions[[#This Row],[tenant_id]],tblTenants[tenant_id],tblTenants[category],"NOT FOUND")</f>
        <v>Home Decor</v>
      </c>
    </row>
    <row r="2557" spans="1:17">
      <c r="A2557" t="s">
        <v>2601</v>
      </c>
      <c r="B2557" s="2">
        <v>45733</v>
      </c>
      <c r="C2557">
        <v>11</v>
      </c>
      <c r="D2557" t="s">
        <v>11</v>
      </c>
      <c r="E2557" t="s">
        <v>12</v>
      </c>
      <c r="F2557" s="7">
        <v>983.81</v>
      </c>
      <c r="G2557" s="10">
        <v>0</v>
      </c>
      <c r="H2557" s="7">
        <v>983.81</v>
      </c>
      <c r="I2557">
        <v>2</v>
      </c>
      <c r="J2557" t="s">
        <v>16</v>
      </c>
      <c r="K2557" s="13">
        <f>ROUND(tblTransactions[[#This Row],[gross_sales_inr]]*(1-tblTransactions[[#This Row],[discount_pct]]),2)</f>
        <v>983.81</v>
      </c>
      <c r="L2557" t="str">
        <f>IF(ABS(tblTransactions[[#This Row],[net_sales_inr]]-tblTransactions[[#This Row],[Recalc_Net_Sales]])&lt;0.02,"OK","CHECK")</f>
        <v>OK</v>
      </c>
      <c r="M2557" s="14">
        <f>DATE(YEAR(tblTransactions[[#This Row],[date]]),MONTH(tblTransactions[[#This Row],[date]]),1)</f>
        <v>45717</v>
      </c>
      <c r="N2557" t="str">
        <f>IF(WEEKDAY(tblTransactions[[#This Row],[date]],2)&gt;5,"Weekend","Weekday")</f>
        <v>Weekday</v>
      </c>
      <c r="O2557" s="13" t="str">
        <f>IF(tblTransactions[[#This Row],[discount_pct]]=0,"0%",IF(tblTransactions[[#This Row],[discount_pct]]&lt;=10%,"1–
10%",IF(tblTransactions[[#This Row],[discount_pct]]&lt;=20%,"11–20%","&gt;20%")))</f>
        <v>0%</v>
      </c>
      <c r="P2557" s="13" t="str">
        <f>_xlfn.XLOOKUP(tblTransactions[[#This Row],[tenant_id]],tblTenants[tenant_id],tblTenants[zone],"NOT FOUND")</f>
        <v>Home &amp; Living</v>
      </c>
      <c r="Q2557" s="13" t="str">
        <f>_xlfn.XLOOKUP(tblTransactions[[#This Row],[tenant_id]],tblTenants[tenant_id],tblTenants[category],"NOT FOUND")</f>
        <v>Home Decor</v>
      </c>
    </row>
    <row r="2558" spans="1:17">
      <c r="A2558" t="s">
        <v>2602</v>
      </c>
      <c r="B2558" s="2">
        <v>45744</v>
      </c>
      <c r="C2558">
        <v>12</v>
      </c>
      <c r="D2558" t="s">
        <v>61</v>
      </c>
      <c r="E2558" t="s">
        <v>12</v>
      </c>
      <c r="F2558" s="7">
        <v>1569.59</v>
      </c>
      <c r="G2558" s="10">
        <v>0</v>
      </c>
      <c r="H2558" s="7">
        <v>1569.59</v>
      </c>
      <c r="I2558">
        <v>2</v>
      </c>
      <c r="J2558" t="s">
        <v>13</v>
      </c>
      <c r="K2558" s="13">
        <f>ROUND(tblTransactions[[#This Row],[gross_sales_inr]]*(1-tblTransactions[[#This Row],[discount_pct]]),2)</f>
        <v>1569.59</v>
      </c>
      <c r="L2558" t="str">
        <f>IF(ABS(tblTransactions[[#This Row],[net_sales_inr]]-tblTransactions[[#This Row],[Recalc_Net_Sales]])&lt;0.02,"OK","CHECK")</f>
        <v>OK</v>
      </c>
      <c r="M2558" s="14">
        <f>DATE(YEAR(tblTransactions[[#This Row],[date]]),MONTH(tblTransactions[[#This Row],[date]]),1)</f>
        <v>45717</v>
      </c>
      <c r="N2558" t="str">
        <f>IF(WEEKDAY(tblTransactions[[#This Row],[date]],2)&gt;5,"Weekend","Weekday")</f>
        <v>Weekday</v>
      </c>
      <c r="O2558" s="13" t="str">
        <f>IF(tblTransactions[[#This Row],[discount_pct]]=0,"0%",IF(tblTransactions[[#This Row],[discount_pct]]&lt;=10%,"1–
10%",IF(tblTransactions[[#This Row],[discount_pct]]&lt;=20%,"11–20%","&gt;20%")))</f>
        <v>0%</v>
      </c>
      <c r="P2558" s="13" t="str">
        <f>_xlfn.XLOOKUP(tblTransactions[[#This Row],[tenant_id]],tblTenants[tenant_id],tblTenants[zone],"NOT FOUND")</f>
        <v>Food Court</v>
      </c>
      <c r="Q2558" s="13" t="str">
        <f>_xlfn.XLOOKUP(tblTransactions[[#This Row],[tenant_id]],tblTenants[tenant_id],tblTenants[category],"NOT FOUND")</f>
        <v>Quick Service</v>
      </c>
    </row>
    <row r="2559" spans="1:17">
      <c r="A2559" t="s">
        <v>2603</v>
      </c>
      <c r="B2559" s="2">
        <v>45714</v>
      </c>
      <c r="C2559">
        <v>13</v>
      </c>
      <c r="D2559" t="s">
        <v>34</v>
      </c>
      <c r="E2559" t="s">
        <v>32</v>
      </c>
      <c r="F2559" s="7">
        <v>764.08</v>
      </c>
      <c r="G2559" s="10">
        <v>0.1</v>
      </c>
      <c r="H2559" s="7">
        <v>687.67</v>
      </c>
      <c r="I2559">
        <v>1</v>
      </c>
      <c r="J2559" t="s">
        <v>13</v>
      </c>
      <c r="K2559" s="13">
        <f>ROUND(tblTransactions[[#This Row],[gross_sales_inr]]*(1-tblTransactions[[#This Row],[discount_pct]]),2)</f>
        <v>687.67</v>
      </c>
      <c r="L2559" t="str">
        <f>IF(ABS(tblTransactions[[#This Row],[net_sales_inr]]-tblTransactions[[#This Row],[Recalc_Net_Sales]])&lt;0.02,"OK","CHECK")</f>
        <v>OK</v>
      </c>
      <c r="M2559" s="14">
        <f>DATE(YEAR(tblTransactions[[#This Row],[date]]),MONTH(tblTransactions[[#This Row],[date]]),1)</f>
        <v>45689</v>
      </c>
      <c r="N2559" t="str">
        <f>IF(WEEKDAY(tblTransactions[[#This Row],[date]],2)&gt;5,"Weekend","Weekday")</f>
        <v>Weekday</v>
      </c>
      <c r="O255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59" s="13" t="str">
        <f>_xlfn.XLOOKUP(tblTransactions[[#This Row],[tenant_id]],tblTenants[tenant_id],tblTenants[zone],"NOT FOUND")</f>
        <v>Home &amp; Living</v>
      </c>
      <c r="Q2559" s="13" t="str">
        <f>_xlfn.XLOOKUP(tblTransactions[[#This Row],[tenant_id]],tblTenants[tenant_id],tblTenants[category],"NOT FOUND")</f>
        <v>Electronics</v>
      </c>
    </row>
    <row r="2560" spans="1:17">
      <c r="A2560" t="s">
        <v>2604</v>
      </c>
      <c r="B2560" s="2">
        <v>45754</v>
      </c>
      <c r="C2560">
        <v>21</v>
      </c>
      <c r="D2560" t="s">
        <v>80</v>
      </c>
      <c r="E2560" t="s">
        <v>32</v>
      </c>
      <c r="F2560" s="7">
        <v>504.94</v>
      </c>
      <c r="G2560" s="10">
        <v>0.2</v>
      </c>
      <c r="H2560" s="7">
        <v>403.95</v>
      </c>
      <c r="I2560">
        <v>2</v>
      </c>
      <c r="J2560" t="s">
        <v>13</v>
      </c>
      <c r="K2560" s="13">
        <f>ROUND(tblTransactions[[#This Row],[gross_sales_inr]]*(1-tblTransactions[[#This Row],[discount_pct]]),2)</f>
        <v>403.95</v>
      </c>
      <c r="L2560" t="str">
        <f>IF(ABS(tblTransactions[[#This Row],[net_sales_inr]]-tblTransactions[[#This Row],[Recalc_Net_Sales]])&lt;0.02,"OK","CHECK")</f>
        <v>OK</v>
      </c>
      <c r="M2560" s="14">
        <f>DATE(YEAR(tblTransactions[[#This Row],[date]]),MONTH(tblTransactions[[#This Row],[date]]),1)</f>
        <v>45748</v>
      </c>
      <c r="N2560" t="str">
        <f>IF(WEEKDAY(tblTransactions[[#This Row],[date]],2)&gt;5,"Weekend","Weekday")</f>
        <v>Weekday</v>
      </c>
      <c r="O256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60" s="13" t="str">
        <f>_xlfn.XLOOKUP(tblTransactions[[#This Row],[tenant_id]],tblTenants[tenant_id],tblTenants[zone],"NOT FOUND")</f>
        <v>Food Court</v>
      </c>
      <c r="Q2560" s="13" t="str">
        <f>_xlfn.XLOOKUP(tblTransactions[[#This Row],[tenant_id]],tblTenants[tenant_id],tblTenants[category],"NOT FOUND")</f>
        <v>Casual Dining</v>
      </c>
    </row>
    <row r="2561" spans="1:17">
      <c r="A2561" t="s">
        <v>2605</v>
      </c>
      <c r="B2561" s="2">
        <v>45763</v>
      </c>
      <c r="C2561">
        <v>17</v>
      </c>
      <c r="D2561" t="s">
        <v>98</v>
      </c>
      <c r="E2561" t="s">
        <v>32</v>
      </c>
      <c r="F2561" s="7">
        <v>558.85</v>
      </c>
      <c r="G2561" s="10">
        <v>0</v>
      </c>
      <c r="H2561" s="7">
        <v>558.85</v>
      </c>
      <c r="I2561">
        <v>2</v>
      </c>
      <c r="J2561" t="s">
        <v>13</v>
      </c>
      <c r="K2561" s="13">
        <f>ROUND(tblTransactions[[#This Row],[gross_sales_inr]]*(1-tblTransactions[[#This Row],[discount_pct]]),2)</f>
        <v>558.85</v>
      </c>
      <c r="L2561" t="str">
        <f>IF(ABS(tblTransactions[[#This Row],[net_sales_inr]]-tblTransactions[[#This Row],[Recalc_Net_Sales]])&lt;0.02,"OK","CHECK")</f>
        <v>OK</v>
      </c>
      <c r="M2561" s="14">
        <f>DATE(YEAR(tblTransactions[[#This Row],[date]]),MONTH(tblTransactions[[#This Row],[date]]),1)</f>
        <v>45748</v>
      </c>
      <c r="N2561" t="str">
        <f>IF(WEEKDAY(tblTransactions[[#This Row],[date]],2)&gt;5,"Weekend","Weekday")</f>
        <v>Weekday</v>
      </c>
      <c r="O2561" s="13" t="str">
        <f>IF(tblTransactions[[#This Row],[discount_pct]]=0,"0%",IF(tblTransactions[[#This Row],[discount_pct]]&lt;=10%,"1–
10%",IF(tblTransactions[[#This Row],[discount_pct]]&lt;=20%,"11–20%","&gt;20%")))</f>
        <v>0%</v>
      </c>
      <c r="P2561" s="13" t="str">
        <f>_xlfn.XLOOKUP(tblTransactions[[#This Row],[tenant_id]],tblTenants[tenant_id],tblTenants[zone],"NOT FOUND")</f>
        <v>Fashion Avenue</v>
      </c>
      <c r="Q2561" s="13" t="str">
        <f>_xlfn.XLOOKUP(tblTransactions[[#This Row],[tenant_id]],tblTenants[tenant_id],tblTenants[category],"NOT FOUND")</f>
        <v>Accessories</v>
      </c>
    </row>
    <row r="2562" spans="1:17">
      <c r="A2562" t="s">
        <v>2606</v>
      </c>
      <c r="B2562" s="2">
        <v>45691</v>
      </c>
      <c r="C2562">
        <v>19</v>
      </c>
      <c r="D2562" t="s">
        <v>98</v>
      </c>
      <c r="E2562" t="s">
        <v>12</v>
      </c>
      <c r="F2562" s="7">
        <v>448.35</v>
      </c>
      <c r="G2562" s="10">
        <v>0</v>
      </c>
      <c r="H2562" s="7">
        <v>448.35</v>
      </c>
      <c r="I2562">
        <v>2</v>
      </c>
      <c r="J2562" t="s">
        <v>13</v>
      </c>
      <c r="K2562" s="13">
        <f>ROUND(tblTransactions[[#This Row],[gross_sales_inr]]*(1-tblTransactions[[#This Row],[discount_pct]]),2)</f>
        <v>448.35</v>
      </c>
      <c r="L2562" t="str">
        <f>IF(ABS(tblTransactions[[#This Row],[net_sales_inr]]-tblTransactions[[#This Row],[Recalc_Net_Sales]])&lt;0.02,"OK","CHECK")</f>
        <v>OK</v>
      </c>
      <c r="M2562" s="14">
        <f>DATE(YEAR(tblTransactions[[#This Row],[date]]),MONTH(tblTransactions[[#This Row],[date]]),1)</f>
        <v>45689</v>
      </c>
      <c r="N2562" t="str">
        <f>IF(WEEKDAY(tblTransactions[[#This Row],[date]],2)&gt;5,"Weekend","Weekday")</f>
        <v>Weekday</v>
      </c>
      <c r="O2562" s="13" t="str">
        <f>IF(tblTransactions[[#This Row],[discount_pct]]=0,"0%",IF(tblTransactions[[#This Row],[discount_pct]]&lt;=10%,"1–
10%",IF(tblTransactions[[#This Row],[discount_pct]]&lt;=20%,"11–20%","&gt;20%")))</f>
        <v>0%</v>
      </c>
      <c r="P2562" s="13" t="str">
        <f>_xlfn.XLOOKUP(tblTransactions[[#This Row],[tenant_id]],tblTenants[tenant_id],tblTenants[zone],"NOT FOUND")</f>
        <v>Fashion Avenue</v>
      </c>
      <c r="Q2562" s="13" t="str">
        <f>_xlfn.XLOOKUP(tblTransactions[[#This Row],[tenant_id]],tblTenants[tenant_id],tblTenants[category],"NOT FOUND")</f>
        <v>Accessories</v>
      </c>
    </row>
    <row r="2563" spans="1:17">
      <c r="A2563" t="s">
        <v>2607</v>
      </c>
      <c r="B2563" s="2">
        <v>45763</v>
      </c>
      <c r="C2563">
        <v>12</v>
      </c>
      <c r="D2563" t="s">
        <v>70</v>
      </c>
      <c r="E2563" t="s">
        <v>12</v>
      </c>
      <c r="F2563" s="7">
        <v>606.73</v>
      </c>
      <c r="G2563" s="10">
        <v>0.15</v>
      </c>
      <c r="H2563" s="7">
        <v>515.72</v>
      </c>
      <c r="I2563">
        <v>3</v>
      </c>
      <c r="J2563" t="s">
        <v>13</v>
      </c>
      <c r="K2563" s="13">
        <f>ROUND(tblTransactions[[#This Row],[gross_sales_inr]]*(1-tblTransactions[[#This Row],[discount_pct]]),2)</f>
        <v>515.72</v>
      </c>
      <c r="L2563" t="str">
        <f>IF(ABS(tblTransactions[[#This Row],[net_sales_inr]]-tblTransactions[[#This Row],[Recalc_Net_Sales]])&lt;0.02,"OK","CHECK")</f>
        <v>OK</v>
      </c>
      <c r="M2563" s="14">
        <f>DATE(YEAR(tblTransactions[[#This Row],[date]]),MONTH(tblTransactions[[#This Row],[date]]),1)</f>
        <v>45748</v>
      </c>
      <c r="N2563" t="str">
        <f>IF(WEEKDAY(tblTransactions[[#This Row],[date]],2)&gt;5,"Weekend","Weekday")</f>
        <v>Weekday</v>
      </c>
      <c r="O256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63" s="13" t="str">
        <f>_xlfn.XLOOKUP(tblTransactions[[#This Row],[tenant_id]],tblTenants[tenant_id],tblTenants[zone],"NOT FOUND")</f>
        <v>Food Court</v>
      </c>
      <c r="Q2563" s="13" t="str">
        <f>_xlfn.XLOOKUP(tblTransactions[[#This Row],[tenant_id]],tblTenants[tenant_id],tblTenants[category],"NOT FOUND")</f>
        <v>Quick Service</v>
      </c>
    </row>
    <row r="2564" spans="1:17">
      <c r="A2564" t="s">
        <v>2608</v>
      </c>
      <c r="B2564" s="2">
        <v>45682</v>
      </c>
      <c r="C2564">
        <v>18</v>
      </c>
      <c r="D2564" t="s">
        <v>61</v>
      </c>
      <c r="E2564" t="s">
        <v>21</v>
      </c>
      <c r="F2564" s="7">
        <v>1115.1400000000001</v>
      </c>
      <c r="G2564" s="10">
        <v>0.15</v>
      </c>
      <c r="H2564" s="7">
        <v>947.87</v>
      </c>
      <c r="I2564">
        <v>2</v>
      </c>
      <c r="J2564" t="s">
        <v>13</v>
      </c>
      <c r="K2564" s="13">
        <f>ROUND(tblTransactions[[#This Row],[gross_sales_inr]]*(1-tblTransactions[[#This Row],[discount_pct]]),2)</f>
        <v>947.87</v>
      </c>
      <c r="L2564" t="str">
        <f>IF(ABS(tblTransactions[[#This Row],[net_sales_inr]]-tblTransactions[[#This Row],[Recalc_Net_Sales]])&lt;0.02,"OK","CHECK")</f>
        <v>OK</v>
      </c>
      <c r="M2564" s="14">
        <f>DATE(YEAR(tblTransactions[[#This Row],[date]]),MONTH(tblTransactions[[#This Row],[date]]),1)</f>
        <v>45658</v>
      </c>
      <c r="N2564" t="str">
        <f>IF(WEEKDAY(tblTransactions[[#This Row],[date]],2)&gt;5,"Weekend","Weekday")</f>
        <v>Weekend</v>
      </c>
      <c r="O256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64" s="13" t="str">
        <f>_xlfn.XLOOKUP(tblTransactions[[#This Row],[tenant_id]],tblTenants[tenant_id],tblTenants[zone],"NOT FOUND")</f>
        <v>Food Court</v>
      </c>
      <c r="Q2564" s="13" t="str">
        <f>_xlfn.XLOOKUP(tblTransactions[[#This Row],[tenant_id]],tblTenants[tenant_id],tblTenants[category],"NOT FOUND")</f>
        <v>Quick Service</v>
      </c>
    </row>
    <row r="2565" spans="1:17">
      <c r="A2565" t="s">
        <v>2609</v>
      </c>
      <c r="B2565" s="2">
        <v>45801</v>
      </c>
      <c r="C2565">
        <v>12</v>
      </c>
      <c r="D2565" t="s">
        <v>59</v>
      </c>
      <c r="E2565" t="s">
        <v>12</v>
      </c>
      <c r="F2565" s="7">
        <v>789.6</v>
      </c>
      <c r="G2565" s="10">
        <v>0.1</v>
      </c>
      <c r="H2565" s="7">
        <v>710.64</v>
      </c>
      <c r="I2565">
        <v>3</v>
      </c>
      <c r="J2565" t="s">
        <v>13</v>
      </c>
      <c r="K2565" s="13">
        <f>ROUND(tblTransactions[[#This Row],[gross_sales_inr]]*(1-tblTransactions[[#This Row],[discount_pct]]),2)</f>
        <v>710.64</v>
      </c>
      <c r="L2565" t="str">
        <f>IF(ABS(tblTransactions[[#This Row],[net_sales_inr]]-tblTransactions[[#This Row],[Recalc_Net_Sales]])&lt;0.02,"OK","CHECK")</f>
        <v>OK</v>
      </c>
      <c r="M2565" s="14">
        <f>DATE(YEAR(tblTransactions[[#This Row],[date]]),MONTH(tblTransactions[[#This Row],[date]]),1)</f>
        <v>45778</v>
      </c>
      <c r="N2565" t="str">
        <f>IF(WEEKDAY(tblTransactions[[#This Row],[date]],2)&gt;5,"Weekend","Weekday")</f>
        <v>Weekend</v>
      </c>
      <c r="O256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65" s="13" t="str">
        <f>_xlfn.XLOOKUP(tblTransactions[[#This Row],[tenant_id]],tblTenants[tenant_id],tblTenants[zone],"NOT FOUND")</f>
        <v>Fashion Avenue</v>
      </c>
      <c r="Q2565" s="13" t="str">
        <f>_xlfn.XLOOKUP(tblTransactions[[#This Row],[tenant_id]],tblTenants[tenant_id],tblTenants[category],"NOT FOUND")</f>
        <v>Footwear</v>
      </c>
    </row>
    <row r="2566" spans="1:17">
      <c r="A2566" t="s">
        <v>2610</v>
      </c>
      <c r="B2566" s="2">
        <v>45691</v>
      </c>
      <c r="C2566">
        <v>10</v>
      </c>
      <c r="D2566" t="s">
        <v>59</v>
      </c>
      <c r="E2566" t="s">
        <v>32</v>
      </c>
      <c r="F2566" s="7">
        <v>756.08</v>
      </c>
      <c r="G2566" s="10">
        <v>0</v>
      </c>
      <c r="H2566" s="7">
        <v>756.08</v>
      </c>
      <c r="I2566">
        <v>4</v>
      </c>
      <c r="J2566" t="s">
        <v>13</v>
      </c>
      <c r="K2566" s="13">
        <f>ROUND(tblTransactions[[#This Row],[gross_sales_inr]]*(1-tblTransactions[[#This Row],[discount_pct]]),2)</f>
        <v>756.08</v>
      </c>
      <c r="L2566" t="str">
        <f>IF(ABS(tblTransactions[[#This Row],[net_sales_inr]]-tblTransactions[[#This Row],[Recalc_Net_Sales]])&lt;0.02,"OK","CHECK")</f>
        <v>OK</v>
      </c>
      <c r="M2566" s="14">
        <f>DATE(YEAR(tblTransactions[[#This Row],[date]]),MONTH(tblTransactions[[#This Row],[date]]),1)</f>
        <v>45689</v>
      </c>
      <c r="N2566" t="str">
        <f>IF(WEEKDAY(tblTransactions[[#This Row],[date]],2)&gt;5,"Weekend","Weekday")</f>
        <v>Weekday</v>
      </c>
      <c r="O2566" s="13" t="str">
        <f>IF(tblTransactions[[#This Row],[discount_pct]]=0,"0%",IF(tblTransactions[[#This Row],[discount_pct]]&lt;=10%,"1–
10%",IF(tblTransactions[[#This Row],[discount_pct]]&lt;=20%,"11–20%","&gt;20%")))</f>
        <v>0%</v>
      </c>
      <c r="P2566" s="13" t="str">
        <f>_xlfn.XLOOKUP(tblTransactions[[#This Row],[tenant_id]],tblTenants[tenant_id],tblTenants[zone],"NOT FOUND")</f>
        <v>Fashion Avenue</v>
      </c>
      <c r="Q2566" s="13" t="str">
        <f>_xlfn.XLOOKUP(tblTransactions[[#This Row],[tenant_id]],tblTenants[tenant_id],tblTenants[category],"NOT FOUND")</f>
        <v>Footwear</v>
      </c>
    </row>
    <row r="2567" spans="1:17">
      <c r="A2567" t="s">
        <v>2611</v>
      </c>
      <c r="B2567" s="2">
        <v>45692</v>
      </c>
      <c r="C2567">
        <v>13</v>
      </c>
      <c r="D2567" t="s">
        <v>98</v>
      </c>
      <c r="E2567" t="s">
        <v>21</v>
      </c>
      <c r="F2567" s="7">
        <v>922.07</v>
      </c>
      <c r="G2567" s="10">
        <v>0.1</v>
      </c>
      <c r="H2567" s="7">
        <v>829.86</v>
      </c>
      <c r="I2567">
        <v>1</v>
      </c>
      <c r="J2567" t="s">
        <v>16</v>
      </c>
      <c r="K2567" s="13">
        <f>ROUND(tblTransactions[[#This Row],[gross_sales_inr]]*(1-tblTransactions[[#This Row],[discount_pct]]),2)</f>
        <v>829.86</v>
      </c>
      <c r="L2567" t="str">
        <f>IF(ABS(tblTransactions[[#This Row],[net_sales_inr]]-tblTransactions[[#This Row],[Recalc_Net_Sales]])&lt;0.02,"OK","CHECK")</f>
        <v>OK</v>
      </c>
      <c r="M2567" s="14">
        <f>DATE(YEAR(tblTransactions[[#This Row],[date]]),MONTH(tblTransactions[[#This Row],[date]]),1)</f>
        <v>45689</v>
      </c>
      <c r="N2567" t="str">
        <f>IF(WEEKDAY(tblTransactions[[#This Row],[date]],2)&gt;5,"Weekend","Weekday")</f>
        <v>Weekday</v>
      </c>
      <c r="O256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67" s="13" t="str">
        <f>_xlfn.XLOOKUP(tblTransactions[[#This Row],[tenant_id]],tblTenants[tenant_id],tblTenants[zone],"NOT FOUND")</f>
        <v>Fashion Avenue</v>
      </c>
      <c r="Q2567" s="13" t="str">
        <f>_xlfn.XLOOKUP(tblTransactions[[#This Row],[tenant_id]],tblTenants[tenant_id],tblTenants[category],"NOT FOUND")</f>
        <v>Accessories</v>
      </c>
    </row>
    <row r="2568" spans="1:17">
      <c r="A2568" t="s">
        <v>2612</v>
      </c>
      <c r="B2568" s="2">
        <v>45700</v>
      </c>
      <c r="C2568">
        <v>13</v>
      </c>
      <c r="D2568" t="s">
        <v>20</v>
      </c>
      <c r="E2568" t="s">
        <v>32</v>
      </c>
      <c r="F2568" s="7">
        <v>642.27</v>
      </c>
      <c r="G2568" s="10">
        <v>0</v>
      </c>
      <c r="H2568" s="7">
        <v>642.27</v>
      </c>
      <c r="I2568">
        <v>2</v>
      </c>
      <c r="J2568" t="s">
        <v>13</v>
      </c>
      <c r="K2568" s="13">
        <f>ROUND(tblTransactions[[#This Row],[gross_sales_inr]]*(1-tblTransactions[[#This Row],[discount_pct]]),2)</f>
        <v>642.27</v>
      </c>
      <c r="L2568" t="str">
        <f>IF(ABS(tblTransactions[[#This Row],[net_sales_inr]]-tblTransactions[[#This Row],[Recalc_Net_Sales]])&lt;0.02,"OK","CHECK")</f>
        <v>OK</v>
      </c>
      <c r="M2568" s="14">
        <f>DATE(YEAR(tblTransactions[[#This Row],[date]]),MONTH(tblTransactions[[#This Row],[date]]),1)</f>
        <v>45689</v>
      </c>
      <c r="N2568" t="str">
        <f>IF(WEEKDAY(tblTransactions[[#This Row],[date]],2)&gt;5,"Weekend","Weekday")</f>
        <v>Weekday</v>
      </c>
      <c r="O2568" s="13" t="str">
        <f>IF(tblTransactions[[#This Row],[discount_pct]]=0,"0%",IF(tblTransactions[[#This Row],[discount_pct]]&lt;=10%,"1–
10%",IF(tblTransactions[[#This Row],[discount_pct]]&lt;=20%,"11–20%","&gt;20%")))</f>
        <v>0%</v>
      </c>
      <c r="P2568" s="13" t="str">
        <f>_xlfn.XLOOKUP(tblTransactions[[#This Row],[tenant_id]],tblTenants[tenant_id],tblTenants[zone],"NOT FOUND")</f>
        <v>Fashion Avenue</v>
      </c>
      <c r="Q2568" s="13" t="str">
        <f>_xlfn.XLOOKUP(tblTransactions[[#This Row],[tenant_id]],tblTenants[tenant_id],tblTenants[category],"NOT FOUND")</f>
        <v>Accessories</v>
      </c>
    </row>
    <row r="2569" spans="1:17">
      <c r="A2569" t="s">
        <v>2613</v>
      </c>
      <c r="B2569" s="2">
        <v>45754</v>
      </c>
      <c r="C2569">
        <v>13</v>
      </c>
      <c r="D2569" t="s">
        <v>70</v>
      </c>
      <c r="E2569" t="s">
        <v>32</v>
      </c>
      <c r="F2569" s="7">
        <v>530.71</v>
      </c>
      <c r="G2569" s="10">
        <v>0.1</v>
      </c>
      <c r="H2569" s="7">
        <v>477.64</v>
      </c>
      <c r="I2569">
        <v>5</v>
      </c>
      <c r="J2569" t="s">
        <v>13</v>
      </c>
      <c r="K2569" s="13">
        <f>ROUND(tblTransactions[[#This Row],[gross_sales_inr]]*(1-tblTransactions[[#This Row],[discount_pct]]),2)</f>
        <v>477.64</v>
      </c>
      <c r="L2569" t="str">
        <f>IF(ABS(tblTransactions[[#This Row],[net_sales_inr]]-tblTransactions[[#This Row],[Recalc_Net_Sales]])&lt;0.02,"OK","CHECK")</f>
        <v>OK</v>
      </c>
      <c r="M2569" s="14">
        <f>DATE(YEAR(tblTransactions[[#This Row],[date]]),MONTH(tblTransactions[[#This Row],[date]]),1)</f>
        <v>45748</v>
      </c>
      <c r="N2569" t="str">
        <f>IF(WEEKDAY(tblTransactions[[#This Row],[date]],2)&gt;5,"Weekend","Weekday")</f>
        <v>Weekday</v>
      </c>
      <c r="O256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69" s="13" t="str">
        <f>_xlfn.XLOOKUP(tblTransactions[[#This Row],[tenant_id]],tblTenants[tenant_id],tblTenants[zone],"NOT FOUND")</f>
        <v>Food Court</v>
      </c>
      <c r="Q2569" s="13" t="str">
        <f>_xlfn.XLOOKUP(tblTransactions[[#This Row],[tenant_id]],tblTenants[tenant_id],tblTenants[category],"NOT FOUND")</f>
        <v>Quick Service</v>
      </c>
    </row>
    <row r="2570" spans="1:17">
      <c r="A2570" t="s">
        <v>2614</v>
      </c>
      <c r="B2570" s="2">
        <v>45669</v>
      </c>
      <c r="C2570">
        <v>19</v>
      </c>
      <c r="D2570" t="s">
        <v>36</v>
      </c>
      <c r="E2570" t="s">
        <v>32</v>
      </c>
      <c r="F2570" s="7">
        <v>954.79</v>
      </c>
      <c r="G2570" s="10">
        <v>0.3</v>
      </c>
      <c r="H2570" s="7">
        <v>668.35</v>
      </c>
      <c r="I2570">
        <v>1</v>
      </c>
      <c r="J2570" t="s">
        <v>13</v>
      </c>
      <c r="K2570" s="13">
        <f>ROUND(tblTransactions[[#This Row],[gross_sales_inr]]*(1-tblTransactions[[#This Row],[discount_pct]]),2)</f>
        <v>668.35</v>
      </c>
      <c r="L2570" t="str">
        <f>IF(ABS(tblTransactions[[#This Row],[net_sales_inr]]-tblTransactions[[#This Row],[Recalc_Net_Sales]])&lt;0.02,"OK","CHECK")</f>
        <v>OK</v>
      </c>
      <c r="M2570" s="14">
        <f>DATE(YEAR(tblTransactions[[#This Row],[date]]),MONTH(tblTransactions[[#This Row],[date]]),1)</f>
        <v>45658</v>
      </c>
      <c r="N2570" t="str">
        <f>IF(WEEKDAY(tblTransactions[[#This Row],[date]],2)&gt;5,"Weekend","Weekday")</f>
        <v>Weekend</v>
      </c>
      <c r="O257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570" s="13" t="str">
        <f>_xlfn.XLOOKUP(tblTransactions[[#This Row],[tenant_id]],tblTenants[tenant_id],tblTenants[zone],"NOT FOUND")</f>
        <v>Home &amp; Living</v>
      </c>
      <c r="Q2570" s="13" t="str">
        <f>_xlfn.XLOOKUP(tblTransactions[[#This Row],[tenant_id]],tblTenants[tenant_id],tblTenants[category],"NOT FOUND")</f>
        <v>Electronics</v>
      </c>
    </row>
    <row r="2571" spans="1:17">
      <c r="A2571" t="s">
        <v>2615</v>
      </c>
      <c r="B2571" s="2">
        <v>45662</v>
      </c>
      <c r="C2571">
        <v>18</v>
      </c>
      <c r="D2571" t="s">
        <v>87</v>
      </c>
      <c r="E2571" t="s">
        <v>12</v>
      </c>
      <c r="F2571" s="7">
        <v>1868.2</v>
      </c>
      <c r="G2571" s="10">
        <v>0.1</v>
      </c>
      <c r="H2571" s="7">
        <v>1681.38</v>
      </c>
      <c r="I2571">
        <v>2</v>
      </c>
      <c r="J2571" t="s">
        <v>13</v>
      </c>
      <c r="K2571" s="13">
        <f>ROUND(tblTransactions[[#This Row],[gross_sales_inr]]*(1-tblTransactions[[#This Row],[discount_pct]]),2)</f>
        <v>1681.38</v>
      </c>
      <c r="L2571" t="str">
        <f>IF(ABS(tblTransactions[[#This Row],[net_sales_inr]]-tblTransactions[[#This Row],[Recalc_Net_Sales]])&lt;0.02,"OK","CHECK")</f>
        <v>OK</v>
      </c>
      <c r="M2571" s="14">
        <f>DATE(YEAR(tblTransactions[[#This Row],[date]]),MONTH(tblTransactions[[#This Row],[date]]),1)</f>
        <v>45658</v>
      </c>
      <c r="N2571" t="str">
        <f>IF(WEEKDAY(tblTransactions[[#This Row],[date]],2)&gt;5,"Weekend","Weekday")</f>
        <v>Weekend</v>
      </c>
      <c r="O257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71" s="13" t="str">
        <f>_xlfn.XLOOKUP(tblTransactions[[#This Row],[tenant_id]],tblTenants[tenant_id],tblTenants[zone],"NOT FOUND")</f>
        <v>Fashion Avenue</v>
      </c>
      <c r="Q2571" s="13" t="str">
        <f>_xlfn.XLOOKUP(tblTransactions[[#This Row],[tenant_id]],tblTenants[tenant_id],tblTenants[category],"NOT FOUND")</f>
        <v>Footwear</v>
      </c>
    </row>
    <row r="2572" spans="1:17">
      <c r="A2572" t="s">
        <v>2616</v>
      </c>
      <c r="B2572" s="2">
        <v>45780</v>
      </c>
      <c r="C2572">
        <v>22</v>
      </c>
      <c r="D2572" t="s">
        <v>43</v>
      </c>
      <c r="E2572" t="s">
        <v>12</v>
      </c>
      <c r="F2572" s="7">
        <v>601.20000000000005</v>
      </c>
      <c r="G2572" s="10">
        <v>0.1</v>
      </c>
      <c r="H2572" s="7">
        <v>541.08000000000004</v>
      </c>
      <c r="I2572">
        <v>1</v>
      </c>
      <c r="J2572" t="s">
        <v>16</v>
      </c>
      <c r="K2572" s="13">
        <f>ROUND(tblTransactions[[#This Row],[gross_sales_inr]]*(1-tblTransactions[[#This Row],[discount_pct]]),2)</f>
        <v>541.08000000000004</v>
      </c>
      <c r="L2572" t="str">
        <f>IF(ABS(tblTransactions[[#This Row],[net_sales_inr]]-tblTransactions[[#This Row],[Recalc_Net_Sales]])&lt;0.02,"OK","CHECK")</f>
        <v>OK</v>
      </c>
      <c r="M2572" s="14">
        <f>DATE(YEAR(tblTransactions[[#This Row],[date]]),MONTH(tblTransactions[[#This Row],[date]]),1)</f>
        <v>45778</v>
      </c>
      <c r="N2572" t="str">
        <f>IF(WEEKDAY(tblTransactions[[#This Row],[date]],2)&gt;5,"Weekend","Weekday")</f>
        <v>Weekend</v>
      </c>
      <c r="O257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72" s="13" t="str">
        <f>_xlfn.XLOOKUP(tblTransactions[[#This Row],[tenant_id]],tblTenants[tenant_id],tblTenants[zone],"NOT FOUND")</f>
        <v>Food Court</v>
      </c>
      <c r="Q2572" s="13" t="str">
        <f>_xlfn.XLOOKUP(tblTransactions[[#This Row],[tenant_id]],tblTenants[tenant_id],tblTenants[category],"NOT FOUND")</f>
        <v>Casual Dining</v>
      </c>
    </row>
    <row r="2573" spans="1:17">
      <c r="A2573" t="s">
        <v>2617</v>
      </c>
      <c r="B2573" s="2">
        <v>45748</v>
      </c>
      <c r="C2573">
        <v>18</v>
      </c>
      <c r="D2573" t="s">
        <v>43</v>
      </c>
      <c r="E2573" t="s">
        <v>21</v>
      </c>
      <c r="F2573" s="7">
        <v>454.56</v>
      </c>
      <c r="G2573" s="10">
        <v>0.05</v>
      </c>
      <c r="H2573" s="7">
        <v>431.83</v>
      </c>
      <c r="I2573">
        <v>1</v>
      </c>
      <c r="J2573" t="s">
        <v>13</v>
      </c>
      <c r="K2573" s="13">
        <f>ROUND(tblTransactions[[#This Row],[gross_sales_inr]]*(1-tblTransactions[[#This Row],[discount_pct]]),2)</f>
        <v>431.83</v>
      </c>
      <c r="L2573" t="str">
        <f>IF(ABS(tblTransactions[[#This Row],[net_sales_inr]]-tblTransactions[[#This Row],[Recalc_Net_Sales]])&lt;0.02,"OK","CHECK")</f>
        <v>OK</v>
      </c>
      <c r="M2573" s="14">
        <f>DATE(YEAR(tblTransactions[[#This Row],[date]]),MONTH(tblTransactions[[#This Row],[date]]),1)</f>
        <v>45748</v>
      </c>
      <c r="N2573" t="str">
        <f>IF(WEEKDAY(tblTransactions[[#This Row],[date]],2)&gt;5,"Weekend","Weekday")</f>
        <v>Weekday</v>
      </c>
      <c r="O257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73" s="13" t="str">
        <f>_xlfn.XLOOKUP(tblTransactions[[#This Row],[tenant_id]],tblTenants[tenant_id],tblTenants[zone],"NOT FOUND")</f>
        <v>Food Court</v>
      </c>
      <c r="Q2573" s="13" t="str">
        <f>_xlfn.XLOOKUP(tblTransactions[[#This Row],[tenant_id]],tblTenants[tenant_id],tblTenants[category],"NOT FOUND")</f>
        <v>Casual Dining</v>
      </c>
    </row>
    <row r="2574" spans="1:17">
      <c r="A2574" t="s">
        <v>2618</v>
      </c>
      <c r="B2574" s="2">
        <v>45774</v>
      </c>
      <c r="C2574">
        <v>12</v>
      </c>
      <c r="D2574" t="s">
        <v>55</v>
      </c>
      <c r="E2574" t="s">
        <v>51</v>
      </c>
      <c r="F2574" s="7">
        <v>814.17</v>
      </c>
      <c r="G2574" s="10">
        <v>0.1</v>
      </c>
      <c r="H2574" s="7">
        <v>732.75</v>
      </c>
      <c r="I2574">
        <v>1</v>
      </c>
      <c r="J2574" t="s">
        <v>16</v>
      </c>
      <c r="K2574" s="13">
        <f>ROUND(tblTransactions[[#This Row],[gross_sales_inr]]*(1-tblTransactions[[#This Row],[discount_pct]]),2)</f>
        <v>732.75</v>
      </c>
      <c r="L2574" t="str">
        <f>IF(ABS(tblTransactions[[#This Row],[net_sales_inr]]-tblTransactions[[#This Row],[Recalc_Net_Sales]])&lt;0.02,"OK","CHECK")</f>
        <v>OK</v>
      </c>
      <c r="M2574" s="14">
        <f>DATE(YEAR(tblTransactions[[#This Row],[date]]),MONTH(tblTransactions[[#This Row],[date]]),1)</f>
        <v>45748</v>
      </c>
      <c r="N2574" t="str">
        <f>IF(WEEKDAY(tblTransactions[[#This Row],[date]],2)&gt;5,"Weekend","Weekday")</f>
        <v>Weekend</v>
      </c>
      <c r="O257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74" s="13" t="str">
        <f>_xlfn.XLOOKUP(tblTransactions[[#This Row],[tenant_id]],tblTenants[tenant_id],tblTenants[zone],"NOT FOUND")</f>
        <v>Food Court</v>
      </c>
      <c r="Q2574" s="13" t="str">
        <f>_xlfn.XLOOKUP(tblTransactions[[#This Row],[tenant_id]],tblTenants[tenant_id],tblTenants[category],"NOT FOUND")</f>
        <v>Quick Service</v>
      </c>
    </row>
    <row r="2575" spans="1:17">
      <c r="A2575" t="s">
        <v>2619</v>
      </c>
      <c r="B2575" s="2">
        <v>45783</v>
      </c>
      <c r="C2575">
        <v>15</v>
      </c>
      <c r="D2575" t="s">
        <v>15</v>
      </c>
      <c r="E2575" t="s">
        <v>21</v>
      </c>
      <c r="F2575" s="7">
        <v>635.01</v>
      </c>
      <c r="G2575" s="10">
        <v>0</v>
      </c>
      <c r="H2575" s="7">
        <v>635.01</v>
      </c>
      <c r="I2575">
        <v>4</v>
      </c>
      <c r="J2575" t="s">
        <v>13</v>
      </c>
      <c r="K2575" s="13">
        <f>ROUND(tblTransactions[[#This Row],[gross_sales_inr]]*(1-tblTransactions[[#This Row],[discount_pct]]),2)</f>
        <v>635.01</v>
      </c>
      <c r="L2575" t="str">
        <f>IF(ABS(tblTransactions[[#This Row],[net_sales_inr]]-tblTransactions[[#This Row],[Recalc_Net_Sales]])&lt;0.02,"OK","CHECK")</f>
        <v>OK</v>
      </c>
      <c r="M2575" s="14">
        <f>DATE(YEAR(tblTransactions[[#This Row],[date]]),MONTH(tblTransactions[[#This Row],[date]]),1)</f>
        <v>45778</v>
      </c>
      <c r="N2575" t="str">
        <f>IF(WEEKDAY(tblTransactions[[#This Row],[date]],2)&gt;5,"Weekend","Weekday")</f>
        <v>Weekday</v>
      </c>
      <c r="O2575" s="13" t="str">
        <f>IF(tblTransactions[[#This Row],[discount_pct]]=0,"0%",IF(tblTransactions[[#This Row],[discount_pct]]&lt;=10%,"1–
10%",IF(tblTransactions[[#This Row],[discount_pct]]&lt;=20%,"11–20%","&gt;20%")))</f>
        <v>0%</v>
      </c>
      <c r="P2575" s="13" t="str">
        <f>_xlfn.XLOOKUP(tblTransactions[[#This Row],[tenant_id]],tblTenants[tenant_id],tblTenants[zone],"NOT FOUND")</f>
        <v>Fashion Avenue</v>
      </c>
      <c r="Q2575" s="13" t="str">
        <f>_xlfn.XLOOKUP(tblTransactions[[#This Row],[tenant_id]],tblTenants[tenant_id],tblTenants[category],"NOT FOUND")</f>
        <v>Accessories</v>
      </c>
    </row>
    <row r="2576" spans="1:17">
      <c r="A2576" t="s">
        <v>2620</v>
      </c>
      <c r="B2576" s="2">
        <v>45747</v>
      </c>
      <c r="C2576">
        <v>16</v>
      </c>
      <c r="D2576" t="s">
        <v>34</v>
      </c>
      <c r="E2576" t="s">
        <v>21</v>
      </c>
      <c r="F2576" s="7">
        <v>833.93</v>
      </c>
      <c r="G2576" s="10">
        <v>0.05</v>
      </c>
      <c r="H2576" s="7">
        <v>792.23</v>
      </c>
      <c r="I2576">
        <v>2</v>
      </c>
      <c r="J2576" t="s">
        <v>16</v>
      </c>
      <c r="K2576" s="13">
        <f>ROUND(tblTransactions[[#This Row],[gross_sales_inr]]*(1-tblTransactions[[#This Row],[discount_pct]]),2)</f>
        <v>792.23</v>
      </c>
      <c r="L2576" t="str">
        <f>IF(ABS(tblTransactions[[#This Row],[net_sales_inr]]-tblTransactions[[#This Row],[Recalc_Net_Sales]])&lt;0.02,"OK","CHECK")</f>
        <v>OK</v>
      </c>
      <c r="M2576" s="14">
        <f>DATE(YEAR(tblTransactions[[#This Row],[date]]),MONTH(tblTransactions[[#This Row],[date]]),1)</f>
        <v>45717</v>
      </c>
      <c r="N2576" t="str">
        <f>IF(WEEKDAY(tblTransactions[[#This Row],[date]],2)&gt;5,"Weekend","Weekday")</f>
        <v>Weekday</v>
      </c>
      <c r="O257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76" s="13" t="str">
        <f>_xlfn.XLOOKUP(tblTransactions[[#This Row],[tenant_id]],tblTenants[tenant_id],tblTenants[zone],"NOT FOUND")</f>
        <v>Home &amp; Living</v>
      </c>
      <c r="Q2576" s="13" t="str">
        <f>_xlfn.XLOOKUP(tblTransactions[[#This Row],[tenant_id]],tblTenants[tenant_id],tblTenants[category],"NOT FOUND")</f>
        <v>Electronics</v>
      </c>
    </row>
    <row r="2577" spans="1:17">
      <c r="A2577" t="s">
        <v>2621</v>
      </c>
      <c r="B2577" s="2">
        <v>45765</v>
      </c>
      <c r="C2577">
        <v>12</v>
      </c>
      <c r="D2577" t="s">
        <v>98</v>
      </c>
      <c r="E2577" t="s">
        <v>32</v>
      </c>
      <c r="F2577" s="7">
        <v>1349.4</v>
      </c>
      <c r="G2577" s="10">
        <v>0.2</v>
      </c>
      <c r="H2577" s="7">
        <v>1079.52</v>
      </c>
      <c r="I2577">
        <v>4</v>
      </c>
      <c r="J2577" t="s">
        <v>13</v>
      </c>
      <c r="K2577" s="13">
        <f>ROUND(tblTransactions[[#This Row],[gross_sales_inr]]*(1-tblTransactions[[#This Row],[discount_pct]]),2)</f>
        <v>1079.52</v>
      </c>
      <c r="L2577" t="str">
        <f>IF(ABS(tblTransactions[[#This Row],[net_sales_inr]]-tblTransactions[[#This Row],[Recalc_Net_Sales]])&lt;0.02,"OK","CHECK")</f>
        <v>OK</v>
      </c>
      <c r="M2577" s="14">
        <f>DATE(YEAR(tblTransactions[[#This Row],[date]]),MONTH(tblTransactions[[#This Row],[date]]),1)</f>
        <v>45748</v>
      </c>
      <c r="N2577" t="str">
        <f>IF(WEEKDAY(tblTransactions[[#This Row],[date]],2)&gt;5,"Weekend","Weekday")</f>
        <v>Weekday</v>
      </c>
      <c r="O257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77" s="13" t="str">
        <f>_xlfn.XLOOKUP(tblTransactions[[#This Row],[tenant_id]],tblTenants[tenant_id],tblTenants[zone],"NOT FOUND")</f>
        <v>Fashion Avenue</v>
      </c>
      <c r="Q2577" s="13" t="str">
        <f>_xlfn.XLOOKUP(tblTransactions[[#This Row],[tenant_id]],tblTenants[tenant_id],tblTenants[category],"NOT FOUND")</f>
        <v>Accessories</v>
      </c>
    </row>
    <row r="2578" spans="1:17">
      <c r="A2578" t="s">
        <v>2622</v>
      </c>
      <c r="B2578" s="2">
        <v>45709</v>
      </c>
      <c r="C2578">
        <v>22</v>
      </c>
      <c r="D2578" t="s">
        <v>23</v>
      </c>
      <c r="E2578" t="s">
        <v>32</v>
      </c>
      <c r="F2578" s="7">
        <v>423.31</v>
      </c>
      <c r="G2578" s="10">
        <v>0.1</v>
      </c>
      <c r="H2578" s="7">
        <v>380.98</v>
      </c>
      <c r="I2578">
        <v>3</v>
      </c>
      <c r="J2578" t="s">
        <v>13</v>
      </c>
      <c r="K2578" s="13">
        <f>ROUND(tblTransactions[[#This Row],[gross_sales_inr]]*(1-tblTransactions[[#This Row],[discount_pct]]),2)</f>
        <v>380.98</v>
      </c>
      <c r="L2578" t="str">
        <f>IF(ABS(tblTransactions[[#This Row],[net_sales_inr]]-tblTransactions[[#This Row],[Recalc_Net_Sales]])&lt;0.02,"OK","CHECK")</f>
        <v>OK</v>
      </c>
      <c r="M2578" s="14">
        <f>DATE(YEAR(tblTransactions[[#This Row],[date]]),MONTH(tblTransactions[[#This Row],[date]]),1)</f>
        <v>45689</v>
      </c>
      <c r="N2578" t="str">
        <f>IF(WEEKDAY(tblTransactions[[#This Row],[date]],2)&gt;5,"Weekend","Weekday")</f>
        <v>Weekday</v>
      </c>
      <c r="O257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78" s="13" t="str">
        <f>_xlfn.XLOOKUP(tblTransactions[[#This Row],[tenant_id]],tblTenants[tenant_id],tblTenants[zone],"NOT FOUND")</f>
        <v>Entertainment</v>
      </c>
      <c r="Q2578" s="13" t="str">
        <f>_xlfn.XLOOKUP(tblTransactions[[#This Row],[tenant_id]],tblTenants[tenant_id],tblTenants[category],"NOT FOUND")</f>
        <v>Cinema</v>
      </c>
    </row>
    <row r="2579" spans="1:17">
      <c r="A2579" t="s">
        <v>2623</v>
      </c>
      <c r="B2579" s="2">
        <v>45698</v>
      </c>
      <c r="C2579">
        <v>11</v>
      </c>
      <c r="D2579" t="s">
        <v>23</v>
      </c>
      <c r="E2579" t="s">
        <v>51</v>
      </c>
      <c r="F2579" s="7">
        <v>1030.96</v>
      </c>
      <c r="G2579" s="10">
        <v>0.2</v>
      </c>
      <c r="H2579" s="7">
        <v>824.77</v>
      </c>
      <c r="I2579">
        <v>1</v>
      </c>
      <c r="J2579" t="s">
        <v>16</v>
      </c>
      <c r="K2579" s="13">
        <f>ROUND(tblTransactions[[#This Row],[gross_sales_inr]]*(1-tblTransactions[[#This Row],[discount_pct]]),2)</f>
        <v>824.77</v>
      </c>
      <c r="L2579" t="str">
        <f>IF(ABS(tblTransactions[[#This Row],[net_sales_inr]]-tblTransactions[[#This Row],[Recalc_Net_Sales]])&lt;0.02,"OK","CHECK")</f>
        <v>OK</v>
      </c>
      <c r="M2579" s="14">
        <f>DATE(YEAR(tblTransactions[[#This Row],[date]]),MONTH(tblTransactions[[#This Row],[date]]),1)</f>
        <v>45689</v>
      </c>
      <c r="N2579" t="str">
        <f>IF(WEEKDAY(tblTransactions[[#This Row],[date]],2)&gt;5,"Weekend","Weekday")</f>
        <v>Weekday</v>
      </c>
      <c r="O257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79" s="13" t="str">
        <f>_xlfn.XLOOKUP(tblTransactions[[#This Row],[tenant_id]],tblTenants[tenant_id],tblTenants[zone],"NOT FOUND")</f>
        <v>Entertainment</v>
      </c>
      <c r="Q2579" s="13" t="str">
        <f>_xlfn.XLOOKUP(tblTransactions[[#This Row],[tenant_id]],tblTenants[tenant_id],tblTenants[category],"NOT FOUND")</f>
        <v>Cinema</v>
      </c>
    </row>
    <row r="2580" spans="1:17">
      <c r="A2580" t="s">
        <v>2624</v>
      </c>
      <c r="B2580" s="2">
        <v>45702</v>
      </c>
      <c r="C2580">
        <v>19</v>
      </c>
      <c r="D2580" t="s">
        <v>15</v>
      </c>
      <c r="E2580" t="s">
        <v>12</v>
      </c>
      <c r="F2580" s="7">
        <v>541.78</v>
      </c>
      <c r="G2580" s="10">
        <v>0</v>
      </c>
      <c r="H2580" s="7">
        <v>541.78</v>
      </c>
      <c r="I2580">
        <v>2</v>
      </c>
      <c r="J2580" t="s">
        <v>13</v>
      </c>
      <c r="K2580" s="13">
        <f>ROUND(tblTransactions[[#This Row],[gross_sales_inr]]*(1-tblTransactions[[#This Row],[discount_pct]]),2)</f>
        <v>541.78</v>
      </c>
      <c r="L2580" t="str">
        <f>IF(ABS(tblTransactions[[#This Row],[net_sales_inr]]-tblTransactions[[#This Row],[Recalc_Net_Sales]])&lt;0.02,"OK","CHECK")</f>
        <v>OK</v>
      </c>
      <c r="M2580" s="14">
        <f>DATE(YEAR(tblTransactions[[#This Row],[date]]),MONTH(tblTransactions[[#This Row],[date]]),1)</f>
        <v>45689</v>
      </c>
      <c r="N2580" t="str">
        <f>IF(WEEKDAY(tblTransactions[[#This Row],[date]],2)&gt;5,"Weekend","Weekday")</f>
        <v>Weekday</v>
      </c>
      <c r="O2580" s="13" t="str">
        <f>IF(tblTransactions[[#This Row],[discount_pct]]=0,"0%",IF(tblTransactions[[#This Row],[discount_pct]]&lt;=10%,"1–
10%",IF(tblTransactions[[#This Row],[discount_pct]]&lt;=20%,"11–20%","&gt;20%")))</f>
        <v>0%</v>
      </c>
      <c r="P2580" s="13" t="str">
        <f>_xlfn.XLOOKUP(tblTransactions[[#This Row],[tenant_id]],tblTenants[tenant_id],tblTenants[zone],"NOT FOUND")</f>
        <v>Fashion Avenue</v>
      </c>
      <c r="Q2580" s="13" t="str">
        <f>_xlfn.XLOOKUP(tblTransactions[[#This Row],[tenant_id]],tblTenants[tenant_id],tblTenants[category],"NOT FOUND")</f>
        <v>Accessories</v>
      </c>
    </row>
    <row r="2581" spans="1:17">
      <c r="A2581" t="s">
        <v>2625</v>
      </c>
      <c r="B2581" s="2">
        <v>45795</v>
      </c>
      <c r="C2581">
        <v>15</v>
      </c>
      <c r="D2581" t="s">
        <v>87</v>
      </c>
      <c r="E2581" t="s">
        <v>12</v>
      </c>
      <c r="F2581" s="7">
        <v>722.19</v>
      </c>
      <c r="G2581" s="10">
        <v>0</v>
      </c>
      <c r="H2581" s="7">
        <v>722.19</v>
      </c>
      <c r="I2581">
        <v>1</v>
      </c>
      <c r="J2581" t="s">
        <v>16</v>
      </c>
      <c r="K2581" s="13">
        <f>ROUND(tblTransactions[[#This Row],[gross_sales_inr]]*(1-tblTransactions[[#This Row],[discount_pct]]),2)</f>
        <v>722.19</v>
      </c>
      <c r="L2581" t="str">
        <f>IF(ABS(tblTransactions[[#This Row],[net_sales_inr]]-tblTransactions[[#This Row],[Recalc_Net_Sales]])&lt;0.02,"OK","CHECK")</f>
        <v>OK</v>
      </c>
      <c r="M2581" s="14">
        <f>DATE(YEAR(tblTransactions[[#This Row],[date]]),MONTH(tblTransactions[[#This Row],[date]]),1)</f>
        <v>45778</v>
      </c>
      <c r="N2581" t="str">
        <f>IF(WEEKDAY(tblTransactions[[#This Row],[date]],2)&gt;5,"Weekend","Weekday")</f>
        <v>Weekend</v>
      </c>
      <c r="O2581" s="13" t="str">
        <f>IF(tblTransactions[[#This Row],[discount_pct]]=0,"0%",IF(tblTransactions[[#This Row],[discount_pct]]&lt;=10%,"1–
10%",IF(tblTransactions[[#This Row],[discount_pct]]&lt;=20%,"11–20%","&gt;20%")))</f>
        <v>0%</v>
      </c>
      <c r="P2581" s="13" t="str">
        <f>_xlfn.XLOOKUP(tblTransactions[[#This Row],[tenant_id]],tblTenants[tenant_id],tblTenants[zone],"NOT FOUND")</f>
        <v>Fashion Avenue</v>
      </c>
      <c r="Q2581" s="13" t="str">
        <f>_xlfn.XLOOKUP(tblTransactions[[#This Row],[tenant_id]],tblTenants[tenant_id],tblTenants[category],"NOT FOUND")</f>
        <v>Footwear</v>
      </c>
    </row>
    <row r="2582" spans="1:17">
      <c r="A2582" t="s">
        <v>2626</v>
      </c>
      <c r="B2582" s="2">
        <v>45808</v>
      </c>
      <c r="C2582">
        <v>11</v>
      </c>
      <c r="D2582" t="s">
        <v>59</v>
      </c>
      <c r="E2582" t="s">
        <v>12</v>
      </c>
      <c r="F2582" s="7">
        <v>2727.39</v>
      </c>
      <c r="G2582" s="10">
        <v>0.2</v>
      </c>
      <c r="H2582" s="7">
        <v>2181.91</v>
      </c>
      <c r="I2582">
        <v>3</v>
      </c>
      <c r="J2582" t="s">
        <v>13</v>
      </c>
      <c r="K2582" s="13">
        <f>ROUND(tblTransactions[[#This Row],[gross_sales_inr]]*(1-tblTransactions[[#This Row],[discount_pct]]),2)</f>
        <v>2181.91</v>
      </c>
      <c r="L2582" t="str">
        <f>IF(ABS(tblTransactions[[#This Row],[net_sales_inr]]-tblTransactions[[#This Row],[Recalc_Net_Sales]])&lt;0.02,"OK","CHECK")</f>
        <v>OK</v>
      </c>
      <c r="M2582" s="14">
        <f>DATE(YEAR(tblTransactions[[#This Row],[date]]),MONTH(tblTransactions[[#This Row],[date]]),1)</f>
        <v>45778</v>
      </c>
      <c r="N2582" t="str">
        <f>IF(WEEKDAY(tblTransactions[[#This Row],[date]],2)&gt;5,"Weekend","Weekday")</f>
        <v>Weekend</v>
      </c>
      <c r="O258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82" s="13" t="str">
        <f>_xlfn.XLOOKUP(tblTransactions[[#This Row],[tenant_id]],tblTenants[tenant_id],tblTenants[zone],"NOT FOUND")</f>
        <v>Fashion Avenue</v>
      </c>
      <c r="Q2582" s="13" t="str">
        <f>_xlfn.XLOOKUP(tblTransactions[[#This Row],[tenant_id]],tblTenants[tenant_id],tblTenants[category],"NOT FOUND")</f>
        <v>Footwear</v>
      </c>
    </row>
    <row r="2583" spans="1:17">
      <c r="A2583" t="s">
        <v>2627</v>
      </c>
      <c r="B2583" s="2">
        <v>45661</v>
      </c>
      <c r="C2583">
        <v>13</v>
      </c>
      <c r="D2583" t="s">
        <v>104</v>
      </c>
      <c r="E2583" t="s">
        <v>32</v>
      </c>
      <c r="F2583" s="7">
        <v>1022.38</v>
      </c>
      <c r="G2583" s="10">
        <v>0</v>
      </c>
      <c r="H2583" s="7">
        <v>1022.38</v>
      </c>
      <c r="I2583">
        <v>1</v>
      </c>
      <c r="J2583" t="s">
        <v>13</v>
      </c>
      <c r="K2583" s="13">
        <f>ROUND(tblTransactions[[#This Row],[gross_sales_inr]]*(1-tblTransactions[[#This Row],[discount_pct]]),2)</f>
        <v>1022.38</v>
      </c>
      <c r="L2583" t="str">
        <f>IF(ABS(tblTransactions[[#This Row],[net_sales_inr]]-tblTransactions[[#This Row],[Recalc_Net_Sales]])&lt;0.02,"OK","CHECK")</f>
        <v>OK</v>
      </c>
      <c r="M2583" s="14">
        <f>DATE(YEAR(tblTransactions[[#This Row],[date]]),MONTH(tblTransactions[[#This Row],[date]]),1)</f>
        <v>45658</v>
      </c>
      <c r="N2583" t="str">
        <f>IF(WEEKDAY(tblTransactions[[#This Row],[date]],2)&gt;5,"Weekend","Weekday")</f>
        <v>Weekend</v>
      </c>
      <c r="O2583" s="13" t="str">
        <f>IF(tblTransactions[[#This Row],[discount_pct]]=0,"0%",IF(tblTransactions[[#This Row],[discount_pct]]&lt;=10%,"1–
10%",IF(tblTransactions[[#This Row],[discount_pct]]&lt;=20%,"11–20%","&gt;20%")))</f>
        <v>0%</v>
      </c>
      <c r="P2583" s="13" t="str">
        <f>_xlfn.XLOOKUP(tblTransactions[[#This Row],[tenant_id]],tblTenants[tenant_id],tblTenants[zone],"NOT FOUND")</f>
        <v>Entertainment</v>
      </c>
      <c r="Q2583" s="13" t="str">
        <f>_xlfn.XLOOKUP(tblTransactions[[#This Row],[tenant_id]],tblTenants[tenant_id],tblTenants[category],"NOT FOUND")</f>
        <v>Family Entertainment</v>
      </c>
    </row>
    <row r="2584" spans="1:17">
      <c r="A2584" t="s">
        <v>2628</v>
      </c>
      <c r="B2584" s="2">
        <v>45658</v>
      </c>
      <c r="C2584">
        <v>15</v>
      </c>
      <c r="D2584" t="s">
        <v>27</v>
      </c>
      <c r="E2584" t="s">
        <v>21</v>
      </c>
      <c r="F2584" s="7">
        <v>1677.89</v>
      </c>
      <c r="G2584" s="10">
        <v>0.05</v>
      </c>
      <c r="H2584" s="7">
        <v>1594</v>
      </c>
      <c r="I2584">
        <v>3</v>
      </c>
      <c r="J2584" t="s">
        <v>13</v>
      </c>
      <c r="K2584" s="13">
        <f>ROUND(tblTransactions[[#This Row],[gross_sales_inr]]*(1-tblTransactions[[#This Row],[discount_pct]]),2)</f>
        <v>1594</v>
      </c>
      <c r="L2584" t="str">
        <f>IF(ABS(tblTransactions[[#This Row],[net_sales_inr]]-tblTransactions[[#This Row],[Recalc_Net_Sales]])&lt;0.02,"OK","CHECK")</f>
        <v>OK</v>
      </c>
      <c r="M2584" s="14">
        <f>DATE(YEAR(tblTransactions[[#This Row],[date]]),MONTH(tblTransactions[[#This Row],[date]]),1)</f>
        <v>45658</v>
      </c>
      <c r="N2584" t="str">
        <f>IF(WEEKDAY(tblTransactions[[#This Row],[date]],2)&gt;5,"Weekend","Weekday")</f>
        <v>Weekday</v>
      </c>
      <c r="O258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84" s="13" t="str">
        <f>_xlfn.XLOOKUP(tblTransactions[[#This Row],[tenant_id]],tblTenants[tenant_id],tblTenants[zone],"NOT FOUND")</f>
        <v>Beauty &amp; Wellness</v>
      </c>
      <c r="Q2584" s="13" t="str">
        <f>_xlfn.XLOOKUP(tblTransactions[[#This Row],[tenant_id]],tblTenants[tenant_id],tblTenants[category],"NOT FOUND")</f>
        <v>Wellness</v>
      </c>
    </row>
    <row r="2585" spans="1:17">
      <c r="A2585" t="s">
        <v>2629</v>
      </c>
      <c r="B2585" s="2">
        <v>45696</v>
      </c>
      <c r="C2585">
        <v>16</v>
      </c>
      <c r="D2585" t="s">
        <v>122</v>
      </c>
      <c r="E2585" t="s">
        <v>32</v>
      </c>
      <c r="F2585" s="7">
        <v>1808.34</v>
      </c>
      <c r="G2585" s="10">
        <v>0</v>
      </c>
      <c r="H2585" s="7">
        <v>1808.34</v>
      </c>
      <c r="I2585">
        <v>3</v>
      </c>
      <c r="J2585" t="s">
        <v>13</v>
      </c>
      <c r="K2585" s="13">
        <f>ROUND(tblTransactions[[#This Row],[gross_sales_inr]]*(1-tblTransactions[[#This Row],[discount_pct]]),2)</f>
        <v>1808.34</v>
      </c>
      <c r="L2585" t="str">
        <f>IF(ABS(tblTransactions[[#This Row],[net_sales_inr]]-tblTransactions[[#This Row],[Recalc_Net_Sales]])&lt;0.02,"OK","CHECK")</f>
        <v>OK</v>
      </c>
      <c r="M2585" s="14">
        <f>DATE(YEAR(tblTransactions[[#This Row],[date]]),MONTH(tblTransactions[[#This Row],[date]]),1)</f>
        <v>45689</v>
      </c>
      <c r="N2585" t="str">
        <f>IF(WEEKDAY(tblTransactions[[#This Row],[date]],2)&gt;5,"Weekend","Weekday")</f>
        <v>Weekend</v>
      </c>
      <c r="O2585" s="13" t="str">
        <f>IF(tblTransactions[[#This Row],[discount_pct]]=0,"0%",IF(tblTransactions[[#This Row],[discount_pct]]&lt;=10%,"1–
10%",IF(tblTransactions[[#This Row],[discount_pct]]&lt;=20%,"11–20%","&gt;20%")))</f>
        <v>0%</v>
      </c>
      <c r="P2585" s="13" t="str">
        <f>_xlfn.XLOOKUP(tblTransactions[[#This Row],[tenant_id]],tblTenants[tenant_id],tblTenants[zone],"NOT FOUND")</f>
        <v>Beauty &amp; Wellness</v>
      </c>
      <c r="Q2585" s="13" t="str">
        <f>_xlfn.XLOOKUP(tblTransactions[[#This Row],[tenant_id]],tblTenants[tenant_id],tblTenants[category],"NOT FOUND")</f>
        <v>Wellness</v>
      </c>
    </row>
    <row r="2586" spans="1:17">
      <c r="A2586" t="s">
        <v>2630</v>
      </c>
      <c r="B2586" s="2">
        <v>45829</v>
      </c>
      <c r="C2586">
        <v>18</v>
      </c>
      <c r="D2586" t="s">
        <v>48</v>
      </c>
      <c r="E2586" t="s">
        <v>32</v>
      </c>
      <c r="F2586" s="7">
        <v>869.89</v>
      </c>
      <c r="G2586" s="10">
        <v>0</v>
      </c>
      <c r="H2586" s="7">
        <v>869.89</v>
      </c>
      <c r="I2586">
        <v>5</v>
      </c>
      <c r="J2586" t="s">
        <v>16</v>
      </c>
      <c r="K2586" s="13">
        <f>ROUND(tblTransactions[[#This Row],[gross_sales_inr]]*(1-tblTransactions[[#This Row],[discount_pct]]),2)</f>
        <v>869.89</v>
      </c>
      <c r="L2586" t="str">
        <f>IF(ABS(tblTransactions[[#This Row],[net_sales_inr]]-tblTransactions[[#This Row],[Recalc_Net_Sales]])&lt;0.02,"OK","CHECK")</f>
        <v>OK</v>
      </c>
      <c r="M2586" s="14">
        <f>DATE(YEAR(tblTransactions[[#This Row],[date]]),MONTH(tblTransactions[[#This Row],[date]]),1)</f>
        <v>45809</v>
      </c>
      <c r="N2586" t="str">
        <f>IF(WEEKDAY(tblTransactions[[#This Row],[date]],2)&gt;5,"Weekend","Weekday")</f>
        <v>Weekend</v>
      </c>
      <c r="O2586" s="13" t="str">
        <f>IF(tblTransactions[[#This Row],[discount_pct]]=0,"0%",IF(tblTransactions[[#This Row],[discount_pct]]&lt;=10%,"1–
10%",IF(tblTransactions[[#This Row],[discount_pct]]&lt;=20%,"11–20%","&gt;20%")))</f>
        <v>0%</v>
      </c>
      <c r="P2586" s="13" t="str">
        <f>_xlfn.XLOOKUP(tblTransactions[[#This Row],[tenant_id]],tblTenants[tenant_id],tblTenants[zone],"NOT FOUND")</f>
        <v>Beauty &amp; Wellness</v>
      </c>
      <c r="Q2586" s="13" t="str">
        <f>_xlfn.XLOOKUP(tblTransactions[[#This Row],[tenant_id]],tblTenants[tenant_id],tblTenants[category],"NOT FOUND")</f>
        <v>Wellness</v>
      </c>
    </row>
    <row r="2587" spans="1:17">
      <c r="A2587" t="s">
        <v>2631</v>
      </c>
      <c r="B2587" s="2">
        <v>45715</v>
      </c>
      <c r="C2587">
        <v>10</v>
      </c>
      <c r="D2587" t="s">
        <v>80</v>
      </c>
      <c r="E2587" t="s">
        <v>32</v>
      </c>
      <c r="F2587" s="7">
        <v>474.35</v>
      </c>
      <c r="G2587" s="10">
        <v>0</v>
      </c>
      <c r="H2587" s="7">
        <v>474.35</v>
      </c>
      <c r="I2587">
        <v>1</v>
      </c>
      <c r="J2587" t="s">
        <v>13</v>
      </c>
      <c r="K2587" s="13">
        <f>ROUND(tblTransactions[[#This Row],[gross_sales_inr]]*(1-tblTransactions[[#This Row],[discount_pct]]),2)</f>
        <v>474.35</v>
      </c>
      <c r="L2587" t="str">
        <f>IF(ABS(tblTransactions[[#This Row],[net_sales_inr]]-tblTransactions[[#This Row],[Recalc_Net_Sales]])&lt;0.02,"OK","CHECK")</f>
        <v>OK</v>
      </c>
      <c r="M2587" s="14">
        <f>DATE(YEAR(tblTransactions[[#This Row],[date]]),MONTH(tblTransactions[[#This Row],[date]]),1)</f>
        <v>45689</v>
      </c>
      <c r="N2587" t="str">
        <f>IF(WEEKDAY(tblTransactions[[#This Row],[date]],2)&gt;5,"Weekend","Weekday")</f>
        <v>Weekday</v>
      </c>
      <c r="O2587" s="13" t="str">
        <f>IF(tblTransactions[[#This Row],[discount_pct]]=0,"0%",IF(tblTransactions[[#This Row],[discount_pct]]&lt;=10%,"1–
10%",IF(tblTransactions[[#This Row],[discount_pct]]&lt;=20%,"11–20%","&gt;20%")))</f>
        <v>0%</v>
      </c>
      <c r="P2587" s="13" t="str">
        <f>_xlfn.XLOOKUP(tblTransactions[[#This Row],[tenant_id]],tblTenants[tenant_id],tblTenants[zone],"NOT FOUND")</f>
        <v>Food Court</v>
      </c>
      <c r="Q2587" s="13" t="str">
        <f>_xlfn.XLOOKUP(tblTransactions[[#This Row],[tenant_id]],tblTenants[tenant_id],tblTenants[category],"NOT FOUND")</f>
        <v>Casual Dining</v>
      </c>
    </row>
    <row r="2588" spans="1:17">
      <c r="A2588" t="s">
        <v>2632</v>
      </c>
      <c r="B2588" s="2">
        <v>45753</v>
      </c>
      <c r="C2588">
        <v>19</v>
      </c>
      <c r="D2588" t="s">
        <v>87</v>
      </c>
      <c r="E2588" t="s">
        <v>51</v>
      </c>
      <c r="F2588" s="7">
        <v>3360.95</v>
      </c>
      <c r="G2588" s="10">
        <v>0.2</v>
      </c>
      <c r="H2588" s="7">
        <v>2688.76</v>
      </c>
      <c r="I2588">
        <v>1</v>
      </c>
      <c r="J2588" t="s">
        <v>13</v>
      </c>
      <c r="K2588" s="13">
        <f>ROUND(tblTransactions[[#This Row],[gross_sales_inr]]*(1-tblTransactions[[#This Row],[discount_pct]]),2)</f>
        <v>2688.76</v>
      </c>
      <c r="L2588" t="str">
        <f>IF(ABS(tblTransactions[[#This Row],[net_sales_inr]]-tblTransactions[[#This Row],[Recalc_Net_Sales]])&lt;0.02,"OK","CHECK")</f>
        <v>OK</v>
      </c>
      <c r="M2588" s="14">
        <f>DATE(YEAR(tblTransactions[[#This Row],[date]]),MONTH(tblTransactions[[#This Row],[date]]),1)</f>
        <v>45748</v>
      </c>
      <c r="N2588" t="str">
        <f>IF(WEEKDAY(tblTransactions[[#This Row],[date]],2)&gt;5,"Weekend","Weekday")</f>
        <v>Weekend</v>
      </c>
      <c r="O258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88" s="13" t="str">
        <f>_xlfn.XLOOKUP(tblTransactions[[#This Row],[tenant_id]],tblTenants[tenant_id],tblTenants[zone],"NOT FOUND")</f>
        <v>Fashion Avenue</v>
      </c>
      <c r="Q2588" s="13" t="str">
        <f>_xlfn.XLOOKUP(tblTransactions[[#This Row],[tenant_id]],tblTenants[tenant_id],tblTenants[category],"NOT FOUND")</f>
        <v>Footwear</v>
      </c>
    </row>
    <row r="2589" spans="1:17">
      <c r="A2589" t="s">
        <v>2633</v>
      </c>
      <c r="B2589" s="2">
        <v>45771</v>
      </c>
      <c r="C2589">
        <v>12</v>
      </c>
      <c r="D2589" t="s">
        <v>87</v>
      </c>
      <c r="E2589" t="s">
        <v>12</v>
      </c>
      <c r="F2589" s="7">
        <v>499.58</v>
      </c>
      <c r="G2589" s="10">
        <v>0.2</v>
      </c>
      <c r="H2589" s="7">
        <v>399.66</v>
      </c>
      <c r="I2589">
        <v>1</v>
      </c>
      <c r="J2589" t="s">
        <v>16</v>
      </c>
      <c r="K2589" s="13">
        <f>ROUND(tblTransactions[[#This Row],[gross_sales_inr]]*(1-tblTransactions[[#This Row],[discount_pct]]),2)</f>
        <v>399.66</v>
      </c>
      <c r="L2589" t="str">
        <f>IF(ABS(tblTransactions[[#This Row],[net_sales_inr]]-tblTransactions[[#This Row],[Recalc_Net_Sales]])&lt;0.02,"OK","CHECK")</f>
        <v>OK</v>
      </c>
      <c r="M2589" s="14">
        <f>DATE(YEAR(tblTransactions[[#This Row],[date]]),MONTH(tblTransactions[[#This Row],[date]]),1)</f>
        <v>45748</v>
      </c>
      <c r="N2589" t="str">
        <f>IF(WEEKDAY(tblTransactions[[#This Row],[date]],2)&gt;5,"Weekend","Weekday")</f>
        <v>Weekday</v>
      </c>
      <c r="O258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89" s="13" t="str">
        <f>_xlfn.XLOOKUP(tblTransactions[[#This Row],[tenant_id]],tblTenants[tenant_id],tblTenants[zone],"NOT FOUND")</f>
        <v>Fashion Avenue</v>
      </c>
      <c r="Q2589" s="13" t="str">
        <f>_xlfn.XLOOKUP(tblTransactions[[#This Row],[tenant_id]],tblTenants[tenant_id],tblTenants[category],"NOT FOUND")</f>
        <v>Footwear</v>
      </c>
    </row>
    <row r="2590" spans="1:17">
      <c r="A2590" t="s">
        <v>2634</v>
      </c>
      <c r="B2590" s="2">
        <v>45698</v>
      </c>
      <c r="C2590">
        <v>10</v>
      </c>
      <c r="D2590" t="s">
        <v>48</v>
      </c>
      <c r="E2590" t="s">
        <v>21</v>
      </c>
      <c r="F2590" s="7">
        <v>1375.15</v>
      </c>
      <c r="G2590" s="10">
        <v>0</v>
      </c>
      <c r="H2590" s="7">
        <v>1375.15</v>
      </c>
      <c r="I2590">
        <v>1</v>
      </c>
      <c r="J2590" t="s">
        <v>13</v>
      </c>
      <c r="K2590" s="13">
        <f>ROUND(tblTransactions[[#This Row],[gross_sales_inr]]*(1-tblTransactions[[#This Row],[discount_pct]]),2)</f>
        <v>1375.15</v>
      </c>
      <c r="L2590" t="str">
        <f>IF(ABS(tblTransactions[[#This Row],[net_sales_inr]]-tblTransactions[[#This Row],[Recalc_Net_Sales]])&lt;0.02,"OK","CHECK")</f>
        <v>OK</v>
      </c>
      <c r="M2590" s="14">
        <f>DATE(YEAR(tblTransactions[[#This Row],[date]]),MONTH(tblTransactions[[#This Row],[date]]),1)</f>
        <v>45689</v>
      </c>
      <c r="N2590" t="str">
        <f>IF(WEEKDAY(tblTransactions[[#This Row],[date]],2)&gt;5,"Weekend","Weekday")</f>
        <v>Weekday</v>
      </c>
      <c r="O2590" s="13" t="str">
        <f>IF(tblTransactions[[#This Row],[discount_pct]]=0,"0%",IF(tblTransactions[[#This Row],[discount_pct]]&lt;=10%,"1–
10%",IF(tblTransactions[[#This Row],[discount_pct]]&lt;=20%,"11–20%","&gt;20%")))</f>
        <v>0%</v>
      </c>
      <c r="P2590" s="13" t="str">
        <f>_xlfn.XLOOKUP(tblTransactions[[#This Row],[tenant_id]],tblTenants[tenant_id],tblTenants[zone],"NOT FOUND")</f>
        <v>Beauty &amp; Wellness</v>
      </c>
      <c r="Q2590" s="13" t="str">
        <f>_xlfn.XLOOKUP(tblTransactions[[#This Row],[tenant_id]],tblTenants[tenant_id],tblTenants[category],"NOT FOUND")</f>
        <v>Wellness</v>
      </c>
    </row>
    <row r="2591" spans="1:17">
      <c r="A2591" t="s">
        <v>2635</v>
      </c>
      <c r="B2591" s="2">
        <v>45755</v>
      </c>
      <c r="C2591">
        <v>17</v>
      </c>
      <c r="D2591" t="s">
        <v>72</v>
      </c>
      <c r="E2591" t="s">
        <v>21</v>
      </c>
      <c r="F2591" s="7">
        <v>881.62</v>
      </c>
      <c r="G2591" s="10">
        <v>0.15</v>
      </c>
      <c r="H2591" s="7">
        <v>749.38</v>
      </c>
      <c r="I2591">
        <v>1</v>
      </c>
      <c r="J2591" t="s">
        <v>13</v>
      </c>
      <c r="K2591" s="13">
        <f>ROUND(tblTransactions[[#This Row],[gross_sales_inr]]*(1-tblTransactions[[#This Row],[discount_pct]]),2)</f>
        <v>749.38</v>
      </c>
      <c r="L2591" t="str">
        <f>IF(ABS(tblTransactions[[#This Row],[net_sales_inr]]-tblTransactions[[#This Row],[Recalc_Net_Sales]])&lt;0.02,"OK","CHECK")</f>
        <v>OK</v>
      </c>
      <c r="M2591" s="14">
        <f>DATE(YEAR(tblTransactions[[#This Row],[date]]),MONTH(tblTransactions[[#This Row],[date]]),1)</f>
        <v>45748</v>
      </c>
      <c r="N2591" t="str">
        <f>IF(WEEKDAY(tblTransactions[[#This Row],[date]],2)&gt;5,"Weekend","Weekday")</f>
        <v>Weekday</v>
      </c>
      <c r="O259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91" s="13" t="str">
        <f>_xlfn.XLOOKUP(tblTransactions[[#This Row],[tenant_id]],tblTenants[tenant_id],tblTenants[zone],"NOT FOUND")</f>
        <v>Entertainment</v>
      </c>
      <c r="Q2591" s="13" t="str">
        <f>_xlfn.XLOOKUP(tblTransactions[[#This Row],[tenant_id]],tblTenants[tenant_id],tblTenants[category],"NOT FOUND")</f>
        <v>Arcade</v>
      </c>
    </row>
    <row r="2592" spans="1:17">
      <c r="A2592" t="s">
        <v>2636</v>
      </c>
      <c r="B2592" s="2">
        <v>45757</v>
      </c>
      <c r="C2592">
        <v>11</v>
      </c>
      <c r="D2592" t="s">
        <v>72</v>
      </c>
      <c r="E2592" t="s">
        <v>32</v>
      </c>
      <c r="F2592" s="7">
        <v>228.66</v>
      </c>
      <c r="G2592" s="10">
        <v>0</v>
      </c>
      <c r="H2592" s="7">
        <v>228.66</v>
      </c>
      <c r="I2592">
        <v>1</v>
      </c>
      <c r="J2592" t="s">
        <v>13</v>
      </c>
      <c r="K2592" s="13">
        <f>ROUND(tblTransactions[[#This Row],[gross_sales_inr]]*(1-tblTransactions[[#This Row],[discount_pct]]),2)</f>
        <v>228.66</v>
      </c>
      <c r="L2592" t="str">
        <f>IF(ABS(tblTransactions[[#This Row],[net_sales_inr]]-tblTransactions[[#This Row],[Recalc_Net_Sales]])&lt;0.02,"OK","CHECK")</f>
        <v>OK</v>
      </c>
      <c r="M2592" s="14">
        <f>DATE(YEAR(tblTransactions[[#This Row],[date]]),MONTH(tblTransactions[[#This Row],[date]]),1)</f>
        <v>45748</v>
      </c>
      <c r="N2592" t="str">
        <f>IF(WEEKDAY(tblTransactions[[#This Row],[date]],2)&gt;5,"Weekend","Weekday")</f>
        <v>Weekday</v>
      </c>
      <c r="O2592" s="13" t="str">
        <f>IF(tblTransactions[[#This Row],[discount_pct]]=0,"0%",IF(tblTransactions[[#This Row],[discount_pct]]&lt;=10%,"1–
10%",IF(tblTransactions[[#This Row],[discount_pct]]&lt;=20%,"11–20%","&gt;20%")))</f>
        <v>0%</v>
      </c>
      <c r="P2592" s="13" t="str">
        <f>_xlfn.XLOOKUP(tblTransactions[[#This Row],[tenant_id]],tblTenants[tenant_id],tblTenants[zone],"NOT FOUND")</f>
        <v>Entertainment</v>
      </c>
      <c r="Q2592" s="13" t="str">
        <f>_xlfn.XLOOKUP(tblTransactions[[#This Row],[tenant_id]],tblTenants[tenant_id],tblTenants[category],"NOT FOUND")</f>
        <v>Arcade</v>
      </c>
    </row>
    <row r="2593" spans="1:17">
      <c r="A2593" t="s">
        <v>2637</v>
      </c>
      <c r="B2593" s="2">
        <v>45768</v>
      </c>
      <c r="C2593">
        <v>20</v>
      </c>
      <c r="D2593" t="s">
        <v>61</v>
      </c>
      <c r="E2593" t="s">
        <v>32</v>
      </c>
      <c r="F2593" s="7">
        <v>1292.07</v>
      </c>
      <c r="G2593" s="10">
        <v>0</v>
      </c>
      <c r="H2593" s="7">
        <v>1292.07</v>
      </c>
      <c r="I2593">
        <v>2</v>
      </c>
      <c r="J2593" t="s">
        <v>13</v>
      </c>
      <c r="K2593" s="13">
        <f>ROUND(tblTransactions[[#This Row],[gross_sales_inr]]*(1-tblTransactions[[#This Row],[discount_pct]]),2)</f>
        <v>1292.07</v>
      </c>
      <c r="L2593" t="str">
        <f>IF(ABS(tblTransactions[[#This Row],[net_sales_inr]]-tblTransactions[[#This Row],[Recalc_Net_Sales]])&lt;0.02,"OK","CHECK")</f>
        <v>OK</v>
      </c>
      <c r="M2593" s="14">
        <f>DATE(YEAR(tblTransactions[[#This Row],[date]]),MONTH(tblTransactions[[#This Row],[date]]),1)</f>
        <v>45748</v>
      </c>
      <c r="N2593" t="str">
        <f>IF(WEEKDAY(tblTransactions[[#This Row],[date]],2)&gt;5,"Weekend","Weekday")</f>
        <v>Weekday</v>
      </c>
      <c r="O2593" s="13" t="str">
        <f>IF(tblTransactions[[#This Row],[discount_pct]]=0,"0%",IF(tblTransactions[[#This Row],[discount_pct]]&lt;=10%,"1–
10%",IF(tblTransactions[[#This Row],[discount_pct]]&lt;=20%,"11–20%","&gt;20%")))</f>
        <v>0%</v>
      </c>
      <c r="P2593" s="13" t="str">
        <f>_xlfn.XLOOKUP(tblTransactions[[#This Row],[tenant_id]],tblTenants[tenant_id],tblTenants[zone],"NOT FOUND")</f>
        <v>Food Court</v>
      </c>
      <c r="Q2593" s="13" t="str">
        <f>_xlfn.XLOOKUP(tblTransactions[[#This Row],[tenant_id]],tblTenants[tenant_id],tblTenants[category],"NOT FOUND")</f>
        <v>Quick Service</v>
      </c>
    </row>
    <row r="2594" spans="1:17">
      <c r="A2594" t="s">
        <v>2638</v>
      </c>
      <c r="B2594" s="2">
        <v>45687</v>
      </c>
      <c r="C2594">
        <v>18</v>
      </c>
      <c r="D2594" t="s">
        <v>15</v>
      </c>
      <c r="E2594" t="s">
        <v>21</v>
      </c>
      <c r="F2594" s="7">
        <v>704.98</v>
      </c>
      <c r="G2594" s="10">
        <v>0.2</v>
      </c>
      <c r="H2594" s="7">
        <v>563.98</v>
      </c>
      <c r="I2594">
        <v>2</v>
      </c>
      <c r="J2594" t="s">
        <v>16</v>
      </c>
      <c r="K2594" s="13">
        <f>ROUND(tblTransactions[[#This Row],[gross_sales_inr]]*(1-tblTransactions[[#This Row],[discount_pct]]),2)</f>
        <v>563.98</v>
      </c>
      <c r="L2594" t="str">
        <f>IF(ABS(tblTransactions[[#This Row],[net_sales_inr]]-tblTransactions[[#This Row],[Recalc_Net_Sales]])&lt;0.02,"OK","CHECK")</f>
        <v>OK</v>
      </c>
      <c r="M2594" s="14">
        <f>DATE(YEAR(tblTransactions[[#This Row],[date]]),MONTH(tblTransactions[[#This Row],[date]]),1)</f>
        <v>45658</v>
      </c>
      <c r="N2594" t="str">
        <f>IF(WEEKDAY(tblTransactions[[#This Row],[date]],2)&gt;5,"Weekend","Weekday")</f>
        <v>Weekday</v>
      </c>
      <c r="O259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94" s="13" t="str">
        <f>_xlfn.XLOOKUP(tblTransactions[[#This Row],[tenant_id]],tblTenants[tenant_id],tblTenants[zone],"NOT FOUND")</f>
        <v>Fashion Avenue</v>
      </c>
      <c r="Q2594" s="13" t="str">
        <f>_xlfn.XLOOKUP(tblTransactions[[#This Row],[tenant_id]],tblTenants[tenant_id],tblTenants[category],"NOT FOUND")</f>
        <v>Accessories</v>
      </c>
    </row>
    <row r="2595" spans="1:17">
      <c r="A2595" t="s">
        <v>2639</v>
      </c>
      <c r="B2595" s="2">
        <v>45800</v>
      </c>
      <c r="C2595">
        <v>19</v>
      </c>
      <c r="D2595" t="s">
        <v>29</v>
      </c>
      <c r="E2595" t="s">
        <v>12</v>
      </c>
      <c r="F2595" s="7">
        <v>455.16</v>
      </c>
      <c r="G2595" s="10">
        <v>0.05</v>
      </c>
      <c r="H2595" s="7">
        <v>432.4</v>
      </c>
      <c r="I2595">
        <v>2</v>
      </c>
      <c r="J2595" t="s">
        <v>13</v>
      </c>
      <c r="K2595" s="13">
        <f>ROUND(tblTransactions[[#This Row],[gross_sales_inr]]*(1-tblTransactions[[#This Row],[discount_pct]]),2)</f>
        <v>432.4</v>
      </c>
      <c r="L2595" t="str">
        <f>IF(ABS(tblTransactions[[#This Row],[net_sales_inr]]-tblTransactions[[#This Row],[Recalc_Net_Sales]])&lt;0.02,"OK","CHECK")</f>
        <v>OK</v>
      </c>
      <c r="M2595" s="14">
        <f>DATE(YEAR(tblTransactions[[#This Row],[date]]),MONTH(tblTransactions[[#This Row],[date]]),1)</f>
        <v>45778</v>
      </c>
      <c r="N2595" t="str">
        <f>IF(WEEKDAY(tblTransactions[[#This Row],[date]],2)&gt;5,"Weekend","Weekday")</f>
        <v>Weekday</v>
      </c>
      <c r="O259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95" s="13" t="str">
        <f>_xlfn.XLOOKUP(tblTransactions[[#This Row],[tenant_id]],tblTenants[tenant_id],tblTenants[zone],"NOT FOUND")</f>
        <v>Entertainment</v>
      </c>
      <c r="Q2595" s="13" t="str">
        <f>_xlfn.XLOOKUP(tblTransactions[[#This Row],[tenant_id]],tblTenants[tenant_id],tblTenants[category],"NOT FOUND")</f>
        <v>Cinema</v>
      </c>
    </row>
    <row r="2596" spans="1:17">
      <c r="A2596" t="s">
        <v>2640</v>
      </c>
      <c r="B2596" s="2">
        <v>45822</v>
      </c>
      <c r="C2596">
        <v>10</v>
      </c>
      <c r="D2596" t="s">
        <v>104</v>
      </c>
      <c r="E2596" t="s">
        <v>12</v>
      </c>
      <c r="F2596" s="7">
        <v>713.7</v>
      </c>
      <c r="G2596" s="10">
        <v>0</v>
      </c>
      <c r="H2596" s="7">
        <v>713.7</v>
      </c>
      <c r="I2596">
        <v>4</v>
      </c>
      <c r="J2596" t="s">
        <v>13</v>
      </c>
      <c r="K2596" s="13">
        <f>ROUND(tblTransactions[[#This Row],[gross_sales_inr]]*(1-tblTransactions[[#This Row],[discount_pct]]),2)</f>
        <v>713.7</v>
      </c>
      <c r="L2596" t="str">
        <f>IF(ABS(tblTransactions[[#This Row],[net_sales_inr]]-tblTransactions[[#This Row],[Recalc_Net_Sales]])&lt;0.02,"OK","CHECK")</f>
        <v>OK</v>
      </c>
      <c r="M2596" s="14">
        <f>DATE(YEAR(tblTransactions[[#This Row],[date]]),MONTH(tblTransactions[[#This Row],[date]]),1)</f>
        <v>45809</v>
      </c>
      <c r="N2596" t="str">
        <f>IF(WEEKDAY(tblTransactions[[#This Row],[date]],2)&gt;5,"Weekend","Weekday")</f>
        <v>Weekend</v>
      </c>
      <c r="O2596" s="13" t="str">
        <f>IF(tblTransactions[[#This Row],[discount_pct]]=0,"0%",IF(tblTransactions[[#This Row],[discount_pct]]&lt;=10%,"1–
10%",IF(tblTransactions[[#This Row],[discount_pct]]&lt;=20%,"11–20%","&gt;20%")))</f>
        <v>0%</v>
      </c>
      <c r="P2596" s="13" t="str">
        <f>_xlfn.XLOOKUP(tblTransactions[[#This Row],[tenant_id]],tblTenants[tenant_id],tblTenants[zone],"NOT FOUND")</f>
        <v>Entertainment</v>
      </c>
      <c r="Q2596" s="13" t="str">
        <f>_xlfn.XLOOKUP(tblTransactions[[#This Row],[tenant_id]],tblTenants[tenant_id],tblTenants[category],"NOT FOUND")</f>
        <v>Family Entertainment</v>
      </c>
    </row>
    <row r="2597" spans="1:17">
      <c r="A2597" t="s">
        <v>2641</v>
      </c>
      <c r="B2597" s="2">
        <v>45712</v>
      </c>
      <c r="C2597">
        <v>22</v>
      </c>
      <c r="D2597" t="s">
        <v>31</v>
      </c>
      <c r="E2597" t="s">
        <v>12</v>
      </c>
      <c r="F2597" s="7">
        <v>2904.4</v>
      </c>
      <c r="G2597" s="10">
        <v>0</v>
      </c>
      <c r="H2597" s="7">
        <v>2904.4</v>
      </c>
      <c r="I2597">
        <v>3</v>
      </c>
      <c r="J2597" t="s">
        <v>13</v>
      </c>
      <c r="K2597" s="13">
        <f>ROUND(tblTransactions[[#This Row],[gross_sales_inr]]*(1-tblTransactions[[#This Row],[discount_pct]]),2)</f>
        <v>2904.4</v>
      </c>
      <c r="L2597" t="str">
        <f>IF(ABS(tblTransactions[[#This Row],[net_sales_inr]]-tblTransactions[[#This Row],[Recalc_Net_Sales]])&lt;0.02,"OK","CHECK")</f>
        <v>OK</v>
      </c>
      <c r="M2597" s="14">
        <f>DATE(YEAR(tblTransactions[[#This Row],[date]]),MONTH(tblTransactions[[#This Row],[date]]),1)</f>
        <v>45689</v>
      </c>
      <c r="N2597" t="str">
        <f>IF(WEEKDAY(tblTransactions[[#This Row],[date]],2)&gt;5,"Weekend","Weekday")</f>
        <v>Weekday</v>
      </c>
      <c r="O2597" s="13" t="str">
        <f>IF(tblTransactions[[#This Row],[discount_pct]]=0,"0%",IF(tblTransactions[[#This Row],[discount_pct]]&lt;=10%,"1–
10%",IF(tblTransactions[[#This Row],[discount_pct]]&lt;=20%,"11–20%","&gt;20%")))</f>
        <v>0%</v>
      </c>
      <c r="P2597" s="13" t="str">
        <f>_xlfn.XLOOKUP(tblTransactions[[#This Row],[tenant_id]],tblTenants[tenant_id],tblTenants[zone],"NOT FOUND")</f>
        <v>Entertainment</v>
      </c>
      <c r="Q2597" s="13" t="str">
        <f>_xlfn.XLOOKUP(tblTransactions[[#This Row],[tenant_id]],tblTenants[tenant_id],tblTenants[category],"NOT FOUND")</f>
        <v>Arcade</v>
      </c>
    </row>
    <row r="2598" spans="1:17">
      <c r="A2598" t="s">
        <v>2642</v>
      </c>
      <c r="B2598" s="2">
        <v>45791</v>
      </c>
      <c r="C2598">
        <v>22</v>
      </c>
      <c r="D2598" t="s">
        <v>45</v>
      </c>
      <c r="E2598" t="s">
        <v>12</v>
      </c>
      <c r="F2598" s="7">
        <v>261.10000000000002</v>
      </c>
      <c r="G2598" s="10">
        <v>0.1</v>
      </c>
      <c r="H2598" s="7">
        <v>234.99</v>
      </c>
      <c r="I2598">
        <v>4</v>
      </c>
      <c r="J2598" t="s">
        <v>13</v>
      </c>
      <c r="K2598" s="13">
        <f>ROUND(tblTransactions[[#This Row],[gross_sales_inr]]*(1-tblTransactions[[#This Row],[discount_pct]]),2)</f>
        <v>234.99</v>
      </c>
      <c r="L2598" t="str">
        <f>IF(ABS(tblTransactions[[#This Row],[net_sales_inr]]-tblTransactions[[#This Row],[Recalc_Net_Sales]])&lt;0.02,"OK","CHECK")</f>
        <v>OK</v>
      </c>
      <c r="M2598" s="14">
        <f>DATE(YEAR(tblTransactions[[#This Row],[date]]),MONTH(tblTransactions[[#This Row],[date]]),1)</f>
        <v>45778</v>
      </c>
      <c r="N2598" t="str">
        <f>IF(WEEKDAY(tblTransactions[[#This Row],[date]],2)&gt;5,"Weekend","Weekday")</f>
        <v>Weekday</v>
      </c>
      <c r="O259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598" s="13" t="str">
        <f>_xlfn.XLOOKUP(tblTransactions[[#This Row],[tenant_id]],tblTenants[tenant_id],tblTenants[zone],"NOT FOUND")</f>
        <v>Home &amp; Living</v>
      </c>
      <c r="Q2598" s="13" t="str">
        <f>_xlfn.XLOOKUP(tblTransactions[[#This Row],[tenant_id]],tblTenants[tenant_id],tblTenants[category],"NOT FOUND")</f>
        <v>Home Decor</v>
      </c>
    </row>
    <row r="2599" spans="1:17">
      <c r="A2599" t="s">
        <v>2643</v>
      </c>
      <c r="B2599" s="2">
        <v>45830</v>
      </c>
      <c r="C2599">
        <v>11</v>
      </c>
      <c r="D2599" t="s">
        <v>31</v>
      </c>
      <c r="E2599" t="s">
        <v>32</v>
      </c>
      <c r="F2599" s="7">
        <v>1910.66</v>
      </c>
      <c r="G2599" s="10">
        <v>0.2</v>
      </c>
      <c r="H2599" s="7">
        <v>1528.53</v>
      </c>
      <c r="I2599">
        <v>1</v>
      </c>
      <c r="J2599" t="s">
        <v>16</v>
      </c>
      <c r="K2599" s="13">
        <f>ROUND(tblTransactions[[#This Row],[gross_sales_inr]]*(1-tblTransactions[[#This Row],[discount_pct]]),2)</f>
        <v>1528.53</v>
      </c>
      <c r="L2599" t="str">
        <f>IF(ABS(tblTransactions[[#This Row],[net_sales_inr]]-tblTransactions[[#This Row],[Recalc_Net_Sales]])&lt;0.02,"OK","CHECK")</f>
        <v>OK</v>
      </c>
      <c r="M2599" s="14">
        <f>DATE(YEAR(tblTransactions[[#This Row],[date]]),MONTH(tblTransactions[[#This Row],[date]]),1)</f>
        <v>45809</v>
      </c>
      <c r="N2599" t="str">
        <f>IF(WEEKDAY(tblTransactions[[#This Row],[date]],2)&gt;5,"Weekend","Weekday")</f>
        <v>Weekend</v>
      </c>
      <c r="O259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599" s="13" t="str">
        <f>_xlfn.XLOOKUP(tblTransactions[[#This Row],[tenant_id]],tblTenants[tenant_id],tblTenants[zone],"NOT FOUND")</f>
        <v>Entertainment</v>
      </c>
      <c r="Q2599" s="13" t="str">
        <f>_xlfn.XLOOKUP(tblTransactions[[#This Row],[tenant_id]],tblTenants[tenant_id],tblTenants[category],"NOT FOUND")</f>
        <v>Arcade</v>
      </c>
    </row>
    <row r="2600" spans="1:17">
      <c r="A2600" t="s">
        <v>2644</v>
      </c>
      <c r="B2600" s="2">
        <v>45773</v>
      </c>
      <c r="C2600">
        <v>20</v>
      </c>
      <c r="D2600" t="s">
        <v>15</v>
      </c>
      <c r="E2600" t="s">
        <v>12</v>
      </c>
      <c r="F2600" s="7">
        <v>1936.33</v>
      </c>
      <c r="G2600" s="10">
        <v>0</v>
      </c>
      <c r="H2600" s="7">
        <v>1936.33</v>
      </c>
      <c r="I2600">
        <v>3</v>
      </c>
      <c r="J2600" t="s">
        <v>13</v>
      </c>
      <c r="K2600" s="13">
        <f>ROUND(tblTransactions[[#This Row],[gross_sales_inr]]*(1-tblTransactions[[#This Row],[discount_pct]]),2)</f>
        <v>1936.33</v>
      </c>
      <c r="L2600" t="str">
        <f>IF(ABS(tblTransactions[[#This Row],[net_sales_inr]]-tblTransactions[[#This Row],[Recalc_Net_Sales]])&lt;0.02,"OK","CHECK")</f>
        <v>OK</v>
      </c>
      <c r="M2600" s="14">
        <f>DATE(YEAR(tblTransactions[[#This Row],[date]]),MONTH(tblTransactions[[#This Row],[date]]),1)</f>
        <v>45748</v>
      </c>
      <c r="N2600" t="str">
        <f>IF(WEEKDAY(tblTransactions[[#This Row],[date]],2)&gt;5,"Weekend","Weekday")</f>
        <v>Weekend</v>
      </c>
      <c r="O2600" s="13" t="str">
        <f>IF(tblTransactions[[#This Row],[discount_pct]]=0,"0%",IF(tblTransactions[[#This Row],[discount_pct]]&lt;=10%,"1–
10%",IF(tblTransactions[[#This Row],[discount_pct]]&lt;=20%,"11–20%","&gt;20%")))</f>
        <v>0%</v>
      </c>
      <c r="P2600" s="13" t="str">
        <f>_xlfn.XLOOKUP(tblTransactions[[#This Row],[tenant_id]],tblTenants[tenant_id],tblTenants[zone],"NOT FOUND")</f>
        <v>Fashion Avenue</v>
      </c>
      <c r="Q2600" s="13" t="str">
        <f>_xlfn.XLOOKUP(tblTransactions[[#This Row],[tenant_id]],tblTenants[tenant_id],tblTenants[category],"NOT FOUND")</f>
        <v>Accessories</v>
      </c>
    </row>
    <row r="2601" spans="1:17">
      <c r="A2601" t="s">
        <v>2645</v>
      </c>
      <c r="B2601" s="2">
        <v>45730</v>
      </c>
      <c r="C2601">
        <v>11</v>
      </c>
      <c r="D2601" t="s">
        <v>36</v>
      </c>
      <c r="E2601" t="s">
        <v>12</v>
      </c>
      <c r="F2601" s="7">
        <v>1411.77</v>
      </c>
      <c r="G2601" s="10">
        <v>0</v>
      </c>
      <c r="H2601" s="7">
        <v>1411.77</v>
      </c>
      <c r="I2601">
        <v>2</v>
      </c>
      <c r="J2601" t="s">
        <v>13</v>
      </c>
      <c r="K2601" s="13">
        <f>ROUND(tblTransactions[[#This Row],[gross_sales_inr]]*(1-tblTransactions[[#This Row],[discount_pct]]),2)</f>
        <v>1411.77</v>
      </c>
      <c r="L2601" t="str">
        <f>IF(ABS(tblTransactions[[#This Row],[net_sales_inr]]-tblTransactions[[#This Row],[Recalc_Net_Sales]])&lt;0.02,"OK","CHECK")</f>
        <v>OK</v>
      </c>
      <c r="M2601" s="14">
        <f>DATE(YEAR(tblTransactions[[#This Row],[date]]),MONTH(tblTransactions[[#This Row],[date]]),1)</f>
        <v>45717</v>
      </c>
      <c r="N2601" t="str">
        <f>IF(WEEKDAY(tblTransactions[[#This Row],[date]],2)&gt;5,"Weekend","Weekday")</f>
        <v>Weekday</v>
      </c>
      <c r="O2601" s="13" t="str">
        <f>IF(tblTransactions[[#This Row],[discount_pct]]=0,"0%",IF(tblTransactions[[#This Row],[discount_pct]]&lt;=10%,"1–
10%",IF(tblTransactions[[#This Row],[discount_pct]]&lt;=20%,"11–20%","&gt;20%")))</f>
        <v>0%</v>
      </c>
      <c r="P2601" s="13" t="str">
        <f>_xlfn.XLOOKUP(tblTransactions[[#This Row],[tenant_id]],tblTenants[tenant_id],tblTenants[zone],"NOT FOUND")</f>
        <v>Home &amp; Living</v>
      </c>
      <c r="Q2601" s="13" t="str">
        <f>_xlfn.XLOOKUP(tblTransactions[[#This Row],[tenant_id]],tblTenants[tenant_id],tblTenants[category],"NOT FOUND")</f>
        <v>Electronics</v>
      </c>
    </row>
    <row r="2602" spans="1:17">
      <c r="A2602" t="s">
        <v>2646</v>
      </c>
      <c r="B2602" s="2">
        <v>45674</v>
      </c>
      <c r="C2602">
        <v>21</v>
      </c>
      <c r="D2602" t="s">
        <v>59</v>
      </c>
      <c r="E2602" t="s">
        <v>12</v>
      </c>
      <c r="F2602" s="7">
        <v>3747.93</v>
      </c>
      <c r="G2602" s="10">
        <v>0</v>
      </c>
      <c r="H2602" s="7">
        <v>3747.93</v>
      </c>
      <c r="I2602">
        <v>3</v>
      </c>
      <c r="J2602" t="s">
        <v>13</v>
      </c>
      <c r="K2602" s="13">
        <f>ROUND(tblTransactions[[#This Row],[gross_sales_inr]]*(1-tblTransactions[[#This Row],[discount_pct]]),2)</f>
        <v>3747.93</v>
      </c>
      <c r="L2602" t="str">
        <f>IF(ABS(tblTransactions[[#This Row],[net_sales_inr]]-tblTransactions[[#This Row],[Recalc_Net_Sales]])&lt;0.02,"OK","CHECK")</f>
        <v>OK</v>
      </c>
      <c r="M2602" s="14">
        <f>DATE(YEAR(tblTransactions[[#This Row],[date]]),MONTH(tblTransactions[[#This Row],[date]]),1)</f>
        <v>45658</v>
      </c>
      <c r="N2602" t="str">
        <f>IF(WEEKDAY(tblTransactions[[#This Row],[date]],2)&gt;5,"Weekend","Weekday")</f>
        <v>Weekday</v>
      </c>
      <c r="O2602" s="13" t="str">
        <f>IF(tblTransactions[[#This Row],[discount_pct]]=0,"0%",IF(tblTransactions[[#This Row],[discount_pct]]&lt;=10%,"1–
10%",IF(tblTransactions[[#This Row],[discount_pct]]&lt;=20%,"11–20%","&gt;20%")))</f>
        <v>0%</v>
      </c>
      <c r="P2602" s="13" t="str">
        <f>_xlfn.XLOOKUP(tblTransactions[[#This Row],[tenant_id]],tblTenants[tenant_id],tblTenants[zone],"NOT FOUND")</f>
        <v>Fashion Avenue</v>
      </c>
      <c r="Q2602" s="13" t="str">
        <f>_xlfn.XLOOKUP(tblTransactions[[#This Row],[tenant_id]],tblTenants[tenant_id],tblTenants[category],"NOT FOUND")</f>
        <v>Footwear</v>
      </c>
    </row>
    <row r="2603" spans="1:17">
      <c r="A2603" t="s">
        <v>2647</v>
      </c>
      <c r="B2603" s="2">
        <v>45763</v>
      </c>
      <c r="C2603">
        <v>12</v>
      </c>
      <c r="D2603" t="s">
        <v>11</v>
      </c>
      <c r="E2603" t="s">
        <v>12</v>
      </c>
      <c r="F2603" s="7">
        <v>520.19000000000005</v>
      </c>
      <c r="G2603" s="10">
        <v>0.15</v>
      </c>
      <c r="H2603" s="7">
        <v>442.16</v>
      </c>
      <c r="I2603">
        <v>3</v>
      </c>
      <c r="J2603" t="s">
        <v>13</v>
      </c>
      <c r="K2603" s="13">
        <f>ROUND(tblTransactions[[#This Row],[gross_sales_inr]]*(1-tblTransactions[[#This Row],[discount_pct]]),2)</f>
        <v>442.16</v>
      </c>
      <c r="L2603" t="str">
        <f>IF(ABS(tblTransactions[[#This Row],[net_sales_inr]]-tblTransactions[[#This Row],[Recalc_Net_Sales]])&lt;0.02,"OK","CHECK")</f>
        <v>OK</v>
      </c>
      <c r="M2603" s="14">
        <f>DATE(YEAR(tblTransactions[[#This Row],[date]]),MONTH(tblTransactions[[#This Row],[date]]),1)</f>
        <v>45748</v>
      </c>
      <c r="N2603" t="str">
        <f>IF(WEEKDAY(tblTransactions[[#This Row],[date]],2)&gt;5,"Weekend","Weekday")</f>
        <v>Weekday</v>
      </c>
      <c r="O260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03" s="13" t="str">
        <f>_xlfn.XLOOKUP(tblTransactions[[#This Row],[tenant_id]],tblTenants[tenant_id],tblTenants[zone],"NOT FOUND")</f>
        <v>Home &amp; Living</v>
      </c>
      <c r="Q2603" s="13" t="str">
        <f>_xlfn.XLOOKUP(tblTransactions[[#This Row],[tenant_id]],tblTenants[tenant_id],tblTenants[category],"NOT FOUND")</f>
        <v>Home Decor</v>
      </c>
    </row>
    <row r="2604" spans="1:17">
      <c r="A2604" t="s">
        <v>2648</v>
      </c>
      <c r="B2604" s="2">
        <v>45721</v>
      </c>
      <c r="C2604">
        <v>13</v>
      </c>
      <c r="D2604" t="s">
        <v>204</v>
      </c>
      <c r="E2604" t="s">
        <v>21</v>
      </c>
      <c r="F2604" s="7">
        <v>1209.92</v>
      </c>
      <c r="G2604" s="10">
        <v>0</v>
      </c>
      <c r="H2604" s="7">
        <v>1209.92</v>
      </c>
      <c r="I2604">
        <v>6</v>
      </c>
      <c r="J2604" t="s">
        <v>13</v>
      </c>
      <c r="K2604" s="13">
        <f>ROUND(tblTransactions[[#This Row],[gross_sales_inr]]*(1-tblTransactions[[#This Row],[discount_pct]]),2)</f>
        <v>1209.92</v>
      </c>
      <c r="L2604" t="str">
        <f>IF(ABS(tblTransactions[[#This Row],[net_sales_inr]]-tblTransactions[[#This Row],[Recalc_Net_Sales]])&lt;0.02,"OK","CHECK")</f>
        <v>OK</v>
      </c>
      <c r="M2604" s="14">
        <f>DATE(YEAR(tblTransactions[[#This Row],[date]]),MONTH(tblTransactions[[#This Row],[date]]),1)</f>
        <v>45717</v>
      </c>
      <c r="N2604" t="str">
        <f>IF(WEEKDAY(tblTransactions[[#This Row],[date]],2)&gt;5,"Weekend","Weekday")</f>
        <v>Weekday</v>
      </c>
      <c r="O2604" s="13" t="str">
        <f>IF(tblTransactions[[#This Row],[discount_pct]]=0,"0%",IF(tblTransactions[[#This Row],[discount_pct]]&lt;=10%,"1–
10%",IF(tblTransactions[[#This Row],[discount_pct]]&lt;=20%,"11–20%","&gt;20%")))</f>
        <v>0%</v>
      </c>
      <c r="P2604" s="13" t="str">
        <f>_xlfn.XLOOKUP(tblTransactions[[#This Row],[tenant_id]],tblTenants[tenant_id],tblTenants[zone],"NOT FOUND")</f>
        <v>Home &amp; Living</v>
      </c>
      <c r="Q2604" s="13" t="str">
        <f>_xlfn.XLOOKUP(tblTransactions[[#This Row],[tenant_id]],tblTenants[tenant_id],tblTenants[category],"NOT FOUND")</f>
        <v>Home Decor</v>
      </c>
    </row>
    <row r="2605" spans="1:17">
      <c r="A2605" t="s">
        <v>2649</v>
      </c>
      <c r="B2605" s="2">
        <v>45790</v>
      </c>
      <c r="C2605">
        <v>19</v>
      </c>
      <c r="D2605" t="s">
        <v>59</v>
      </c>
      <c r="E2605" t="s">
        <v>21</v>
      </c>
      <c r="F2605" s="7">
        <v>928.27</v>
      </c>
      <c r="G2605" s="10">
        <v>0</v>
      </c>
      <c r="H2605" s="7">
        <v>928.27</v>
      </c>
      <c r="I2605">
        <v>2</v>
      </c>
      <c r="J2605" t="s">
        <v>13</v>
      </c>
      <c r="K2605" s="13">
        <f>ROUND(tblTransactions[[#This Row],[gross_sales_inr]]*(1-tblTransactions[[#This Row],[discount_pct]]),2)</f>
        <v>928.27</v>
      </c>
      <c r="L2605" t="str">
        <f>IF(ABS(tblTransactions[[#This Row],[net_sales_inr]]-tblTransactions[[#This Row],[Recalc_Net_Sales]])&lt;0.02,"OK","CHECK")</f>
        <v>OK</v>
      </c>
      <c r="M2605" s="14">
        <f>DATE(YEAR(tblTransactions[[#This Row],[date]]),MONTH(tblTransactions[[#This Row],[date]]),1)</f>
        <v>45778</v>
      </c>
      <c r="N2605" t="str">
        <f>IF(WEEKDAY(tblTransactions[[#This Row],[date]],2)&gt;5,"Weekend","Weekday")</f>
        <v>Weekday</v>
      </c>
      <c r="O2605" s="13" t="str">
        <f>IF(tblTransactions[[#This Row],[discount_pct]]=0,"0%",IF(tblTransactions[[#This Row],[discount_pct]]&lt;=10%,"1–
10%",IF(tblTransactions[[#This Row],[discount_pct]]&lt;=20%,"11–20%","&gt;20%")))</f>
        <v>0%</v>
      </c>
      <c r="P2605" s="13" t="str">
        <f>_xlfn.XLOOKUP(tblTransactions[[#This Row],[tenant_id]],tblTenants[tenant_id],tblTenants[zone],"NOT FOUND")</f>
        <v>Fashion Avenue</v>
      </c>
      <c r="Q2605" s="13" t="str">
        <f>_xlfn.XLOOKUP(tblTransactions[[#This Row],[tenant_id]],tblTenants[tenant_id],tblTenants[category],"NOT FOUND")</f>
        <v>Footwear</v>
      </c>
    </row>
    <row r="2606" spans="1:17">
      <c r="A2606" t="s">
        <v>2650</v>
      </c>
      <c r="B2606" s="2">
        <v>45788</v>
      </c>
      <c r="C2606">
        <v>12</v>
      </c>
      <c r="D2606" t="s">
        <v>61</v>
      </c>
      <c r="E2606" t="s">
        <v>12</v>
      </c>
      <c r="F2606" s="7">
        <v>2053.46</v>
      </c>
      <c r="G2606" s="10">
        <v>0</v>
      </c>
      <c r="H2606" s="7">
        <v>2053.46</v>
      </c>
      <c r="I2606">
        <v>2</v>
      </c>
      <c r="J2606" t="s">
        <v>13</v>
      </c>
      <c r="K2606" s="13">
        <f>ROUND(tblTransactions[[#This Row],[gross_sales_inr]]*(1-tblTransactions[[#This Row],[discount_pct]]),2)</f>
        <v>2053.46</v>
      </c>
      <c r="L2606" t="str">
        <f>IF(ABS(tblTransactions[[#This Row],[net_sales_inr]]-tblTransactions[[#This Row],[Recalc_Net_Sales]])&lt;0.02,"OK","CHECK")</f>
        <v>OK</v>
      </c>
      <c r="M2606" s="14">
        <f>DATE(YEAR(tblTransactions[[#This Row],[date]]),MONTH(tblTransactions[[#This Row],[date]]),1)</f>
        <v>45778</v>
      </c>
      <c r="N2606" t="str">
        <f>IF(WEEKDAY(tblTransactions[[#This Row],[date]],2)&gt;5,"Weekend","Weekday")</f>
        <v>Weekend</v>
      </c>
      <c r="O2606" s="13" t="str">
        <f>IF(tblTransactions[[#This Row],[discount_pct]]=0,"0%",IF(tblTransactions[[#This Row],[discount_pct]]&lt;=10%,"1–
10%",IF(tblTransactions[[#This Row],[discount_pct]]&lt;=20%,"11–20%","&gt;20%")))</f>
        <v>0%</v>
      </c>
      <c r="P2606" s="13" t="str">
        <f>_xlfn.XLOOKUP(tblTransactions[[#This Row],[tenant_id]],tblTenants[tenant_id],tblTenants[zone],"NOT FOUND")</f>
        <v>Food Court</v>
      </c>
      <c r="Q2606" s="13" t="str">
        <f>_xlfn.XLOOKUP(tblTransactions[[#This Row],[tenant_id]],tblTenants[tenant_id],tblTenants[category],"NOT FOUND")</f>
        <v>Quick Service</v>
      </c>
    </row>
    <row r="2607" spans="1:17">
      <c r="A2607" t="s">
        <v>2651</v>
      </c>
      <c r="B2607" s="2">
        <v>45752</v>
      </c>
      <c r="C2607">
        <v>20</v>
      </c>
      <c r="D2607" t="s">
        <v>61</v>
      </c>
      <c r="E2607" t="s">
        <v>12</v>
      </c>
      <c r="F2607" s="7">
        <v>1283.52</v>
      </c>
      <c r="G2607" s="10">
        <v>0</v>
      </c>
      <c r="H2607" s="7">
        <v>1283.52</v>
      </c>
      <c r="I2607">
        <v>3</v>
      </c>
      <c r="J2607" t="s">
        <v>16</v>
      </c>
      <c r="K2607" s="13">
        <f>ROUND(tblTransactions[[#This Row],[gross_sales_inr]]*(1-tblTransactions[[#This Row],[discount_pct]]),2)</f>
        <v>1283.52</v>
      </c>
      <c r="L2607" t="str">
        <f>IF(ABS(tblTransactions[[#This Row],[net_sales_inr]]-tblTransactions[[#This Row],[Recalc_Net_Sales]])&lt;0.02,"OK","CHECK")</f>
        <v>OK</v>
      </c>
      <c r="M2607" s="14">
        <f>DATE(YEAR(tblTransactions[[#This Row],[date]]),MONTH(tblTransactions[[#This Row],[date]]),1)</f>
        <v>45748</v>
      </c>
      <c r="N2607" t="str">
        <f>IF(WEEKDAY(tblTransactions[[#This Row],[date]],2)&gt;5,"Weekend","Weekday")</f>
        <v>Weekend</v>
      </c>
      <c r="O2607" s="13" t="str">
        <f>IF(tblTransactions[[#This Row],[discount_pct]]=0,"0%",IF(tblTransactions[[#This Row],[discount_pct]]&lt;=10%,"1–
10%",IF(tblTransactions[[#This Row],[discount_pct]]&lt;=20%,"11–20%","&gt;20%")))</f>
        <v>0%</v>
      </c>
      <c r="P2607" s="13" t="str">
        <f>_xlfn.XLOOKUP(tblTransactions[[#This Row],[tenant_id]],tblTenants[tenant_id],tblTenants[zone],"NOT FOUND")</f>
        <v>Food Court</v>
      </c>
      <c r="Q2607" s="13" t="str">
        <f>_xlfn.XLOOKUP(tblTransactions[[#This Row],[tenant_id]],tblTenants[tenant_id],tblTenants[category],"NOT FOUND")</f>
        <v>Quick Service</v>
      </c>
    </row>
    <row r="2608" spans="1:17">
      <c r="A2608" t="s">
        <v>2652</v>
      </c>
      <c r="B2608" s="2">
        <v>45833</v>
      </c>
      <c r="C2608">
        <v>15</v>
      </c>
      <c r="D2608" t="s">
        <v>34</v>
      </c>
      <c r="E2608" t="s">
        <v>12</v>
      </c>
      <c r="F2608" s="7">
        <v>1239.8499999999999</v>
      </c>
      <c r="G2608" s="10">
        <v>0</v>
      </c>
      <c r="H2608" s="7">
        <v>1239.8499999999999</v>
      </c>
      <c r="I2608">
        <v>1</v>
      </c>
      <c r="J2608" t="s">
        <v>16</v>
      </c>
      <c r="K2608" s="13">
        <f>ROUND(tblTransactions[[#This Row],[gross_sales_inr]]*(1-tblTransactions[[#This Row],[discount_pct]]),2)</f>
        <v>1239.8499999999999</v>
      </c>
      <c r="L2608" t="str">
        <f>IF(ABS(tblTransactions[[#This Row],[net_sales_inr]]-tblTransactions[[#This Row],[Recalc_Net_Sales]])&lt;0.02,"OK","CHECK")</f>
        <v>OK</v>
      </c>
      <c r="M2608" s="14">
        <f>DATE(YEAR(tblTransactions[[#This Row],[date]]),MONTH(tblTransactions[[#This Row],[date]]),1)</f>
        <v>45809</v>
      </c>
      <c r="N2608" t="str">
        <f>IF(WEEKDAY(tblTransactions[[#This Row],[date]],2)&gt;5,"Weekend","Weekday")</f>
        <v>Weekday</v>
      </c>
      <c r="O2608" s="13" t="str">
        <f>IF(tblTransactions[[#This Row],[discount_pct]]=0,"0%",IF(tblTransactions[[#This Row],[discount_pct]]&lt;=10%,"1–
10%",IF(tblTransactions[[#This Row],[discount_pct]]&lt;=20%,"11–20%","&gt;20%")))</f>
        <v>0%</v>
      </c>
      <c r="P2608" s="13" t="str">
        <f>_xlfn.XLOOKUP(tblTransactions[[#This Row],[tenant_id]],tblTenants[tenant_id],tblTenants[zone],"NOT FOUND")</f>
        <v>Home &amp; Living</v>
      </c>
      <c r="Q2608" s="13" t="str">
        <f>_xlfn.XLOOKUP(tblTransactions[[#This Row],[tenant_id]],tblTenants[tenant_id],tblTenants[category],"NOT FOUND")</f>
        <v>Electronics</v>
      </c>
    </row>
    <row r="2609" spans="1:17">
      <c r="A2609" t="s">
        <v>2653</v>
      </c>
      <c r="B2609" s="2">
        <v>45821</v>
      </c>
      <c r="C2609">
        <v>22</v>
      </c>
      <c r="D2609" t="s">
        <v>15</v>
      </c>
      <c r="E2609" t="s">
        <v>12</v>
      </c>
      <c r="F2609" s="7">
        <v>305.11</v>
      </c>
      <c r="G2609" s="10">
        <v>0.15</v>
      </c>
      <c r="H2609" s="7">
        <v>259.33999999999997</v>
      </c>
      <c r="I2609">
        <v>4</v>
      </c>
      <c r="J2609" t="s">
        <v>13</v>
      </c>
      <c r="K2609" s="13">
        <f>ROUND(tblTransactions[[#This Row],[gross_sales_inr]]*(1-tblTransactions[[#This Row],[discount_pct]]),2)</f>
        <v>259.33999999999997</v>
      </c>
      <c r="L2609" t="str">
        <f>IF(ABS(tblTransactions[[#This Row],[net_sales_inr]]-tblTransactions[[#This Row],[Recalc_Net_Sales]])&lt;0.02,"OK","CHECK")</f>
        <v>OK</v>
      </c>
      <c r="M2609" s="14">
        <f>DATE(YEAR(tblTransactions[[#This Row],[date]]),MONTH(tblTransactions[[#This Row],[date]]),1)</f>
        <v>45809</v>
      </c>
      <c r="N2609" t="str">
        <f>IF(WEEKDAY(tblTransactions[[#This Row],[date]],2)&gt;5,"Weekend","Weekday")</f>
        <v>Weekday</v>
      </c>
      <c r="O260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09" s="13" t="str">
        <f>_xlfn.XLOOKUP(tblTransactions[[#This Row],[tenant_id]],tblTenants[tenant_id],tblTenants[zone],"NOT FOUND")</f>
        <v>Fashion Avenue</v>
      </c>
      <c r="Q2609" s="13" t="str">
        <f>_xlfn.XLOOKUP(tblTransactions[[#This Row],[tenant_id]],tblTenants[tenant_id],tblTenants[category],"NOT FOUND")</f>
        <v>Accessories</v>
      </c>
    </row>
    <row r="2610" spans="1:17">
      <c r="A2610" t="s">
        <v>2654</v>
      </c>
      <c r="B2610" s="2">
        <v>45679</v>
      </c>
      <c r="C2610">
        <v>13</v>
      </c>
      <c r="D2610" t="s">
        <v>29</v>
      </c>
      <c r="E2610" t="s">
        <v>12</v>
      </c>
      <c r="F2610" s="7">
        <v>916.09</v>
      </c>
      <c r="G2610" s="10">
        <v>0.15</v>
      </c>
      <c r="H2610" s="7">
        <v>778.68</v>
      </c>
      <c r="I2610">
        <v>4</v>
      </c>
      <c r="J2610" t="s">
        <v>16</v>
      </c>
      <c r="K2610" s="13">
        <f>ROUND(tblTransactions[[#This Row],[gross_sales_inr]]*(1-tblTransactions[[#This Row],[discount_pct]]),2)</f>
        <v>778.68</v>
      </c>
      <c r="L2610" t="str">
        <f>IF(ABS(tblTransactions[[#This Row],[net_sales_inr]]-tblTransactions[[#This Row],[Recalc_Net_Sales]])&lt;0.02,"OK","CHECK")</f>
        <v>OK</v>
      </c>
      <c r="M2610" s="14">
        <f>DATE(YEAR(tblTransactions[[#This Row],[date]]),MONTH(tblTransactions[[#This Row],[date]]),1)</f>
        <v>45658</v>
      </c>
      <c r="N2610" t="str">
        <f>IF(WEEKDAY(tblTransactions[[#This Row],[date]],2)&gt;5,"Weekend","Weekday")</f>
        <v>Weekday</v>
      </c>
      <c r="O261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10" s="13" t="str">
        <f>_xlfn.XLOOKUP(tblTransactions[[#This Row],[tenant_id]],tblTenants[tenant_id],tblTenants[zone],"NOT FOUND")</f>
        <v>Entertainment</v>
      </c>
      <c r="Q2610" s="13" t="str">
        <f>_xlfn.XLOOKUP(tblTransactions[[#This Row],[tenant_id]],tblTenants[tenant_id],tblTenants[category],"NOT FOUND")</f>
        <v>Cinema</v>
      </c>
    </row>
    <row r="2611" spans="1:17">
      <c r="A2611" t="s">
        <v>2655</v>
      </c>
      <c r="B2611" s="2">
        <v>45780</v>
      </c>
      <c r="C2611">
        <v>22</v>
      </c>
      <c r="D2611" t="s">
        <v>57</v>
      </c>
      <c r="E2611" t="s">
        <v>12</v>
      </c>
      <c r="F2611" s="7">
        <v>1215.7</v>
      </c>
      <c r="G2611" s="10">
        <v>0</v>
      </c>
      <c r="H2611" s="7">
        <v>1215.7</v>
      </c>
      <c r="I2611">
        <v>2</v>
      </c>
      <c r="J2611" t="s">
        <v>13</v>
      </c>
      <c r="K2611" s="13">
        <f>ROUND(tblTransactions[[#This Row],[gross_sales_inr]]*(1-tblTransactions[[#This Row],[discount_pct]]),2)</f>
        <v>1215.7</v>
      </c>
      <c r="L2611" t="str">
        <f>IF(ABS(tblTransactions[[#This Row],[net_sales_inr]]-tblTransactions[[#This Row],[Recalc_Net_Sales]])&lt;0.02,"OK","CHECK")</f>
        <v>OK</v>
      </c>
      <c r="M2611" s="14">
        <f>DATE(YEAR(tblTransactions[[#This Row],[date]]),MONTH(tblTransactions[[#This Row],[date]]),1)</f>
        <v>45778</v>
      </c>
      <c r="N2611" t="str">
        <f>IF(WEEKDAY(tblTransactions[[#This Row],[date]],2)&gt;5,"Weekend","Weekday")</f>
        <v>Weekend</v>
      </c>
      <c r="O2611" s="13" t="str">
        <f>IF(tblTransactions[[#This Row],[discount_pct]]=0,"0%",IF(tblTransactions[[#This Row],[discount_pct]]&lt;=10%,"1–
10%",IF(tblTransactions[[#This Row],[discount_pct]]&lt;=20%,"11–20%","&gt;20%")))</f>
        <v>0%</v>
      </c>
      <c r="P2611" s="13" t="str">
        <f>_xlfn.XLOOKUP(tblTransactions[[#This Row],[tenant_id]],tblTenants[tenant_id],tblTenants[zone],"NOT FOUND")</f>
        <v>Food Court</v>
      </c>
      <c r="Q2611" s="13" t="str">
        <f>_xlfn.XLOOKUP(tblTransactions[[#This Row],[tenant_id]],tblTenants[tenant_id],tblTenants[category],"NOT FOUND")</f>
        <v>Casual Dining</v>
      </c>
    </row>
    <row r="2612" spans="1:17">
      <c r="A2612" t="s">
        <v>2656</v>
      </c>
      <c r="B2612" s="2">
        <v>45823</v>
      </c>
      <c r="C2612">
        <v>12</v>
      </c>
      <c r="D2612" t="s">
        <v>18</v>
      </c>
      <c r="E2612" t="s">
        <v>32</v>
      </c>
      <c r="F2612" s="7">
        <v>510.7</v>
      </c>
      <c r="G2612" s="10">
        <v>0</v>
      </c>
      <c r="H2612" s="7">
        <v>510.7</v>
      </c>
      <c r="I2612">
        <v>5</v>
      </c>
      <c r="J2612" t="s">
        <v>13</v>
      </c>
      <c r="K2612" s="13">
        <f>ROUND(tblTransactions[[#This Row],[gross_sales_inr]]*(1-tblTransactions[[#This Row],[discount_pct]]),2)</f>
        <v>510.7</v>
      </c>
      <c r="L2612" t="str">
        <f>IF(ABS(tblTransactions[[#This Row],[net_sales_inr]]-tblTransactions[[#This Row],[Recalc_Net_Sales]])&lt;0.02,"OK","CHECK")</f>
        <v>OK</v>
      </c>
      <c r="M2612" s="14">
        <f>DATE(YEAR(tblTransactions[[#This Row],[date]]),MONTH(tblTransactions[[#This Row],[date]]),1)</f>
        <v>45809</v>
      </c>
      <c r="N2612" t="str">
        <f>IF(WEEKDAY(tblTransactions[[#This Row],[date]],2)&gt;5,"Weekend","Weekday")</f>
        <v>Weekend</v>
      </c>
      <c r="O2612" s="13" t="str">
        <f>IF(tblTransactions[[#This Row],[discount_pct]]=0,"0%",IF(tblTransactions[[#This Row],[discount_pct]]&lt;=10%,"1–
10%",IF(tblTransactions[[#This Row],[discount_pct]]&lt;=20%,"11–20%","&gt;20%")))</f>
        <v>0%</v>
      </c>
      <c r="P2612" s="13" t="str">
        <f>_xlfn.XLOOKUP(tblTransactions[[#This Row],[tenant_id]],tblTenants[tenant_id],tblTenants[zone],"NOT FOUND")</f>
        <v>Beauty &amp; Wellness</v>
      </c>
      <c r="Q2612" s="13" t="str">
        <f>_xlfn.XLOOKUP(tblTransactions[[#This Row],[tenant_id]],tblTenants[tenant_id],tblTenants[category],"NOT FOUND")</f>
        <v>Beauty</v>
      </c>
    </row>
    <row r="2613" spans="1:17">
      <c r="A2613" t="s">
        <v>2657</v>
      </c>
      <c r="B2613" s="2">
        <v>45754</v>
      </c>
      <c r="C2613">
        <v>22</v>
      </c>
      <c r="D2613" t="s">
        <v>59</v>
      </c>
      <c r="E2613" t="s">
        <v>32</v>
      </c>
      <c r="F2613" s="7">
        <v>746.73</v>
      </c>
      <c r="G2613" s="10">
        <v>0.1</v>
      </c>
      <c r="H2613" s="7">
        <v>672.06</v>
      </c>
      <c r="I2613">
        <v>2</v>
      </c>
      <c r="J2613" t="s">
        <v>16</v>
      </c>
      <c r="K2613" s="13">
        <f>ROUND(tblTransactions[[#This Row],[gross_sales_inr]]*(1-tblTransactions[[#This Row],[discount_pct]]),2)</f>
        <v>672.06</v>
      </c>
      <c r="L2613" t="str">
        <f>IF(ABS(tblTransactions[[#This Row],[net_sales_inr]]-tblTransactions[[#This Row],[Recalc_Net_Sales]])&lt;0.02,"OK","CHECK")</f>
        <v>OK</v>
      </c>
      <c r="M2613" s="14">
        <f>DATE(YEAR(tblTransactions[[#This Row],[date]]),MONTH(tblTransactions[[#This Row],[date]]),1)</f>
        <v>45748</v>
      </c>
      <c r="N2613" t="str">
        <f>IF(WEEKDAY(tblTransactions[[#This Row],[date]],2)&gt;5,"Weekend","Weekday")</f>
        <v>Weekday</v>
      </c>
      <c r="O261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13" s="13" t="str">
        <f>_xlfn.XLOOKUP(tblTransactions[[#This Row],[tenant_id]],tblTenants[tenant_id],tblTenants[zone],"NOT FOUND")</f>
        <v>Fashion Avenue</v>
      </c>
      <c r="Q2613" s="13" t="str">
        <f>_xlfn.XLOOKUP(tblTransactions[[#This Row],[tenant_id]],tblTenants[tenant_id],tblTenants[category],"NOT FOUND")</f>
        <v>Footwear</v>
      </c>
    </row>
    <row r="2614" spans="1:17">
      <c r="A2614" t="s">
        <v>2658</v>
      </c>
      <c r="B2614" s="2">
        <v>45758</v>
      </c>
      <c r="C2614">
        <v>10</v>
      </c>
      <c r="D2614" t="s">
        <v>15</v>
      </c>
      <c r="E2614" t="s">
        <v>32</v>
      </c>
      <c r="F2614" s="7">
        <v>1588.23</v>
      </c>
      <c r="G2614" s="10">
        <v>0</v>
      </c>
      <c r="H2614" s="7">
        <v>1588.23</v>
      </c>
      <c r="I2614">
        <v>1</v>
      </c>
      <c r="J2614" t="s">
        <v>13</v>
      </c>
      <c r="K2614" s="13">
        <f>ROUND(tblTransactions[[#This Row],[gross_sales_inr]]*(1-tblTransactions[[#This Row],[discount_pct]]),2)</f>
        <v>1588.23</v>
      </c>
      <c r="L2614" t="str">
        <f>IF(ABS(tblTransactions[[#This Row],[net_sales_inr]]-tblTransactions[[#This Row],[Recalc_Net_Sales]])&lt;0.02,"OK","CHECK")</f>
        <v>OK</v>
      </c>
      <c r="M2614" s="14">
        <f>DATE(YEAR(tblTransactions[[#This Row],[date]]),MONTH(tblTransactions[[#This Row],[date]]),1)</f>
        <v>45748</v>
      </c>
      <c r="N2614" t="str">
        <f>IF(WEEKDAY(tblTransactions[[#This Row],[date]],2)&gt;5,"Weekend","Weekday")</f>
        <v>Weekday</v>
      </c>
      <c r="O2614" s="13" t="str">
        <f>IF(tblTransactions[[#This Row],[discount_pct]]=0,"0%",IF(tblTransactions[[#This Row],[discount_pct]]&lt;=10%,"1–
10%",IF(tblTransactions[[#This Row],[discount_pct]]&lt;=20%,"11–20%","&gt;20%")))</f>
        <v>0%</v>
      </c>
      <c r="P2614" s="13" t="str">
        <f>_xlfn.XLOOKUP(tblTransactions[[#This Row],[tenant_id]],tblTenants[tenant_id],tblTenants[zone],"NOT FOUND")</f>
        <v>Fashion Avenue</v>
      </c>
      <c r="Q2614" s="13" t="str">
        <f>_xlfn.XLOOKUP(tblTransactions[[#This Row],[tenant_id]],tblTenants[tenant_id],tblTenants[category],"NOT FOUND")</f>
        <v>Accessories</v>
      </c>
    </row>
    <row r="2615" spans="1:17">
      <c r="A2615" t="s">
        <v>2659</v>
      </c>
      <c r="B2615" s="2">
        <v>45686</v>
      </c>
      <c r="C2615">
        <v>22</v>
      </c>
      <c r="D2615" t="s">
        <v>204</v>
      </c>
      <c r="E2615" t="s">
        <v>32</v>
      </c>
      <c r="F2615" s="7">
        <v>913.51</v>
      </c>
      <c r="G2615" s="10">
        <v>0.05</v>
      </c>
      <c r="H2615" s="7">
        <v>867.83</v>
      </c>
      <c r="I2615">
        <v>1</v>
      </c>
      <c r="J2615" t="s">
        <v>13</v>
      </c>
      <c r="K2615" s="13">
        <f>ROUND(tblTransactions[[#This Row],[gross_sales_inr]]*(1-tblTransactions[[#This Row],[discount_pct]]),2)</f>
        <v>867.83</v>
      </c>
      <c r="L2615" t="str">
        <f>IF(ABS(tblTransactions[[#This Row],[net_sales_inr]]-tblTransactions[[#This Row],[Recalc_Net_Sales]])&lt;0.02,"OK","CHECK")</f>
        <v>OK</v>
      </c>
      <c r="M2615" s="14">
        <f>DATE(YEAR(tblTransactions[[#This Row],[date]]),MONTH(tblTransactions[[#This Row],[date]]),1)</f>
        <v>45658</v>
      </c>
      <c r="N2615" t="str">
        <f>IF(WEEKDAY(tblTransactions[[#This Row],[date]],2)&gt;5,"Weekend","Weekday")</f>
        <v>Weekday</v>
      </c>
      <c r="O261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15" s="13" t="str">
        <f>_xlfn.XLOOKUP(tblTransactions[[#This Row],[tenant_id]],tblTenants[tenant_id],tblTenants[zone],"NOT FOUND")</f>
        <v>Home &amp; Living</v>
      </c>
      <c r="Q2615" s="13" t="str">
        <f>_xlfn.XLOOKUP(tblTransactions[[#This Row],[tenant_id]],tblTenants[tenant_id],tblTenants[category],"NOT FOUND")</f>
        <v>Home Decor</v>
      </c>
    </row>
    <row r="2616" spans="1:17">
      <c r="A2616" t="s">
        <v>2660</v>
      </c>
      <c r="B2616" s="2">
        <v>45789</v>
      </c>
      <c r="C2616">
        <v>12</v>
      </c>
      <c r="D2616" t="s">
        <v>48</v>
      </c>
      <c r="E2616" t="s">
        <v>12</v>
      </c>
      <c r="F2616" s="7">
        <v>2748.58</v>
      </c>
      <c r="G2616" s="10">
        <v>0</v>
      </c>
      <c r="H2616" s="7">
        <v>2748.58</v>
      </c>
      <c r="I2616">
        <v>1</v>
      </c>
      <c r="J2616" t="s">
        <v>13</v>
      </c>
      <c r="K2616" s="13">
        <f>ROUND(tblTransactions[[#This Row],[gross_sales_inr]]*(1-tblTransactions[[#This Row],[discount_pct]]),2)</f>
        <v>2748.58</v>
      </c>
      <c r="L2616" t="str">
        <f>IF(ABS(tblTransactions[[#This Row],[net_sales_inr]]-tblTransactions[[#This Row],[Recalc_Net_Sales]])&lt;0.02,"OK","CHECK")</f>
        <v>OK</v>
      </c>
      <c r="M2616" s="14">
        <f>DATE(YEAR(tblTransactions[[#This Row],[date]]),MONTH(tblTransactions[[#This Row],[date]]),1)</f>
        <v>45778</v>
      </c>
      <c r="N2616" t="str">
        <f>IF(WEEKDAY(tblTransactions[[#This Row],[date]],2)&gt;5,"Weekend","Weekday")</f>
        <v>Weekday</v>
      </c>
      <c r="O2616" s="13" t="str">
        <f>IF(tblTransactions[[#This Row],[discount_pct]]=0,"0%",IF(tblTransactions[[#This Row],[discount_pct]]&lt;=10%,"1–
10%",IF(tblTransactions[[#This Row],[discount_pct]]&lt;=20%,"11–20%","&gt;20%")))</f>
        <v>0%</v>
      </c>
      <c r="P2616" s="13" t="str">
        <f>_xlfn.XLOOKUP(tblTransactions[[#This Row],[tenant_id]],tblTenants[tenant_id],tblTenants[zone],"NOT FOUND")</f>
        <v>Beauty &amp; Wellness</v>
      </c>
      <c r="Q2616" s="13" t="str">
        <f>_xlfn.XLOOKUP(tblTransactions[[#This Row],[tenant_id]],tblTenants[tenant_id],tblTenants[category],"NOT FOUND")</f>
        <v>Wellness</v>
      </c>
    </row>
    <row r="2617" spans="1:17">
      <c r="A2617" t="s">
        <v>2661</v>
      </c>
      <c r="B2617" s="2">
        <v>45767</v>
      </c>
      <c r="C2617">
        <v>11</v>
      </c>
      <c r="D2617" t="s">
        <v>45</v>
      </c>
      <c r="E2617" t="s">
        <v>32</v>
      </c>
      <c r="F2617" s="7">
        <v>616.29999999999995</v>
      </c>
      <c r="G2617" s="10">
        <v>0</v>
      </c>
      <c r="H2617" s="7">
        <v>616.29999999999995</v>
      </c>
      <c r="I2617">
        <v>1</v>
      </c>
      <c r="J2617" t="s">
        <v>16</v>
      </c>
      <c r="K2617" s="13">
        <f>ROUND(tblTransactions[[#This Row],[gross_sales_inr]]*(1-tblTransactions[[#This Row],[discount_pct]]),2)</f>
        <v>616.29999999999995</v>
      </c>
      <c r="L2617" t="str">
        <f>IF(ABS(tblTransactions[[#This Row],[net_sales_inr]]-tblTransactions[[#This Row],[Recalc_Net_Sales]])&lt;0.02,"OK","CHECK")</f>
        <v>OK</v>
      </c>
      <c r="M2617" s="14">
        <f>DATE(YEAR(tblTransactions[[#This Row],[date]]),MONTH(tblTransactions[[#This Row],[date]]),1)</f>
        <v>45748</v>
      </c>
      <c r="N2617" t="str">
        <f>IF(WEEKDAY(tblTransactions[[#This Row],[date]],2)&gt;5,"Weekend","Weekday")</f>
        <v>Weekend</v>
      </c>
      <c r="O2617" s="13" t="str">
        <f>IF(tblTransactions[[#This Row],[discount_pct]]=0,"0%",IF(tblTransactions[[#This Row],[discount_pct]]&lt;=10%,"1–
10%",IF(tblTransactions[[#This Row],[discount_pct]]&lt;=20%,"11–20%","&gt;20%")))</f>
        <v>0%</v>
      </c>
      <c r="P2617" s="13" t="str">
        <f>_xlfn.XLOOKUP(tblTransactions[[#This Row],[tenant_id]],tblTenants[tenant_id],tblTenants[zone],"NOT FOUND")</f>
        <v>Home &amp; Living</v>
      </c>
      <c r="Q2617" s="13" t="str">
        <f>_xlfn.XLOOKUP(tblTransactions[[#This Row],[tenant_id]],tblTenants[tenant_id],tblTenants[category],"NOT FOUND")</f>
        <v>Home Decor</v>
      </c>
    </row>
    <row r="2618" spans="1:17">
      <c r="A2618" t="s">
        <v>2662</v>
      </c>
      <c r="B2618" s="2">
        <v>45705</v>
      </c>
      <c r="C2618">
        <v>20</v>
      </c>
      <c r="D2618" t="s">
        <v>18</v>
      </c>
      <c r="E2618" t="s">
        <v>32</v>
      </c>
      <c r="F2618" s="7">
        <v>4589.0200000000004</v>
      </c>
      <c r="G2618" s="10">
        <v>0</v>
      </c>
      <c r="H2618" s="7">
        <v>4589.0200000000004</v>
      </c>
      <c r="I2618">
        <v>1</v>
      </c>
      <c r="J2618" t="s">
        <v>13</v>
      </c>
      <c r="K2618" s="13">
        <f>ROUND(tblTransactions[[#This Row],[gross_sales_inr]]*(1-tblTransactions[[#This Row],[discount_pct]]),2)</f>
        <v>4589.0200000000004</v>
      </c>
      <c r="L2618" t="str">
        <f>IF(ABS(tblTransactions[[#This Row],[net_sales_inr]]-tblTransactions[[#This Row],[Recalc_Net_Sales]])&lt;0.02,"OK","CHECK")</f>
        <v>OK</v>
      </c>
      <c r="M2618" s="14">
        <f>DATE(YEAR(tblTransactions[[#This Row],[date]]),MONTH(tblTransactions[[#This Row],[date]]),1)</f>
        <v>45689</v>
      </c>
      <c r="N2618" t="str">
        <f>IF(WEEKDAY(tblTransactions[[#This Row],[date]],2)&gt;5,"Weekend","Weekday")</f>
        <v>Weekday</v>
      </c>
      <c r="O2618" s="13" t="str">
        <f>IF(tblTransactions[[#This Row],[discount_pct]]=0,"0%",IF(tblTransactions[[#This Row],[discount_pct]]&lt;=10%,"1–
10%",IF(tblTransactions[[#This Row],[discount_pct]]&lt;=20%,"11–20%","&gt;20%")))</f>
        <v>0%</v>
      </c>
      <c r="P2618" s="13" t="str">
        <f>_xlfn.XLOOKUP(tblTransactions[[#This Row],[tenant_id]],tblTenants[tenant_id],tblTenants[zone],"NOT FOUND")</f>
        <v>Beauty &amp; Wellness</v>
      </c>
      <c r="Q2618" s="13" t="str">
        <f>_xlfn.XLOOKUP(tblTransactions[[#This Row],[tenant_id]],tblTenants[tenant_id],tblTenants[category],"NOT FOUND")</f>
        <v>Beauty</v>
      </c>
    </row>
    <row r="2619" spans="1:17">
      <c r="A2619" t="s">
        <v>2663</v>
      </c>
      <c r="B2619" s="2">
        <v>45719</v>
      </c>
      <c r="C2619">
        <v>16</v>
      </c>
      <c r="D2619" t="s">
        <v>34</v>
      </c>
      <c r="E2619" t="s">
        <v>12</v>
      </c>
      <c r="F2619" s="7">
        <v>215.64</v>
      </c>
      <c r="G2619" s="10">
        <v>0.15</v>
      </c>
      <c r="H2619" s="7">
        <v>183.29</v>
      </c>
      <c r="I2619">
        <v>4</v>
      </c>
      <c r="J2619" t="s">
        <v>13</v>
      </c>
      <c r="K2619" s="13">
        <f>ROUND(tblTransactions[[#This Row],[gross_sales_inr]]*(1-tblTransactions[[#This Row],[discount_pct]]),2)</f>
        <v>183.29</v>
      </c>
      <c r="L2619" t="str">
        <f>IF(ABS(tblTransactions[[#This Row],[net_sales_inr]]-tblTransactions[[#This Row],[Recalc_Net_Sales]])&lt;0.02,"OK","CHECK")</f>
        <v>OK</v>
      </c>
      <c r="M2619" s="14">
        <f>DATE(YEAR(tblTransactions[[#This Row],[date]]),MONTH(tblTransactions[[#This Row],[date]]),1)</f>
        <v>45717</v>
      </c>
      <c r="N2619" t="str">
        <f>IF(WEEKDAY(tblTransactions[[#This Row],[date]],2)&gt;5,"Weekend","Weekday")</f>
        <v>Weekday</v>
      </c>
      <c r="O261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19" s="13" t="str">
        <f>_xlfn.XLOOKUP(tblTransactions[[#This Row],[tenant_id]],tblTenants[tenant_id],tblTenants[zone],"NOT FOUND")</f>
        <v>Home &amp; Living</v>
      </c>
      <c r="Q2619" s="13" t="str">
        <f>_xlfn.XLOOKUP(tblTransactions[[#This Row],[tenant_id]],tblTenants[tenant_id],tblTenants[category],"NOT FOUND")</f>
        <v>Electronics</v>
      </c>
    </row>
    <row r="2620" spans="1:17">
      <c r="A2620" t="s">
        <v>2664</v>
      </c>
      <c r="B2620" s="2">
        <v>45784</v>
      </c>
      <c r="C2620">
        <v>10</v>
      </c>
      <c r="D2620" t="s">
        <v>34</v>
      </c>
      <c r="E2620" t="s">
        <v>51</v>
      </c>
      <c r="F2620" s="7">
        <v>1126.95</v>
      </c>
      <c r="G2620" s="10">
        <v>0.1</v>
      </c>
      <c r="H2620" s="7">
        <v>1014.26</v>
      </c>
      <c r="I2620">
        <v>5</v>
      </c>
      <c r="J2620" t="s">
        <v>16</v>
      </c>
      <c r="K2620" s="13">
        <f>ROUND(tblTransactions[[#This Row],[gross_sales_inr]]*(1-tblTransactions[[#This Row],[discount_pct]]),2)</f>
        <v>1014.26</v>
      </c>
      <c r="L2620" t="str">
        <f>IF(ABS(tblTransactions[[#This Row],[net_sales_inr]]-tblTransactions[[#This Row],[Recalc_Net_Sales]])&lt;0.02,"OK","CHECK")</f>
        <v>OK</v>
      </c>
      <c r="M2620" s="14">
        <f>DATE(YEAR(tblTransactions[[#This Row],[date]]),MONTH(tblTransactions[[#This Row],[date]]),1)</f>
        <v>45778</v>
      </c>
      <c r="N2620" t="str">
        <f>IF(WEEKDAY(tblTransactions[[#This Row],[date]],2)&gt;5,"Weekend","Weekday")</f>
        <v>Weekday</v>
      </c>
      <c r="O262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20" s="13" t="str">
        <f>_xlfn.XLOOKUP(tblTransactions[[#This Row],[tenant_id]],tblTenants[tenant_id],tblTenants[zone],"NOT FOUND")</f>
        <v>Home &amp; Living</v>
      </c>
      <c r="Q2620" s="13" t="str">
        <f>_xlfn.XLOOKUP(tblTransactions[[#This Row],[tenant_id]],tblTenants[tenant_id],tblTenants[category],"NOT FOUND")</f>
        <v>Electronics</v>
      </c>
    </row>
    <row r="2621" spans="1:17">
      <c r="A2621" t="s">
        <v>2665</v>
      </c>
      <c r="B2621" s="2">
        <v>45660</v>
      </c>
      <c r="C2621">
        <v>17</v>
      </c>
      <c r="D2621" t="s">
        <v>204</v>
      </c>
      <c r="E2621" t="s">
        <v>32</v>
      </c>
      <c r="F2621" s="7">
        <v>771.38</v>
      </c>
      <c r="G2621" s="10">
        <v>0.2</v>
      </c>
      <c r="H2621" s="7">
        <v>617.1</v>
      </c>
      <c r="I2621">
        <v>1</v>
      </c>
      <c r="J2621" t="s">
        <v>13</v>
      </c>
      <c r="K2621" s="13">
        <f>ROUND(tblTransactions[[#This Row],[gross_sales_inr]]*(1-tblTransactions[[#This Row],[discount_pct]]),2)</f>
        <v>617.1</v>
      </c>
      <c r="L2621" t="str">
        <f>IF(ABS(tblTransactions[[#This Row],[net_sales_inr]]-tblTransactions[[#This Row],[Recalc_Net_Sales]])&lt;0.02,"OK","CHECK")</f>
        <v>OK</v>
      </c>
      <c r="M2621" s="14">
        <f>DATE(YEAR(tblTransactions[[#This Row],[date]]),MONTH(tblTransactions[[#This Row],[date]]),1)</f>
        <v>45658</v>
      </c>
      <c r="N2621" t="str">
        <f>IF(WEEKDAY(tblTransactions[[#This Row],[date]],2)&gt;5,"Weekend","Weekday")</f>
        <v>Weekday</v>
      </c>
      <c r="O262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21" s="13" t="str">
        <f>_xlfn.XLOOKUP(tblTransactions[[#This Row],[tenant_id]],tblTenants[tenant_id],tblTenants[zone],"NOT FOUND")</f>
        <v>Home &amp; Living</v>
      </c>
      <c r="Q2621" s="13" t="str">
        <f>_xlfn.XLOOKUP(tblTransactions[[#This Row],[tenant_id]],tblTenants[tenant_id],tblTenants[category],"NOT FOUND")</f>
        <v>Home Decor</v>
      </c>
    </row>
    <row r="2622" spans="1:17">
      <c r="A2622" t="s">
        <v>2666</v>
      </c>
      <c r="B2622" s="2">
        <v>45819</v>
      </c>
      <c r="C2622">
        <v>15</v>
      </c>
      <c r="D2622" t="s">
        <v>23</v>
      </c>
      <c r="E2622" t="s">
        <v>12</v>
      </c>
      <c r="F2622" s="7">
        <v>1321.39</v>
      </c>
      <c r="G2622" s="10">
        <v>0.1</v>
      </c>
      <c r="H2622" s="7">
        <v>1189.25</v>
      </c>
      <c r="I2622">
        <v>2</v>
      </c>
      <c r="J2622" t="s">
        <v>13</v>
      </c>
      <c r="K2622" s="13">
        <f>ROUND(tblTransactions[[#This Row],[gross_sales_inr]]*(1-tblTransactions[[#This Row],[discount_pct]]),2)</f>
        <v>1189.25</v>
      </c>
      <c r="L2622" t="str">
        <f>IF(ABS(tblTransactions[[#This Row],[net_sales_inr]]-tblTransactions[[#This Row],[Recalc_Net_Sales]])&lt;0.02,"OK","CHECK")</f>
        <v>OK</v>
      </c>
      <c r="M2622" s="14">
        <f>DATE(YEAR(tblTransactions[[#This Row],[date]]),MONTH(tblTransactions[[#This Row],[date]]),1)</f>
        <v>45809</v>
      </c>
      <c r="N2622" t="str">
        <f>IF(WEEKDAY(tblTransactions[[#This Row],[date]],2)&gt;5,"Weekend","Weekday")</f>
        <v>Weekday</v>
      </c>
      <c r="O262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22" s="13" t="str">
        <f>_xlfn.XLOOKUP(tblTransactions[[#This Row],[tenant_id]],tblTenants[tenant_id],tblTenants[zone],"NOT FOUND")</f>
        <v>Entertainment</v>
      </c>
      <c r="Q2622" s="13" t="str">
        <f>_xlfn.XLOOKUP(tblTransactions[[#This Row],[tenant_id]],tblTenants[tenant_id],tblTenants[category],"NOT FOUND")</f>
        <v>Cinema</v>
      </c>
    </row>
    <row r="2623" spans="1:17">
      <c r="A2623" t="s">
        <v>2667</v>
      </c>
      <c r="B2623" s="2">
        <v>45773</v>
      </c>
      <c r="C2623">
        <v>13</v>
      </c>
      <c r="D2623" t="s">
        <v>63</v>
      </c>
      <c r="E2623" t="s">
        <v>21</v>
      </c>
      <c r="F2623" s="7">
        <v>699.19</v>
      </c>
      <c r="G2623" s="10">
        <v>0</v>
      </c>
      <c r="H2623" s="7">
        <v>699.19</v>
      </c>
      <c r="I2623">
        <v>2</v>
      </c>
      <c r="J2623" t="s">
        <v>13</v>
      </c>
      <c r="K2623" s="13">
        <f>ROUND(tblTransactions[[#This Row],[gross_sales_inr]]*(1-tblTransactions[[#This Row],[discount_pct]]),2)</f>
        <v>699.19</v>
      </c>
      <c r="L2623" t="str">
        <f>IF(ABS(tblTransactions[[#This Row],[net_sales_inr]]-tblTransactions[[#This Row],[Recalc_Net_Sales]])&lt;0.02,"OK","CHECK")</f>
        <v>OK</v>
      </c>
      <c r="M2623" s="14">
        <f>DATE(YEAR(tblTransactions[[#This Row],[date]]),MONTH(tblTransactions[[#This Row],[date]]),1)</f>
        <v>45748</v>
      </c>
      <c r="N2623" t="str">
        <f>IF(WEEKDAY(tblTransactions[[#This Row],[date]],2)&gt;5,"Weekend","Weekday")</f>
        <v>Weekend</v>
      </c>
      <c r="O2623" s="13" t="str">
        <f>IF(tblTransactions[[#This Row],[discount_pct]]=0,"0%",IF(tblTransactions[[#This Row],[discount_pct]]&lt;=10%,"1–
10%",IF(tblTransactions[[#This Row],[discount_pct]]&lt;=20%,"11–20%","&gt;20%")))</f>
        <v>0%</v>
      </c>
      <c r="P2623" s="13" t="str">
        <f>_xlfn.XLOOKUP(tblTransactions[[#This Row],[tenant_id]],tblTenants[tenant_id],tblTenants[zone],"NOT FOUND")</f>
        <v>Entertainment</v>
      </c>
      <c r="Q2623" s="13" t="str">
        <f>_xlfn.XLOOKUP(tblTransactions[[#This Row],[tenant_id]],tblTenants[tenant_id],tblTenants[category],"NOT FOUND")</f>
        <v>Family Entertainment</v>
      </c>
    </row>
    <row r="2624" spans="1:17">
      <c r="A2624" t="s">
        <v>2668</v>
      </c>
      <c r="B2624" s="2">
        <v>45765</v>
      </c>
      <c r="C2624">
        <v>21</v>
      </c>
      <c r="D2624" t="s">
        <v>20</v>
      </c>
      <c r="E2624" t="s">
        <v>12</v>
      </c>
      <c r="F2624" s="7">
        <v>470.81</v>
      </c>
      <c r="G2624" s="10">
        <v>0.05</v>
      </c>
      <c r="H2624" s="7">
        <v>447.27</v>
      </c>
      <c r="I2624">
        <v>1</v>
      </c>
      <c r="J2624" t="s">
        <v>13</v>
      </c>
      <c r="K2624" s="13">
        <f>ROUND(tblTransactions[[#This Row],[gross_sales_inr]]*(1-tblTransactions[[#This Row],[discount_pct]]),2)</f>
        <v>447.27</v>
      </c>
      <c r="L2624" t="str">
        <f>IF(ABS(tblTransactions[[#This Row],[net_sales_inr]]-tblTransactions[[#This Row],[Recalc_Net_Sales]])&lt;0.02,"OK","CHECK")</f>
        <v>OK</v>
      </c>
      <c r="M2624" s="14">
        <f>DATE(YEAR(tblTransactions[[#This Row],[date]]),MONTH(tblTransactions[[#This Row],[date]]),1)</f>
        <v>45748</v>
      </c>
      <c r="N2624" t="str">
        <f>IF(WEEKDAY(tblTransactions[[#This Row],[date]],2)&gt;5,"Weekend","Weekday")</f>
        <v>Weekday</v>
      </c>
      <c r="O262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24" s="13" t="str">
        <f>_xlfn.XLOOKUP(tblTransactions[[#This Row],[tenant_id]],tblTenants[tenant_id],tblTenants[zone],"NOT FOUND")</f>
        <v>Fashion Avenue</v>
      </c>
      <c r="Q2624" s="13" t="str">
        <f>_xlfn.XLOOKUP(tblTransactions[[#This Row],[tenant_id]],tblTenants[tenant_id],tblTenants[category],"NOT FOUND")</f>
        <v>Accessories</v>
      </c>
    </row>
    <row r="2625" spans="1:17">
      <c r="A2625" t="s">
        <v>2669</v>
      </c>
      <c r="B2625" s="2">
        <v>45674</v>
      </c>
      <c r="C2625">
        <v>18</v>
      </c>
      <c r="D2625" t="s">
        <v>55</v>
      </c>
      <c r="E2625" t="s">
        <v>21</v>
      </c>
      <c r="F2625" s="7">
        <v>898.61</v>
      </c>
      <c r="G2625" s="10">
        <v>0.1</v>
      </c>
      <c r="H2625" s="7">
        <v>808.75</v>
      </c>
      <c r="I2625">
        <v>6</v>
      </c>
      <c r="J2625" t="s">
        <v>13</v>
      </c>
      <c r="K2625" s="13">
        <f>ROUND(tblTransactions[[#This Row],[gross_sales_inr]]*(1-tblTransactions[[#This Row],[discount_pct]]),2)</f>
        <v>808.75</v>
      </c>
      <c r="L2625" t="str">
        <f>IF(ABS(tblTransactions[[#This Row],[net_sales_inr]]-tblTransactions[[#This Row],[Recalc_Net_Sales]])&lt;0.02,"OK","CHECK")</f>
        <v>OK</v>
      </c>
      <c r="M2625" s="14">
        <f>DATE(YEAR(tblTransactions[[#This Row],[date]]),MONTH(tblTransactions[[#This Row],[date]]),1)</f>
        <v>45658</v>
      </c>
      <c r="N2625" t="str">
        <f>IF(WEEKDAY(tblTransactions[[#This Row],[date]],2)&gt;5,"Weekend","Weekday")</f>
        <v>Weekday</v>
      </c>
      <c r="O262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25" s="13" t="str">
        <f>_xlfn.XLOOKUP(tblTransactions[[#This Row],[tenant_id]],tblTenants[tenant_id],tblTenants[zone],"NOT FOUND")</f>
        <v>Food Court</v>
      </c>
      <c r="Q2625" s="13" t="str">
        <f>_xlfn.XLOOKUP(tblTransactions[[#This Row],[tenant_id]],tblTenants[tenant_id],tblTenants[category],"NOT FOUND")</f>
        <v>Quick Service</v>
      </c>
    </row>
    <row r="2626" spans="1:17">
      <c r="A2626" t="s">
        <v>2670</v>
      </c>
      <c r="B2626" s="2">
        <v>45769</v>
      </c>
      <c r="C2626">
        <v>14</v>
      </c>
      <c r="D2626" t="s">
        <v>31</v>
      </c>
      <c r="E2626" t="s">
        <v>32</v>
      </c>
      <c r="F2626" s="7">
        <v>1961.86</v>
      </c>
      <c r="G2626" s="10">
        <v>0.1</v>
      </c>
      <c r="H2626" s="7">
        <v>1765.67</v>
      </c>
      <c r="I2626">
        <v>1</v>
      </c>
      <c r="J2626" t="s">
        <v>13</v>
      </c>
      <c r="K2626" s="13">
        <f>ROUND(tblTransactions[[#This Row],[gross_sales_inr]]*(1-tblTransactions[[#This Row],[discount_pct]]),2)</f>
        <v>1765.67</v>
      </c>
      <c r="L2626" t="str">
        <f>IF(ABS(tblTransactions[[#This Row],[net_sales_inr]]-tblTransactions[[#This Row],[Recalc_Net_Sales]])&lt;0.02,"OK","CHECK")</f>
        <v>OK</v>
      </c>
      <c r="M2626" s="14">
        <f>DATE(YEAR(tblTransactions[[#This Row],[date]]),MONTH(tblTransactions[[#This Row],[date]]),1)</f>
        <v>45748</v>
      </c>
      <c r="N2626" t="str">
        <f>IF(WEEKDAY(tblTransactions[[#This Row],[date]],2)&gt;5,"Weekend","Weekday")</f>
        <v>Weekday</v>
      </c>
      <c r="O262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26" s="13" t="str">
        <f>_xlfn.XLOOKUP(tblTransactions[[#This Row],[tenant_id]],tblTenants[tenant_id],tblTenants[zone],"NOT FOUND")</f>
        <v>Entertainment</v>
      </c>
      <c r="Q2626" s="13" t="str">
        <f>_xlfn.XLOOKUP(tblTransactions[[#This Row],[tenant_id]],tblTenants[tenant_id],tblTenants[category],"NOT FOUND")</f>
        <v>Arcade</v>
      </c>
    </row>
    <row r="2627" spans="1:17">
      <c r="A2627" t="s">
        <v>2671</v>
      </c>
      <c r="B2627" s="2">
        <v>45796</v>
      </c>
      <c r="C2627">
        <v>15</v>
      </c>
      <c r="D2627" t="s">
        <v>204</v>
      </c>
      <c r="E2627" t="s">
        <v>32</v>
      </c>
      <c r="F2627" s="7">
        <v>716.6</v>
      </c>
      <c r="G2627" s="10">
        <v>0.15</v>
      </c>
      <c r="H2627" s="7">
        <v>609.11</v>
      </c>
      <c r="I2627">
        <v>1</v>
      </c>
      <c r="J2627" t="s">
        <v>16</v>
      </c>
      <c r="K2627" s="13">
        <f>ROUND(tblTransactions[[#This Row],[gross_sales_inr]]*(1-tblTransactions[[#This Row],[discount_pct]]),2)</f>
        <v>609.11</v>
      </c>
      <c r="L2627" t="str">
        <f>IF(ABS(tblTransactions[[#This Row],[net_sales_inr]]-tblTransactions[[#This Row],[Recalc_Net_Sales]])&lt;0.02,"OK","CHECK")</f>
        <v>OK</v>
      </c>
      <c r="M2627" s="14">
        <f>DATE(YEAR(tblTransactions[[#This Row],[date]]),MONTH(tblTransactions[[#This Row],[date]]),1)</f>
        <v>45778</v>
      </c>
      <c r="N2627" t="str">
        <f>IF(WEEKDAY(tblTransactions[[#This Row],[date]],2)&gt;5,"Weekend","Weekday")</f>
        <v>Weekday</v>
      </c>
      <c r="O262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27" s="13" t="str">
        <f>_xlfn.XLOOKUP(tblTransactions[[#This Row],[tenant_id]],tblTenants[tenant_id],tblTenants[zone],"NOT FOUND")</f>
        <v>Home &amp; Living</v>
      </c>
      <c r="Q2627" s="13" t="str">
        <f>_xlfn.XLOOKUP(tblTransactions[[#This Row],[tenant_id]],tblTenants[tenant_id],tblTenants[category],"NOT FOUND")</f>
        <v>Home Decor</v>
      </c>
    </row>
    <row r="2628" spans="1:17">
      <c r="A2628" t="s">
        <v>2672</v>
      </c>
      <c r="B2628" s="2">
        <v>45809</v>
      </c>
      <c r="C2628">
        <v>20</v>
      </c>
      <c r="D2628" t="s">
        <v>29</v>
      </c>
      <c r="E2628" t="s">
        <v>32</v>
      </c>
      <c r="F2628" s="7">
        <v>1963.8</v>
      </c>
      <c r="G2628" s="10">
        <v>0</v>
      </c>
      <c r="H2628" s="7">
        <v>1963.8</v>
      </c>
      <c r="I2628">
        <v>1</v>
      </c>
      <c r="J2628" t="s">
        <v>13</v>
      </c>
      <c r="K2628" s="13">
        <f>ROUND(tblTransactions[[#This Row],[gross_sales_inr]]*(1-tblTransactions[[#This Row],[discount_pct]]),2)</f>
        <v>1963.8</v>
      </c>
      <c r="L2628" t="str">
        <f>IF(ABS(tblTransactions[[#This Row],[net_sales_inr]]-tblTransactions[[#This Row],[Recalc_Net_Sales]])&lt;0.02,"OK","CHECK")</f>
        <v>OK</v>
      </c>
      <c r="M2628" s="14">
        <f>DATE(YEAR(tblTransactions[[#This Row],[date]]),MONTH(tblTransactions[[#This Row],[date]]),1)</f>
        <v>45809</v>
      </c>
      <c r="N2628" t="str">
        <f>IF(WEEKDAY(tblTransactions[[#This Row],[date]],2)&gt;5,"Weekend","Weekday")</f>
        <v>Weekend</v>
      </c>
      <c r="O2628" s="13" t="str">
        <f>IF(tblTransactions[[#This Row],[discount_pct]]=0,"0%",IF(tblTransactions[[#This Row],[discount_pct]]&lt;=10%,"1–
10%",IF(tblTransactions[[#This Row],[discount_pct]]&lt;=20%,"11–20%","&gt;20%")))</f>
        <v>0%</v>
      </c>
      <c r="P2628" s="13" t="str">
        <f>_xlfn.XLOOKUP(tblTransactions[[#This Row],[tenant_id]],tblTenants[tenant_id],tblTenants[zone],"NOT FOUND")</f>
        <v>Entertainment</v>
      </c>
      <c r="Q2628" s="13" t="str">
        <f>_xlfn.XLOOKUP(tblTransactions[[#This Row],[tenant_id]],tblTenants[tenant_id],tblTenants[category],"NOT FOUND")</f>
        <v>Cinema</v>
      </c>
    </row>
    <row r="2629" spans="1:17">
      <c r="A2629" t="s">
        <v>2673</v>
      </c>
      <c r="B2629" s="2">
        <v>45767</v>
      </c>
      <c r="C2629">
        <v>17</v>
      </c>
      <c r="D2629" t="s">
        <v>11</v>
      </c>
      <c r="E2629" t="s">
        <v>12</v>
      </c>
      <c r="F2629" s="7">
        <v>2562.6999999999998</v>
      </c>
      <c r="G2629" s="10">
        <v>0</v>
      </c>
      <c r="H2629" s="7">
        <v>2562.6999999999998</v>
      </c>
      <c r="I2629">
        <v>2</v>
      </c>
      <c r="J2629" t="s">
        <v>13</v>
      </c>
      <c r="K2629" s="13">
        <f>ROUND(tblTransactions[[#This Row],[gross_sales_inr]]*(1-tblTransactions[[#This Row],[discount_pct]]),2)</f>
        <v>2562.6999999999998</v>
      </c>
      <c r="L2629" t="str">
        <f>IF(ABS(tblTransactions[[#This Row],[net_sales_inr]]-tblTransactions[[#This Row],[Recalc_Net_Sales]])&lt;0.02,"OK","CHECK")</f>
        <v>OK</v>
      </c>
      <c r="M2629" s="14">
        <f>DATE(YEAR(tblTransactions[[#This Row],[date]]),MONTH(tblTransactions[[#This Row],[date]]),1)</f>
        <v>45748</v>
      </c>
      <c r="N2629" t="str">
        <f>IF(WEEKDAY(tblTransactions[[#This Row],[date]],2)&gt;5,"Weekend","Weekday")</f>
        <v>Weekend</v>
      </c>
      <c r="O2629" s="13" t="str">
        <f>IF(tblTransactions[[#This Row],[discount_pct]]=0,"0%",IF(tblTransactions[[#This Row],[discount_pct]]&lt;=10%,"1–
10%",IF(tblTransactions[[#This Row],[discount_pct]]&lt;=20%,"11–20%","&gt;20%")))</f>
        <v>0%</v>
      </c>
      <c r="P2629" s="13" t="str">
        <f>_xlfn.XLOOKUP(tblTransactions[[#This Row],[tenant_id]],tblTenants[tenant_id],tblTenants[zone],"NOT FOUND")</f>
        <v>Home &amp; Living</v>
      </c>
      <c r="Q2629" s="13" t="str">
        <f>_xlfn.XLOOKUP(tblTransactions[[#This Row],[tenant_id]],tblTenants[tenant_id],tblTenants[category],"NOT FOUND")</f>
        <v>Home Decor</v>
      </c>
    </row>
    <row r="2630" spans="1:17">
      <c r="A2630" t="s">
        <v>2674</v>
      </c>
      <c r="B2630" s="2">
        <v>45682</v>
      </c>
      <c r="C2630">
        <v>17</v>
      </c>
      <c r="D2630" t="s">
        <v>122</v>
      </c>
      <c r="E2630" t="s">
        <v>32</v>
      </c>
      <c r="F2630" s="7">
        <v>2335.15</v>
      </c>
      <c r="G2630" s="10">
        <v>0</v>
      </c>
      <c r="H2630" s="7">
        <v>2335.15</v>
      </c>
      <c r="I2630">
        <v>3</v>
      </c>
      <c r="J2630" t="s">
        <v>13</v>
      </c>
      <c r="K2630" s="13">
        <f>ROUND(tblTransactions[[#This Row],[gross_sales_inr]]*(1-tblTransactions[[#This Row],[discount_pct]]),2)</f>
        <v>2335.15</v>
      </c>
      <c r="L2630" t="str">
        <f>IF(ABS(tblTransactions[[#This Row],[net_sales_inr]]-tblTransactions[[#This Row],[Recalc_Net_Sales]])&lt;0.02,"OK","CHECK")</f>
        <v>OK</v>
      </c>
      <c r="M2630" s="14">
        <f>DATE(YEAR(tblTransactions[[#This Row],[date]]),MONTH(tblTransactions[[#This Row],[date]]),1)</f>
        <v>45658</v>
      </c>
      <c r="N2630" t="str">
        <f>IF(WEEKDAY(tblTransactions[[#This Row],[date]],2)&gt;5,"Weekend","Weekday")</f>
        <v>Weekend</v>
      </c>
      <c r="O2630" s="13" t="str">
        <f>IF(tblTransactions[[#This Row],[discount_pct]]=0,"0%",IF(tblTransactions[[#This Row],[discount_pct]]&lt;=10%,"1–
10%",IF(tblTransactions[[#This Row],[discount_pct]]&lt;=20%,"11–20%","&gt;20%")))</f>
        <v>0%</v>
      </c>
      <c r="P2630" s="13" t="str">
        <f>_xlfn.XLOOKUP(tblTransactions[[#This Row],[tenant_id]],tblTenants[tenant_id],tblTenants[zone],"NOT FOUND")</f>
        <v>Beauty &amp; Wellness</v>
      </c>
      <c r="Q2630" s="13" t="str">
        <f>_xlfn.XLOOKUP(tblTransactions[[#This Row],[tenant_id]],tblTenants[tenant_id],tblTenants[category],"NOT FOUND")</f>
        <v>Wellness</v>
      </c>
    </row>
    <row r="2631" spans="1:17">
      <c r="A2631" t="s">
        <v>2675</v>
      </c>
      <c r="B2631" s="2">
        <v>45783</v>
      </c>
      <c r="C2631">
        <v>16</v>
      </c>
      <c r="D2631" t="s">
        <v>87</v>
      </c>
      <c r="E2631" t="s">
        <v>51</v>
      </c>
      <c r="F2631" s="7">
        <v>565.52</v>
      </c>
      <c r="G2631" s="10">
        <v>0.2</v>
      </c>
      <c r="H2631" s="7">
        <v>452.42</v>
      </c>
      <c r="I2631">
        <v>6</v>
      </c>
      <c r="J2631" t="s">
        <v>16</v>
      </c>
      <c r="K2631" s="13">
        <f>ROUND(tblTransactions[[#This Row],[gross_sales_inr]]*(1-tblTransactions[[#This Row],[discount_pct]]),2)</f>
        <v>452.42</v>
      </c>
      <c r="L2631" t="str">
        <f>IF(ABS(tblTransactions[[#This Row],[net_sales_inr]]-tblTransactions[[#This Row],[Recalc_Net_Sales]])&lt;0.02,"OK","CHECK")</f>
        <v>OK</v>
      </c>
      <c r="M2631" s="14">
        <f>DATE(YEAR(tblTransactions[[#This Row],[date]]),MONTH(tblTransactions[[#This Row],[date]]),1)</f>
        <v>45778</v>
      </c>
      <c r="N2631" t="str">
        <f>IF(WEEKDAY(tblTransactions[[#This Row],[date]],2)&gt;5,"Weekend","Weekday")</f>
        <v>Weekday</v>
      </c>
      <c r="O263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31" s="13" t="str">
        <f>_xlfn.XLOOKUP(tblTransactions[[#This Row],[tenant_id]],tblTenants[tenant_id],tblTenants[zone],"NOT FOUND")</f>
        <v>Fashion Avenue</v>
      </c>
      <c r="Q2631" s="13" t="str">
        <f>_xlfn.XLOOKUP(tblTransactions[[#This Row],[tenant_id]],tblTenants[tenant_id],tblTenants[category],"NOT FOUND")</f>
        <v>Footwear</v>
      </c>
    </row>
    <row r="2632" spans="1:17">
      <c r="A2632" t="s">
        <v>2676</v>
      </c>
      <c r="B2632" s="2">
        <v>45712</v>
      </c>
      <c r="C2632">
        <v>20</v>
      </c>
      <c r="D2632" t="s">
        <v>41</v>
      </c>
      <c r="E2632" t="s">
        <v>12</v>
      </c>
      <c r="F2632" s="7">
        <v>1548.86</v>
      </c>
      <c r="G2632" s="10">
        <v>0.15</v>
      </c>
      <c r="H2632" s="7">
        <v>1316.53</v>
      </c>
      <c r="I2632">
        <v>2</v>
      </c>
      <c r="J2632" t="s">
        <v>16</v>
      </c>
      <c r="K2632" s="13">
        <f>ROUND(tblTransactions[[#This Row],[gross_sales_inr]]*(1-tblTransactions[[#This Row],[discount_pct]]),2)</f>
        <v>1316.53</v>
      </c>
      <c r="L2632" t="str">
        <f>IF(ABS(tblTransactions[[#This Row],[net_sales_inr]]-tblTransactions[[#This Row],[Recalc_Net_Sales]])&lt;0.02,"OK","CHECK")</f>
        <v>OK</v>
      </c>
      <c r="M2632" s="14">
        <f>DATE(YEAR(tblTransactions[[#This Row],[date]]),MONTH(tblTransactions[[#This Row],[date]]),1)</f>
        <v>45689</v>
      </c>
      <c r="N2632" t="str">
        <f>IF(WEEKDAY(tblTransactions[[#This Row],[date]],2)&gt;5,"Weekend","Weekday")</f>
        <v>Weekday</v>
      </c>
      <c r="O263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32" s="13" t="str">
        <f>_xlfn.XLOOKUP(tblTransactions[[#This Row],[tenant_id]],tblTenants[tenant_id],tblTenants[zone],"NOT FOUND")</f>
        <v>Fashion Avenue</v>
      </c>
      <c r="Q2632" s="13" t="str">
        <f>_xlfn.XLOOKUP(tblTransactions[[#This Row],[tenant_id]],tblTenants[tenant_id],tblTenants[category],"NOT FOUND")</f>
        <v>Clothing</v>
      </c>
    </row>
    <row r="2633" spans="1:17">
      <c r="A2633" t="s">
        <v>2677</v>
      </c>
      <c r="B2633" s="2">
        <v>45671</v>
      </c>
      <c r="C2633">
        <v>19</v>
      </c>
      <c r="D2633" t="s">
        <v>98</v>
      </c>
      <c r="E2633" t="s">
        <v>12</v>
      </c>
      <c r="F2633" s="7">
        <v>2317.83</v>
      </c>
      <c r="G2633" s="10">
        <v>0.15</v>
      </c>
      <c r="H2633" s="7">
        <v>1970.16</v>
      </c>
      <c r="I2633">
        <v>3</v>
      </c>
      <c r="J2633" t="s">
        <v>13</v>
      </c>
      <c r="K2633" s="13">
        <f>ROUND(tblTransactions[[#This Row],[gross_sales_inr]]*(1-tblTransactions[[#This Row],[discount_pct]]),2)</f>
        <v>1970.16</v>
      </c>
      <c r="L2633" t="str">
        <f>IF(ABS(tblTransactions[[#This Row],[net_sales_inr]]-tblTransactions[[#This Row],[Recalc_Net_Sales]])&lt;0.02,"OK","CHECK")</f>
        <v>OK</v>
      </c>
      <c r="M2633" s="14">
        <f>DATE(YEAR(tblTransactions[[#This Row],[date]]),MONTH(tblTransactions[[#This Row],[date]]),1)</f>
        <v>45658</v>
      </c>
      <c r="N2633" t="str">
        <f>IF(WEEKDAY(tblTransactions[[#This Row],[date]],2)&gt;5,"Weekend","Weekday")</f>
        <v>Weekday</v>
      </c>
      <c r="O263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33" s="13" t="str">
        <f>_xlfn.XLOOKUP(tblTransactions[[#This Row],[tenant_id]],tblTenants[tenant_id],tblTenants[zone],"NOT FOUND")</f>
        <v>Fashion Avenue</v>
      </c>
      <c r="Q2633" s="13" t="str">
        <f>_xlfn.XLOOKUP(tblTransactions[[#This Row],[tenant_id]],tblTenants[tenant_id],tblTenants[category],"NOT FOUND")</f>
        <v>Accessories</v>
      </c>
    </row>
    <row r="2634" spans="1:17">
      <c r="A2634" t="s">
        <v>2678</v>
      </c>
      <c r="B2634" s="2">
        <v>45708</v>
      </c>
      <c r="C2634">
        <v>19</v>
      </c>
      <c r="D2634" t="s">
        <v>36</v>
      </c>
      <c r="E2634" t="s">
        <v>12</v>
      </c>
      <c r="F2634" s="7">
        <v>2129.94</v>
      </c>
      <c r="G2634" s="10">
        <v>0.15</v>
      </c>
      <c r="H2634" s="7">
        <v>1810.45</v>
      </c>
      <c r="I2634">
        <v>3</v>
      </c>
      <c r="J2634" t="s">
        <v>16</v>
      </c>
      <c r="K2634" s="13">
        <f>ROUND(tblTransactions[[#This Row],[gross_sales_inr]]*(1-tblTransactions[[#This Row],[discount_pct]]),2)</f>
        <v>1810.45</v>
      </c>
      <c r="L2634" t="str">
        <f>IF(ABS(tblTransactions[[#This Row],[net_sales_inr]]-tblTransactions[[#This Row],[Recalc_Net_Sales]])&lt;0.02,"OK","CHECK")</f>
        <v>OK</v>
      </c>
      <c r="M2634" s="14">
        <f>DATE(YEAR(tblTransactions[[#This Row],[date]]),MONTH(tblTransactions[[#This Row],[date]]),1)</f>
        <v>45689</v>
      </c>
      <c r="N2634" t="str">
        <f>IF(WEEKDAY(tblTransactions[[#This Row],[date]],2)&gt;5,"Weekend","Weekday")</f>
        <v>Weekday</v>
      </c>
      <c r="O263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34" s="13" t="str">
        <f>_xlfn.XLOOKUP(tblTransactions[[#This Row],[tenant_id]],tblTenants[tenant_id],tblTenants[zone],"NOT FOUND")</f>
        <v>Home &amp; Living</v>
      </c>
      <c r="Q2634" s="13" t="str">
        <f>_xlfn.XLOOKUP(tblTransactions[[#This Row],[tenant_id]],tblTenants[tenant_id],tblTenants[category],"NOT FOUND")</f>
        <v>Electronics</v>
      </c>
    </row>
    <row r="2635" spans="1:17">
      <c r="A2635" t="s">
        <v>2679</v>
      </c>
      <c r="B2635" s="2">
        <v>45756</v>
      </c>
      <c r="C2635">
        <v>16</v>
      </c>
      <c r="D2635" t="s">
        <v>61</v>
      </c>
      <c r="E2635" t="s">
        <v>12</v>
      </c>
      <c r="F2635" s="7">
        <v>2462.27</v>
      </c>
      <c r="G2635" s="10">
        <v>0.05</v>
      </c>
      <c r="H2635" s="7">
        <v>2339.16</v>
      </c>
      <c r="I2635">
        <v>1</v>
      </c>
      <c r="J2635" t="s">
        <v>16</v>
      </c>
      <c r="K2635" s="13">
        <f>ROUND(tblTransactions[[#This Row],[gross_sales_inr]]*(1-tblTransactions[[#This Row],[discount_pct]]),2)</f>
        <v>2339.16</v>
      </c>
      <c r="L2635" t="str">
        <f>IF(ABS(tblTransactions[[#This Row],[net_sales_inr]]-tblTransactions[[#This Row],[Recalc_Net_Sales]])&lt;0.02,"OK","CHECK")</f>
        <v>OK</v>
      </c>
      <c r="M2635" s="14">
        <f>DATE(YEAR(tblTransactions[[#This Row],[date]]),MONTH(tblTransactions[[#This Row],[date]]),1)</f>
        <v>45748</v>
      </c>
      <c r="N2635" t="str">
        <f>IF(WEEKDAY(tblTransactions[[#This Row],[date]],2)&gt;5,"Weekend","Weekday")</f>
        <v>Weekday</v>
      </c>
      <c r="O263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35" s="13" t="str">
        <f>_xlfn.XLOOKUP(tblTransactions[[#This Row],[tenant_id]],tblTenants[tenant_id],tblTenants[zone],"NOT FOUND")</f>
        <v>Food Court</v>
      </c>
      <c r="Q2635" s="13" t="str">
        <f>_xlfn.XLOOKUP(tblTransactions[[#This Row],[tenant_id]],tblTenants[tenant_id],tblTenants[category],"NOT FOUND")</f>
        <v>Quick Service</v>
      </c>
    </row>
    <row r="2636" spans="1:17">
      <c r="A2636" t="s">
        <v>2680</v>
      </c>
      <c r="B2636" s="2">
        <v>45660</v>
      </c>
      <c r="C2636">
        <v>19</v>
      </c>
      <c r="D2636" t="s">
        <v>104</v>
      </c>
      <c r="E2636" t="s">
        <v>12</v>
      </c>
      <c r="F2636" s="7">
        <v>247.11</v>
      </c>
      <c r="G2636" s="10">
        <v>0.1</v>
      </c>
      <c r="H2636" s="7">
        <v>222.4</v>
      </c>
      <c r="I2636">
        <v>3</v>
      </c>
      <c r="J2636" t="s">
        <v>13</v>
      </c>
      <c r="K2636" s="13">
        <f>ROUND(tblTransactions[[#This Row],[gross_sales_inr]]*(1-tblTransactions[[#This Row],[discount_pct]]),2)</f>
        <v>222.4</v>
      </c>
      <c r="L2636" t="str">
        <f>IF(ABS(tblTransactions[[#This Row],[net_sales_inr]]-tblTransactions[[#This Row],[Recalc_Net_Sales]])&lt;0.02,"OK","CHECK")</f>
        <v>OK</v>
      </c>
      <c r="M2636" s="14">
        <f>DATE(YEAR(tblTransactions[[#This Row],[date]]),MONTH(tblTransactions[[#This Row],[date]]),1)</f>
        <v>45658</v>
      </c>
      <c r="N2636" t="str">
        <f>IF(WEEKDAY(tblTransactions[[#This Row],[date]],2)&gt;5,"Weekend","Weekday")</f>
        <v>Weekday</v>
      </c>
      <c r="O263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36" s="13" t="str">
        <f>_xlfn.XLOOKUP(tblTransactions[[#This Row],[tenant_id]],tblTenants[tenant_id],tblTenants[zone],"NOT FOUND")</f>
        <v>Entertainment</v>
      </c>
      <c r="Q2636" s="13" t="str">
        <f>_xlfn.XLOOKUP(tblTransactions[[#This Row],[tenant_id]],tblTenants[tenant_id],tblTenants[category],"NOT FOUND")</f>
        <v>Family Entertainment</v>
      </c>
    </row>
    <row r="2637" spans="1:17">
      <c r="A2637" t="s">
        <v>2681</v>
      </c>
      <c r="B2637" s="2">
        <v>45669</v>
      </c>
      <c r="C2637">
        <v>20</v>
      </c>
      <c r="D2637" t="s">
        <v>34</v>
      </c>
      <c r="E2637" t="s">
        <v>12</v>
      </c>
      <c r="F2637" s="7">
        <v>1498.41</v>
      </c>
      <c r="G2637" s="10">
        <v>0</v>
      </c>
      <c r="H2637" s="7">
        <v>1498.41</v>
      </c>
      <c r="I2637">
        <v>3</v>
      </c>
      <c r="J2637" t="s">
        <v>13</v>
      </c>
      <c r="K2637" s="13">
        <f>ROUND(tblTransactions[[#This Row],[gross_sales_inr]]*(1-tblTransactions[[#This Row],[discount_pct]]),2)</f>
        <v>1498.41</v>
      </c>
      <c r="L2637" t="str">
        <f>IF(ABS(tblTransactions[[#This Row],[net_sales_inr]]-tblTransactions[[#This Row],[Recalc_Net_Sales]])&lt;0.02,"OK","CHECK")</f>
        <v>OK</v>
      </c>
      <c r="M2637" s="14">
        <f>DATE(YEAR(tblTransactions[[#This Row],[date]]),MONTH(tblTransactions[[#This Row],[date]]),1)</f>
        <v>45658</v>
      </c>
      <c r="N2637" t="str">
        <f>IF(WEEKDAY(tblTransactions[[#This Row],[date]],2)&gt;5,"Weekend","Weekday")</f>
        <v>Weekend</v>
      </c>
      <c r="O2637" s="13" t="str">
        <f>IF(tblTransactions[[#This Row],[discount_pct]]=0,"0%",IF(tblTransactions[[#This Row],[discount_pct]]&lt;=10%,"1–
10%",IF(tblTransactions[[#This Row],[discount_pct]]&lt;=20%,"11–20%","&gt;20%")))</f>
        <v>0%</v>
      </c>
      <c r="P2637" s="13" t="str">
        <f>_xlfn.XLOOKUP(tblTransactions[[#This Row],[tenant_id]],tblTenants[tenant_id],tblTenants[zone],"NOT FOUND")</f>
        <v>Home &amp; Living</v>
      </c>
      <c r="Q2637" s="13" t="str">
        <f>_xlfn.XLOOKUP(tblTransactions[[#This Row],[tenant_id]],tblTenants[tenant_id],tblTenants[category],"NOT FOUND")</f>
        <v>Electronics</v>
      </c>
    </row>
    <row r="2638" spans="1:17">
      <c r="A2638" t="s">
        <v>2682</v>
      </c>
      <c r="B2638" s="2">
        <v>45747</v>
      </c>
      <c r="C2638">
        <v>22</v>
      </c>
      <c r="D2638" t="s">
        <v>23</v>
      </c>
      <c r="E2638" t="s">
        <v>32</v>
      </c>
      <c r="F2638" s="7">
        <v>534.23</v>
      </c>
      <c r="G2638" s="10">
        <v>0.1</v>
      </c>
      <c r="H2638" s="7">
        <v>480.81</v>
      </c>
      <c r="I2638">
        <v>1</v>
      </c>
      <c r="J2638" t="s">
        <v>16</v>
      </c>
      <c r="K2638" s="13">
        <f>ROUND(tblTransactions[[#This Row],[gross_sales_inr]]*(1-tblTransactions[[#This Row],[discount_pct]]),2)</f>
        <v>480.81</v>
      </c>
      <c r="L2638" t="str">
        <f>IF(ABS(tblTransactions[[#This Row],[net_sales_inr]]-tblTransactions[[#This Row],[Recalc_Net_Sales]])&lt;0.02,"OK","CHECK")</f>
        <v>OK</v>
      </c>
      <c r="M2638" s="14">
        <f>DATE(YEAR(tblTransactions[[#This Row],[date]]),MONTH(tblTransactions[[#This Row],[date]]),1)</f>
        <v>45717</v>
      </c>
      <c r="N2638" t="str">
        <f>IF(WEEKDAY(tblTransactions[[#This Row],[date]],2)&gt;5,"Weekend","Weekday")</f>
        <v>Weekday</v>
      </c>
      <c r="O263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38" s="13" t="str">
        <f>_xlfn.XLOOKUP(tblTransactions[[#This Row],[tenant_id]],tblTenants[tenant_id],tblTenants[zone],"NOT FOUND")</f>
        <v>Entertainment</v>
      </c>
      <c r="Q2638" s="13" t="str">
        <f>_xlfn.XLOOKUP(tblTransactions[[#This Row],[tenant_id]],tblTenants[tenant_id],tblTenants[category],"NOT FOUND")</f>
        <v>Cinema</v>
      </c>
    </row>
    <row r="2639" spans="1:17">
      <c r="A2639" t="s">
        <v>2683</v>
      </c>
      <c r="B2639" s="2">
        <v>45711</v>
      </c>
      <c r="C2639">
        <v>12</v>
      </c>
      <c r="D2639" t="s">
        <v>25</v>
      </c>
      <c r="E2639" t="s">
        <v>12</v>
      </c>
      <c r="F2639" s="7">
        <v>2394.04</v>
      </c>
      <c r="G2639" s="10">
        <v>0</v>
      </c>
      <c r="H2639" s="7">
        <v>2394.04</v>
      </c>
      <c r="I2639">
        <v>4</v>
      </c>
      <c r="J2639" t="s">
        <v>16</v>
      </c>
      <c r="K2639" s="13">
        <f>ROUND(tblTransactions[[#This Row],[gross_sales_inr]]*(1-tblTransactions[[#This Row],[discount_pct]]),2)</f>
        <v>2394.04</v>
      </c>
      <c r="L2639" t="str">
        <f>IF(ABS(tblTransactions[[#This Row],[net_sales_inr]]-tblTransactions[[#This Row],[Recalc_Net_Sales]])&lt;0.02,"OK","CHECK")</f>
        <v>OK</v>
      </c>
      <c r="M2639" s="14">
        <f>DATE(YEAR(tblTransactions[[#This Row],[date]]),MONTH(tblTransactions[[#This Row],[date]]),1)</f>
        <v>45689</v>
      </c>
      <c r="N2639" t="str">
        <f>IF(WEEKDAY(tblTransactions[[#This Row],[date]],2)&gt;5,"Weekend","Weekday")</f>
        <v>Weekend</v>
      </c>
      <c r="O2639" s="13" t="str">
        <f>IF(tblTransactions[[#This Row],[discount_pct]]=0,"0%",IF(tblTransactions[[#This Row],[discount_pct]]&lt;=10%,"1–
10%",IF(tblTransactions[[#This Row],[discount_pct]]&lt;=20%,"11–20%","&gt;20%")))</f>
        <v>0%</v>
      </c>
      <c r="P2639" s="13" t="str">
        <f>_xlfn.XLOOKUP(tblTransactions[[#This Row],[tenant_id]],tblTenants[tenant_id],tblTenants[zone],"NOT FOUND")</f>
        <v>Beauty &amp; Wellness</v>
      </c>
      <c r="Q2639" s="13" t="str">
        <f>_xlfn.XLOOKUP(tblTransactions[[#This Row],[tenant_id]],tblTenants[tenant_id],tblTenants[category],"NOT FOUND")</f>
        <v>Beauty</v>
      </c>
    </row>
    <row r="2640" spans="1:17">
      <c r="A2640" t="s">
        <v>2684</v>
      </c>
      <c r="B2640" s="2">
        <v>45833</v>
      </c>
      <c r="C2640">
        <v>19</v>
      </c>
      <c r="D2640" t="s">
        <v>36</v>
      </c>
      <c r="E2640" t="s">
        <v>21</v>
      </c>
      <c r="F2640" s="7">
        <v>818.43</v>
      </c>
      <c r="G2640" s="10">
        <v>0.1</v>
      </c>
      <c r="H2640" s="7">
        <v>736.59</v>
      </c>
      <c r="I2640">
        <v>3</v>
      </c>
      <c r="J2640" t="s">
        <v>13</v>
      </c>
      <c r="K2640" s="13">
        <f>ROUND(tblTransactions[[#This Row],[gross_sales_inr]]*(1-tblTransactions[[#This Row],[discount_pct]]),2)</f>
        <v>736.59</v>
      </c>
      <c r="L2640" t="str">
        <f>IF(ABS(tblTransactions[[#This Row],[net_sales_inr]]-tblTransactions[[#This Row],[Recalc_Net_Sales]])&lt;0.02,"OK","CHECK")</f>
        <v>OK</v>
      </c>
      <c r="M2640" s="14">
        <f>DATE(YEAR(tblTransactions[[#This Row],[date]]),MONTH(tblTransactions[[#This Row],[date]]),1)</f>
        <v>45809</v>
      </c>
      <c r="N2640" t="str">
        <f>IF(WEEKDAY(tblTransactions[[#This Row],[date]],2)&gt;5,"Weekend","Weekday")</f>
        <v>Weekday</v>
      </c>
      <c r="O264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40" s="13" t="str">
        <f>_xlfn.XLOOKUP(tblTransactions[[#This Row],[tenant_id]],tblTenants[tenant_id],tblTenants[zone],"NOT FOUND")</f>
        <v>Home &amp; Living</v>
      </c>
      <c r="Q2640" s="13" t="str">
        <f>_xlfn.XLOOKUP(tblTransactions[[#This Row],[tenant_id]],tblTenants[tenant_id],tblTenants[category],"NOT FOUND")</f>
        <v>Electronics</v>
      </c>
    </row>
    <row r="2641" spans="1:17">
      <c r="A2641" t="s">
        <v>2685</v>
      </c>
      <c r="B2641" s="2">
        <v>45732</v>
      </c>
      <c r="C2641">
        <v>13</v>
      </c>
      <c r="D2641" t="s">
        <v>53</v>
      </c>
      <c r="E2641" t="s">
        <v>21</v>
      </c>
      <c r="F2641" s="7">
        <v>1441.26</v>
      </c>
      <c r="G2641" s="10">
        <v>0.2</v>
      </c>
      <c r="H2641" s="7">
        <v>1153.01</v>
      </c>
      <c r="I2641">
        <v>1</v>
      </c>
      <c r="J2641" t="s">
        <v>13</v>
      </c>
      <c r="K2641" s="13">
        <f>ROUND(tblTransactions[[#This Row],[gross_sales_inr]]*(1-tblTransactions[[#This Row],[discount_pct]]),2)</f>
        <v>1153.01</v>
      </c>
      <c r="L2641" t="str">
        <f>IF(ABS(tblTransactions[[#This Row],[net_sales_inr]]-tblTransactions[[#This Row],[Recalc_Net_Sales]])&lt;0.02,"OK","CHECK")</f>
        <v>OK</v>
      </c>
      <c r="M2641" s="14">
        <f>DATE(YEAR(tblTransactions[[#This Row],[date]]),MONTH(tblTransactions[[#This Row],[date]]),1)</f>
        <v>45717</v>
      </c>
      <c r="N2641" t="str">
        <f>IF(WEEKDAY(tblTransactions[[#This Row],[date]],2)&gt;5,"Weekend","Weekday")</f>
        <v>Weekend</v>
      </c>
      <c r="O264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41" s="13" t="str">
        <f>_xlfn.XLOOKUP(tblTransactions[[#This Row],[tenant_id]],tblTenants[tenant_id],tblTenants[zone],"NOT FOUND")</f>
        <v>Beauty &amp; Wellness</v>
      </c>
      <c r="Q2641" s="13" t="str">
        <f>_xlfn.XLOOKUP(tblTransactions[[#This Row],[tenant_id]],tblTenants[tenant_id],tblTenants[category],"NOT FOUND")</f>
        <v>Beauty</v>
      </c>
    </row>
    <row r="2642" spans="1:17">
      <c r="A2642" t="s">
        <v>2686</v>
      </c>
      <c r="B2642" s="2">
        <v>45698</v>
      </c>
      <c r="C2642">
        <v>10</v>
      </c>
      <c r="D2642" t="s">
        <v>80</v>
      </c>
      <c r="E2642" t="s">
        <v>32</v>
      </c>
      <c r="F2642" s="7">
        <v>1334.71</v>
      </c>
      <c r="G2642" s="10">
        <v>0</v>
      </c>
      <c r="H2642" s="7">
        <v>1334.71</v>
      </c>
      <c r="I2642">
        <v>4</v>
      </c>
      <c r="J2642" t="s">
        <v>13</v>
      </c>
      <c r="K2642" s="13">
        <f>ROUND(tblTransactions[[#This Row],[gross_sales_inr]]*(1-tblTransactions[[#This Row],[discount_pct]]),2)</f>
        <v>1334.71</v>
      </c>
      <c r="L2642" t="str">
        <f>IF(ABS(tblTransactions[[#This Row],[net_sales_inr]]-tblTransactions[[#This Row],[Recalc_Net_Sales]])&lt;0.02,"OK","CHECK")</f>
        <v>OK</v>
      </c>
      <c r="M2642" s="14">
        <f>DATE(YEAR(tblTransactions[[#This Row],[date]]),MONTH(tblTransactions[[#This Row],[date]]),1)</f>
        <v>45689</v>
      </c>
      <c r="N2642" t="str">
        <f>IF(WEEKDAY(tblTransactions[[#This Row],[date]],2)&gt;5,"Weekend","Weekday")</f>
        <v>Weekday</v>
      </c>
      <c r="O2642" s="13" t="str">
        <f>IF(tblTransactions[[#This Row],[discount_pct]]=0,"0%",IF(tblTransactions[[#This Row],[discount_pct]]&lt;=10%,"1–
10%",IF(tblTransactions[[#This Row],[discount_pct]]&lt;=20%,"11–20%","&gt;20%")))</f>
        <v>0%</v>
      </c>
      <c r="P2642" s="13" t="str">
        <f>_xlfn.XLOOKUP(tblTransactions[[#This Row],[tenant_id]],tblTenants[tenant_id],tblTenants[zone],"NOT FOUND")</f>
        <v>Food Court</v>
      </c>
      <c r="Q2642" s="13" t="str">
        <f>_xlfn.XLOOKUP(tblTransactions[[#This Row],[tenant_id]],tblTenants[tenant_id],tblTenants[category],"NOT FOUND")</f>
        <v>Casual Dining</v>
      </c>
    </row>
    <row r="2643" spans="1:17">
      <c r="A2643" t="s">
        <v>2687</v>
      </c>
      <c r="B2643" s="2">
        <v>45799</v>
      </c>
      <c r="C2643">
        <v>21</v>
      </c>
      <c r="D2643" t="s">
        <v>29</v>
      </c>
      <c r="E2643" t="s">
        <v>12</v>
      </c>
      <c r="F2643" s="7">
        <v>1807.42</v>
      </c>
      <c r="G2643" s="10">
        <v>0</v>
      </c>
      <c r="H2643" s="7">
        <v>1807.42</v>
      </c>
      <c r="I2643">
        <v>4</v>
      </c>
      <c r="J2643" t="s">
        <v>16</v>
      </c>
      <c r="K2643" s="13">
        <f>ROUND(tblTransactions[[#This Row],[gross_sales_inr]]*(1-tblTransactions[[#This Row],[discount_pct]]),2)</f>
        <v>1807.42</v>
      </c>
      <c r="L2643" t="str">
        <f>IF(ABS(tblTransactions[[#This Row],[net_sales_inr]]-tblTransactions[[#This Row],[Recalc_Net_Sales]])&lt;0.02,"OK","CHECK")</f>
        <v>OK</v>
      </c>
      <c r="M2643" s="14">
        <f>DATE(YEAR(tblTransactions[[#This Row],[date]]),MONTH(tblTransactions[[#This Row],[date]]),1)</f>
        <v>45778</v>
      </c>
      <c r="N2643" t="str">
        <f>IF(WEEKDAY(tblTransactions[[#This Row],[date]],2)&gt;5,"Weekend","Weekday")</f>
        <v>Weekday</v>
      </c>
      <c r="O2643" s="13" t="str">
        <f>IF(tblTransactions[[#This Row],[discount_pct]]=0,"0%",IF(tblTransactions[[#This Row],[discount_pct]]&lt;=10%,"1–
10%",IF(tblTransactions[[#This Row],[discount_pct]]&lt;=20%,"11–20%","&gt;20%")))</f>
        <v>0%</v>
      </c>
      <c r="P2643" s="13" t="str">
        <f>_xlfn.XLOOKUP(tblTransactions[[#This Row],[tenant_id]],tblTenants[tenant_id],tblTenants[zone],"NOT FOUND")</f>
        <v>Entertainment</v>
      </c>
      <c r="Q2643" s="13" t="str">
        <f>_xlfn.XLOOKUP(tblTransactions[[#This Row],[tenant_id]],tblTenants[tenant_id],tblTenants[category],"NOT FOUND")</f>
        <v>Cinema</v>
      </c>
    </row>
    <row r="2644" spans="1:17">
      <c r="A2644" t="s">
        <v>2688</v>
      </c>
      <c r="B2644" s="2">
        <v>45786</v>
      </c>
      <c r="C2644">
        <v>20</v>
      </c>
      <c r="D2644" t="s">
        <v>25</v>
      </c>
      <c r="E2644" t="s">
        <v>32</v>
      </c>
      <c r="F2644" s="7">
        <v>3007.82</v>
      </c>
      <c r="G2644" s="10">
        <v>0.2</v>
      </c>
      <c r="H2644" s="7">
        <v>2406.2600000000002</v>
      </c>
      <c r="I2644">
        <v>1</v>
      </c>
      <c r="J2644" t="s">
        <v>13</v>
      </c>
      <c r="K2644" s="13">
        <f>ROUND(tblTransactions[[#This Row],[gross_sales_inr]]*(1-tblTransactions[[#This Row],[discount_pct]]),2)</f>
        <v>2406.2600000000002</v>
      </c>
      <c r="L2644" t="str">
        <f>IF(ABS(tblTransactions[[#This Row],[net_sales_inr]]-tblTransactions[[#This Row],[Recalc_Net_Sales]])&lt;0.02,"OK","CHECK")</f>
        <v>OK</v>
      </c>
      <c r="M2644" s="14">
        <f>DATE(YEAR(tblTransactions[[#This Row],[date]]),MONTH(tblTransactions[[#This Row],[date]]),1)</f>
        <v>45778</v>
      </c>
      <c r="N2644" t="str">
        <f>IF(WEEKDAY(tblTransactions[[#This Row],[date]],2)&gt;5,"Weekend","Weekday")</f>
        <v>Weekday</v>
      </c>
      <c r="O264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44" s="13" t="str">
        <f>_xlfn.XLOOKUP(tblTransactions[[#This Row],[tenant_id]],tblTenants[tenant_id],tblTenants[zone],"NOT FOUND")</f>
        <v>Beauty &amp; Wellness</v>
      </c>
      <c r="Q2644" s="13" t="str">
        <f>_xlfn.XLOOKUP(tblTransactions[[#This Row],[tenant_id]],tblTenants[tenant_id],tblTenants[category],"NOT FOUND")</f>
        <v>Beauty</v>
      </c>
    </row>
    <row r="2645" spans="1:17">
      <c r="A2645" t="s">
        <v>2689</v>
      </c>
      <c r="B2645" s="2">
        <v>45778</v>
      </c>
      <c r="C2645">
        <v>16</v>
      </c>
      <c r="D2645" t="s">
        <v>36</v>
      </c>
      <c r="E2645" t="s">
        <v>12</v>
      </c>
      <c r="F2645" s="7">
        <v>1488.81</v>
      </c>
      <c r="G2645" s="10">
        <v>0</v>
      </c>
      <c r="H2645" s="7">
        <v>1488.81</v>
      </c>
      <c r="I2645">
        <v>3</v>
      </c>
      <c r="J2645" t="s">
        <v>13</v>
      </c>
      <c r="K2645" s="13">
        <f>ROUND(tblTransactions[[#This Row],[gross_sales_inr]]*(1-tblTransactions[[#This Row],[discount_pct]]),2)</f>
        <v>1488.81</v>
      </c>
      <c r="L2645" t="str">
        <f>IF(ABS(tblTransactions[[#This Row],[net_sales_inr]]-tblTransactions[[#This Row],[Recalc_Net_Sales]])&lt;0.02,"OK","CHECK")</f>
        <v>OK</v>
      </c>
      <c r="M2645" s="14">
        <f>DATE(YEAR(tblTransactions[[#This Row],[date]]),MONTH(tblTransactions[[#This Row],[date]]),1)</f>
        <v>45778</v>
      </c>
      <c r="N2645" t="str">
        <f>IF(WEEKDAY(tblTransactions[[#This Row],[date]],2)&gt;5,"Weekend","Weekday")</f>
        <v>Weekday</v>
      </c>
      <c r="O2645" s="13" t="str">
        <f>IF(tblTransactions[[#This Row],[discount_pct]]=0,"0%",IF(tblTransactions[[#This Row],[discount_pct]]&lt;=10%,"1–
10%",IF(tblTransactions[[#This Row],[discount_pct]]&lt;=20%,"11–20%","&gt;20%")))</f>
        <v>0%</v>
      </c>
      <c r="P2645" s="13" t="str">
        <f>_xlfn.XLOOKUP(tblTransactions[[#This Row],[tenant_id]],tblTenants[tenant_id],tblTenants[zone],"NOT FOUND")</f>
        <v>Home &amp; Living</v>
      </c>
      <c r="Q2645" s="13" t="str">
        <f>_xlfn.XLOOKUP(tblTransactions[[#This Row],[tenant_id]],tblTenants[tenant_id],tblTenants[category],"NOT FOUND")</f>
        <v>Electronics</v>
      </c>
    </row>
    <row r="2646" spans="1:17">
      <c r="A2646" t="s">
        <v>2690</v>
      </c>
      <c r="B2646" s="2">
        <v>45677</v>
      </c>
      <c r="C2646">
        <v>17</v>
      </c>
      <c r="D2646" t="s">
        <v>87</v>
      </c>
      <c r="E2646" t="s">
        <v>32</v>
      </c>
      <c r="F2646" s="7">
        <v>570.26</v>
      </c>
      <c r="G2646" s="10">
        <v>0.15</v>
      </c>
      <c r="H2646" s="7">
        <v>484.72</v>
      </c>
      <c r="I2646">
        <v>3</v>
      </c>
      <c r="J2646" t="s">
        <v>16</v>
      </c>
      <c r="K2646" s="13">
        <f>ROUND(tblTransactions[[#This Row],[gross_sales_inr]]*(1-tblTransactions[[#This Row],[discount_pct]]),2)</f>
        <v>484.72</v>
      </c>
      <c r="L2646" t="str">
        <f>IF(ABS(tblTransactions[[#This Row],[net_sales_inr]]-tblTransactions[[#This Row],[Recalc_Net_Sales]])&lt;0.02,"OK","CHECK")</f>
        <v>OK</v>
      </c>
      <c r="M2646" s="14">
        <f>DATE(YEAR(tblTransactions[[#This Row],[date]]),MONTH(tblTransactions[[#This Row],[date]]),1)</f>
        <v>45658</v>
      </c>
      <c r="N2646" t="str">
        <f>IF(WEEKDAY(tblTransactions[[#This Row],[date]],2)&gt;5,"Weekend","Weekday")</f>
        <v>Weekday</v>
      </c>
      <c r="O264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46" s="13" t="str">
        <f>_xlfn.XLOOKUP(tblTransactions[[#This Row],[tenant_id]],tblTenants[tenant_id],tblTenants[zone],"NOT FOUND")</f>
        <v>Fashion Avenue</v>
      </c>
      <c r="Q2646" s="13" t="str">
        <f>_xlfn.XLOOKUP(tblTransactions[[#This Row],[tenant_id]],tblTenants[tenant_id],tblTenants[category],"NOT FOUND")</f>
        <v>Footwear</v>
      </c>
    </row>
    <row r="2647" spans="1:17">
      <c r="A2647" t="s">
        <v>2691</v>
      </c>
      <c r="B2647" s="2">
        <v>45749</v>
      </c>
      <c r="C2647">
        <v>14</v>
      </c>
      <c r="D2647" t="s">
        <v>15</v>
      </c>
      <c r="E2647" t="s">
        <v>32</v>
      </c>
      <c r="F2647" s="7">
        <v>840.83</v>
      </c>
      <c r="G2647" s="10">
        <v>0</v>
      </c>
      <c r="H2647" s="7">
        <v>840.83</v>
      </c>
      <c r="I2647">
        <v>1</v>
      </c>
      <c r="J2647" t="s">
        <v>13</v>
      </c>
      <c r="K2647" s="13">
        <f>ROUND(tblTransactions[[#This Row],[gross_sales_inr]]*(1-tblTransactions[[#This Row],[discount_pct]]),2)</f>
        <v>840.83</v>
      </c>
      <c r="L2647" t="str">
        <f>IF(ABS(tblTransactions[[#This Row],[net_sales_inr]]-tblTransactions[[#This Row],[Recalc_Net_Sales]])&lt;0.02,"OK","CHECK")</f>
        <v>OK</v>
      </c>
      <c r="M2647" s="14">
        <f>DATE(YEAR(tblTransactions[[#This Row],[date]]),MONTH(tblTransactions[[#This Row],[date]]),1)</f>
        <v>45748</v>
      </c>
      <c r="N2647" t="str">
        <f>IF(WEEKDAY(tblTransactions[[#This Row],[date]],2)&gt;5,"Weekend","Weekday")</f>
        <v>Weekday</v>
      </c>
      <c r="O2647" s="13" t="str">
        <f>IF(tblTransactions[[#This Row],[discount_pct]]=0,"0%",IF(tblTransactions[[#This Row],[discount_pct]]&lt;=10%,"1–
10%",IF(tblTransactions[[#This Row],[discount_pct]]&lt;=20%,"11–20%","&gt;20%")))</f>
        <v>0%</v>
      </c>
      <c r="P2647" s="13" t="str">
        <f>_xlfn.XLOOKUP(tblTransactions[[#This Row],[tenant_id]],tblTenants[tenant_id],tblTenants[zone],"NOT FOUND")</f>
        <v>Fashion Avenue</v>
      </c>
      <c r="Q2647" s="13" t="str">
        <f>_xlfn.XLOOKUP(tblTransactions[[#This Row],[tenant_id]],tblTenants[tenant_id],tblTenants[category],"NOT FOUND")</f>
        <v>Accessories</v>
      </c>
    </row>
    <row r="2648" spans="1:17">
      <c r="A2648" t="s">
        <v>2692</v>
      </c>
      <c r="B2648" s="2">
        <v>45742</v>
      </c>
      <c r="C2648">
        <v>10</v>
      </c>
      <c r="D2648" t="s">
        <v>43</v>
      </c>
      <c r="E2648" t="s">
        <v>32</v>
      </c>
      <c r="F2648" s="7">
        <v>2885.89</v>
      </c>
      <c r="G2648" s="10">
        <v>0.1</v>
      </c>
      <c r="H2648" s="7">
        <v>2597.3000000000002</v>
      </c>
      <c r="I2648">
        <v>4</v>
      </c>
      <c r="J2648" t="s">
        <v>13</v>
      </c>
      <c r="K2648" s="13">
        <f>ROUND(tblTransactions[[#This Row],[gross_sales_inr]]*(1-tblTransactions[[#This Row],[discount_pct]]),2)</f>
        <v>2597.3000000000002</v>
      </c>
      <c r="L2648" t="str">
        <f>IF(ABS(tblTransactions[[#This Row],[net_sales_inr]]-tblTransactions[[#This Row],[Recalc_Net_Sales]])&lt;0.02,"OK","CHECK")</f>
        <v>OK</v>
      </c>
      <c r="M2648" s="14">
        <f>DATE(YEAR(tblTransactions[[#This Row],[date]]),MONTH(tblTransactions[[#This Row],[date]]),1)</f>
        <v>45717</v>
      </c>
      <c r="N2648" t="str">
        <f>IF(WEEKDAY(tblTransactions[[#This Row],[date]],2)&gt;5,"Weekend","Weekday")</f>
        <v>Weekday</v>
      </c>
      <c r="O264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48" s="13" t="str">
        <f>_xlfn.XLOOKUP(tblTransactions[[#This Row],[tenant_id]],tblTenants[tenant_id],tblTenants[zone],"NOT FOUND")</f>
        <v>Food Court</v>
      </c>
      <c r="Q2648" s="13" t="str">
        <f>_xlfn.XLOOKUP(tblTransactions[[#This Row],[tenant_id]],tblTenants[tenant_id],tblTenants[category],"NOT FOUND")</f>
        <v>Casual Dining</v>
      </c>
    </row>
    <row r="2649" spans="1:17">
      <c r="A2649" t="s">
        <v>2693</v>
      </c>
      <c r="B2649" s="2">
        <v>45694</v>
      </c>
      <c r="C2649">
        <v>22</v>
      </c>
      <c r="D2649" t="s">
        <v>59</v>
      </c>
      <c r="E2649" t="s">
        <v>32</v>
      </c>
      <c r="F2649" s="7">
        <v>704.04</v>
      </c>
      <c r="G2649" s="10">
        <v>0.1</v>
      </c>
      <c r="H2649" s="7">
        <v>633.64</v>
      </c>
      <c r="I2649">
        <v>5</v>
      </c>
      <c r="J2649" t="s">
        <v>13</v>
      </c>
      <c r="K2649" s="13">
        <f>ROUND(tblTransactions[[#This Row],[gross_sales_inr]]*(1-tblTransactions[[#This Row],[discount_pct]]),2)</f>
        <v>633.64</v>
      </c>
      <c r="L2649" t="str">
        <f>IF(ABS(tblTransactions[[#This Row],[net_sales_inr]]-tblTransactions[[#This Row],[Recalc_Net_Sales]])&lt;0.02,"OK","CHECK")</f>
        <v>OK</v>
      </c>
      <c r="M2649" s="14">
        <f>DATE(YEAR(tblTransactions[[#This Row],[date]]),MONTH(tblTransactions[[#This Row],[date]]),1)</f>
        <v>45689</v>
      </c>
      <c r="N2649" t="str">
        <f>IF(WEEKDAY(tblTransactions[[#This Row],[date]],2)&gt;5,"Weekend","Weekday")</f>
        <v>Weekday</v>
      </c>
      <c r="O264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49" s="13" t="str">
        <f>_xlfn.XLOOKUP(tblTransactions[[#This Row],[tenant_id]],tblTenants[tenant_id],tblTenants[zone],"NOT FOUND")</f>
        <v>Fashion Avenue</v>
      </c>
      <c r="Q2649" s="13" t="str">
        <f>_xlfn.XLOOKUP(tblTransactions[[#This Row],[tenant_id]],tblTenants[tenant_id],tblTenants[category],"NOT FOUND")</f>
        <v>Footwear</v>
      </c>
    </row>
    <row r="2650" spans="1:17">
      <c r="A2650" t="s">
        <v>2694</v>
      </c>
      <c r="B2650" s="2">
        <v>45814</v>
      </c>
      <c r="C2650">
        <v>12</v>
      </c>
      <c r="D2650" t="s">
        <v>104</v>
      </c>
      <c r="E2650" t="s">
        <v>12</v>
      </c>
      <c r="F2650" s="7">
        <v>2252.9899999999998</v>
      </c>
      <c r="G2650" s="10">
        <v>0.2</v>
      </c>
      <c r="H2650" s="7">
        <v>1802.39</v>
      </c>
      <c r="I2650">
        <v>3</v>
      </c>
      <c r="J2650" t="s">
        <v>13</v>
      </c>
      <c r="K2650" s="13">
        <f>ROUND(tblTransactions[[#This Row],[gross_sales_inr]]*(1-tblTransactions[[#This Row],[discount_pct]]),2)</f>
        <v>1802.39</v>
      </c>
      <c r="L2650" t="str">
        <f>IF(ABS(tblTransactions[[#This Row],[net_sales_inr]]-tblTransactions[[#This Row],[Recalc_Net_Sales]])&lt;0.02,"OK","CHECK")</f>
        <v>OK</v>
      </c>
      <c r="M2650" s="14">
        <f>DATE(YEAR(tblTransactions[[#This Row],[date]]),MONTH(tblTransactions[[#This Row],[date]]),1)</f>
        <v>45809</v>
      </c>
      <c r="N2650" t="str">
        <f>IF(WEEKDAY(tblTransactions[[#This Row],[date]],2)&gt;5,"Weekend","Weekday")</f>
        <v>Weekday</v>
      </c>
      <c r="O265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50" s="13" t="str">
        <f>_xlfn.XLOOKUP(tblTransactions[[#This Row],[tenant_id]],tblTenants[tenant_id],tblTenants[zone],"NOT FOUND")</f>
        <v>Entertainment</v>
      </c>
      <c r="Q2650" s="13" t="str">
        <f>_xlfn.XLOOKUP(tblTransactions[[#This Row],[tenant_id]],tblTenants[tenant_id],tblTenants[category],"NOT FOUND")</f>
        <v>Family Entertainment</v>
      </c>
    </row>
    <row r="2651" spans="1:17">
      <c r="A2651" t="s">
        <v>2695</v>
      </c>
      <c r="B2651" s="2">
        <v>45744</v>
      </c>
      <c r="C2651">
        <v>14</v>
      </c>
      <c r="D2651" t="s">
        <v>70</v>
      </c>
      <c r="E2651" t="s">
        <v>12</v>
      </c>
      <c r="F2651" s="7">
        <v>3822.44</v>
      </c>
      <c r="G2651" s="10">
        <v>0.05</v>
      </c>
      <c r="H2651" s="7">
        <v>3631.32</v>
      </c>
      <c r="I2651">
        <v>3</v>
      </c>
      <c r="J2651" t="s">
        <v>13</v>
      </c>
      <c r="K2651" s="13">
        <f>ROUND(tblTransactions[[#This Row],[gross_sales_inr]]*(1-tblTransactions[[#This Row],[discount_pct]]),2)</f>
        <v>3631.32</v>
      </c>
      <c r="L2651" t="str">
        <f>IF(ABS(tblTransactions[[#This Row],[net_sales_inr]]-tblTransactions[[#This Row],[Recalc_Net_Sales]])&lt;0.02,"OK","CHECK")</f>
        <v>OK</v>
      </c>
      <c r="M2651" s="14">
        <f>DATE(YEAR(tblTransactions[[#This Row],[date]]),MONTH(tblTransactions[[#This Row],[date]]),1)</f>
        <v>45717</v>
      </c>
      <c r="N2651" t="str">
        <f>IF(WEEKDAY(tblTransactions[[#This Row],[date]],2)&gt;5,"Weekend","Weekday")</f>
        <v>Weekday</v>
      </c>
      <c r="O265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51" s="13" t="str">
        <f>_xlfn.XLOOKUP(tblTransactions[[#This Row],[tenant_id]],tblTenants[tenant_id],tblTenants[zone],"NOT FOUND")</f>
        <v>Food Court</v>
      </c>
      <c r="Q2651" s="13" t="str">
        <f>_xlfn.XLOOKUP(tblTransactions[[#This Row],[tenant_id]],tblTenants[tenant_id],tblTenants[category],"NOT FOUND")</f>
        <v>Quick Service</v>
      </c>
    </row>
    <row r="2652" spans="1:17">
      <c r="A2652" t="s">
        <v>2696</v>
      </c>
      <c r="B2652" s="2">
        <v>45684</v>
      </c>
      <c r="C2652">
        <v>19</v>
      </c>
      <c r="D2652" t="s">
        <v>45</v>
      </c>
      <c r="E2652" t="s">
        <v>51</v>
      </c>
      <c r="F2652" s="7">
        <v>914.28</v>
      </c>
      <c r="G2652" s="10">
        <v>0.15</v>
      </c>
      <c r="H2652" s="7">
        <v>777.14</v>
      </c>
      <c r="I2652">
        <v>3</v>
      </c>
      <c r="J2652" t="s">
        <v>16</v>
      </c>
      <c r="K2652" s="13">
        <f>ROUND(tblTransactions[[#This Row],[gross_sales_inr]]*(1-tblTransactions[[#This Row],[discount_pct]]),2)</f>
        <v>777.14</v>
      </c>
      <c r="L2652" t="str">
        <f>IF(ABS(tblTransactions[[#This Row],[net_sales_inr]]-tblTransactions[[#This Row],[Recalc_Net_Sales]])&lt;0.02,"OK","CHECK")</f>
        <v>OK</v>
      </c>
      <c r="M2652" s="14">
        <f>DATE(YEAR(tblTransactions[[#This Row],[date]]),MONTH(tblTransactions[[#This Row],[date]]),1)</f>
        <v>45658</v>
      </c>
      <c r="N2652" t="str">
        <f>IF(WEEKDAY(tblTransactions[[#This Row],[date]],2)&gt;5,"Weekend","Weekday")</f>
        <v>Weekday</v>
      </c>
      <c r="O265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52" s="13" t="str">
        <f>_xlfn.XLOOKUP(tblTransactions[[#This Row],[tenant_id]],tblTenants[tenant_id],tblTenants[zone],"NOT FOUND")</f>
        <v>Home &amp; Living</v>
      </c>
      <c r="Q2652" s="13" t="str">
        <f>_xlfn.XLOOKUP(tblTransactions[[#This Row],[tenant_id]],tblTenants[tenant_id],tblTenants[category],"NOT FOUND")</f>
        <v>Home Decor</v>
      </c>
    </row>
    <row r="2653" spans="1:17">
      <c r="A2653" t="s">
        <v>2697</v>
      </c>
      <c r="B2653" s="2">
        <v>45713</v>
      </c>
      <c r="C2653">
        <v>22</v>
      </c>
      <c r="D2653" t="s">
        <v>204</v>
      </c>
      <c r="E2653" t="s">
        <v>21</v>
      </c>
      <c r="F2653" s="7">
        <v>426.83</v>
      </c>
      <c r="G2653" s="10">
        <v>0.2</v>
      </c>
      <c r="H2653" s="7">
        <v>341.46</v>
      </c>
      <c r="I2653">
        <v>3</v>
      </c>
      <c r="J2653" t="s">
        <v>13</v>
      </c>
      <c r="K2653" s="13">
        <f>ROUND(tblTransactions[[#This Row],[gross_sales_inr]]*(1-tblTransactions[[#This Row],[discount_pct]]),2)</f>
        <v>341.46</v>
      </c>
      <c r="L2653" t="str">
        <f>IF(ABS(tblTransactions[[#This Row],[net_sales_inr]]-tblTransactions[[#This Row],[Recalc_Net_Sales]])&lt;0.02,"OK","CHECK")</f>
        <v>OK</v>
      </c>
      <c r="M2653" s="14">
        <f>DATE(YEAR(tblTransactions[[#This Row],[date]]),MONTH(tblTransactions[[#This Row],[date]]),1)</f>
        <v>45689</v>
      </c>
      <c r="N2653" t="str">
        <f>IF(WEEKDAY(tblTransactions[[#This Row],[date]],2)&gt;5,"Weekend","Weekday")</f>
        <v>Weekday</v>
      </c>
      <c r="O265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53" s="13" t="str">
        <f>_xlfn.XLOOKUP(tblTransactions[[#This Row],[tenant_id]],tblTenants[tenant_id],tblTenants[zone],"NOT FOUND")</f>
        <v>Home &amp; Living</v>
      </c>
      <c r="Q2653" s="13" t="str">
        <f>_xlfn.XLOOKUP(tblTransactions[[#This Row],[tenant_id]],tblTenants[tenant_id],tblTenants[category],"NOT FOUND")</f>
        <v>Home Decor</v>
      </c>
    </row>
    <row r="2654" spans="1:17">
      <c r="A2654" t="s">
        <v>2698</v>
      </c>
      <c r="B2654" s="2">
        <v>45712</v>
      </c>
      <c r="C2654">
        <v>21</v>
      </c>
      <c r="D2654" t="s">
        <v>27</v>
      </c>
      <c r="E2654" t="s">
        <v>32</v>
      </c>
      <c r="F2654" s="7">
        <v>360.5</v>
      </c>
      <c r="G2654" s="10">
        <v>0</v>
      </c>
      <c r="H2654" s="7">
        <v>360.5</v>
      </c>
      <c r="I2654">
        <v>1</v>
      </c>
      <c r="J2654" t="s">
        <v>13</v>
      </c>
      <c r="K2654" s="13">
        <f>ROUND(tblTransactions[[#This Row],[gross_sales_inr]]*(1-tblTransactions[[#This Row],[discount_pct]]),2)</f>
        <v>360.5</v>
      </c>
      <c r="L2654" t="str">
        <f>IF(ABS(tblTransactions[[#This Row],[net_sales_inr]]-tblTransactions[[#This Row],[Recalc_Net_Sales]])&lt;0.02,"OK","CHECK")</f>
        <v>OK</v>
      </c>
      <c r="M2654" s="14">
        <f>DATE(YEAR(tblTransactions[[#This Row],[date]]),MONTH(tblTransactions[[#This Row],[date]]),1)</f>
        <v>45689</v>
      </c>
      <c r="N2654" t="str">
        <f>IF(WEEKDAY(tblTransactions[[#This Row],[date]],2)&gt;5,"Weekend","Weekday")</f>
        <v>Weekday</v>
      </c>
      <c r="O2654" s="13" t="str">
        <f>IF(tblTransactions[[#This Row],[discount_pct]]=0,"0%",IF(tblTransactions[[#This Row],[discount_pct]]&lt;=10%,"1–
10%",IF(tblTransactions[[#This Row],[discount_pct]]&lt;=20%,"11–20%","&gt;20%")))</f>
        <v>0%</v>
      </c>
      <c r="P2654" s="13" t="str">
        <f>_xlfn.XLOOKUP(tblTransactions[[#This Row],[tenant_id]],tblTenants[tenant_id],tblTenants[zone],"NOT FOUND")</f>
        <v>Beauty &amp; Wellness</v>
      </c>
      <c r="Q2654" s="13" t="str">
        <f>_xlfn.XLOOKUP(tblTransactions[[#This Row],[tenant_id]],tblTenants[tenant_id],tblTenants[category],"NOT FOUND")</f>
        <v>Wellness</v>
      </c>
    </row>
    <row r="2655" spans="1:17">
      <c r="A2655" t="s">
        <v>2699</v>
      </c>
      <c r="B2655" s="2">
        <v>45720</v>
      </c>
      <c r="C2655">
        <v>10</v>
      </c>
      <c r="D2655" t="s">
        <v>48</v>
      </c>
      <c r="E2655" t="s">
        <v>12</v>
      </c>
      <c r="F2655" s="7">
        <v>260.17</v>
      </c>
      <c r="G2655" s="10">
        <v>0.15</v>
      </c>
      <c r="H2655" s="7">
        <v>221.14</v>
      </c>
      <c r="I2655">
        <v>3</v>
      </c>
      <c r="J2655" t="s">
        <v>13</v>
      </c>
      <c r="K2655" s="13">
        <f>ROUND(tblTransactions[[#This Row],[gross_sales_inr]]*(1-tblTransactions[[#This Row],[discount_pct]]),2)</f>
        <v>221.14</v>
      </c>
      <c r="L2655" t="str">
        <f>IF(ABS(tblTransactions[[#This Row],[net_sales_inr]]-tblTransactions[[#This Row],[Recalc_Net_Sales]])&lt;0.02,"OK","CHECK")</f>
        <v>OK</v>
      </c>
      <c r="M2655" s="14">
        <f>DATE(YEAR(tblTransactions[[#This Row],[date]]),MONTH(tblTransactions[[#This Row],[date]]),1)</f>
        <v>45717</v>
      </c>
      <c r="N2655" t="str">
        <f>IF(WEEKDAY(tblTransactions[[#This Row],[date]],2)&gt;5,"Weekend","Weekday")</f>
        <v>Weekday</v>
      </c>
      <c r="O265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55" s="13" t="str">
        <f>_xlfn.XLOOKUP(tblTransactions[[#This Row],[tenant_id]],tblTenants[tenant_id],tblTenants[zone],"NOT FOUND")</f>
        <v>Beauty &amp; Wellness</v>
      </c>
      <c r="Q2655" s="13" t="str">
        <f>_xlfn.XLOOKUP(tblTransactions[[#This Row],[tenant_id]],tblTenants[tenant_id],tblTenants[category],"NOT FOUND")</f>
        <v>Wellness</v>
      </c>
    </row>
    <row r="2656" spans="1:17">
      <c r="A2656" t="s">
        <v>2700</v>
      </c>
      <c r="B2656" s="2">
        <v>45816</v>
      </c>
      <c r="C2656">
        <v>12</v>
      </c>
      <c r="D2656" t="s">
        <v>29</v>
      </c>
      <c r="E2656" t="s">
        <v>32</v>
      </c>
      <c r="F2656" s="7">
        <v>1207.25</v>
      </c>
      <c r="G2656" s="10">
        <v>0.3</v>
      </c>
      <c r="H2656" s="7">
        <v>845.07</v>
      </c>
      <c r="I2656">
        <v>1</v>
      </c>
      <c r="J2656" t="s">
        <v>13</v>
      </c>
      <c r="K2656" s="13">
        <f>ROUND(tblTransactions[[#This Row],[gross_sales_inr]]*(1-tblTransactions[[#This Row],[discount_pct]]),2)</f>
        <v>845.08</v>
      </c>
      <c r="L2656" t="str">
        <f>IF(ABS(tblTransactions[[#This Row],[net_sales_inr]]-tblTransactions[[#This Row],[Recalc_Net_Sales]])&lt;0.02,"OK","CHECK")</f>
        <v>OK</v>
      </c>
      <c r="M2656" s="14">
        <f>DATE(YEAR(tblTransactions[[#This Row],[date]]),MONTH(tblTransactions[[#This Row],[date]]),1)</f>
        <v>45809</v>
      </c>
      <c r="N2656" t="str">
        <f>IF(WEEKDAY(tblTransactions[[#This Row],[date]],2)&gt;5,"Weekend","Weekday")</f>
        <v>Weekend</v>
      </c>
      <c r="O2656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656" s="13" t="str">
        <f>_xlfn.XLOOKUP(tblTransactions[[#This Row],[tenant_id]],tblTenants[tenant_id],tblTenants[zone],"NOT FOUND")</f>
        <v>Entertainment</v>
      </c>
      <c r="Q2656" s="13" t="str">
        <f>_xlfn.XLOOKUP(tblTransactions[[#This Row],[tenant_id]],tblTenants[tenant_id],tblTenants[category],"NOT FOUND")</f>
        <v>Cinema</v>
      </c>
    </row>
    <row r="2657" spans="1:17">
      <c r="A2657" t="s">
        <v>2701</v>
      </c>
      <c r="B2657" s="2">
        <v>45664</v>
      </c>
      <c r="C2657">
        <v>18</v>
      </c>
      <c r="D2657" t="s">
        <v>63</v>
      </c>
      <c r="E2657" t="s">
        <v>32</v>
      </c>
      <c r="F2657" s="7">
        <v>3938.53</v>
      </c>
      <c r="G2657" s="10">
        <v>0.15</v>
      </c>
      <c r="H2657" s="7">
        <v>3347.75</v>
      </c>
      <c r="I2657">
        <v>4</v>
      </c>
      <c r="J2657" t="s">
        <v>13</v>
      </c>
      <c r="K2657" s="13">
        <f>ROUND(tblTransactions[[#This Row],[gross_sales_inr]]*(1-tblTransactions[[#This Row],[discount_pct]]),2)</f>
        <v>3347.75</v>
      </c>
      <c r="L2657" t="str">
        <f>IF(ABS(tblTransactions[[#This Row],[net_sales_inr]]-tblTransactions[[#This Row],[Recalc_Net_Sales]])&lt;0.02,"OK","CHECK")</f>
        <v>OK</v>
      </c>
      <c r="M2657" s="14">
        <f>DATE(YEAR(tblTransactions[[#This Row],[date]]),MONTH(tblTransactions[[#This Row],[date]]),1)</f>
        <v>45658</v>
      </c>
      <c r="N2657" t="str">
        <f>IF(WEEKDAY(tblTransactions[[#This Row],[date]],2)&gt;5,"Weekend","Weekday")</f>
        <v>Weekday</v>
      </c>
      <c r="O265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57" s="13" t="str">
        <f>_xlfn.XLOOKUP(tblTransactions[[#This Row],[tenant_id]],tblTenants[tenant_id],tblTenants[zone],"NOT FOUND")</f>
        <v>Entertainment</v>
      </c>
      <c r="Q2657" s="13" t="str">
        <f>_xlfn.XLOOKUP(tblTransactions[[#This Row],[tenant_id]],tblTenants[tenant_id],tblTenants[category],"NOT FOUND")</f>
        <v>Family Entertainment</v>
      </c>
    </row>
    <row r="2658" spans="1:17">
      <c r="A2658" t="s">
        <v>2702</v>
      </c>
      <c r="B2658" s="2">
        <v>45709</v>
      </c>
      <c r="C2658">
        <v>21</v>
      </c>
      <c r="D2658" t="s">
        <v>204</v>
      </c>
      <c r="E2658" t="s">
        <v>12</v>
      </c>
      <c r="F2658" s="7">
        <v>999.01</v>
      </c>
      <c r="G2658" s="10">
        <v>0.05</v>
      </c>
      <c r="H2658" s="7">
        <v>949.06</v>
      </c>
      <c r="I2658">
        <v>2</v>
      </c>
      <c r="J2658" t="s">
        <v>16</v>
      </c>
      <c r="K2658" s="13">
        <f>ROUND(tblTransactions[[#This Row],[gross_sales_inr]]*(1-tblTransactions[[#This Row],[discount_pct]]),2)</f>
        <v>949.06</v>
      </c>
      <c r="L2658" t="str">
        <f>IF(ABS(tblTransactions[[#This Row],[net_sales_inr]]-tblTransactions[[#This Row],[Recalc_Net_Sales]])&lt;0.02,"OK","CHECK")</f>
        <v>OK</v>
      </c>
      <c r="M2658" s="14">
        <f>DATE(YEAR(tblTransactions[[#This Row],[date]]),MONTH(tblTransactions[[#This Row],[date]]),1)</f>
        <v>45689</v>
      </c>
      <c r="N2658" t="str">
        <f>IF(WEEKDAY(tblTransactions[[#This Row],[date]],2)&gt;5,"Weekend","Weekday")</f>
        <v>Weekday</v>
      </c>
      <c r="O265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58" s="13" t="str">
        <f>_xlfn.XLOOKUP(tblTransactions[[#This Row],[tenant_id]],tblTenants[tenant_id],tblTenants[zone],"NOT FOUND")</f>
        <v>Home &amp; Living</v>
      </c>
      <c r="Q2658" s="13" t="str">
        <f>_xlfn.XLOOKUP(tblTransactions[[#This Row],[tenant_id]],tblTenants[tenant_id],tblTenants[category],"NOT FOUND")</f>
        <v>Home Decor</v>
      </c>
    </row>
    <row r="2659" spans="1:17">
      <c r="A2659" t="s">
        <v>2703</v>
      </c>
      <c r="B2659" s="2">
        <v>45786</v>
      </c>
      <c r="C2659">
        <v>17</v>
      </c>
      <c r="D2659" t="s">
        <v>204</v>
      </c>
      <c r="E2659" t="s">
        <v>12</v>
      </c>
      <c r="F2659" s="7">
        <v>1188.3599999999999</v>
      </c>
      <c r="G2659" s="10">
        <v>0</v>
      </c>
      <c r="H2659" s="7">
        <v>1188.3599999999999</v>
      </c>
      <c r="I2659">
        <v>2</v>
      </c>
      <c r="J2659" t="s">
        <v>13</v>
      </c>
      <c r="K2659" s="13">
        <f>ROUND(tblTransactions[[#This Row],[gross_sales_inr]]*(1-tblTransactions[[#This Row],[discount_pct]]),2)</f>
        <v>1188.3599999999999</v>
      </c>
      <c r="L2659" t="str">
        <f>IF(ABS(tblTransactions[[#This Row],[net_sales_inr]]-tblTransactions[[#This Row],[Recalc_Net_Sales]])&lt;0.02,"OK","CHECK")</f>
        <v>OK</v>
      </c>
      <c r="M2659" s="14">
        <f>DATE(YEAR(tblTransactions[[#This Row],[date]]),MONTH(tblTransactions[[#This Row],[date]]),1)</f>
        <v>45778</v>
      </c>
      <c r="N2659" t="str">
        <f>IF(WEEKDAY(tblTransactions[[#This Row],[date]],2)&gt;5,"Weekend","Weekday")</f>
        <v>Weekday</v>
      </c>
      <c r="O2659" s="13" t="str">
        <f>IF(tblTransactions[[#This Row],[discount_pct]]=0,"0%",IF(tblTransactions[[#This Row],[discount_pct]]&lt;=10%,"1–
10%",IF(tblTransactions[[#This Row],[discount_pct]]&lt;=20%,"11–20%","&gt;20%")))</f>
        <v>0%</v>
      </c>
      <c r="P2659" s="13" t="str">
        <f>_xlfn.XLOOKUP(tblTransactions[[#This Row],[tenant_id]],tblTenants[tenant_id],tblTenants[zone],"NOT FOUND")</f>
        <v>Home &amp; Living</v>
      </c>
      <c r="Q2659" s="13" t="str">
        <f>_xlfn.XLOOKUP(tblTransactions[[#This Row],[tenant_id]],tblTenants[tenant_id],tblTenants[category],"NOT FOUND")</f>
        <v>Home Decor</v>
      </c>
    </row>
    <row r="2660" spans="1:17">
      <c r="A2660" t="s">
        <v>2704</v>
      </c>
      <c r="B2660" s="2">
        <v>45774</v>
      </c>
      <c r="C2660">
        <v>21</v>
      </c>
      <c r="D2660" t="s">
        <v>72</v>
      </c>
      <c r="E2660" t="s">
        <v>32</v>
      </c>
      <c r="F2660" s="7">
        <v>2145.58</v>
      </c>
      <c r="G2660" s="10">
        <v>0.05</v>
      </c>
      <c r="H2660" s="7">
        <v>2038.3</v>
      </c>
      <c r="I2660">
        <v>2</v>
      </c>
      <c r="J2660" t="s">
        <v>16</v>
      </c>
      <c r="K2660" s="13">
        <f>ROUND(tblTransactions[[#This Row],[gross_sales_inr]]*(1-tblTransactions[[#This Row],[discount_pct]]),2)</f>
        <v>2038.3</v>
      </c>
      <c r="L2660" t="str">
        <f>IF(ABS(tblTransactions[[#This Row],[net_sales_inr]]-tblTransactions[[#This Row],[Recalc_Net_Sales]])&lt;0.02,"OK","CHECK")</f>
        <v>OK</v>
      </c>
      <c r="M2660" s="14">
        <f>DATE(YEAR(tblTransactions[[#This Row],[date]]),MONTH(tblTransactions[[#This Row],[date]]),1)</f>
        <v>45748</v>
      </c>
      <c r="N2660" t="str">
        <f>IF(WEEKDAY(tblTransactions[[#This Row],[date]],2)&gt;5,"Weekend","Weekday")</f>
        <v>Weekend</v>
      </c>
      <c r="O266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60" s="13" t="str">
        <f>_xlfn.XLOOKUP(tblTransactions[[#This Row],[tenant_id]],tblTenants[tenant_id],tblTenants[zone],"NOT FOUND")</f>
        <v>Entertainment</v>
      </c>
      <c r="Q2660" s="13" t="str">
        <f>_xlfn.XLOOKUP(tblTransactions[[#This Row],[tenant_id]],tblTenants[tenant_id],tblTenants[category],"NOT FOUND")</f>
        <v>Arcade</v>
      </c>
    </row>
    <row r="2661" spans="1:17">
      <c r="A2661" t="s">
        <v>2705</v>
      </c>
      <c r="B2661" s="2">
        <v>45759</v>
      </c>
      <c r="C2661">
        <v>21</v>
      </c>
      <c r="D2661" t="s">
        <v>57</v>
      </c>
      <c r="E2661" t="s">
        <v>32</v>
      </c>
      <c r="F2661" s="7">
        <v>710.47</v>
      </c>
      <c r="G2661" s="10">
        <v>0</v>
      </c>
      <c r="H2661" s="7">
        <v>710.47</v>
      </c>
      <c r="I2661">
        <v>1</v>
      </c>
      <c r="J2661" t="s">
        <v>16</v>
      </c>
      <c r="K2661" s="13">
        <f>ROUND(tblTransactions[[#This Row],[gross_sales_inr]]*(1-tblTransactions[[#This Row],[discount_pct]]),2)</f>
        <v>710.47</v>
      </c>
      <c r="L2661" t="str">
        <f>IF(ABS(tblTransactions[[#This Row],[net_sales_inr]]-tblTransactions[[#This Row],[Recalc_Net_Sales]])&lt;0.02,"OK","CHECK")</f>
        <v>OK</v>
      </c>
      <c r="M2661" s="14">
        <f>DATE(YEAR(tblTransactions[[#This Row],[date]]),MONTH(tblTransactions[[#This Row],[date]]),1)</f>
        <v>45748</v>
      </c>
      <c r="N2661" t="str">
        <f>IF(WEEKDAY(tblTransactions[[#This Row],[date]],2)&gt;5,"Weekend","Weekday")</f>
        <v>Weekend</v>
      </c>
      <c r="O2661" s="13" t="str">
        <f>IF(tblTransactions[[#This Row],[discount_pct]]=0,"0%",IF(tblTransactions[[#This Row],[discount_pct]]&lt;=10%,"1–
10%",IF(tblTransactions[[#This Row],[discount_pct]]&lt;=20%,"11–20%","&gt;20%")))</f>
        <v>0%</v>
      </c>
      <c r="P2661" s="13" t="str">
        <f>_xlfn.XLOOKUP(tblTransactions[[#This Row],[tenant_id]],tblTenants[tenant_id],tblTenants[zone],"NOT FOUND")</f>
        <v>Food Court</v>
      </c>
      <c r="Q2661" s="13" t="str">
        <f>_xlfn.XLOOKUP(tblTransactions[[#This Row],[tenant_id]],tblTenants[tenant_id],tblTenants[category],"NOT FOUND")</f>
        <v>Casual Dining</v>
      </c>
    </row>
    <row r="2662" spans="1:17">
      <c r="A2662" t="s">
        <v>2706</v>
      </c>
      <c r="B2662" s="2">
        <v>45773</v>
      </c>
      <c r="C2662">
        <v>16</v>
      </c>
      <c r="D2662" t="s">
        <v>23</v>
      </c>
      <c r="E2662" t="s">
        <v>12</v>
      </c>
      <c r="F2662" s="7">
        <v>4173.59</v>
      </c>
      <c r="G2662" s="10">
        <v>0</v>
      </c>
      <c r="H2662" s="7">
        <v>4173.59</v>
      </c>
      <c r="I2662">
        <v>1</v>
      </c>
      <c r="J2662" t="s">
        <v>13</v>
      </c>
      <c r="K2662" s="13">
        <f>ROUND(tblTransactions[[#This Row],[gross_sales_inr]]*(1-tblTransactions[[#This Row],[discount_pct]]),2)</f>
        <v>4173.59</v>
      </c>
      <c r="L2662" t="str">
        <f>IF(ABS(tblTransactions[[#This Row],[net_sales_inr]]-tblTransactions[[#This Row],[Recalc_Net_Sales]])&lt;0.02,"OK","CHECK")</f>
        <v>OK</v>
      </c>
      <c r="M2662" s="14">
        <f>DATE(YEAR(tblTransactions[[#This Row],[date]]),MONTH(tblTransactions[[#This Row],[date]]),1)</f>
        <v>45748</v>
      </c>
      <c r="N2662" t="str">
        <f>IF(WEEKDAY(tblTransactions[[#This Row],[date]],2)&gt;5,"Weekend","Weekday")</f>
        <v>Weekend</v>
      </c>
      <c r="O2662" s="13" t="str">
        <f>IF(tblTransactions[[#This Row],[discount_pct]]=0,"0%",IF(tblTransactions[[#This Row],[discount_pct]]&lt;=10%,"1–
10%",IF(tblTransactions[[#This Row],[discount_pct]]&lt;=20%,"11–20%","&gt;20%")))</f>
        <v>0%</v>
      </c>
      <c r="P2662" s="13" t="str">
        <f>_xlfn.XLOOKUP(tblTransactions[[#This Row],[tenant_id]],tblTenants[tenant_id],tblTenants[zone],"NOT FOUND")</f>
        <v>Entertainment</v>
      </c>
      <c r="Q2662" s="13" t="str">
        <f>_xlfn.XLOOKUP(tblTransactions[[#This Row],[tenant_id]],tblTenants[tenant_id],tblTenants[category],"NOT FOUND")</f>
        <v>Cinema</v>
      </c>
    </row>
    <row r="2663" spans="1:17">
      <c r="A2663" t="s">
        <v>2707</v>
      </c>
      <c r="B2663" s="2">
        <v>45691</v>
      </c>
      <c r="C2663">
        <v>17</v>
      </c>
      <c r="D2663" t="s">
        <v>43</v>
      </c>
      <c r="E2663" t="s">
        <v>12</v>
      </c>
      <c r="F2663" s="7">
        <v>753.13</v>
      </c>
      <c r="G2663" s="10">
        <v>0.05</v>
      </c>
      <c r="H2663" s="7">
        <v>715.47</v>
      </c>
      <c r="I2663">
        <v>3</v>
      </c>
      <c r="J2663" t="s">
        <v>16</v>
      </c>
      <c r="K2663" s="13">
        <f>ROUND(tblTransactions[[#This Row],[gross_sales_inr]]*(1-tblTransactions[[#This Row],[discount_pct]]),2)</f>
        <v>715.47</v>
      </c>
      <c r="L2663" t="str">
        <f>IF(ABS(tblTransactions[[#This Row],[net_sales_inr]]-tblTransactions[[#This Row],[Recalc_Net_Sales]])&lt;0.02,"OK","CHECK")</f>
        <v>OK</v>
      </c>
      <c r="M2663" s="14">
        <f>DATE(YEAR(tblTransactions[[#This Row],[date]]),MONTH(tblTransactions[[#This Row],[date]]),1)</f>
        <v>45689</v>
      </c>
      <c r="N2663" t="str">
        <f>IF(WEEKDAY(tblTransactions[[#This Row],[date]],2)&gt;5,"Weekend","Weekday")</f>
        <v>Weekday</v>
      </c>
      <c r="O266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63" s="13" t="str">
        <f>_xlfn.XLOOKUP(tblTransactions[[#This Row],[tenant_id]],tblTenants[tenant_id],tblTenants[zone],"NOT FOUND")</f>
        <v>Food Court</v>
      </c>
      <c r="Q2663" s="13" t="str">
        <f>_xlfn.XLOOKUP(tblTransactions[[#This Row],[tenant_id]],tblTenants[tenant_id],tblTenants[category],"NOT FOUND")</f>
        <v>Casual Dining</v>
      </c>
    </row>
    <row r="2664" spans="1:17">
      <c r="A2664" t="s">
        <v>2708</v>
      </c>
      <c r="B2664" s="2">
        <v>45662</v>
      </c>
      <c r="C2664">
        <v>14</v>
      </c>
      <c r="D2664" t="s">
        <v>31</v>
      </c>
      <c r="E2664" t="s">
        <v>12</v>
      </c>
      <c r="F2664" s="7">
        <v>3687.21</v>
      </c>
      <c r="G2664" s="10">
        <v>0.1</v>
      </c>
      <c r="H2664" s="7">
        <v>3318.49</v>
      </c>
      <c r="I2664">
        <v>1</v>
      </c>
      <c r="J2664" t="s">
        <v>16</v>
      </c>
      <c r="K2664" s="13">
        <f>ROUND(tblTransactions[[#This Row],[gross_sales_inr]]*(1-tblTransactions[[#This Row],[discount_pct]]),2)</f>
        <v>3318.49</v>
      </c>
      <c r="L2664" t="str">
        <f>IF(ABS(tblTransactions[[#This Row],[net_sales_inr]]-tblTransactions[[#This Row],[Recalc_Net_Sales]])&lt;0.02,"OK","CHECK")</f>
        <v>OK</v>
      </c>
      <c r="M2664" s="14">
        <f>DATE(YEAR(tblTransactions[[#This Row],[date]]),MONTH(tblTransactions[[#This Row],[date]]),1)</f>
        <v>45658</v>
      </c>
      <c r="N2664" t="str">
        <f>IF(WEEKDAY(tblTransactions[[#This Row],[date]],2)&gt;5,"Weekend","Weekday")</f>
        <v>Weekend</v>
      </c>
      <c r="O266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64" s="13" t="str">
        <f>_xlfn.XLOOKUP(tblTransactions[[#This Row],[tenant_id]],tblTenants[tenant_id],tblTenants[zone],"NOT FOUND")</f>
        <v>Entertainment</v>
      </c>
      <c r="Q2664" s="13" t="str">
        <f>_xlfn.XLOOKUP(tblTransactions[[#This Row],[tenant_id]],tblTenants[tenant_id],tblTenants[category],"NOT FOUND")</f>
        <v>Arcade</v>
      </c>
    </row>
    <row r="2665" spans="1:17">
      <c r="A2665" t="s">
        <v>2709</v>
      </c>
      <c r="B2665" s="2">
        <v>45743</v>
      </c>
      <c r="C2665">
        <v>21</v>
      </c>
      <c r="D2665" t="s">
        <v>18</v>
      </c>
      <c r="E2665" t="s">
        <v>12</v>
      </c>
      <c r="F2665" s="7">
        <v>227.02</v>
      </c>
      <c r="G2665" s="10">
        <v>0</v>
      </c>
      <c r="H2665" s="7">
        <v>227.02</v>
      </c>
      <c r="I2665">
        <v>1</v>
      </c>
      <c r="J2665" t="s">
        <v>16</v>
      </c>
      <c r="K2665" s="13">
        <f>ROUND(tblTransactions[[#This Row],[gross_sales_inr]]*(1-tblTransactions[[#This Row],[discount_pct]]),2)</f>
        <v>227.02</v>
      </c>
      <c r="L2665" t="str">
        <f>IF(ABS(tblTransactions[[#This Row],[net_sales_inr]]-tblTransactions[[#This Row],[Recalc_Net_Sales]])&lt;0.02,"OK","CHECK")</f>
        <v>OK</v>
      </c>
      <c r="M2665" s="14">
        <f>DATE(YEAR(tblTransactions[[#This Row],[date]]),MONTH(tblTransactions[[#This Row],[date]]),1)</f>
        <v>45717</v>
      </c>
      <c r="N2665" t="str">
        <f>IF(WEEKDAY(tblTransactions[[#This Row],[date]],2)&gt;5,"Weekend","Weekday")</f>
        <v>Weekday</v>
      </c>
      <c r="O2665" s="13" t="str">
        <f>IF(tblTransactions[[#This Row],[discount_pct]]=0,"0%",IF(tblTransactions[[#This Row],[discount_pct]]&lt;=10%,"1–
10%",IF(tblTransactions[[#This Row],[discount_pct]]&lt;=20%,"11–20%","&gt;20%")))</f>
        <v>0%</v>
      </c>
      <c r="P2665" s="13" t="str">
        <f>_xlfn.XLOOKUP(tblTransactions[[#This Row],[tenant_id]],tblTenants[tenant_id],tblTenants[zone],"NOT FOUND")</f>
        <v>Beauty &amp; Wellness</v>
      </c>
      <c r="Q2665" s="13" t="str">
        <f>_xlfn.XLOOKUP(tblTransactions[[#This Row],[tenant_id]],tblTenants[tenant_id],tblTenants[category],"NOT FOUND")</f>
        <v>Beauty</v>
      </c>
    </row>
    <row r="2666" spans="1:17">
      <c r="A2666" t="s">
        <v>2710</v>
      </c>
      <c r="B2666" s="2">
        <v>45680</v>
      </c>
      <c r="C2666">
        <v>16</v>
      </c>
      <c r="D2666" t="s">
        <v>57</v>
      </c>
      <c r="E2666" t="s">
        <v>21</v>
      </c>
      <c r="F2666" s="7">
        <v>1066.6600000000001</v>
      </c>
      <c r="G2666" s="10">
        <v>0.2</v>
      </c>
      <c r="H2666" s="7">
        <v>853.33</v>
      </c>
      <c r="I2666">
        <v>4</v>
      </c>
      <c r="J2666" t="s">
        <v>13</v>
      </c>
      <c r="K2666" s="13">
        <f>ROUND(tblTransactions[[#This Row],[gross_sales_inr]]*(1-tblTransactions[[#This Row],[discount_pct]]),2)</f>
        <v>853.33</v>
      </c>
      <c r="L2666" t="str">
        <f>IF(ABS(tblTransactions[[#This Row],[net_sales_inr]]-tblTransactions[[#This Row],[Recalc_Net_Sales]])&lt;0.02,"OK","CHECK")</f>
        <v>OK</v>
      </c>
      <c r="M2666" s="14">
        <f>DATE(YEAR(tblTransactions[[#This Row],[date]]),MONTH(tblTransactions[[#This Row],[date]]),1)</f>
        <v>45658</v>
      </c>
      <c r="N2666" t="str">
        <f>IF(WEEKDAY(tblTransactions[[#This Row],[date]],2)&gt;5,"Weekend","Weekday")</f>
        <v>Weekday</v>
      </c>
      <c r="O266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66" s="13" t="str">
        <f>_xlfn.XLOOKUP(tblTransactions[[#This Row],[tenant_id]],tblTenants[tenant_id],tblTenants[zone],"NOT FOUND")</f>
        <v>Food Court</v>
      </c>
      <c r="Q2666" s="13" t="str">
        <f>_xlfn.XLOOKUP(tblTransactions[[#This Row],[tenant_id]],tblTenants[tenant_id],tblTenants[category],"NOT FOUND")</f>
        <v>Casual Dining</v>
      </c>
    </row>
    <row r="2667" spans="1:17">
      <c r="A2667" t="s">
        <v>2711</v>
      </c>
      <c r="B2667" s="2">
        <v>45787</v>
      </c>
      <c r="C2667">
        <v>22</v>
      </c>
      <c r="D2667" t="s">
        <v>15</v>
      </c>
      <c r="E2667" t="s">
        <v>12</v>
      </c>
      <c r="F2667" s="7">
        <v>2612.65</v>
      </c>
      <c r="G2667" s="10">
        <v>0</v>
      </c>
      <c r="H2667" s="7">
        <v>2612.65</v>
      </c>
      <c r="I2667">
        <v>3</v>
      </c>
      <c r="J2667" t="s">
        <v>13</v>
      </c>
      <c r="K2667" s="13">
        <f>ROUND(tblTransactions[[#This Row],[gross_sales_inr]]*(1-tblTransactions[[#This Row],[discount_pct]]),2)</f>
        <v>2612.65</v>
      </c>
      <c r="L2667" t="str">
        <f>IF(ABS(tblTransactions[[#This Row],[net_sales_inr]]-tblTransactions[[#This Row],[Recalc_Net_Sales]])&lt;0.02,"OK","CHECK")</f>
        <v>OK</v>
      </c>
      <c r="M2667" s="14">
        <f>DATE(YEAR(tblTransactions[[#This Row],[date]]),MONTH(tblTransactions[[#This Row],[date]]),1)</f>
        <v>45778</v>
      </c>
      <c r="N2667" t="str">
        <f>IF(WEEKDAY(tblTransactions[[#This Row],[date]],2)&gt;5,"Weekend","Weekday")</f>
        <v>Weekend</v>
      </c>
      <c r="O2667" s="13" t="str">
        <f>IF(tblTransactions[[#This Row],[discount_pct]]=0,"0%",IF(tblTransactions[[#This Row],[discount_pct]]&lt;=10%,"1–
10%",IF(tblTransactions[[#This Row],[discount_pct]]&lt;=20%,"11–20%","&gt;20%")))</f>
        <v>0%</v>
      </c>
      <c r="P2667" s="13" t="str">
        <f>_xlfn.XLOOKUP(tblTransactions[[#This Row],[tenant_id]],tblTenants[tenant_id],tblTenants[zone],"NOT FOUND")</f>
        <v>Fashion Avenue</v>
      </c>
      <c r="Q2667" s="13" t="str">
        <f>_xlfn.XLOOKUP(tblTransactions[[#This Row],[tenant_id]],tblTenants[tenant_id],tblTenants[category],"NOT FOUND")</f>
        <v>Accessories</v>
      </c>
    </row>
    <row r="2668" spans="1:17">
      <c r="A2668" t="s">
        <v>2712</v>
      </c>
      <c r="B2668" s="2">
        <v>45837</v>
      </c>
      <c r="C2668">
        <v>16</v>
      </c>
      <c r="D2668" t="s">
        <v>23</v>
      </c>
      <c r="E2668" t="s">
        <v>12</v>
      </c>
      <c r="F2668" s="7">
        <v>1854.21</v>
      </c>
      <c r="G2668" s="10">
        <v>0.15</v>
      </c>
      <c r="H2668" s="7">
        <v>1576.08</v>
      </c>
      <c r="I2668">
        <v>1</v>
      </c>
      <c r="J2668" t="s">
        <v>13</v>
      </c>
      <c r="K2668" s="13">
        <f>ROUND(tblTransactions[[#This Row],[gross_sales_inr]]*(1-tblTransactions[[#This Row],[discount_pct]]),2)</f>
        <v>1576.08</v>
      </c>
      <c r="L2668" t="str">
        <f>IF(ABS(tblTransactions[[#This Row],[net_sales_inr]]-tblTransactions[[#This Row],[Recalc_Net_Sales]])&lt;0.02,"OK","CHECK")</f>
        <v>OK</v>
      </c>
      <c r="M2668" s="14">
        <f>DATE(YEAR(tblTransactions[[#This Row],[date]]),MONTH(tblTransactions[[#This Row],[date]]),1)</f>
        <v>45809</v>
      </c>
      <c r="N2668" t="str">
        <f>IF(WEEKDAY(tblTransactions[[#This Row],[date]],2)&gt;5,"Weekend","Weekday")</f>
        <v>Weekend</v>
      </c>
      <c r="O266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68" s="13" t="str">
        <f>_xlfn.XLOOKUP(tblTransactions[[#This Row],[tenant_id]],tblTenants[tenant_id],tblTenants[zone],"NOT FOUND")</f>
        <v>Entertainment</v>
      </c>
      <c r="Q2668" s="13" t="str">
        <f>_xlfn.XLOOKUP(tblTransactions[[#This Row],[tenant_id]],tblTenants[tenant_id],tblTenants[category],"NOT FOUND")</f>
        <v>Cinema</v>
      </c>
    </row>
    <row r="2669" spans="1:17">
      <c r="A2669" t="s">
        <v>2713</v>
      </c>
      <c r="B2669" s="2">
        <v>45771</v>
      </c>
      <c r="C2669">
        <v>12</v>
      </c>
      <c r="D2669" t="s">
        <v>70</v>
      </c>
      <c r="E2669" t="s">
        <v>12</v>
      </c>
      <c r="F2669" s="7">
        <v>2643.17</v>
      </c>
      <c r="G2669" s="10">
        <v>0</v>
      </c>
      <c r="H2669" s="7">
        <v>2643.17</v>
      </c>
      <c r="I2669">
        <v>2</v>
      </c>
      <c r="J2669" t="s">
        <v>13</v>
      </c>
      <c r="K2669" s="13">
        <f>ROUND(tblTransactions[[#This Row],[gross_sales_inr]]*(1-tblTransactions[[#This Row],[discount_pct]]),2)</f>
        <v>2643.17</v>
      </c>
      <c r="L2669" t="str">
        <f>IF(ABS(tblTransactions[[#This Row],[net_sales_inr]]-tblTransactions[[#This Row],[Recalc_Net_Sales]])&lt;0.02,"OK","CHECK")</f>
        <v>OK</v>
      </c>
      <c r="M2669" s="14">
        <f>DATE(YEAR(tblTransactions[[#This Row],[date]]),MONTH(tblTransactions[[#This Row],[date]]),1)</f>
        <v>45748</v>
      </c>
      <c r="N2669" t="str">
        <f>IF(WEEKDAY(tblTransactions[[#This Row],[date]],2)&gt;5,"Weekend","Weekday")</f>
        <v>Weekday</v>
      </c>
      <c r="O2669" s="13" t="str">
        <f>IF(tblTransactions[[#This Row],[discount_pct]]=0,"0%",IF(tblTransactions[[#This Row],[discount_pct]]&lt;=10%,"1–
10%",IF(tblTransactions[[#This Row],[discount_pct]]&lt;=20%,"11–20%","&gt;20%")))</f>
        <v>0%</v>
      </c>
      <c r="P2669" s="13" t="str">
        <f>_xlfn.XLOOKUP(tblTransactions[[#This Row],[tenant_id]],tblTenants[tenant_id],tblTenants[zone],"NOT FOUND")</f>
        <v>Food Court</v>
      </c>
      <c r="Q2669" s="13" t="str">
        <f>_xlfn.XLOOKUP(tblTransactions[[#This Row],[tenant_id]],tblTenants[tenant_id],tblTenants[category],"NOT FOUND")</f>
        <v>Quick Service</v>
      </c>
    </row>
    <row r="2670" spans="1:17">
      <c r="A2670" t="s">
        <v>2714</v>
      </c>
      <c r="B2670" s="2">
        <v>45673</v>
      </c>
      <c r="C2670">
        <v>10</v>
      </c>
      <c r="D2670" t="s">
        <v>55</v>
      </c>
      <c r="E2670" t="s">
        <v>12</v>
      </c>
      <c r="F2670" s="7">
        <v>2170.13</v>
      </c>
      <c r="G2670" s="10">
        <v>0</v>
      </c>
      <c r="H2670" s="7">
        <v>2170.13</v>
      </c>
      <c r="I2670">
        <v>1</v>
      </c>
      <c r="J2670" t="s">
        <v>13</v>
      </c>
      <c r="K2670" s="13">
        <f>ROUND(tblTransactions[[#This Row],[gross_sales_inr]]*(1-tblTransactions[[#This Row],[discount_pct]]),2)</f>
        <v>2170.13</v>
      </c>
      <c r="L2670" t="str">
        <f>IF(ABS(tblTransactions[[#This Row],[net_sales_inr]]-tblTransactions[[#This Row],[Recalc_Net_Sales]])&lt;0.02,"OK","CHECK")</f>
        <v>OK</v>
      </c>
      <c r="M2670" s="14">
        <f>DATE(YEAR(tblTransactions[[#This Row],[date]]),MONTH(tblTransactions[[#This Row],[date]]),1)</f>
        <v>45658</v>
      </c>
      <c r="N2670" t="str">
        <f>IF(WEEKDAY(tblTransactions[[#This Row],[date]],2)&gt;5,"Weekend","Weekday")</f>
        <v>Weekday</v>
      </c>
      <c r="O2670" s="13" t="str">
        <f>IF(tblTransactions[[#This Row],[discount_pct]]=0,"0%",IF(tblTransactions[[#This Row],[discount_pct]]&lt;=10%,"1–
10%",IF(tblTransactions[[#This Row],[discount_pct]]&lt;=20%,"11–20%","&gt;20%")))</f>
        <v>0%</v>
      </c>
      <c r="P2670" s="13" t="str">
        <f>_xlfn.XLOOKUP(tblTransactions[[#This Row],[tenant_id]],tblTenants[tenant_id],tblTenants[zone],"NOT FOUND")</f>
        <v>Food Court</v>
      </c>
      <c r="Q2670" s="13" t="str">
        <f>_xlfn.XLOOKUP(tblTransactions[[#This Row],[tenant_id]],tblTenants[tenant_id],tblTenants[category],"NOT FOUND")</f>
        <v>Quick Service</v>
      </c>
    </row>
    <row r="2671" spans="1:17">
      <c r="A2671" t="s">
        <v>2715</v>
      </c>
      <c r="B2671" s="2">
        <v>45822</v>
      </c>
      <c r="C2671">
        <v>19</v>
      </c>
      <c r="D2671" t="s">
        <v>61</v>
      </c>
      <c r="E2671" t="s">
        <v>12</v>
      </c>
      <c r="F2671" s="7">
        <v>1380.74</v>
      </c>
      <c r="G2671" s="10">
        <v>0.1</v>
      </c>
      <c r="H2671" s="7">
        <v>1242.67</v>
      </c>
      <c r="I2671">
        <v>4</v>
      </c>
      <c r="J2671" t="s">
        <v>16</v>
      </c>
      <c r="K2671" s="13">
        <f>ROUND(tblTransactions[[#This Row],[gross_sales_inr]]*(1-tblTransactions[[#This Row],[discount_pct]]),2)</f>
        <v>1242.67</v>
      </c>
      <c r="L2671" t="str">
        <f>IF(ABS(tblTransactions[[#This Row],[net_sales_inr]]-tblTransactions[[#This Row],[Recalc_Net_Sales]])&lt;0.02,"OK","CHECK")</f>
        <v>OK</v>
      </c>
      <c r="M2671" s="14">
        <f>DATE(YEAR(tblTransactions[[#This Row],[date]]),MONTH(tblTransactions[[#This Row],[date]]),1)</f>
        <v>45809</v>
      </c>
      <c r="N2671" t="str">
        <f>IF(WEEKDAY(tblTransactions[[#This Row],[date]],2)&gt;5,"Weekend","Weekday")</f>
        <v>Weekend</v>
      </c>
      <c r="O267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71" s="13" t="str">
        <f>_xlfn.XLOOKUP(tblTransactions[[#This Row],[tenant_id]],tblTenants[tenant_id],tblTenants[zone],"NOT FOUND")</f>
        <v>Food Court</v>
      </c>
      <c r="Q2671" s="13" t="str">
        <f>_xlfn.XLOOKUP(tblTransactions[[#This Row],[tenant_id]],tblTenants[tenant_id],tblTenants[category],"NOT FOUND")</f>
        <v>Quick Service</v>
      </c>
    </row>
    <row r="2672" spans="1:17">
      <c r="A2672" t="s">
        <v>2716</v>
      </c>
      <c r="B2672" s="2">
        <v>45731</v>
      </c>
      <c r="C2672">
        <v>17</v>
      </c>
      <c r="D2672" t="s">
        <v>45</v>
      </c>
      <c r="E2672" t="s">
        <v>32</v>
      </c>
      <c r="F2672" s="7">
        <v>878.55</v>
      </c>
      <c r="G2672" s="10">
        <v>0.2</v>
      </c>
      <c r="H2672" s="7">
        <v>702.84</v>
      </c>
      <c r="I2672">
        <v>2</v>
      </c>
      <c r="J2672" t="s">
        <v>13</v>
      </c>
      <c r="K2672" s="13">
        <f>ROUND(tblTransactions[[#This Row],[gross_sales_inr]]*(1-tblTransactions[[#This Row],[discount_pct]]),2)</f>
        <v>702.84</v>
      </c>
      <c r="L2672" t="str">
        <f>IF(ABS(tblTransactions[[#This Row],[net_sales_inr]]-tblTransactions[[#This Row],[Recalc_Net_Sales]])&lt;0.02,"OK","CHECK")</f>
        <v>OK</v>
      </c>
      <c r="M2672" s="14">
        <f>DATE(YEAR(tblTransactions[[#This Row],[date]]),MONTH(tblTransactions[[#This Row],[date]]),1)</f>
        <v>45717</v>
      </c>
      <c r="N2672" t="str">
        <f>IF(WEEKDAY(tblTransactions[[#This Row],[date]],2)&gt;5,"Weekend","Weekday")</f>
        <v>Weekend</v>
      </c>
      <c r="O267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72" s="13" t="str">
        <f>_xlfn.XLOOKUP(tblTransactions[[#This Row],[tenant_id]],tblTenants[tenant_id],tblTenants[zone],"NOT FOUND")</f>
        <v>Home &amp; Living</v>
      </c>
      <c r="Q2672" s="13" t="str">
        <f>_xlfn.XLOOKUP(tblTransactions[[#This Row],[tenant_id]],tblTenants[tenant_id],tblTenants[category],"NOT FOUND")</f>
        <v>Home Decor</v>
      </c>
    </row>
    <row r="2673" spans="1:17">
      <c r="A2673" t="s">
        <v>2717</v>
      </c>
      <c r="B2673" s="2">
        <v>45791</v>
      </c>
      <c r="C2673">
        <v>21</v>
      </c>
      <c r="D2673" t="s">
        <v>104</v>
      </c>
      <c r="E2673" t="s">
        <v>32</v>
      </c>
      <c r="F2673" s="7">
        <v>894.13</v>
      </c>
      <c r="G2673" s="10">
        <v>0</v>
      </c>
      <c r="H2673" s="7">
        <v>894.13</v>
      </c>
      <c r="I2673">
        <v>1</v>
      </c>
      <c r="J2673" t="s">
        <v>13</v>
      </c>
      <c r="K2673" s="13">
        <f>ROUND(tblTransactions[[#This Row],[gross_sales_inr]]*(1-tblTransactions[[#This Row],[discount_pct]]),2)</f>
        <v>894.13</v>
      </c>
      <c r="L2673" t="str">
        <f>IF(ABS(tblTransactions[[#This Row],[net_sales_inr]]-tblTransactions[[#This Row],[Recalc_Net_Sales]])&lt;0.02,"OK","CHECK")</f>
        <v>OK</v>
      </c>
      <c r="M2673" s="14">
        <f>DATE(YEAR(tblTransactions[[#This Row],[date]]),MONTH(tblTransactions[[#This Row],[date]]),1)</f>
        <v>45778</v>
      </c>
      <c r="N2673" t="str">
        <f>IF(WEEKDAY(tblTransactions[[#This Row],[date]],2)&gt;5,"Weekend","Weekday")</f>
        <v>Weekday</v>
      </c>
      <c r="O2673" s="13" t="str">
        <f>IF(tblTransactions[[#This Row],[discount_pct]]=0,"0%",IF(tblTransactions[[#This Row],[discount_pct]]&lt;=10%,"1–
10%",IF(tblTransactions[[#This Row],[discount_pct]]&lt;=20%,"11–20%","&gt;20%")))</f>
        <v>0%</v>
      </c>
      <c r="P2673" s="13" t="str">
        <f>_xlfn.XLOOKUP(tblTransactions[[#This Row],[tenant_id]],tblTenants[tenant_id],tblTenants[zone],"NOT FOUND")</f>
        <v>Entertainment</v>
      </c>
      <c r="Q2673" s="13" t="str">
        <f>_xlfn.XLOOKUP(tblTransactions[[#This Row],[tenant_id]],tblTenants[tenant_id],tblTenants[category],"NOT FOUND")</f>
        <v>Family Entertainment</v>
      </c>
    </row>
    <row r="2674" spans="1:17">
      <c r="A2674" t="s">
        <v>2718</v>
      </c>
      <c r="B2674" s="2">
        <v>45790</v>
      </c>
      <c r="C2674">
        <v>21</v>
      </c>
      <c r="D2674" t="s">
        <v>18</v>
      </c>
      <c r="E2674" t="s">
        <v>12</v>
      </c>
      <c r="F2674" s="7">
        <v>3048.43</v>
      </c>
      <c r="G2674" s="10">
        <v>0</v>
      </c>
      <c r="H2674" s="7">
        <v>3048.43</v>
      </c>
      <c r="I2674">
        <v>6</v>
      </c>
      <c r="J2674" t="s">
        <v>16</v>
      </c>
      <c r="K2674" s="13">
        <f>ROUND(tblTransactions[[#This Row],[gross_sales_inr]]*(1-tblTransactions[[#This Row],[discount_pct]]),2)</f>
        <v>3048.43</v>
      </c>
      <c r="L2674" t="str">
        <f>IF(ABS(tblTransactions[[#This Row],[net_sales_inr]]-tblTransactions[[#This Row],[Recalc_Net_Sales]])&lt;0.02,"OK","CHECK")</f>
        <v>OK</v>
      </c>
      <c r="M2674" s="14">
        <f>DATE(YEAR(tblTransactions[[#This Row],[date]]),MONTH(tblTransactions[[#This Row],[date]]),1)</f>
        <v>45778</v>
      </c>
      <c r="N2674" t="str">
        <f>IF(WEEKDAY(tblTransactions[[#This Row],[date]],2)&gt;5,"Weekend","Weekday")</f>
        <v>Weekday</v>
      </c>
      <c r="O2674" s="13" t="str">
        <f>IF(tblTransactions[[#This Row],[discount_pct]]=0,"0%",IF(tblTransactions[[#This Row],[discount_pct]]&lt;=10%,"1–
10%",IF(tblTransactions[[#This Row],[discount_pct]]&lt;=20%,"11–20%","&gt;20%")))</f>
        <v>0%</v>
      </c>
      <c r="P2674" s="13" t="str">
        <f>_xlfn.XLOOKUP(tblTransactions[[#This Row],[tenant_id]],tblTenants[tenant_id],tblTenants[zone],"NOT FOUND")</f>
        <v>Beauty &amp; Wellness</v>
      </c>
      <c r="Q2674" s="13" t="str">
        <f>_xlfn.XLOOKUP(tblTransactions[[#This Row],[tenant_id]],tblTenants[tenant_id],tblTenants[category],"NOT FOUND")</f>
        <v>Beauty</v>
      </c>
    </row>
    <row r="2675" spans="1:17">
      <c r="A2675" t="s">
        <v>2719</v>
      </c>
      <c r="B2675" s="2">
        <v>45786</v>
      </c>
      <c r="C2675">
        <v>12</v>
      </c>
      <c r="D2675" t="s">
        <v>59</v>
      </c>
      <c r="E2675" t="s">
        <v>32</v>
      </c>
      <c r="F2675" s="7">
        <v>1097.1099999999999</v>
      </c>
      <c r="G2675" s="10">
        <v>0.15</v>
      </c>
      <c r="H2675" s="7">
        <v>932.54</v>
      </c>
      <c r="I2675">
        <v>4</v>
      </c>
      <c r="J2675" t="s">
        <v>13</v>
      </c>
      <c r="K2675" s="13">
        <f>ROUND(tblTransactions[[#This Row],[gross_sales_inr]]*(1-tblTransactions[[#This Row],[discount_pct]]),2)</f>
        <v>932.54</v>
      </c>
      <c r="L2675" t="str">
        <f>IF(ABS(tblTransactions[[#This Row],[net_sales_inr]]-tblTransactions[[#This Row],[Recalc_Net_Sales]])&lt;0.02,"OK","CHECK")</f>
        <v>OK</v>
      </c>
      <c r="M2675" s="14">
        <f>DATE(YEAR(tblTransactions[[#This Row],[date]]),MONTH(tblTransactions[[#This Row],[date]]),1)</f>
        <v>45778</v>
      </c>
      <c r="N2675" t="str">
        <f>IF(WEEKDAY(tblTransactions[[#This Row],[date]],2)&gt;5,"Weekend","Weekday")</f>
        <v>Weekday</v>
      </c>
      <c r="O267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75" s="13" t="str">
        <f>_xlfn.XLOOKUP(tblTransactions[[#This Row],[tenant_id]],tblTenants[tenant_id],tblTenants[zone],"NOT FOUND")</f>
        <v>Fashion Avenue</v>
      </c>
      <c r="Q2675" s="13" t="str">
        <f>_xlfn.XLOOKUP(tblTransactions[[#This Row],[tenant_id]],tblTenants[tenant_id],tblTenants[category],"NOT FOUND")</f>
        <v>Footwear</v>
      </c>
    </row>
    <row r="2676" spans="1:17">
      <c r="A2676" t="s">
        <v>2720</v>
      </c>
      <c r="B2676" s="2">
        <v>45678</v>
      </c>
      <c r="C2676">
        <v>22</v>
      </c>
      <c r="D2676" t="s">
        <v>11</v>
      </c>
      <c r="E2676" t="s">
        <v>12</v>
      </c>
      <c r="F2676" s="7">
        <v>317.52999999999997</v>
      </c>
      <c r="G2676" s="10">
        <v>0</v>
      </c>
      <c r="H2676" s="7">
        <v>317.52999999999997</v>
      </c>
      <c r="I2676">
        <v>5</v>
      </c>
      <c r="J2676" t="s">
        <v>13</v>
      </c>
      <c r="K2676" s="13">
        <f>ROUND(tblTransactions[[#This Row],[gross_sales_inr]]*(1-tblTransactions[[#This Row],[discount_pct]]),2)</f>
        <v>317.52999999999997</v>
      </c>
      <c r="L2676" t="str">
        <f>IF(ABS(tblTransactions[[#This Row],[net_sales_inr]]-tblTransactions[[#This Row],[Recalc_Net_Sales]])&lt;0.02,"OK","CHECK")</f>
        <v>OK</v>
      </c>
      <c r="M2676" s="14">
        <f>DATE(YEAR(tblTransactions[[#This Row],[date]]),MONTH(tblTransactions[[#This Row],[date]]),1)</f>
        <v>45658</v>
      </c>
      <c r="N2676" t="str">
        <f>IF(WEEKDAY(tblTransactions[[#This Row],[date]],2)&gt;5,"Weekend","Weekday")</f>
        <v>Weekday</v>
      </c>
      <c r="O2676" s="13" t="str">
        <f>IF(tblTransactions[[#This Row],[discount_pct]]=0,"0%",IF(tblTransactions[[#This Row],[discount_pct]]&lt;=10%,"1–
10%",IF(tblTransactions[[#This Row],[discount_pct]]&lt;=20%,"11–20%","&gt;20%")))</f>
        <v>0%</v>
      </c>
      <c r="P2676" s="13" t="str">
        <f>_xlfn.XLOOKUP(tblTransactions[[#This Row],[tenant_id]],tblTenants[tenant_id],tblTenants[zone],"NOT FOUND")</f>
        <v>Home &amp; Living</v>
      </c>
      <c r="Q2676" s="13" t="str">
        <f>_xlfn.XLOOKUP(tblTransactions[[#This Row],[tenant_id]],tblTenants[tenant_id],tblTenants[category],"NOT FOUND")</f>
        <v>Home Decor</v>
      </c>
    </row>
    <row r="2677" spans="1:17">
      <c r="A2677" t="s">
        <v>2721</v>
      </c>
      <c r="B2677" s="2">
        <v>45813</v>
      </c>
      <c r="C2677">
        <v>18</v>
      </c>
      <c r="D2677" t="s">
        <v>18</v>
      </c>
      <c r="E2677" t="s">
        <v>32</v>
      </c>
      <c r="F2677" s="7">
        <v>268.56</v>
      </c>
      <c r="G2677" s="10">
        <v>0.3</v>
      </c>
      <c r="H2677" s="7">
        <v>187.99</v>
      </c>
      <c r="I2677">
        <v>3</v>
      </c>
      <c r="J2677" t="s">
        <v>13</v>
      </c>
      <c r="K2677" s="13">
        <f>ROUND(tblTransactions[[#This Row],[gross_sales_inr]]*(1-tblTransactions[[#This Row],[discount_pct]]),2)</f>
        <v>187.99</v>
      </c>
      <c r="L2677" t="str">
        <f>IF(ABS(tblTransactions[[#This Row],[net_sales_inr]]-tblTransactions[[#This Row],[Recalc_Net_Sales]])&lt;0.02,"OK","CHECK")</f>
        <v>OK</v>
      </c>
      <c r="M2677" s="14">
        <f>DATE(YEAR(tblTransactions[[#This Row],[date]]),MONTH(tblTransactions[[#This Row],[date]]),1)</f>
        <v>45809</v>
      </c>
      <c r="N2677" t="str">
        <f>IF(WEEKDAY(tblTransactions[[#This Row],[date]],2)&gt;5,"Weekend","Weekday")</f>
        <v>Weekday</v>
      </c>
      <c r="O267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677" s="13" t="str">
        <f>_xlfn.XLOOKUP(tblTransactions[[#This Row],[tenant_id]],tblTenants[tenant_id],tblTenants[zone],"NOT FOUND")</f>
        <v>Beauty &amp; Wellness</v>
      </c>
      <c r="Q2677" s="13" t="str">
        <f>_xlfn.XLOOKUP(tblTransactions[[#This Row],[tenant_id]],tblTenants[tenant_id],tblTenants[category],"NOT FOUND")</f>
        <v>Beauty</v>
      </c>
    </row>
    <row r="2678" spans="1:17">
      <c r="A2678" t="s">
        <v>2722</v>
      </c>
      <c r="B2678" s="2">
        <v>45793</v>
      </c>
      <c r="C2678">
        <v>17</v>
      </c>
      <c r="D2678" t="s">
        <v>122</v>
      </c>
      <c r="E2678" t="s">
        <v>32</v>
      </c>
      <c r="F2678" s="7">
        <v>801.45</v>
      </c>
      <c r="G2678" s="10">
        <v>0.2</v>
      </c>
      <c r="H2678" s="7">
        <v>641.16</v>
      </c>
      <c r="I2678">
        <v>1</v>
      </c>
      <c r="J2678" t="s">
        <v>13</v>
      </c>
      <c r="K2678" s="13">
        <f>ROUND(tblTransactions[[#This Row],[gross_sales_inr]]*(1-tblTransactions[[#This Row],[discount_pct]]),2)</f>
        <v>641.16</v>
      </c>
      <c r="L2678" t="str">
        <f>IF(ABS(tblTransactions[[#This Row],[net_sales_inr]]-tblTransactions[[#This Row],[Recalc_Net_Sales]])&lt;0.02,"OK","CHECK")</f>
        <v>OK</v>
      </c>
      <c r="M2678" s="14">
        <f>DATE(YEAR(tblTransactions[[#This Row],[date]]),MONTH(tblTransactions[[#This Row],[date]]),1)</f>
        <v>45778</v>
      </c>
      <c r="N2678" t="str">
        <f>IF(WEEKDAY(tblTransactions[[#This Row],[date]],2)&gt;5,"Weekend","Weekday")</f>
        <v>Weekday</v>
      </c>
      <c r="O267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78" s="13" t="str">
        <f>_xlfn.XLOOKUP(tblTransactions[[#This Row],[tenant_id]],tblTenants[tenant_id],tblTenants[zone],"NOT FOUND")</f>
        <v>Beauty &amp; Wellness</v>
      </c>
      <c r="Q2678" s="13" t="str">
        <f>_xlfn.XLOOKUP(tblTransactions[[#This Row],[tenant_id]],tblTenants[tenant_id],tblTenants[category],"NOT FOUND")</f>
        <v>Wellness</v>
      </c>
    </row>
    <row r="2679" spans="1:17">
      <c r="A2679" t="s">
        <v>2723</v>
      </c>
      <c r="B2679" s="2">
        <v>45772</v>
      </c>
      <c r="C2679">
        <v>15</v>
      </c>
      <c r="D2679" t="s">
        <v>23</v>
      </c>
      <c r="E2679" t="s">
        <v>21</v>
      </c>
      <c r="F2679" s="7">
        <v>408.85</v>
      </c>
      <c r="G2679" s="10">
        <v>0</v>
      </c>
      <c r="H2679" s="7">
        <v>408.85</v>
      </c>
      <c r="I2679">
        <v>3</v>
      </c>
      <c r="J2679" t="s">
        <v>13</v>
      </c>
      <c r="K2679" s="13">
        <f>ROUND(tblTransactions[[#This Row],[gross_sales_inr]]*(1-tblTransactions[[#This Row],[discount_pct]]),2)</f>
        <v>408.85</v>
      </c>
      <c r="L2679" t="str">
        <f>IF(ABS(tblTransactions[[#This Row],[net_sales_inr]]-tblTransactions[[#This Row],[Recalc_Net_Sales]])&lt;0.02,"OK","CHECK")</f>
        <v>OK</v>
      </c>
      <c r="M2679" s="14">
        <f>DATE(YEAR(tblTransactions[[#This Row],[date]]),MONTH(tblTransactions[[#This Row],[date]]),1)</f>
        <v>45748</v>
      </c>
      <c r="N2679" t="str">
        <f>IF(WEEKDAY(tblTransactions[[#This Row],[date]],2)&gt;5,"Weekend","Weekday")</f>
        <v>Weekday</v>
      </c>
      <c r="O2679" s="13" t="str">
        <f>IF(tblTransactions[[#This Row],[discount_pct]]=0,"0%",IF(tblTransactions[[#This Row],[discount_pct]]&lt;=10%,"1–
10%",IF(tblTransactions[[#This Row],[discount_pct]]&lt;=20%,"11–20%","&gt;20%")))</f>
        <v>0%</v>
      </c>
      <c r="P2679" s="13" t="str">
        <f>_xlfn.XLOOKUP(tblTransactions[[#This Row],[tenant_id]],tblTenants[tenant_id],tblTenants[zone],"NOT FOUND")</f>
        <v>Entertainment</v>
      </c>
      <c r="Q2679" s="13" t="str">
        <f>_xlfn.XLOOKUP(tblTransactions[[#This Row],[tenant_id]],tblTenants[tenant_id],tblTenants[category],"NOT FOUND")</f>
        <v>Cinema</v>
      </c>
    </row>
    <row r="2680" spans="1:17">
      <c r="A2680" t="s">
        <v>2724</v>
      </c>
      <c r="B2680" s="2">
        <v>45781</v>
      </c>
      <c r="C2680">
        <v>16</v>
      </c>
      <c r="D2680" t="s">
        <v>27</v>
      </c>
      <c r="E2680" t="s">
        <v>12</v>
      </c>
      <c r="F2680" s="7">
        <v>1534.29</v>
      </c>
      <c r="G2680" s="10">
        <v>0</v>
      </c>
      <c r="H2680" s="7">
        <v>1534.29</v>
      </c>
      <c r="I2680">
        <v>2</v>
      </c>
      <c r="J2680" t="s">
        <v>13</v>
      </c>
      <c r="K2680" s="13">
        <f>ROUND(tblTransactions[[#This Row],[gross_sales_inr]]*(1-tblTransactions[[#This Row],[discount_pct]]),2)</f>
        <v>1534.29</v>
      </c>
      <c r="L2680" t="str">
        <f>IF(ABS(tblTransactions[[#This Row],[net_sales_inr]]-tblTransactions[[#This Row],[Recalc_Net_Sales]])&lt;0.02,"OK","CHECK")</f>
        <v>OK</v>
      </c>
      <c r="M2680" s="14">
        <f>DATE(YEAR(tblTransactions[[#This Row],[date]]),MONTH(tblTransactions[[#This Row],[date]]),1)</f>
        <v>45778</v>
      </c>
      <c r="N2680" t="str">
        <f>IF(WEEKDAY(tblTransactions[[#This Row],[date]],2)&gt;5,"Weekend","Weekday")</f>
        <v>Weekend</v>
      </c>
      <c r="O2680" s="13" t="str">
        <f>IF(tblTransactions[[#This Row],[discount_pct]]=0,"0%",IF(tblTransactions[[#This Row],[discount_pct]]&lt;=10%,"1–
10%",IF(tblTransactions[[#This Row],[discount_pct]]&lt;=20%,"11–20%","&gt;20%")))</f>
        <v>0%</v>
      </c>
      <c r="P2680" s="13" t="str">
        <f>_xlfn.XLOOKUP(tblTransactions[[#This Row],[tenant_id]],tblTenants[tenant_id],tblTenants[zone],"NOT FOUND")</f>
        <v>Beauty &amp; Wellness</v>
      </c>
      <c r="Q2680" s="13" t="str">
        <f>_xlfn.XLOOKUP(tblTransactions[[#This Row],[tenant_id]],tblTenants[tenant_id],tblTenants[category],"NOT FOUND")</f>
        <v>Wellness</v>
      </c>
    </row>
    <row r="2681" spans="1:17">
      <c r="A2681" t="s">
        <v>2725</v>
      </c>
      <c r="B2681" s="2">
        <v>45681</v>
      </c>
      <c r="C2681">
        <v>19</v>
      </c>
      <c r="D2681" t="s">
        <v>41</v>
      </c>
      <c r="E2681" t="s">
        <v>21</v>
      </c>
      <c r="F2681" s="7">
        <v>1132.72</v>
      </c>
      <c r="G2681" s="10">
        <v>0</v>
      </c>
      <c r="H2681" s="7">
        <v>1132.72</v>
      </c>
      <c r="I2681">
        <v>2</v>
      </c>
      <c r="J2681" t="s">
        <v>13</v>
      </c>
      <c r="K2681" s="13">
        <f>ROUND(tblTransactions[[#This Row],[gross_sales_inr]]*(1-tblTransactions[[#This Row],[discount_pct]]),2)</f>
        <v>1132.72</v>
      </c>
      <c r="L2681" t="str">
        <f>IF(ABS(tblTransactions[[#This Row],[net_sales_inr]]-tblTransactions[[#This Row],[Recalc_Net_Sales]])&lt;0.02,"OK","CHECK")</f>
        <v>OK</v>
      </c>
      <c r="M2681" s="14">
        <f>DATE(YEAR(tblTransactions[[#This Row],[date]]),MONTH(tblTransactions[[#This Row],[date]]),1)</f>
        <v>45658</v>
      </c>
      <c r="N2681" t="str">
        <f>IF(WEEKDAY(tblTransactions[[#This Row],[date]],2)&gt;5,"Weekend","Weekday")</f>
        <v>Weekday</v>
      </c>
      <c r="O2681" s="13" t="str">
        <f>IF(tblTransactions[[#This Row],[discount_pct]]=0,"0%",IF(tblTransactions[[#This Row],[discount_pct]]&lt;=10%,"1–
10%",IF(tblTransactions[[#This Row],[discount_pct]]&lt;=20%,"11–20%","&gt;20%")))</f>
        <v>0%</v>
      </c>
      <c r="P2681" s="13" t="str">
        <f>_xlfn.XLOOKUP(tblTransactions[[#This Row],[tenant_id]],tblTenants[tenant_id],tblTenants[zone],"NOT FOUND")</f>
        <v>Fashion Avenue</v>
      </c>
      <c r="Q2681" s="13" t="str">
        <f>_xlfn.XLOOKUP(tblTransactions[[#This Row],[tenant_id]],tblTenants[tenant_id],tblTenants[category],"NOT FOUND")</f>
        <v>Clothing</v>
      </c>
    </row>
    <row r="2682" spans="1:17">
      <c r="A2682" t="s">
        <v>2726</v>
      </c>
      <c r="B2682" s="2">
        <v>45669</v>
      </c>
      <c r="C2682">
        <v>12</v>
      </c>
      <c r="D2682" t="s">
        <v>72</v>
      </c>
      <c r="E2682" t="s">
        <v>21</v>
      </c>
      <c r="F2682" s="7">
        <v>898.52</v>
      </c>
      <c r="G2682" s="10">
        <v>0.05</v>
      </c>
      <c r="H2682" s="7">
        <v>853.59</v>
      </c>
      <c r="I2682">
        <v>4</v>
      </c>
      <c r="J2682" t="s">
        <v>16</v>
      </c>
      <c r="K2682" s="13">
        <f>ROUND(tblTransactions[[#This Row],[gross_sales_inr]]*(1-tblTransactions[[#This Row],[discount_pct]]),2)</f>
        <v>853.59</v>
      </c>
      <c r="L2682" t="str">
        <f>IF(ABS(tblTransactions[[#This Row],[net_sales_inr]]-tblTransactions[[#This Row],[Recalc_Net_Sales]])&lt;0.02,"OK","CHECK")</f>
        <v>OK</v>
      </c>
      <c r="M2682" s="14">
        <f>DATE(YEAR(tblTransactions[[#This Row],[date]]),MONTH(tblTransactions[[#This Row],[date]]),1)</f>
        <v>45658</v>
      </c>
      <c r="N2682" t="str">
        <f>IF(WEEKDAY(tblTransactions[[#This Row],[date]],2)&gt;5,"Weekend","Weekday")</f>
        <v>Weekend</v>
      </c>
      <c r="O268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82" s="13" t="str">
        <f>_xlfn.XLOOKUP(tblTransactions[[#This Row],[tenant_id]],tblTenants[tenant_id],tblTenants[zone],"NOT FOUND")</f>
        <v>Entertainment</v>
      </c>
      <c r="Q2682" s="13" t="str">
        <f>_xlfn.XLOOKUP(tblTransactions[[#This Row],[tenant_id]],tblTenants[tenant_id],tblTenants[category],"NOT FOUND")</f>
        <v>Arcade</v>
      </c>
    </row>
    <row r="2683" spans="1:17">
      <c r="A2683" t="s">
        <v>2727</v>
      </c>
      <c r="B2683" s="2">
        <v>45756</v>
      </c>
      <c r="C2683">
        <v>18</v>
      </c>
      <c r="D2683" t="s">
        <v>41</v>
      </c>
      <c r="E2683" t="s">
        <v>12</v>
      </c>
      <c r="F2683" s="7">
        <v>1767.82</v>
      </c>
      <c r="G2683" s="10">
        <v>0.15</v>
      </c>
      <c r="H2683" s="7">
        <v>1502.65</v>
      </c>
      <c r="I2683">
        <v>2</v>
      </c>
      <c r="J2683" t="s">
        <v>13</v>
      </c>
      <c r="K2683" s="13">
        <f>ROUND(tblTransactions[[#This Row],[gross_sales_inr]]*(1-tblTransactions[[#This Row],[discount_pct]]),2)</f>
        <v>1502.65</v>
      </c>
      <c r="L2683" t="str">
        <f>IF(ABS(tblTransactions[[#This Row],[net_sales_inr]]-tblTransactions[[#This Row],[Recalc_Net_Sales]])&lt;0.02,"OK","CHECK")</f>
        <v>OK</v>
      </c>
      <c r="M2683" s="14">
        <f>DATE(YEAR(tblTransactions[[#This Row],[date]]),MONTH(tblTransactions[[#This Row],[date]]),1)</f>
        <v>45748</v>
      </c>
      <c r="N2683" t="str">
        <f>IF(WEEKDAY(tblTransactions[[#This Row],[date]],2)&gt;5,"Weekend","Weekday")</f>
        <v>Weekday</v>
      </c>
      <c r="O268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83" s="13" t="str">
        <f>_xlfn.XLOOKUP(tblTransactions[[#This Row],[tenant_id]],tblTenants[tenant_id],tblTenants[zone],"NOT FOUND")</f>
        <v>Fashion Avenue</v>
      </c>
      <c r="Q2683" s="13" t="str">
        <f>_xlfn.XLOOKUP(tblTransactions[[#This Row],[tenant_id]],tblTenants[tenant_id],tblTenants[category],"NOT FOUND")</f>
        <v>Clothing</v>
      </c>
    </row>
    <row r="2684" spans="1:17">
      <c r="A2684" t="s">
        <v>2728</v>
      </c>
      <c r="B2684" s="2">
        <v>45730</v>
      </c>
      <c r="C2684">
        <v>22</v>
      </c>
      <c r="D2684" t="s">
        <v>31</v>
      </c>
      <c r="E2684" t="s">
        <v>12</v>
      </c>
      <c r="F2684" s="7">
        <v>1251.4100000000001</v>
      </c>
      <c r="G2684" s="10">
        <v>0.05</v>
      </c>
      <c r="H2684" s="7">
        <v>1188.8399999999999</v>
      </c>
      <c r="I2684">
        <v>4</v>
      </c>
      <c r="J2684" t="s">
        <v>13</v>
      </c>
      <c r="K2684" s="13">
        <f>ROUND(tblTransactions[[#This Row],[gross_sales_inr]]*(1-tblTransactions[[#This Row],[discount_pct]]),2)</f>
        <v>1188.8399999999999</v>
      </c>
      <c r="L2684" t="str">
        <f>IF(ABS(tblTransactions[[#This Row],[net_sales_inr]]-tblTransactions[[#This Row],[Recalc_Net_Sales]])&lt;0.02,"OK","CHECK")</f>
        <v>OK</v>
      </c>
      <c r="M2684" s="14">
        <f>DATE(YEAR(tblTransactions[[#This Row],[date]]),MONTH(tblTransactions[[#This Row],[date]]),1)</f>
        <v>45717</v>
      </c>
      <c r="N2684" t="str">
        <f>IF(WEEKDAY(tblTransactions[[#This Row],[date]],2)&gt;5,"Weekend","Weekday")</f>
        <v>Weekday</v>
      </c>
      <c r="O268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84" s="13" t="str">
        <f>_xlfn.XLOOKUP(tblTransactions[[#This Row],[tenant_id]],tblTenants[tenant_id],tblTenants[zone],"NOT FOUND")</f>
        <v>Entertainment</v>
      </c>
      <c r="Q2684" s="13" t="str">
        <f>_xlfn.XLOOKUP(tblTransactions[[#This Row],[tenant_id]],tblTenants[tenant_id],tblTenants[category],"NOT FOUND")</f>
        <v>Arcade</v>
      </c>
    </row>
    <row r="2685" spans="1:17">
      <c r="A2685" t="s">
        <v>2729</v>
      </c>
      <c r="B2685" s="2">
        <v>45711</v>
      </c>
      <c r="C2685">
        <v>20</v>
      </c>
      <c r="D2685" t="s">
        <v>25</v>
      </c>
      <c r="E2685" t="s">
        <v>32</v>
      </c>
      <c r="F2685" s="7">
        <v>1422.38</v>
      </c>
      <c r="G2685" s="10">
        <v>0.3</v>
      </c>
      <c r="H2685" s="7">
        <v>995.67</v>
      </c>
      <c r="I2685">
        <v>1</v>
      </c>
      <c r="J2685" t="s">
        <v>13</v>
      </c>
      <c r="K2685" s="13">
        <f>ROUND(tblTransactions[[#This Row],[gross_sales_inr]]*(1-tblTransactions[[#This Row],[discount_pct]]),2)</f>
        <v>995.67</v>
      </c>
      <c r="L2685" t="str">
        <f>IF(ABS(tblTransactions[[#This Row],[net_sales_inr]]-tblTransactions[[#This Row],[Recalc_Net_Sales]])&lt;0.02,"OK","CHECK")</f>
        <v>OK</v>
      </c>
      <c r="M2685" s="14">
        <f>DATE(YEAR(tblTransactions[[#This Row],[date]]),MONTH(tblTransactions[[#This Row],[date]]),1)</f>
        <v>45689</v>
      </c>
      <c r="N2685" t="str">
        <f>IF(WEEKDAY(tblTransactions[[#This Row],[date]],2)&gt;5,"Weekend","Weekday")</f>
        <v>Weekend</v>
      </c>
      <c r="O2685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685" s="13" t="str">
        <f>_xlfn.XLOOKUP(tblTransactions[[#This Row],[tenant_id]],tblTenants[tenant_id],tblTenants[zone],"NOT FOUND")</f>
        <v>Beauty &amp; Wellness</v>
      </c>
      <c r="Q2685" s="13" t="str">
        <f>_xlfn.XLOOKUP(tblTransactions[[#This Row],[tenant_id]],tblTenants[tenant_id],tblTenants[category],"NOT FOUND")</f>
        <v>Beauty</v>
      </c>
    </row>
    <row r="2686" spans="1:17">
      <c r="A2686" t="s">
        <v>2730</v>
      </c>
      <c r="B2686" s="2">
        <v>45792</v>
      </c>
      <c r="C2686">
        <v>13</v>
      </c>
      <c r="D2686" t="s">
        <v>25</v>
      </c>
      <c r="E2686" t="s">
        <v>21</v>
      </c>
      <c r="F2686" s="7">
        <v>892.43</v>
      </c>
      <c r="G2686" s="10">
        <v>0.3</v>
      </c>
      <c r="H2686" s="7">
        <v>624.70000000000005</v>
      </c>
      <c r="I2686">
        <v>3</v>
      </c>
      <c r="J2686" t="s">
        <v>16</v>
      </c>
      <c r="K2686" s="13">
        <f>ROUND(tblTransactions[[#This Row],[gross_sales_inr]]*(1-tblTransactions[[#This Row],[discount_pct]]),2)</f>
        <v>624.70000000000005</v>
      </c>
      <c r="L2686" t="str">
        <f>IF(ABS(tblTransactions[[#This Row],[net_sales_inr]]-tblTransactions[[#This Row],[Recalc_Net_Sales]])&lt;0.02,"OK","CHECK")</f>
        <v>OK</v>
      </c>
      <c r="M2686" s="14">
        <f>DATE(YEAR(tblTransactions[[#This Row],[date]]),MONTH(tblTransactions[[#This Row],[date]]),1)</f>
        <v>45778</v>
      </c>
      <c r="N2686" t="str">
        <f>IF(WEEKDAY(tblTransactions[[#This Row],[date]],2)&gt;5,"Weekend","Weekday")</f>
        <v>Weekday</v>
      </c>
      <c r="O2686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686" s="13" t="str">
        <f>_xlfn.XLOOKUP(tblTransactions[[#This Row],[tenant_id]],tblTenants[tenant_id],tblTenants[zone],"NOT FOUND")</f>
        <v>Beauty &amp; Wellness</v>
      </c>
      <c r="Q2686" s="13" t="str">
        <f>_xlfn.XLOOKUP(tblTransactions[[#This Row],[tenant_id]],tblTenants[tenant_id],tblTenants[category],"NOT FOUND")</f>
        <v>Beauty</v>
      </c>
    </row>
    <row r="2687" spans="1:17">
      <c r="A2687" t="s">
        <v>2731</v>
      </c>
      <c r="B2687" s="2">
        <v>45718</v>
      </c>
      <c r="C2687">
        <v>21</v>
      </c>
      <c r="D2687" t="s">
        <v>18</v>
      </c>
      <c r="E2687" t="s">
        <v>32</v>
      </c>
      <c r="F2687" s="7">
        <v>1287.77</v>
      </c>
      <c r="G2687" s="10">
        <v>0.1</v>
      </c>
      <c r="H2687" s="7">
        <v>1158.99</v>
      </c>
      <c r="I2687">
        <v>1</v>
      </c>
      <c r="J2687" t="s">
        <v>16</v>
      </c>
      <c r="K2687" s="13">
        <f>ROUND(tblTransactions[[#This Row],[gross_sales_inr]]*(1-tblTransactions[[#This Row],[discount_pct]]),2)</f>
        <v>1158.99</v>
      </c>
      <c r="L2687" t="str">
        <f>IF(ABS(tblTransactions[[#This Row],[net_sales_inr]]-tblTransactions[[#This Row],[Recalc_Net_Sales]])&lt;0.02,"OK","CHECK")</f>
        <v>OK</v>
      </c>
      <c r="M2687" s="14">
        <f>DATE(YEAR(tblTransactions[[#This Row],[date]]),MONTH(tblTransactions[[#This Row],[date]]),1)</f>
        <v>45717</v>
      </c>
      <c r="N2687" t="str">
        <f>IF(WEEKDAY(tblTransactions[[#This Row],[date]],2)&gt;5,"Weekend","Weekday")</f>
        <v>Weekend</v>
      </c>
      <c r="O268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87" s="13" t="str">
        <f>_xlfn.XLOOKUP(tblTransactions[[#This Row],[tenant_id]],tblTenants[tenant_id],tblTenants[zone],"NOT FOUND")</f>
        <v>Beauty &amp; Wellness</v>
      </c>
      <c r="Q2687" s="13" t="str">
        <f>_xlfn.XLOOKUP(tblTransactions[[#This Row],[tenant_id]],tblTenants[tenant_id],tblTenants[category],"NOT FOUND")</f>
        <v>Beauty</v>
      </c>
    </row>
    <row r="2688" spans="1:17">
      <c r="A2688" t="s">
        <v>2732</v>
      </c>
      <c r="B2688" s="2">
        <v>45821</v>
      </c>
      <c r="C2688">
        <v>21</v>
      </c>
      <c r="D2688" t="s">
        <v>41</v>
      </c>
      <c r="E2688" t="s">
        <v>12</v>
      </c>
      <c r="F2688" s="7">
        <v>817.96</v>
      </c>
      <c r="G2688" s="10">
        <v>0</v>
      </c>
      <c r="H2688" s="7">
        <v>817.96</v>
      </c>
      <c r="I2688">
        <v>2</v>
      </c>
      <c r="J2688" t="s">
        <v>16</v>
      </c>
      <c r="K2688" s="13">
        <f>ROUND(tblTransactions[[#This Row],[gross_sales_inr]]*(1-tblTransactions[[#This Row],[discount_pct]]),2)</f>
        <v>817.96</v>
      </c>
      <c r="L2688" t="str">
        <f>IF(ABS(tblTransactions[[#This Row],[net_sales_inr]]-tblTransactions[[#This Row],[Recalc_Net_Sales]])&lt;0.02,"OK","CHECK")</f>
        <v>OK</v>
      </c>
      <c r="M2688" s="14">
        <f>DATE(YEAR(tblTransactions[[#This Row],[date]]),MONTH(tblTransactions[[#This Row],[date]]),1)</f>
        <v>45809</v>
      </c>
      <c r="N2688" t="str">
        <f>IF(WEEKDAY(tblTransactions[[#This Row],[date]],2)&gt;5,"Weekend","Weekday")</f>
        <v>Weekday</v>
      </c>
      <c r="O2688" s="13" t="str">
        <f>IF(tblTransactions[[#This Row],[discount_pct]]=0,"0%",IF(tblTransactions[[#This Row],[discount_pct]]&lt;=10%,"1–
10%",IF(tblTransactions[[#This Row],[discount_pct]]&lt;=20%,"11–20%","&gt;20%")))</f>
        <v>0%</v>
      </c>
      <c r="P2688" s="13" t="str">
        <f>_xlfn.XLOOKUP(tblTransactions[[#This Row],[tenant_id]],tblTenants[tenant_id],tblTenants[zone],"NOT FOUND")</f>
        <v>Fashion Avenue</v>
      </c>
      <c r="Q2688" s="13" t="str">
        <f>_xlfn.XLOOKUP(tblTransactions[[#This Row],[tenant_id]],tblTenants[tenant_id],tblTenants[category],"NOT FOUND")</f>
        <v>Clothing</v>
      </c>
    </row>
    <row r="2689" spans="1:17">
      <c r="A2689" t="s">
        <v>2733</v>
      </c>
      <c r="B2689" s="2">
        <v>45755</v>
      </c>
      <c r="C2689">
        <v>13</v>
      </c>
      <c r="D2689" t="s">
        <v>23</v>
      </c>
      <c r="E2689" t="s">
        <v>21</v>
      </c>
      <c r="F2689" s="7">
        <v>1725.19</v>
      </c>
      <c r="G2689" s="10">
        <v>0.3</v>
      </c>
      <c r="H2689" s="7">
        <v>1207.6300000000001</v>
      </c>
      <c r="I2689">
        <v>1</v>
      </c>
      <c r="J2689" t="s">
        <v>13</v>
      </c>
      <c r="K2689" s="13">
        <f>ROUND(tblTransactions[[#This Row],[gross_sales_inr]]*(1-tblTransactions[[#This Row],[discount_pct]]),2)</f>
        <v>1207.6300000000001</v>
      </c>
      <c r="L2689" t="str">
        <f>IF(ABS(tblTransactions[[#This Row],[net_sales_inr]]-tblTransactions[[#This Row],[Recalc_Net_Sales]])&lt;0.02,"OK","CHECK")</f>
        <v>OK</v>
      </c>
      <c r="M2689" s="14">
        <f>DATE(YEAR(tblTransactions[[#This Row],[date]]),MONTH(tblTransactions[[#This Row],[date]]),1)</f>
        <v>45748</v>
      </c>
      <c r="N2689" t="str">
        <f>IF(WEEKDAY(tblTransactions[[#This Row],[date]],2)&gt;5,"Weekend","Weekday")</f>
        <v>Weekday</v>
      </c>
      <c r="O2689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689" s="13" t="str">
        <f>_xlfn.XLOOKUP(tblTransactions[[#This Row],[tenant_id]],tblTenants[tenant_id],tblTenants[zone],"NOT FOUND")</f>
        <v>Entertainment</v>
      </c>
      <c r="Q2689" s="13" t="str">
        <f>_xlfn.XLOOKUP(tblTransactions[[#This Row],[tenant_id]],tblTenants[tenant_id],tblTenants[category],"NOT FOUND")</f>
        <v>Cinema</v>
      </c>
    </row>
    <row r="2690" spans="1:17">
      <c r="A2690" t="s">
        <v>2734</v>
      </c>
      <c r="B2690" s="2">
        <v>45808</v>
      </c>
      <c r="C2690">
        <v>15</v>
      </c>
      <c r="D2690" t="s">
        <v>98</v>
      </c>
      <c r="E2690" t="s">
        <v>51</v>
      </c>
      <c r="F2690" s="7">
        <v>747.18</v>
      </c>
      <c r="G2690" s="10">
        <v>0.2</v>
      </c>
      <c r="H2690" s="7">
        <v>597.74</v>
      </c>
      <c r="I2690">
        <v>3</v>
      </c>
      <c r="J2690" t="s">
        <v>16</v>
      </c>
      <c r="K2690" s="13">
        <f>ROUND(tblTransactions[[#This Row],[gross_sales_inr]]*(1-tblTransactions[[#This Row],[discount_pct]]),2)</f>
        <v>597.74</v>
      </c>
      <c r="L2690" t="str">
        <f>IF(ABS(tblTransactions[[#This Row],[net_sales_inr]]-tblTransactions[[#This Row],[Recalc_Net_Sales]])&lt;0.02,"OK","CHECK")</f>
        <v>OK</v>
      </c>
      <c r="M2690" s="14">
        <f>DATE(YEAR(tblTransactions[[#This Row],[date]]),MONTH(tblTransactions[[#This Row],[date]]),1)</f>
        <v>45778</v>
      </c>
      <c r="N2690" t="str">
        <f>IF(WEEKDAY(tblTransactions[[#This Row],[date]],2)&gt;5,"Weekend","Weekday")</f>
        <v>Weekend</v>
      </c>
      <c r="O269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90" s="13" t="str">
        <f>_xlfn.XLOOKUP(tblTransactions[[#This Row],[tenant_id]],tblTenants[tenant_id],tblTenants[zone],"NOT FOUND")</f>
        <v>Fashion Avenue</v>
      </c>
      <c r="Q2690" s="13" t="str">
        <f>_xlfn.XLOOKUP(tblTransactions[[#This Row],[tenant_id]],tblTenants[tenant_id],tblTenants[category],"NOT FOUND")</f>
        <v>Accessories</v>
      </c>
    </row>
    <row r="2691" spans="1:17">
      <c r="A2691" t="s">
        <v>2735</v>
      </c>
      <c r="B2691" s="2">
        <v>45726</v>
      </c>
      <c r="C2691">
        <v>11</v>
      </c>
      <c r="D2691" t="s">
        <v>41</v>
      </c>
      <c r="E2691" t="s">
        <v>12</v>
      </c>
      <c r="F2691" s="7">
        <v>272.66000000000003</v>
      </c>
      <c r="G2691" s="10">
        <v>0.05</v>
      </c>
      <c r="H2691" s="7">
        <v>259.02999999999997</v>
      </c>
      <c r="I2691">
        <v>1</v>
      </c>
      <c r="J2691" t="s">
        <v>13</v>
      </c>
      <c r="K2691" s="13">
        <f>ROUND(tblTransactions[[#This Row],[gross_sales_inr]]*(1-tblTransactions[[#This Row],[discount_pct]]),2)</f>
        <v>259.02999999999997</v>
      </c>
      <c r="L2691" t="str">
        <f>IF(ABS(tblTransactions[[#This Row],[net_sales_inr]]-tblTransactions[[#This Row],[Recalc_Net_Sales]])&lt;0.02,"OK","CHECK")</f>
        <v>OK</v>
      </c>
      <c r="M2691" s="14">
        <f>DATE(YEAR(tblTransactions[[#This Row],[date]]),MONTH(tblTransactions[[#This Row],[date]]),1)</f>
        <v>45717</v>
      </c>
      <c r="N2691" t="str">
        <f>IF(WEEKDAY(tblTransactions[[#This Row],[date]],2)&gt;5,"Weekend","Weekday")</f>
        <v>Weekday</v>
      </c>
      <c r="O269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91" s="13" t="str">
        <f>_xlfn.XLOOKUP(tblTransactions[[#This Row],[tenant_id]],tblTenants[tenant_id],tblTenants[zone],"NOT FOUND")</f>
        <v>Fashion Avenue</v>
      </c>
      <c r="Q2691" s="13" t="str">
        <f>_xlfn.XLOOKUP(tblTransactions[[#This Row],[tenant_id]],tblTenants[tenant_id],tblTenants[category],"NOT FOUND")</f>
        <v>Clothing</v>
      </c>
    </row>
    <row r="2692" spans="1:17">
      <c r="A2692" t="s">
        <v>2736</v>
      </c>
      <c r="B2692" s="2">
        <v>45734</v>
      </c>
      <c r="C2692">
        <v>11</v>
      </c>
      <c r="D2692" t="s">
        <v>31</v>
      </c>
      <c r="E2692" t="s">
        <v>12</v>
      </c>
      <c r="F2692" s="7">
        <v>2737.01</v>
      </c>
      <c r="G2692" s="10">
        <v>0.1</v>
      </c>
      <c r="H2692" s="7">
        <v>2463.31</v>
      </c>
      <c r="I2692">
        <v>4</v>
      </c>
      <c r="J2692" t="s">
        <v>13</v>
      </c>
      <c r="K2692" s="13">
        <f>ROUND(tblTransactions[[#This Row],[gross_sales_inr]]*(1-tblTransactions[[#This Row],[discount_pct]]),2)</f>
        <v>2463.31</v>
      </c>
      <c r="L2692" t="str">
        <f>IF(ABS(tblTransactions[[#This Row],[net_sales_inr]]-tblTransactions[[#This Row],[Recalc_Net_Sales]])&lt;0.02,"OK","CHECK")</f>
        <v>OK</v>
      </c>
      <c r="M2692" s="14">
        <f>DATE(YEAR(tblTransactions[[#This Row],[date]]),MONTH(tblTransactions[[#This Row],[date]]),1)</f>
        <v>45717</v>
      </c>
      <c r="N2692" t="str">
        <f>IF(WEEKDAY(tblTransactions[[#This Row],[date]],2)&gt;5,"Weekend","Weekday")</f>
        <v>Weekday</v>
      </c>
      <c r="O269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92" s="13" t="str">
        <f>_xlfn.XLOOKUP(tblTransactions[[#This Row],[tenant_id]],tblTenants[tenant_id],tblTenants[zone],"NOT FOUND")</f>
        <v>Entertainment</v>
      </c>
      <c r="Q2692" s="13" t="str">
        <f>_xlfn.XLOOKUP(tblTransactions[[#This Row],[tenant_id]],tblTenants[tenant_id],tblTenants[category],"NOT FOUND")</f>
        <v>Arcade</v>
      </c>
    </row>
    <row r="2693" spans="1:17">
      <c r="A2693" t="s">
        <v>2737</v>
      </c>
      <c r="B2693" s="2">
        <v>45712</v>
      </c>
      <c r="C2693">
        <v>10</v>
      </c>
      <c r="D2693" t="s">
        <v>104</v>
      </c>
      <c r="E2693" t="s">
        <v>32</v>
      </c>
      <c r="F2693" s="7">
        <v>1623.59</v>
      </c>
      <c r="G2693" s="10">
        <v>0.2</v>
      </c>
      <c r="H2693" s="7">
        <v>1298.8699999999999</v>
      </c>
      <c r="I2693">
        <v>2</v>
      </c>
      <c r="J2693" t="s">
        <v>16</v>
      </c>
      <c r="K2693" s="13">
        <f>ROUND(tblTransactions[[#This Row],[gross_sales_inr]]*(1-tblTransactions[[#This Row],[discount_pct]]),2)</f>
        <v>1298.8699999999999</v>
      </c>
      <c r="L2693" t="str">
        <f>IF(ABS(tblTransactions[[#This Row],[net_sales_inr]]-tblTransactions[[#This Row],[Recalc_Net_Sales]])&lt;0.02,"OK","CHECK")</f>
        <v>OK</v>
      </c>
      <c r="M2693" s="14">
        <f>DATE(YEAR(tblTransactions[[#This Row],[date]]),MONTH(tblTransactions[[#This Row],[date]]),1)</f>
        <v>45689</v>
      </c>
      <c r="N2693" t="str">
        <f>IF(WEEKDAY(tblTransactions[[#This Row],[date]],2)&gt;5,"Weekend","Weekday")</f>
        <v>Weekday</v>
      </c>
      <c r="O269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693" s="13" t="str">
        <f>_xlfn.XLOOKUP(tblTransactions[[#This Row],[tenant_id]],tblTenants[tenant_id],tblTenants[zone],"NOT FOUND")</f>
        <v>Entertainment</v>
      </c>
      <c r="Q2693" s="13" t="str">
        <f>_xlfn.XLOOKUP(tblTransactions[[#This Row],[tenant_id]],tblTenants[tenant_id],tblTenants[category],"NOT FOUND")</f>
        <v>Family Entertainment</v>
      </c>
    </row>
    <row r="2694" spans="1:17">
      <c r="A2694" t="s">
        <v>2738</v>
      </c>
      <c r="B2694" s="2">
        <v>45802</v>
      </c>
      <c r="C2694">
        <v>17</v>
      </c>
      <c r="D2694" t="s">
        <v>122</v>
      </c>
      <c r="E2694" t="s">
        <v>21</v>
      </c>
      <c r="F2694" s="7">
        <v>1558.28</v>
      </c>
      <c r="G2694" s="10">
        <v>0</v>
      </c>
      <c r="H2694" s="7">
        <v>1558.28</v>
      </c>
      <c r="I2694">
        <v>1</v>
      </c>
      <c r="J2694" t="s">
        <v>13</v>
      </c>
      <c r="K2694" s="13">
        <f>ROUND(tblTransactions[[#This Row],[gross_sales_inr]]*(1-tblTransactions[[#This Row],[discount_pct]]),2)</f>
        <v>1558.28</v>
      </c>
      <c r="L2694" t="str">
        <f>IF(ABS(tblTransactions[[#This Row],[net_sales_inr]]-tblTransactions[[#This Row],[Recalc_Net_Sales]])&lt;0.02,"OK","CHECK")</f>
        <v>OK</v>
      </c>
      <c r="M2694" s="14">
        <f>DATE(YEAR(tblTransactions[[#This Row],[date]]),MONTH(tblTransactions[[#This Row],[date]]),1)</f>
        <v>45778</v>
      </c>
      <c r="N2694" t="str">
        <f>IF(WEEKDAY(tblTransactions[[#This Row],[date]],2)&gt;5,"Weekend","Weekday")</f>
        <v>Weekend</v>
      </c>
      <c r="O2694" s="13" t="str">
        <f>IF(tblTransactions[[#This Row],[discount_pct]]=0,"0%",IF(tblTransactions[[#This Row],[discount_pct]]&lt;=10%,"1–
10%",IF(tblTransactions[[#This Row],[discount_pct]]&lt;=20%,"11–20%","&gt;20%")))</f>
        <v>0%</v>
      </c>
      <c r="P2694" s="13" t="str">
        <f>_xlfn.XLOOKUP(tblTransactions[[#This Row],[tenant_id]],tblTenants[tenant_id],tblTenants[zone],"NOT FOUND")</f>
        <v>Beauty &amp; Wellness</v>
      </c>
      <c r="Q2694" s="13" t="str">
        <f>_xlfn.XLOOKUP(tblTransactions[[#This Row],[tenant_id]],tblTenants[tenant_id],tblTenants[category],"NOT FOUND")</f>
        <v>Wellness</v>
      </c>
    </row>
    <row r="2695" spans="1:17">
      <c r="A2695" t="s">
        <v>2739</v>
      </c>
      <c r="B2695" s="2">
        <v>45837</v>
      </c>
      <c r="C2695">
        <v>18</v>
      </c>
      <c r="D2695" t="s">
        <v>48</v>
      </c>
      <c r="E2695" t="s">
        <v>21</v>
      </c>
      <c r="F2695" s="7">
        <v>736.06</v>
      </c>
      <c r="G2695" s="10">
        <v>0</v>
      </c>
      <c r="H2695" s="7">
        <v>736.06</v>
      </c>
      <c r="I2695">
        <v>2</v>
      </c>
      <c r="J2695" t="s">
        <v>13</v>
      </c>
      <c r="K2695" s="13">
        <f>ROUND(tblTransactions[[#This Row],[gross_sales_inr]]*(1-tblTransactions[[#This Row],[discount_pct]]),2)</f>
        <v>736.06</v>
      </c>
      <c r="L2695" t="str">
        <f>IF(ABS(tblTransactions[[#This Row],[net_sales_inr]]-tblTransactions[[#This Row],[Recalc_Net_Sales]])&lt;0.02,"OK","CHECK")</f>
        <v>OK</v>
      </c>
      <c r="M2695" s="14">
        <f>DATE(YEAR(tblTransactions[[#This Row],[date]]),MONTH(tblTransactions[[#This Row],[date]]),1)</f>
        <v>45809</v>
      </c>
      <c r="N2695" t="str">
        <f>IF(WEEKDAY(tblTransactions[[#This Row],[date]],2)&gt;5,"Weekend","Weekday")</f>
        <v>Weekend</v>
      </c>
      <c r="O2695" s="13" t="str">
        <f>IF(tblTransactions[[#This Row],[discount_pct]]=0,"0%",IF(tblTransactions[[#This Row],[discount_pct]]&lt;=10%,"1–
10%",IF(tblTransactions[[#This Row],[discount_pct]]&lt;=20%,"11–20%","&gt;20%")))</f>
        <v>0%</v>
      </c>
      <c r="P2695" s="13" t="str">
        <f>_xlfn.XLOOKUP(tblTransactions[[#This Row],[tenant_id]],tblTenants[tenant_id],tblTenants[zone],"NOT FOUND")</f>
        <v>Beauty &amp; Wellness</v>
      </c>
      <c r="Q2695" s="13" t="str">
        <f>_xlfn.XLOOKUP(tblTransactions[[#This Row],[tenant_id]],tblTenants[tenant_id],tblTenants[category],"NOT FOUND")</f>
        <v>Wellness</v>
      </c>
    </row>
    <row r="2696" spans="1:17">
      <c r="A2696" t="s">
        <v>2740</v>
      </c>
      <c r="B2696" s="2">
        <v>45832</v>
      </c>
      <c r="C2696">
        <v>18</v>
      </c>
      <c r="D2696" t="s">
        <v>36</v>
      </c>
      <c r="E2696" t="s">
        <v>12</v>
      </c>
      <c r="F2696" s="7">
        <v>1147.17</v>
      </c>
      <c r="G2696" s="10">
        <v>0.3</v>
      </c>
      <c r="H2696" s="7">
        <v>803.02</v>
      </c>
      <c r="I2696">
        <v>4</v>
      </c>
      <c r="J2696" t="s">
        <v>16</v>
      </c>
      <c r="K2696" s="13">
        <f>ROUND(tblTransactions[[#This Row],[gross_sales_inr]]*(1-tblTransactions[[#This Row],[discount_pct]]),2)</f>
        <v>803.02</v>
      </c>
      <c r="L2696" t="str">
        <f>IF(ABS(tblTransactions[[#This Row],[net_sales_inr]]-tblTransactions[[#This Row],[Recalc_Net_Sales]])&lt;0.02,"OK","CHECK")</f>
        <v>OK</v>
      </c>
      <c r="M2696" s="14">
        <f>DATE(YEAR(tblTransactions[[#This Row],[date]]),MONTH(tblTransactions[[#This Row],[date]]),1)</f>
        <v>45809</v>
      </c>
      <c r="N2696" t="str">
        <f>IF(WEEKDAY(tblTransactions[[#This Row],[date]],2)&gt;5,"Weekend","Weekday")</f>
        <v>Weekday</v>
      </c>
      <c r="O2696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696" s="13" t="str">
        <f>_xlfn.XLOOKUP(tblTransactions[[#This Row],[tenant_id]],tblTenants[tenant_id],tblTenants[zone],"NOT FOUND")</f>
        <v>Home &amp; Living</v>
      </c>
      <c r="Q2696" s="13" t="str">
        <f>_xlfn.XLOOKUP(tblTransactions[[#This Row],[tenant_id]],tblTenants[tenant_id],tblTenants[category],"NOT FOUND")</f>
        <v>Electronics</v>
      </c>
    </row>
    <row r="2697" spans="1:17">
      <c r="A2697" t="s">
        <v>2741</v>
      </c>
      <c r="B2697" s="2">
        <v>45747</v>
      </c>
      <c r="C2697">
        <v>21</v>
      </c>
      <c r="D2697" t="s">
        <v>57</v>
      </c>
      <c r="E2697" t="s">
        <v>32</v>
      </c>
      <c r="F2697" s="7">
        <v>1230.8699999999999</v>
      </c>
      <c r="G2697" s="10">
        <v>0</v>
      </c>
      <c r="H2697" s="7">
        <v>1230.8699999999999</v>
      </c>
      <c r="I2697">
        <v>6</v>
      </c>
      <c r="J2697" t="s">
        <v>13</v>
      </c>
      <c r="K2697" s="13">
        <f>ROUND(tblTransactions[[#This Row],[gross_sales_inr]]*(1-tblTransactions[[#This Row],[discount_pct]]),2)</f>
        <v>1230.8699999999999</v>
      </c>
      <c r="L2697" t="str">
        <f>IF(ABS(tblTransactions[[#This Row],[net_sales_inr]]-tblTransactions[[#This Row],[Recalc_Net_Sales]])&lt;0.02,"OK","CHECK")</f>
        <v>OK</v>
      </c>
      <c r="M2697" s="14">
        <f>DATE(YEAR(tblTransactions[[#This Row],[date]]),MONTH(tblTransactions[[#This Row],[date]]),1)</f>
        <v>45717</v>
      </c>
      <c r="N2697" t="str">
        <f>IF(WEEKDAY(tblTransactions[[#This Row],[date]],2)&gt;5,"Weekend","Weekday")</f>
        <v>Weekday</v>
      </c>
      <c r="O2697" s="13" t="str">
        <f>IF(tblTransactions[[#This Row],[discount_pct]]=0,"0%",IF(tblTransactions[[#This Row],[discount_pct]]&lt;=10%,"1–
10%",IF(tblTransactions[[#This Row],[discount_pct]]&lt;=20%,"11–20%","&gt;20%")))</f>
        <v>0%</v>
      </c>
      <c r="P2697" s="13" t="str">
        <f>_xlfn.XLOOKUP(tblTransactions[[#This Row],[tenant_id]],tblTenants[tenant_id],tblTenants[zone],"NOT FOUND")</f>
        <v>Food Court</v>
      </c>
      <c r="Q2697" s="13" t="str">
        <f>_xlfn.XLOOKUP(tblTransactions[[#This Row],[tenant_id]],tblTenants[tenant_id],tblTenants[category],"NOT FOUND")</f>
        <v>Casual Dining</v>
      </c>
    </row>
    <row r="2698" spans="1:17">
      <c r="A2698" t="s">
        <v>2742</v>
      </c>
      <c r="B2698" s="2">
        <v>45668</v>
      </c>
      <c r="C2698">
        <v>21</v>
      </c>
      <c r="D2698" t="s">
        <v>20</v>
      </c>
      <c r="E2698" t="s">
        <v>32</v>
      </c>
      <c r="F2698" s="7">
        <v>658.23</v>
      </c>
      <c r="G2698" s="10">
        <v>0.1</v>
      </c>
      <c r="H2698" s="7">
        <v>592.41</v>
      </c>
      <c r="I2698">
        <v>2</v>
      </c>
      <c r="J2698" t="s">
        <v>16</v>
      </c>
      <c r="K2698" s="13">
        <f>ROUND(tblTransactions[[#This Row],[gross_sales_inr]]*(1-tblTransactions[[#This Row],[discount_pct]]),2)</f>
        <v>592.41</v>
      </c>
      <c r="L2698" t="str">
        <f>IF(ABS(tblTransactions[[#This Row],[net_sales_inr]]-tblTransactions[[#This Row],[Recalc_Net_Sales]])&lt;0.02,"OK","CHECK")</f>
        <v>OK</v>
      </c>
      <c r="M2698" s="14">
        <f>DATE(YEAR(tblTransactions[[#This Row],[date]]),MONTH(tblTransactions[[#This Row],[date]]),1)</f>
        <v>45658</v>
      </c>
      <c r="N2698" t="str">
        <f>IF(WEEKDAY(tblTransactions[[#This Row],[date]],2)&gt;5,"Weekend","Weekday")</f>
        <v>Weekend</v>
      </c>
      <c r="O269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698" s="13" t="str">
        <f>_xlfn.XLOOKUP(tblTransactions[[#This Row],[tenant_id]],tblTenants[tenant_id],tblTenants[zone],"NOT FOUND")</f>
        <v>Fashion Avenue</v>
      </c>
      <c r="Q2698" s="13" t="str">
        <f>_xlfn.XLOOKUP(tblTransactions[[#This Row],[tenant_id]],tblTenants[tenant_id],tblTenants[category],"NOT FOUND")</f>
        <v>Accessories</v>
      </c>
    </row>
    <row r="2699" spans="1:17">
      <c r="A2699" t="s">
        <v>2743</v>
      </c>
      <c r="B2699" s="2">
        <v>45694</v>
      </c>
      <c r="C2699">
        <v>15</v>
      </c>
      <c r="D2699" t="s">
        <v>85</v>
      </c>
      <c r="E2699" t="s">
        <v>12</v>
      </c>
      <c r="F2699" s="7">
        <v>389.31</v>
      </c>
      <c r="G2699" s="10">
        <v>0</v>
      </c>
      <c r="H2699" s="7">
        <v>389.31</v>
      </c>
      <c r="I2699">
        <v>1</v>
      </c>
      <c r="J2699" t="s">
        <v>16</v>
      </c>
      <c r="K2699" s="13">
        <f>ROUND(tblTransactions[[#This Row],[gross_sales_inr]]*(1-tblTransactions[[#This Row],[discount_pct]]),2)</f>
        <v>389.31</v>
      </c>
      <c r="L2699" t="str">
        <f>IF(ABS(tblTransactions[[#This Row],[net_sales_inr]]-tblTransactions[[#This Row],[Recalc_Net_Sales]])&lt;0.02,"OK","CHECK")</f>
        <v>OK</v>
      </c>
      <c r="M2699" s="14">
        <f>DATE(YEAR(tblTransactions[[#This Row],[date]]),MONTH(tblTransactions[[#This Row],[date]]),1)</f>
        <v>45689</v>
      </c>
      <c r="N2699" t="str">
        <f>IF(WEEKDAY(tblTransactions[[#This Row],[date]],2)&gt;5,"Weekend","Weekday")</f>
        <v>Weekday</v>
      </c>
      <c r="O2699" s="13" t="str">
        <f>IF(tblTransactions[[#This Row],[discount_pct]]=0,"0%",IF(tblTransactions[[#This Row],[discount_pct]]&lt;=10%,"1–
10%",IF(tblTransactions[[#This Row],[discount_pct]]&lt;=20%,"11–20%","&gt;20%")))</f>
        <v>0%</v>
      </c>
      <c r="P2699" s="13" t="str">
        <f>_xlfn.XLOOKUP(tblTransactions[[#This Row],[tenant_id]],tblTenants[tenant_id],tblTenants[zone],"NOT FOUND")</f>
        <v>Home &amp; Living</v>
      </c>
      <c r="Q2699" s="13" t="str">
        <f>_xlfn.XLOOKUP(tblTransactions[[#This Row],[tenant_id]],tblTenants[tenant_id],tblTenants[category],"NOT FOUND")</f>
        <v>Electronics</v>
      </c>
    </row>
    <row r="2700" spans="1:17">
      <c r="A2700" t="s">
        <v>2744</v>
      </c>
      <c r="B2700" s="2">
        <v>45779</v>
      </c>
      <c r="C2700">
        <v>17</v>
      </c>
      <c r="D2700" t="s">
        <v>53</v>
      </c>
      <c r="E2700" t="s">
        <v>12</v>
      </c>
      <c r="F2700" s="7">
        <v>1716.59</v>
      </c>
      <c r="G2700" s="10">
        <v>0</v>
      </c>
      <c r="H2700" s="7">
        <v>1716.59</v>
      </c>
      <c r="I2700">
        <v>2</v>
      </c>
      <c r="J2700" t="s">
        <v>13</v>
      </c>
      <c r="K2700" s="13">
        <f>ROUND(tblTransactions[[#This Row],[gross_sales_inr]]*(1-tblTransactions[[#This Row],[discount_pct]]),2)</f>
        <v>1716.59</v>
      </c>
      <c r="L2700" t="str">
        <f>IF(ABS(tblTransactions[[#This Row],[net_sales_inr]]-tblTransactions[[#This Row],[Recalc_Net_Sales]])&lt;0.02,"OK","CHECK")</f>
        <v>OK</v>
      </c>
      <c r="M2700" s="14">
        <f>DATE(YEAR(tblTransactions[[#This Row],[date]]),MONTH(tblTransactions[[#This Row],[date]]),1)</f>
        <v>45778</v>
      </c>
      <c r="N2700" t="str">
        <f>IF(WEEKDAY(tblTransactions[[#This Row],[date]],2)&gt;5,"Weekend","Weekday")</f>
        <v>Weekday</v>
      </c>
      <c r="O2700" s="13" t="str">
        <f>IF(tblTransactions[[#This Row],[discount_pct]]=0,"0%",IF(tblTransactions[[#This Row],[discount_pct]]&lt;=10%,"1–
10%",IF(tblTransactions[[#This Row],[discount_pct]]&lt;=20%,"11–20%","&gt;20%")))</f>
        <v>0%</v>
      </c>
      <c r="P2700" s="13" t="str">
        <f>_xlfn.XLOOKUP(tblTransactions[[#This Row],[tenant_id]],tblTenants[tenant_id],tblTenants[zone],"NOT FOUND")</f>
        <v>Beauty &amp; Wellness</v>
      </c>
      <c r="Q2700" s="13" t="str">
        <f>_xlfn.XLOOKUP(tblTransactions[[#This Row],[tenant_id]],tblTenants[tenant_id],tblTenants[category],"NOT FOUND")</f>
        <v>Beauty</v>
      </c>
    </row>
    <row r="2701" spans="1:17">
      <c r="A2701" t="s">
        <v>2745</v>
      </c>
      <c r="B2701" s="2">
        <v>45831</v>
      </c>
      <c r="C2701">
        <v>20</v>
      </c>
      <c r="D2701" t="s">
        <v>59</v>
      </c>
      <c r="E2701" t="s">
        <v>32</v>
      </c>
      <c r="F2701" s="7">
        <v>614.19000000000005</v>
      </c>
      <c r="G2701" s="10">
        <v>0.1</v>
      </c>
      <c r="H2701" s="7">
        <v>552.77</v>
      </c>
      <c r="I2701">
        <v>3</v>
      </c>
      <c r="J2701" t="s">
        <v>16</v>
      </c>
      <c r="K2701" s="13">
        <f>ROUND(tblTransactions[[#This Row],[gross_sales_inr]]*(1-tblTransactions[[#This Row],[discount_pct]]),2)</f>
        <v>552.77</v>
      </c>
      <c r="L2701" t="str">
        <f>IF(ABS(tblTransactions[[#This Row],[net_sales_inr]]-tblTransactions[[#This Row],[Recalc_Net_Sales]])&lt;0.02,"OK","CHECK")</f>
        <v>OK</v>
      </c>
      <c r="M2701" s="14">
        <f>DATE(YEAR(tblTransactions[[#This Row],[date]]),MONTH(tblTransactions[[#This Row],[date]]),1)</f>
        <v>45809</v>
      </c>
      <c r="N2701" t="str">
        <f>IF(WEEKDAY(tblTransactions[[#This Row],[date]],2)&gt;5,"Weekend","Weekday")</f>
        <v>Weekday</v>
      </c>
      <c r="O270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01" s="13" t="str">
        <f>_xlfn.XLOOKUP(tblTransactions[[#This Row],[tenant_id]],tblTenants[tenant_id],tblTenants[zone],"NOT FOUND")</f>
        <v>Fashion Avenue</v>
      </c>
      <c r="Q2701" s="13" t="str">
        <f>_xlfn.XLOOKUP(tblTransactions[[#This Row],[tenant_id]],tblTenants[tenant_id],tblTenants[category],"NOT FOUND")</f>
        <v>Footwear</v>
      </c>
    </row>
    <row r="2702" spans="1:17">
      <c r="A2702" t="s">
        <v>2746</v>
      </c>
      <c r="B2702" s="2">
        <v>45719</v>
      </c>
      <c r="C2702">
        <v>11</v>
      </c>
      <c r="D2702" t="s">
        <v>18</v>
      </c>
      <c r="E2702" t="s">
        <v>21</v>
      </c>
      <c r="F2702" s="7">
        <v>535.80999999999995</v>
      </c>
      <c r="G2702" s="10">
        <v>0.1</v>
      </c>
      <c r="H2702" s="7">
        <v>482.23</v>
      </c>
      <c r="I2702">
        <v>4</v>
      </c>
      <c r="J2702" t="s">
        <v>16</v>
      </c>
      <c r="K2702" s="13">
        <f>ROUND(tblTransactions[[#This Row],[gross_sales_inr]]*(1-tblTransactions[[#This Row],[discount_pct]]),2)</f>
        <v>482.23</v>
      </c>
      <c r="L2702" t="str">
        <f>IF(ABS(tblTransactions[[#This Row],[net_sales_inr]]-tblTransactions[[#This Row],[Recalc_Net_Sales]])&lt;0.02,"OK","CHECK")</f>
        <v>OK</v>
      </c>
      <c r="M2702" s="14">
        <f>DATE(YEAR(tblTransactions[[#This Row],[date]]),MONTH(tblTransactions[[#This Row],[date]]),1)</f>
        <v>45717</v>
      </c>
      <c r="N2702" t="str">
        <f>IF(WEEKDAY(tblTransactions[[#This Row],[date]],2)&gt;5,"Weekend","Weekday")</f>
        <v>Weekday</v>
      </c>
      <c r="O270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02" s="13" t="str">
        <f>_xlfn.XLOOKUP(tblTransactions[[#This Row],[tenant_id]],tblTenants[tenant_id],tblTenants[zone],"NOT FOUND")</f>
        <v>Beauty &amp; Wellness</v>
      </c>
      <c r="Q2702" s="13" t="str">
        <f>_xlfn.XLOOKUP(tblTransactions[[#This Row],[tenant_id]],tblTenants[tenant_id],tblTenants[category],"NOT FOUND")</f>
        <v>Beauty</v>
      </c>
    </row>
    <row r="2703" spans="1:17">
      <c r="A2703" t="s">
        <v>2747</v>
      </c>
      <c r="B2703" s="2">
        <v>45827</v>
      </c>
      <c r="C2703">
        <v>10</v>
      </c>
      <c r="D2703" t="s">
        <v>204</v>
      </c>
      <c r="E2703" t="s">
        <v>32</v>
      </c>
      <c r="F2703" s="7">
        <v>557.99</v>
      </c>
      <c r="G2703" s="10">
        <v>0</v>
      </c>
      <c r="H2703" s="7">
        <v>557.99</v>
      </c>
      <c r="I2703">
        <v>3</v>
      </c>
      <c r="J2703" t="s">
        <v>13</v>
      </c>
      <c r="K2703" s="13">
        <f>ROUND(tblTransactions[[#This Row],[gross_sales_inr]]*(1-tblTransactions[[#This Row],[discount_pct]]),2)</f>
        <v>557.99</v>
      </c>
      <c r="L2703" t="str">
        <f>IF(ABS(tblTransactions[[#This Row],[net_sales_inr]]-tblTransactions[[#This Row],[Recalc_Net_Sales]])&lt;0.02,"OK","CHECK")</f>
        <v>OK</v>
      </c>
      <c r="M2703" s="14">
        <f>DATE(YEAR(tblTransactions[[#This Row],[date]]),MONTH(tblTransactions[[#This Row],[date]]),1)</f>
        <v>45809</v>
      </c>
      <c r="N2703" t="str">
        <f>IF(WEEKDAY(tblTransactions[[#This Row],[date]],2)&gt;5,"Weekend","Weekday")</f>
        <v>Weekday</v>
      </c>
      <c r="O2703" s="13" t="str">
        <f>IF(tblTransactions[[#This Row],[discount_pct]]=0,"0%",IF(tblTransactions[[#This Row],[discount_pct]]&lt;=10%,"1–
10%",IF(tblTransactions[[#This Row],[discount_pct]]&lt;=20%,"11–20%","&gt;20%")))</f>
        <v>0%</v>
      </c>
      <c r="P2703" s="13" t="str">
        <f>_xlfn.XLOOKUP(tblTransactions[[#This Row],[tenant_id]],tblTenants[tenant_id],tblTenants[zone],"NOT FOUND")</f>
        <v>Home &amp; Living</v>
      </c>
      <c r="Q2703" s="13" t="str">
        <f>_xlfn.XLOOKUP(tblTransactions[[#This Row],[tenant_id]],tblTenants[tenant_id],tblTenants[category],"NOT FOUND")</f>
        <v>Home Decor</v>
      </c>
    </row>
    <row r="2704" spans="1:17">
      <c r="A2704" t="s">
        <v>2748</v>
      </c>
      <c r="B2704" s="2">
        <v>45680</v>
      </c>
      <c r="C2704">
        <v>17</v>
      </c>
      <c r="D2704" t="s">
        <v>98</v>
      </c>
      <c r="E2704" t="s">
        <v>32</v>
      </c>
      <c r="F2704" s="7">
        <v>939.96</v>
      </c>
      <c r="G2704" s="10">
        <v>0.1</v>
      </c>
      <c r="H2704" s="7">
        <v>845.96</v>
      </c>
      <c r="I2704">
        <v>1</v>
      </c>
      <c r="J2704" t="s">
        <v>13</v>
      </c>
      <c r="K2704" s="13">
        <f>ROUND(tblTransactions[[#This Row],[gross_sales_inr]]*(1-tblTransactions[[#This Row],[discount_pct]]),2)</f>
        <v>845.96</v>
      </c>
      <c r="L2704" t="str">
        <f>IF(ABS(tblTransactions[[#This Row],[net_sales_inr]]-tblTransactions[[#This Row],[Recalc_Net_Sales]])&lt;0.02,"OK","CHECK")</f>
        <v>OK</v>
      </c>
      <c r="M2704" s="14">
        <f>DATE(YEAR(tblTransactions[[#This Row],[date]]),MONTH(tblTransactions[[#This Row],[date]]),1)</f>
        <v>45658</v>
      </c>
      <c r="N2704" t="str">
        <f>IF(WEEKDAY(tblTransactions[[#This Row],[date]],2)&gt;5,"Weekend","Weekday")</f>
        <v>Weekday</v>
      </c>
      <c r="O270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04" s="13" t="str">
        <f>_xlfn.XLOOKUP(tblTransactions[[#This Row],[tenant_id]],tblTenants[tenant_id],tblTenants[zone],"NOT FOUND")</f>
        <v>Fashion Avenue</v>
      </c>
      <c r="Q2704" s="13" t="str">
        <f>_xlfn.XLOOKUP(tblTransactions[[#This Row],[tenant_id]],tblTenants[tenant_id],tblTenants[category],"NOT FOUND")</f>
        <v>Accessories</v>
      </c>
    </row>
    <row r="2705" spans="1:17">
      <c r="A2705" t="s">
        <v>2749</v>
      </c>
      <c r="B2705" s="2">
        <v>45750</v>
      </c>
      <c r="C2705">
        <v>10</v>
      </c>
      <c r="D2705" t="s">
        <v>98</v>
      </c>
      <c r="E2705" t="s">
        <v>12</v>
      </c>
      <c r="F2705" s="7">
        <v>619</v>
      </c>
      <c r="G2705" s="10">
        <v>0</v>
      </c>
      <c r="H2705" s="7">
        <v>619</v>
      </c>
      <c r="I2705">
        <v>1</v>
      </c>
      <c r="J2705" t="s">
        <v>16</v>
      </c>
      <c r="K2705" s="13">
        <f>ROUND(tblTransactions[[#This Row],[gross_sales_inr]]*(1-tblTransactions[[#This Row],[discount_pct]]),2)</f>
        <v>619</v>
      </c>
      <c r="L2705" t="str">
        <f>IF(ABS(tblTransactions[[#This Row],[net_sales_inr]]-tblTransactions[[#This Row],[Recalc_Net_Sales]])&lt;0.02,"OK","CHECK")</f>
        <v>OK</v>
      </c>
      <c r="M2705" s="14">
        <f>DATE(YEAR(tblTransactions[[#This Row],[date]]),MONTH(tblTransactions[[#This Row],[date]]),1)</f>
        <v>45748</v>
      </c>
      <c r="N2705" t="str">
        <f>IF(WEEKDAY(tblTransactions[[#This Row],[date]],2)&gt;5,"Weekend","Weekday")</f>
        <v>Weekday</v>
      </c>
      <c r="O2705" s="13" t="str">
        <f>IF(tblTransactions[[#This Row],[discount_pct]]=0,"0%",IF(tblTransactions[[#This Row],[discount_pct]]&lt;=10%,"1–
10%",IF(tblTransactions[[#This Row],[discount_pct]]&lt;=20%,"11–20%","&gt;20%")))</f>
        <v>0%</v>
      </c>
      <c r="P2705" s="13" t="str">
        <f>_xlfn.XLOOKUP(tblTransactions[[#This Row],[tenant_id]],tblTenants[tenant_id],tblTenants[zone],"NOT FOUND")</f>
        <v>Fashion Avenue</v>
      </c>
      <c r="Q2705" s="13" t="str">
        <f>_xlfn.XLOOKUP(tblTransactions[[#This Row],[tenant_id]],tblTenants[tenant_id],tblTenants[category],"NOT FOUND")</f>
        <v>Accessories</v>
      </c>
    </row>
    <row r="2706" spans="1:17">
      <c r="A2706" t="s">
        <v>2750</v>
      </c>
      <c r="B2706" s="2">
        <v>45826</v>
      </c>
      <c r="C2706">
        <v>13</v>
      </c>
      <c r="D2706" t="s">
        <v>70</v>
      </c>
      <c r="E2706" t="s">
        <v>32</v>
      </c>
      <c r="F2706" s="7">
        <v>571.91999999999996</v>
      </c>
      <c r="G2706" s="10">
        <v>0</v>
      </c>
      <c r="H2706" s="7">
        <v>571.91999999999996</v>
      </c>
      <c r="I2706">
        <v>1</v>
      </c>
      <c r="J2706" t="s">
        <v>13</v>
      </c>
      <c r="K2706" s="13">
        <f>ROUND(tblTransactions[[#This Row],[gross_sales_inr]]*(1-tblTransactions[[#This Row],[discount_pct]]),2)</f>
        <v>571.91999999999996</v>
      </c>
      <c r="L2706" t="str">
        <f>IF(ABS(tblTransactions[[#This Row],[net_sales_inr]]-tblTransactions[[#This Row],[Recalc_Net_Sales]])&lt;0.02,"OK","CHECK")</f>
        <v>OK</v>
      </c>
      <c r="M2706" s="14">
        <f>DATE(YEAR(tblTransactions[[#This Row],[date]]),MONTH(tblTransactions[[#This Row],[date]]),1)</f>
        <v>45809</v>
      </c>
      <c r="N2706" t="str">
        <f>IF(WEEKDAY(tblTransactions[[#This Row],[date]],2)&gt;5,"Weekend","Weekday")</f>
        <v>Weekday</v>
      </c>
      <c r="O2706" s="13" t="str">
        <f>IF(tblTransactions[[#This Row],[discount_pct]]=0,"0%",IF(tblTransactions[[#This Row],[discount_pct]]&lt;=10%,"1–
10%",IF(tblTransactions[[#This Row],[discount_pct]]&lt;=20%,"11–20%","&gt;20%")))</f>
        <v>0%</v>
      </c>
      <c r="P2706" s="13" t="str">
        <f>_xlfn.XLOOKUP(tblTransactions[[#This Row],[tenant_id]],tblTenants[tenant_id],tblTenants[zone],"NOT FOUND")</f>
        <v>Food Court</v>
      </c>
      <c r="Q2706" s="13" t="str">
        <f>_xlfn.XLOOKUP(tblTransactions[[#This Row],[tenant_id]],tblTenants[tenant_id],tblTenants[category],"NOT FOUND")</f>
        <v>Quick Service</v>
      </c>
    </row>
    <row r="2707" spans="1:17">
      <c r="A2707" t="s">
        <v>2751</v>
      </c>
      <c r="B2707" s="2">
        <v>45668</v>
      </c>
      <c r="C2707">
        <v>11</v>
      </c>
      <c r="D2707" t="s">
        <v>48</v>
      </c>
      <c r="E2707" t="s">
        <v>12</v>
      </c>
      <c r="F2707" s="7">
        <v>1991.97</v>
      </c>
      <c r="G2707" s="10">
        <v>0.3</v>
      </c>
      <c r="H2707" s="7">
        <v>1394.38</v>
      </c>
      <c r="I2707">
        <v>5</v>
      </c>
      <c r="J2707" t="s">
        <v>13</v>
      </c>
      <c r="K2707" s="13">
        <f>ROUND(tblTransactions[[#This Row],[gross_sales_inr]]*(1-tblTransactions[[#This Row],[discount_pct]]),2)</f>
        <v>1394.38</v>
      </c>
      <c r="L2707" t="str">
        <f>IF(ABS(tblTransactions[[#This Row],[net_sales_inr]]-tblTransactions[[#This Row],[Recalc_Net_Sales]])&lt;0.02,"OK","CHECK")</f>
        <v>OK</v>
      </c>
      <c r="M2707" s="14">
        <f>DATE(YEAR(tblTransactions[[#This Row],[date]]),MONTH(tblTransactions[[#This Row],[date]]),1)</f>
        <v>45658</v>
      </c>
      <c r="N2707" t="str">
        <f>IF(WEEKDAY(tblTransactions[[#This Row],[date]],2)&gt;5,"Weekend","Weekday")</f>
        <v>Weekend</v>
      </c>
      <c r="O270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707" s="13" t="str">
        <f>_xlfn.XLOOKUP(tblTransactions[[#This Row],[tenant_id]],tblTenants[tenant_id],tblTenants[zone],"NOT FOUND")</f>
        <v>Beauty &amp; Wellness</v>
      </c>
      <c r="Q2707" s="13" t="str">
        <f>_xlfn.XLOOKUP(tblTransactions[[#This Row],[tenant_id]],tblTenants[tenant_id],tblTenants[category],"NOT FOUND")</f>
        <v>Wellness</v>
      </c>
    </row>
    <row r="2708" spans="1:17">
      <c r="A2708" t="s">
        <v>2752</v>
      </c>
      <c r="B2708" s="2">
        <v>45797</v>
      </c>
      <c r="C2708">
        <v>13</v>
      </c>
      <c r="D2708" t="s">
        <v>53</v>
      </c>
      <c r="E2708" t="s">
        <v>21</v>
      </c>
      <c r="F2708" s="7">
        <v>679.11</v>
      </c>
      <c r="G2708" s="10">
        <v>0.2</v>
      </c>
      <c r="H2708" s="7">
        <v>543.29</v>
      </c>
      <c r="I2708">
        <v>1</v>
      </c>
      <c r="J2708" t="s">
        <v>13</v>
      </c>
      <c r="K2708" s="13">
        <f>ROUND(tblTransactions[[#This Row],[gross_sales_inr]]*(1-tblTransactions[[#This Row],[discount_pct]]),2)</f>
        <v>543.29</v>
      </c>
      <c r="L2708" t="str">
        <f>IF(ABS(tblTransactions[[#This Row],[net_sales_inr]]-tblTransactions[[#This Row],[Recalc_Net_Sales]])&lt;0.02,"OK","CHECK")</f>
        <v>OK</v>
      </c>
      <c r="M2708" s="14">
        <f>DATE(YEAR(tblTransactions[[#This Row],[date]]),MONTH(tblTransactions[[#This Row],[date]]),1)</f>
        <v>45778</v>
      </c>
      <c r="N2708" t="str">
        <f>IF(WEEKDAY(tblTransactions[[#This Row],[date]],2)&gt;5,"Weekend","Weekday")</f>
        <v>Weekday</v>
      </c>
      <c r="O270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08" s="13" t="str">
        <f>_xlfn.XLOOKUP(tblTransactions[[#This Row],[tenant_id]],tblTenants[tenant_id],tblTenants[zone],"NOT FOUND")</f>
        <v>Beauty &amp; Wellness</v>
      </c>
      <c r="Q2708" s="13" t="str">
        <f>_xlfn.XLOOKUP(tblTransactions[[#This Row],[tenant_id]],tblTenants[tenant_id],tblTenants[category],"NOT FOUND")</f>
        <v>Beauty</v>
      </c>
    </row>
    <row r="2709" spans="1:17">
      <c r="A2709" t="s">
        <v>2753</v>
      </c>
      <c r="B2709" s="2">
        <v>45765</v>
      </c>
      <c r="C2709">
        <v>18</v>
      </c>
      <c r="D2709" t="s">
        <v>55</v>
      </c>
      <c r="E2709" t="s">
        <v>12</v>
      </c>
      <c r="F2709" s="7">
        <v>1249.3599999999999</v>
      </c>
      <c r="G2709" s="10">
        <v>0</v>
      </c>
      <c r="H2709" s="7">
        <v>1249.3599999999999</v>
      </c>
      <c r="I2709">
        <v>2</v>
      </c>
      <c r="J2709" t="s">
        <v>16</v>
      </c>
      <c r="K2709" s="13">
        <f>ROUND(tblTransactions[[#This Row],[gross_sales_inr]]*(1-tblTransactions[[#This Row],[discount_pct]]),2)</f>
        <v>1249.3599999999999</v>
      </c>
      <c r="L2709" t="str">
        <f>IF(ABS(tblTransactions[[#This Row],[net_sales_inr]]-tblTransactions[[#This Row],[Recalc_Net_Sales]])&lt;0.02,"OK","CHECK")</f>
        <v>OK</v>
      </c>
      <c r="M2709" s="14">
        <f>DATE(YEAR(tblTransactions[[#This Row],[date]]),MONTH(tblTransactions[[#This Row],[date]]),1)</f>
        <v>45748</v>
      </c>
      <c r="N2709" t="str">
        <f>IF(WEEKDAY(tblTransactions[[#This Row],[date]],2)&gt;5,"Weekend","Weekday")</f>
        <v>Weekday</v>
      </c>
      <c r="O2709" s="13" t="str">
        <f>IF(tblTransactions[[#This Row],[discount_pct]]=0,"0%",IF(tblTransactions[[#This Row],[discount_pct]]&lt;=10%,"1–
10%",IF(tblTransactions[[#This Row],[discount_pct]]&lt;=20%,"11–20%","&gt;20%")))</f>
        <v>0%</v>
      </c>
      <c r="P2709" s="13" t="str">
        <f>_xlfn.XLOOKUP(tblTransactions[[#This Row],[tenant_id]],tblTenants[tenant_id],tblTenants[zone],"NOT FOUND")</f>
        <v>Food Court</v>
      </c>
      <c r="Q2709" s="13" t="str">
        <f>_xlfn.XLOOKUP(tblTransactions[[#This Row],[tenant_id]],tblTenants[tenant_id],tblTenants[category],"NOT FOUND")</f>
        <v>Quick Service</v>
      </c>
    </row>
    <row r="2710" spans="1:17">
      <c r="A2710" t="s">
        <v>2754</v>
      </c>
      <c r="B2710" s="2">
        <v>45766</v>
      </c>
      <c r="C2710">
        <v>17</v>
      </c>
      <c r="D2710" t="s">
        <v>36</v>
      </c>
      <c r="E2710" t="s">
        <v>12</v>
      </c>
      <c r="F2710" s="7">
        <v>867.6</v>
      </c>
      <c r="G2710" s="10">
        <v>0.1</v>
      </c>
      <c r="H2710" s="7">
        <v>780.84</v>
      </c>
      <c r="I2710">
        <v>1</v>
      </c>
      <c r="J2710" t="s">
        <v>13</v>
      </c>
      <c r="K2710" s="13">
        <f>ROUND(tblTransactions[[#This Row],[gross_sales_inr]]*(1-tblTransactions[[#This Row],[discount_pct]]),2)</f>
        <v>780.84</v>
      </c>
      <c r="L2710" t="str">
        <f>IF(ABS(tblTransactions[[#This Row],[net_sales_inr]]-tblTransactions[[#This Row],[Recalc_Net_Sales]])&lt;0.02,"OK","CHECK")</f>
        <v>OK</v>
      </c>
      <c r="M2710" s="14">
        <f>DATE(YEAR(tblTransactions[[#This Row],[date]]),MONTH(tblTransactions[[#This Row],[date]]),1)</f>
        <v>45748</v>
      </c>
      <c r="N2710" t="str">
        <f>IF(WEEKDAY(tblTransactions[[#This Row],[date]],2)&gt;5,"Weekend","Weekday")</f>
        <v>Weekend</v>
      </c>
      <c r="O271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10" s="13" t="str">
        <f>_xlfn.XLOOKUP(tblTransactions[[#This Row],[tenant_id]],tblTenants[tenant_id],tblTenants[zone],"NOT FOUND")</f>
        <v>Home &amp; Living</v>
      </c>
      <c r="Q2710" s="13" t="str">
        <f>_xlfn.XLOOKUP(tblTransactions[[#This Row],[tenant_id]],tblTenants[tenant_id],tblTenants[category],"NOT FOUND")</f>
        <v>Electronics</v>
      </c>
    </row>
    <row r="2711" spans="1:17">
      <c r="A2711" t="s">
        <v>2755</v>
      </c>
      <c r="B2711" s="2">
        <v>45682</v>
      </c>
      <c r="C2711">
        <v>10</v>
      </c>
      <c r="D2711" t="s">
        <v>59</v>
      </c>
      <c r="E2711" t="s">
        <v>12</v>
      </c>
      <c r="F2711" s="7">
        <v>4476.47</v>
      </c>
      <c r="G2711" s="10">
        <v>0</v>
      </c>
      <c r="H2711" s="7">
        <v>4476.47</v>
      </c>
      <c r="I2711">
        <v>2</v>
      </c>
      <c r="J2711" t="s">
        <v>13</v>
      </c>
      <c r="K2711" s="13">
        <f>ROUND(tblTransactions[[#This Row],[gross_sales_inr]]*(1-tblTransactions[[#This Row],[discount_pct]]),2)</f>
        <v>4476.47</v>
      </c>
      <c r="L2711" t="str">
        <f>IF(ABS(tblTransactions[[#This Row],[net_sales_inr]]-tblTransactions[[#This Row],[Recalc_Net_Sales]])&lt;0.02,"OK","CHECK")</f>
        <v>OK</v>
      </c>
      <c r="M2711" s="14">
        <f>DATE(YEAR(tblTransactions[[#This Row],[date]]),MONTH(tblTransactions[[#This Row],[date]]),1)</f>
        <v>45658</v>
      </c>
      <c r="N2711" t="str">
        <f>IF(WEEKDAY(tblTransactions[[#This Row],[date]],2)&gt;5,"Weekend","Weekday")</f>
        <v>Weekend</v>
      </c>
      <c r="O2711" s="13" t="str">
        <f>IF(tblTransactions[[#This Row],[discount_pct]]=0,"0%",IF(tblTransactions[[#This Row],[discount_pct]]&lt;=10%,"1–
10%",IF(tblTransactions[[#This Row],[discount_pct]]&lt;=20%,"11–20%","&gt;20%")))</f>
        <v>0%</v>
      </c>
      <c r="P2711" s="13" t="str">
        <f>_xlfn.XLOOKUP(tblTransactions[[#This Row],[tenant_id]],tblTenants[tenant_id],tblTenants[zone],"NOT FOUND")</f>
        <v>Fashion Avenue</v>
      </c>
      <c r="Q2711" s="13" t="str">
        <f>_xlfn.XLOOKUP(tblTransactions[[#This Row],[tenant_id]],tblTenants[tenant_id],tblTenants[category],"NOT FOUND")</f>
        <v>Footwear</v>
      </c>
    </row>
    <row r="2712" spans="1:17">
      <c r="A2712" t="s">
        <v>2756</v>
      </c>
      <c r="B2712" s="2">
        <v>45716</v>
      </c>
      <c r="C2712">
        <v>12</v>
      </c>
      <c r="D2712" t="s">
        <v>34</v>
      </c>
      <c r="E2712" t="s">
        <v>12</v>
      </c>
      <c r="F2712" s="7">
        <v>1800.93</v>
      </c>
      <c r="G2712" s="10">
        <v>0.1</v>
      </c>
      <c r="H2712" s="7">
        <v>1620.84</v>
      </c>
      <c r="I2712">
        <v>6</v>
      </c>
      <c r="J2712" t="s">
        <v>13</v>
      </c>
      <c r="K2712" s="13">
        <f>ROUND(tblTransactions[[#This Row],[gross_sales_inr]]*(1-tblTransactions[[#This Row],[discount_pct]]),2)</f>
        <v>1620.84</v>
      </c>
      <c r="L2712" t="str">
        <f>IF(ABS(tblTransactions[[#This Row],[net_sales_inr]]-tblTransactions[[#This Row],[Recalc_Net_Sales]])&lt;0.02,"OK","CHECK")</f>
        <v>OK</v>
      </c>
      <c r="M2712" s="14">
        <f>DATE(YEAR(tblTransactions[[#This Row],[date]]),MONTH(tblTransactions[[#This Row],[date]]),1)</f>
        <v>45689</v>
      </c>
      <c r="N2712" t="str">
        <f>IF(WEEKDAY(tblTransactions[[#This Row],[date]],2)&gt;5,"Weekend","Weekday")</f>
        <v>Weekday</v>
      </c>
      <c r="O271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12" s="13" t="str">
        <f>_xlfn.XLOOKUP(tblTransactions[[#This Row],[tenant_id]],tblTenants[tenant_id],tblTenants[zone],"NOT FOUND")</f>
        <v>Home &amp; Living</v>
      </c>
      <c r="Q2712" s="13" t="str">
        <f>_xlfn.XLOOKUP(tblTransactions[[#This Row],[tenant_id]],tblTenants[tenant_id],tblTenants[category],"NOT FOUND")</f>
        <v>Electronics</v>
      </c>
    </row>
    <row r="2713" spans="1:17">
      <c r="A2713" t="s">
        <v>2757</v>
      </c>
      <c r="B2713" s="2">
        <v>45744</v>
      </c>
      <c r="C2713">
        <v>17</v>
      </c>
      <c r="D2713" t="s">
        <v>104</v>
      </c>
      <c r="E2713" t="s">
        <v>51</v>
      </c>
      <c r="F2713" s="7">
        <v>1214.6400000000001</v>
      </c>
      <c r="G2713" s="10">
        <v>0.1</v>
      </c>
      <c r="H2713" s="7">
        <v>1093.18</v>
      </c>
      <c r="I2713">
        <v>5</v>
      </c>
      <c r="J2713" t="s">
        <v>16</v>
      </c>
      <c r="K2713" s="13">
        <f>ROUND(tblTransactions[[#This Row],[gross_sales_inr]]*(1-tblTransactions[[#This Row],[discount_pct]]),2)</f>
        <v>1093.18</v>
      </c>
      <c r="L2713" t="str">
        <f>IF(ABS(tblTransactions[[#This Row],[net_sales_inr]]-tblTransactions[[#This Row],[Recalc_Net_Sales]])&lt;0.02,"OK","CHECK")</f>
        <v>OK</v>
      </c>
      <c r="M2713" s="14">
        <f>DATE(YEAR(tblTransactions[[#This Row],[date]]),MONTH(tblTransactions[[#This Row],[date]]),1)</f>
        <v>45717</v>
      </c>
      <c r="N2713" t="str">
        <f>IF(WEEKDAY(tblTransactions[[#This Row],[date]],2)&gt;5,"Weekend","Weekday")</f>
        <v>Weekday</v>
      </c>
      <c r="O271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13" s="13" t="str">
        <f>_xlfn.XLOOKUP(tblTransactions[[#This Row],[tenant_id]],tblTenants[tenant_id],tblTenants[zone],"NOT FOUND")</f>
        <v>Entertainment</v>
      </c>
      <c r="Q2713" s="13" t="str">
        <f>_xlfn.XLOOKUP(tblTransactions[[#This Row],[tenant_id]],tblTenants[tenant_id],tblTenants[category],"NOT FOUND")</f>
        <v>Family Entertainment</v>
      </c>
    </row>
    <row r="2714" spans="1:17">
      <c r="A2714" t="s">
        <v>2758</v>
      </c>
      <c r="B2714" s="2">
        <v>45775</v>
      </c>
      <c r="C2714">
        <v>10</v>
      </c>
      <c r="D2714" t="s">
        <v>98</v>
      </c>
      <c r="E2714" t="s">
        <v>12</v>
      </c>
      <c r="F2714" s="7">
        <v>1312.15</v>
      </c>
      <c r="G2714" s="10">
        <v>0.15</v>
      </c>
      <c r="H2714" s="7">
        <v>1115.33</v>
      </c>
      <c r="I2714">
        <v>2</v>
      </c>
      <c r="J2714" t="s">
        <v>16</v>
      </c>
      <c r="K2714" s="13">
        <f>ROUND(tblTransactions[[#This Row],[gross_sales_inr]]*(1-tblTransactions[[#This Row],[discount_pct]]),2)</f>
        <v>1115.33</v>
      </c>
      <c r="L2714" t="str">
        <f>IF(ABS(tblTransactions[[#This Row],[net_sales_inr]]-tblTransactions[[#This Row],[Recalc_Net_Sales]])&lt;0.02,"OK","CHECK")</f>
        <v>OK</v>
      </c>
      <c r="M2714" s="14">
        <f>DATE(YEAR(tblTransactions[[#This Row],[date]]),MONTH(tblTransactions[[#This Row],[date]]),1)</f>
        <v>45748</v>
      </c>
      <c r="N2714" t="str">
        <f>IF(WEEKDAY(tblTransactions[[#This Row],[date]],2)&gt;5,"Weekend","Weekday")</f>
        <v>Weekday</v>
      </c>
      <c r="O271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14" s="13" t="str">
        <f>_xlfn.XLOOKUP(tblTransactions[[#This Row],[tenant_id]],tblTenants[tenant_id],tblTenants[zone],"NOT FOUND")</f>
        <v>Fashion Avenue</v>
      </c>
      <c r="Q2714" s="13" t="str">
        <f>_xlfn.XLOOKUP(tblTransactions[[#This Row],[tenant_id]],tblTenants[tenant_id],tblTenants[category],"NOT FOUND")</f>
        <v>Accessories</v>
      </c>
    </row>
    <row r="2715" spans="1:17">
      <c r="A2715" t="s">
        <v>2759</v>
      </c>
      <c r="B2715" s="2">
        <v>45746</v>
      </c>
      <c r="C2715">
        <v>21</v>
      </c>
      <c r="D2715" t="s">
        <v>11</v>
      </c>
      <c r="E2715" t="s">
        <v>32</v>
      </c>
      <c r="F2715" s="7">
        <v>1614.59</v>
      </c>
      <c r="G2715" s="10">
        <v>0</v>
      </c>
      <c r="H2715" s="7">
        <v>1614.59</v>
      </c>
      <c r="I2715">
        <v>3</v>
      </c>
      <c r="J2715" t="s">
        <v>13</v>
      </c>
      <c r="K2715" s="13">
        <f>ROUND(tblTransactions[[#This Row],[gross_sales_inr]]*(1-tblTransactions[[#This Row],[discount_pct]]),2)</f>
        <v>1614.59</v>
      </c>
      <c r="L2715" t="str">
        <f>IF(ABS(tblTransactions[[#This Row],[net_sales_inr]]-tblTransactions[[#This Row],[Recalc_Net_Sales]])&lt;0.02,"OK","CHECK")</f>
        <v>OK</v>
      </c>
      <c r="M2715" s="14">
        <f>DATE(YEAR(tblTransactions[[#This Row],[date]]),MONTH(tblTransactions[[#This Row],[date]]),1)</f>
        <v>45717</v>
      </c>
      <c r="N2715" t="str">
        <f>IF(WEEKDAY(tblTransactions[[#This Row],[date]],2)&gt;5,"Weekend","Weekday")</f>
        <v>Weekend</v>
      </c>
      <c r="O2715" s="13" t="str">
        <f>IF(tblTransactions[[#This Row],[discount_pct]]=0,"0%",IF(tblTransactions[[#This Row],[discount_pct]]&lt;=10%,"1–
10%",IF(tblTransactions[[#This Row],[discount_pct]]&lt;=20%,"11–20%","&gt;20%")))</f>
        <v>0%</v>
      </c>
      <c r="P2715" s="13" t="str">
        <f>_xlfn.XLOOKUP(tblTransactions[[#This Row],[tenant_id]],tblTenants[tenant_id],tblTenants[zone],"NOT FOUND")</f>
        <v>Home &amp; Living</v>
      </c>
      <c r="Q2715" s="13" t="str">
        <f>_xlfn.XLOOKUP(tblTransactions[[#This Row],[tenant_id]],tblTenants[tenant_id],tblTenants[category],"NOT FOUND")</f>
        <v>Home Decor</v>
      </c>
    </row>
    <row r="2716" spans="1:17">
      <c r="A2716" t="s">
        <v>2760</v>
      </c>
      <c r="B2716" s="2">
        <v>45775</v>
      </c>
      <c r="C2716">
        <v>10</v>
      </c>
      <c r="D2716" t="s">
        <v>18</v>
      </c>
      <c r="E2716" t="s">
        <v>32</v>
      </c>
      <c r="F2716" s="7">
        <v>370.5</v>
      </c>
      <c r="G2716" s="10">
        <v>0</v>
      </c>
      <c r="H2716" s="7">
        <v>370.5</v>
      </c>
      <c r="I2716">
        <v>5</v>
      </c>
      <c r="J2716" t="s">
        <v>16</v>
      </c>
      <c r="K2716" s="13">
        <f>ROUND(tblTransactions[[#This Row],[gross_sales_inr]]*(1-tblTransactions[[#This Row],[discount_pct]]),2)</f>
        <v>370.5</v>
      </c>
      <c r="L2716" t="str">
        <f>IF(ABS(tblTransactions[[#This Row],[net_sales_inr]]-tblTransactions[[#This Row],[Recalc_Net_Sales]])&lt;0.02,"OK","CHECK")</f>
        <v>OK</v>
      </c>
      <c r="M2716" s="14">
        <f>DATE(YEAR(tblTransactions[[#This Row],[date]]),MONTH(tblTransactions[[#This Row],[date]]),1)</f>
        <v>45748</v>
      </c>
      <c r="N2716" t="str">
        <f>IF(WEEKDAY(tblTransactions[[#This Row],[date]],2)&gt;5,"Weekend","Weekday")</f>
        <v>Weekday</v>
      </c>
      <c r="O2716" s="13" t="str">
        <f>IF(tblTransactions[[#This Row],[discount_pct]]=0,"0%",IF(tblTransactions[[#This Row],[discount_pct]]&lt;=10%,"1–
10%",IF(tblTransactions[[#This Row],[discount_pct]]&lt;=20%,"11–20%","&gt;20%")))</f>
        <v>0%</v>
      </c>
      <c r="P2716" s="13" t="str">
        <f>_xlfn.XLOOKUP(tblTransactions[[#This Row],[tenant_id]],tblTenants[tenant_id],tblTenants[zone],"NOT FOUND")</f>
        <v>Beauty &amp; Wellness</v>
      </c>
      <c r="Q2716" s="13" t="str">
        <f>_xlfn.XLOOKUP(tblTransactions[[#This Row],[tenant_id]],tblTenants[tenant_id],tblTenants[category],"NOT FOUND")</f>
        <v>Beauty</v>
      </c>
    </row>
    <row r="2717" spans="1:17">
      <c r="A2717" t="s">
        <v>2761</v>
      </c>
      <c r="B2717" s="2">
        <v>45667</v>
      </c>
      <c r="C2717">
        <v>20</v>
      </c>
      <c r="D2717" t="s">
        <v>122</v>
      </c>
      <c r="E2717" t="s">
        <v>12</v>
      </c>
      <c r="F2717" s="7">
        <v>1552.81</v>
      </c>
      <c r="G2717" s="10">
        <v>0.3</v>
      </c>
      <c r="H2717" s="7">
        <v>1086.97</v>
      </c>
      <c r="I2717">
        <v>1</v>
      </c>
      <c r="J2717" t="s">
        <v>13</v>
      </c>
      <c r="K2717" s="13">
        <f>ROUND(tblTransactions[[#This Row],[gross_sales_inr]]*(1-tblTransactions[[#This Row],[discount_pct]]),2)</f>
        <v>1086.97</v>
      </c>
      <c r="L2717" t="str">
        <f>IF(ABS(tblTransactions[[#This Row],[net_sales_inr]]-tblTransactions[[#This Row],[Recalc_Net_Sales]])&lt;0.02,"OK","CHECK")</f>
        <v>OK</v>
      </c>
      <c r="M2717" s="14">
        <f>DATE(YEAR(tblTransactions[[#This Row],[date]]),MONTH(tblTransactions[[#This Row],[date]]),1)</f>
        <v>45658</v>
      </c>
      <c r="N2717" t="str">
        <f>IF(WEEKDAY(tblTransactions[[#This Row],[date]],2)&gt;5,"Weekend","Weekday")</f>
        <v>Weekday</v>
      </c>
      <c r="O271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717" s="13" t="str">
        <f>_xlfn.XLOOKUP(tblTransactions[[#This Row],[tenant_id]],tblTenants[tenant_id],tblTenants[zone],"NOT FOUND")</f>
        <v>Beauty &amp; Wellness</v>
      </c>
      <c r="Q2717" s="13" t="str">
        <f>_xlfn.XLOOKUP(tblTransactions[[#This Row],[tenant_id]],tblTenants[tenant_id],tblTenants[category],"NOT FOUND")</f>
        <v>Wellness</v>
      </c>
    </row>
    <row r="2718" spans="1:17">
      <c r="A2718" t="s">
        <v>2762</v>
      </c>
      <c r="B2718" s="2">
        <v>45715</v>
      </c>
      <c r="C2718">
        <v>12</v>
      </c>
      <c r="D2718" t="s">
        <v>18</v>
      </c>
      <c r="E2718" t="s">
        <v>32</v>
      </c>
      <c r="F2718" s="7">
        <v>2397.0100000000002</v>
      </c>
      <c r="G2718" s="10">
        <v>0.2</v>
      </c>
      <c r="H2718" s="7">
        <v>1917.61</v>
      </c>
      <c r="I2718">
        <v>1</v>
      </c>
      <c r="J2718" t="s">
        <v>13</v>
      </c>
      <c r="K2718" s="13">
        <f>ROUND(tblTransactions[[#This Row],[gross_sales_inr]]*(1-tblTransactions[[#This Row],[discount_pct]]),2)</f>
        <v>1917.61</v>
      </c>
      <c r="L2718" t="str">
        <f>IF(ABS(tblTransactions[[#This Row],[net_sales_inr]]-tblTransactions[[#This Row],[Recalc_Net_Sales]])&lt;0.02,"OK","CHECK")</f>
        <v>OK</v>
      </c>
      <c r="M2718" s="14">
        <f>DATE(YEAR(tblTransactions[[#This Row],[date]]),MONTH(tblTransactions[[#This Row],[date]]),1)</f>
        <v>45689</v>
      </c>
      <c r="N2718" t="str">
        <f>IF(WEEKDAY(tblTransactions[[#This Row],[date]],2)&gt;5,"Weekend","Weekday")</f>
        <v>Weekday</v>
      </c>
      <c r="O271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18" s="13" t="str">
        <f>_xlfn.XLOOKUP(tblTransactions[[#This Row],[tenant_id]],tblTenants[tenant_id],tblTenants[zone],"NOT FOUND")</f>
        <v>Beauty &amp; Wellness</v>
      </c>
      <c r="Q2718" s="13" t="str">
        <f>_xlfn.XLOOKUP(tblTransactions[[#This Row],[tenant_id]],tblTenants[tenant_id],tblTenants[category],"NOT FOUND")</f>
        <v>Beauty</v>
      </c>
    </row>
    <row r="2719" spans="1:17">
      <c r="A2719" t="s">
        <v>2763</v>
      </c>
      <c r="B2719" s="2">
        <v>45724</v>
      </c>
      <c r="C2719">
        <v>13</v>
      </c>
      <c r="D2719" t="s">
        <v>61</v>
      </c>
      <c r="E2719" t="s">
        <v>32</v>
      </c>
      <c r="F2719" s="7">
        <v>920.48</v>
      </c>
      <c r="G2719" s="10">
        <v>0</v>
      </c>
      <c r="H2719" s="7">
        <v>920.48</v>
      </c>
      <c r="I2719">
        <v>4</v>
      </c>
      <c r="J2719" t="s">
        <v>16</v>
      </c>
      <c r="K2719" s="13">
        <f>ROUND(tblTransactions[[#This Row],[gross_sales_inr]]*(1-tblTransactions[[#This Row],[discount_pct]]),2)</f>
        <v>920.48</v>
      </c>
      <c r="L2719" t="str">
        <f>IF(ABS(tblTransactions[[#This Row],[net_sales_inr]]-tblTransactions[[#This Row],[Recalc_Net_Sales]])&lt;0.02,"OK","CHECK")</f>
        <v>OK</v>
      </c>
      <c r="M2719" s="14">
        <f>DATE(YEAR(tblTransactions[[#This Row],[date]]),MONTH(tblTransactions[[#This Row],[date]]),1)</f>
        <v>45717</v>
      </c>
      <c r="N2719" t="str">
        <f>IF(WEEKDAY(tblTransactions[[#This Row],[date]],2)&gt;5,"Weekend","Weekday")</f>
        <v>Weekend</v>
      </c>
      <c r="O2719" s="13" t="str">
        <f>IF(tblTransactions[[#This Row],[discount_pct]]=0,"0%",IF(tblTransactions[[#This Row],[discount_pct]]&lt;=10%,"1–
10%",IF(tblTransactions[[#This Row],[discount_pct]]&lt;=20%,"11–20%","&gt;20%")))</f>
        <v>0%</v>
      </c>
      <c r="P2719" s="13" t="str">
        <f>_xlfn.XLOOKUP(tblTransactions[[#This Row],[tenant_id]],tblTenants[tenant_id],tblTenants[zone],"NOT FOUND")</f>
        <v>Food Court</v>
      </c>
      <c r="Q2719" s="13" t="str">
        <f>_xlfn.XLOOKUP(tblTransactions[[#This Row],[tenant_id]],tblTenants[tenant_id],tblTenants[category],"NOT FOUND")</f>
        <v>Quick Service</v>
      </c>
    </row>
    <row r="2720" spans="1:17">
      <c r="A2720" t="s">
        <v>2764</v>
      </c>
      <c r="B2720" s="2">
        <v>45692</v>
      </c>
      <c r="C2720">
        <v>21</v>
      </c>
      <c r="D2720" t="s">
        <v>104</v>
      </c>
      <c r="E2720" t="s">
        <v>32</v>
      </c>
      <c r="F2720" s="7">
        <v>969.67</v>
      </c>
      <c r="G2720" s="10">
        <v>0</v>
      </c>
      <c r="H2720" s="7">
        <v>969.67</v>
      </c>
      <c r="I2720">
        <v>5</v>
      </c>
      <c r="J2720" t="s">
        <v>13</v>
      </c>
      <c r="K2720" s="13">
        <f>ROUND(tblTransactions[[#This Row],[gross_sales_inr]]*(1-tblTransactions[[#This Row],[discount_pct]]),2)</f>
        <v>969.67</v>
      </c>
      <c r="L2720" t="str">
        <f>IF(ABS(tblTransactions[[#This Row],[net_sales_inr]]-tblTransactions[[#This Row],[Recalc_Net_Sales]])&lt;0.02,"OK","CHECK")</f>
        <v>OK</v>
      </c>
      <c r="M2720" s="14">
        <f>DATE(YEAR(tblTransactions[[#This Row],[date]]),MONTH(tblTransactions[[#This Row],[date]]),1)</f>
        <v>45689</v>
      </c>
      <c r="N2720" t="str">
        <f>IF(WEEKDAY(tblTransactions[[#This Row],[date]],2)&gt;5,"Weekend","Weekday")</f>
        <v>Weekday</v>
      </c>
      <c r="O2720" s="13" t="str">
        <f>IF(tblTransactions[[#This Row],[discount_pct]]=0,"0%",IF(tblTransactions[[#This Row],[discount_pct]]&lt;=10%,"1–
10%",IF(tblTransactions[[#This Row],[discount_pct]]&lt;=20%,"11–20%","&gt;20%")))</f>
        <v>0%</v>
      </c>
      <c r="P2720" s="13" t="str">
        <f>_xlfn.XLOOKUP(tblTransactions[[#This Row],[tenant_id]],tblTenants[tenant_id],tblTenants[zone],"NOT FOUND")</f>
        <v>Entertainment</v>
      </c>
      <c r="Q2720" s="13" t="str">
        <f>_xlfn.XLOOKUP(tblTransactions[[#This Row],[tenant_id]],tblTenants[tenant_id],tblTenants[category],"NOT FOUND")</f>
        <v>Family Entertainment</v>
      </c>
    </row>
    <row r="2721" spans="1:17">
      <c r="A2721" t="s">
        <v>2765</v>
      </c>
      <c r="B2721" s="2">
        <v>45708</v>
      </c>
      <c r="C2721">
        <v>18</v>
      </c>
      <c r="D2721" t="s">
        <v>25</v>
      </c>
      <c r="E2721" t="s">
        <v>12</v>
      </c>
      <c r="F2721" s="7">
        <v>454.43</v>
      </c>
      <c r="G2721" s="10">
        <v>0</v>
      </c>
      <c r="H2721" s="7">
        <v>454.43</v>
      </c>
      <c r="I2721">
        <v>1</v>
      </c>
      <c r="J2721" t="s">
        <v>13</v>
      </c>
      <c r="K2721" s="13">
        <f>ROUND(tblTransactions[[#This Row],[gross_sales_inr]]*(1-tblTransactions[[#This Row],[discount_pct]]),2)</f>
        <v>454.43</v>
      </c>
      <c r="L2721" t="str">
        <f>IF(ABS(tblTransactions[[#This Row],[net_sales_inr]]-tblTransactions[[#This Row],[Recalc_Net_Sales]])&lt;0.02,"OK","CHECK")</f>
        <v>OK</v>
      </c>
      <c r="M2721" s="14">
        <f>DATE(YEAR(tblTransactions[[#This Row],[date]]),MONTH(tblTransactions[[#This Row],[date]]),1)</f>
        <v>45689</v>
      </c>
      <c r="N2721" t="str">
        <f>IF(WEEKDAY(tblTransactions[[#This Row],[date]],2)&gt;5,"Weekend","Weekday")</f>
        <v>Weekday</v>
      </c>
      <c r="O2721" s="13" t="str">
        <f>IF(tblTransactions[[#This Row],[discount_pct]]=0,"0%",IF(tblTransactions[[#This Row],[discount_pct]]&lt;=10%,"1–
10%",IF(tblTransactions[[#This Row],[discount_pct]]&lt;=20%,"11–20%","&gt;20%")))</f>
        <v>0%</v>
      </c>
      <c r="P2721" s="13" t="str">
        <f>_xlfn.XLOOKUP(tblTransactions[[#This Row],[tenant_id]],tblTenants[tenant_id],tblTenants[zone],"NOT FOUND")</f>
        <v>Beauty &amp; Wellness</v>
      </c>
      <c r="Q2721" s="13" t="str">
        <f>_xlfn.XLOOKUP(tblTransactions[[#This Row],[tenant_id]],tblTenants[tenant_id],tblTenants[category],"NOT FOUND")</f>
        <v>Beauty</v>
      </c>
    </row>
    <row r="2722" spans="1:17">
      <c r="A2722" t="s">
        <v>2766</v>
      </c>
      <c r="B2722" s="2">
        <v>45788</v>
      </c>
      <c r="C2722">
        <v>16</v>
      </c>
      <c r="D2722" t="s">
        <v>70</v>
      </c>
      <c r="E2722" t="s">
        <v>12</v>
      </c>
      <c r="F2722" s="7">
        <v>4006.21</v>
      </c>
      <c r="G2722" s="10">
        <v>0.05</v>
      </c>
      <c r="H2722" s="7">
        <v>3805.9</v>
      </c>
      <c r="I2722">
        <v>5</v>
      </c>
      <c r="J2722" t="s">
        <v>16</v>
      </c>
      <c r="K2722" s="13">
        <f>ROUND(tblTransactions[[#This Row],[gross_sales_inr]]*(1-tblTransactions[[#This Row],[discount_pct]]),2)</f>
        <v>3805.9</v>
      </c>
      <c r="L2722" t="str">
        <f>IF(ABS(tblTransactions[[#This Row],[net_sales_inr]]-tblTransactions[[#This Row],[Recalc_Net_Sales]])&lt;0.02,"OK","CHECK")</f>
        <v>OK</v>
      </c>
      <c r="M2722" s="14">
        <f>DATE(YEAR(tblTransactions[[#This Row],[date]]),MONTH(tblTransactions[[#This Row],[date]]),1)</f>
        <v>45778</v>
      </c>
      <c r="N2722" t="str">
        <f>IF(WEEKDAY(tblTransactions[[#This Row],[date]],2)&gt;5,"Weekend","Weekday")</f>
        <v>Weekend</v>
      </c>
      <c r="O272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22" s="13" t="str">
        <f>_xlfn.XLOOKUP(tblTransactions[[#This Row],[tenant_id]],tblTenants[tenant_id],tblTenants[zone],"NOT FOUND")</f>
        <v>Food Court</v>
      </c>
      <c r="Q2722" s="13" t="str">
        <f>_xlfn.XLOOKUP(tblTransactions[[#This Row],[tenant_id]],tblTenants[tenant_id],tblTenants[category],"NOT FOUND")</f>
        <v>Quick Service</v>
      </c>
    </row>
    <row r="2723" spans="1:17">
      <c r="A2723" t="s">
        <v>2767</v>
      </c>
      <c r="B2723" s="2">
        <v>45695</v>
      </c>
      <c r="C2723">
        <v>19</v>
      </c>
      <c r="D2723" t="s">
        <v>15</v>
      </c>
      <c r="E2723" t="s">
        <v>12</v>
      </c>
      <c r="F2723" s="7">
        <v>1337.32</v>
      </c>
      <c r="G2723" s="10">
        <v>0</v>
      </c>
      <c r="H2723" s="7">
        <v>1337.32</v>
      </c>
      <c r="I2723">
        <v>5</v>
      </c>
      <c r="J2723" t="s">
        <v>16</v>
      </c>
      <c r="K2723" s="13">
        <f>ROUND(tblTransactions[[#This Row],[gross_sales_inr]]*(1-tblTransactions[[#This Row],[discount_pct]]),2)</f>
        <v>1337.32</v>
      </c>
      <c r="L2723" t="str">
        <f>IF(ABS(tblTransactions[[#This Row],[net_sales_inr]]-tblTransactions[[#This Row],[Recalc_Net_Sales]])&lt;0.02,"OK","CHECK")</f>
        <v>OK</v>
      </c>
      <c r="M2723" s="14">
        <f>DATE(YEAR(tblTransactions[[#This Row],[date]]),MONTH(tblTransactions[[#This Row],[date]]),1)</f>
        <v>45689</v>
      </c>
      <c r="N2723" t="str">
        <f>IF(WEEKDAY(tblTransactions[[#This Row],[date]],2)&gt;5,"Weekend","Weekday")</f>
        <v>Weekday</v>
      </c>
      <c r="O2723" s="13" t="str">
        <f>IF(tblTransactions[[#This Row],[discount_pct]]=0,"0%",IF(tblTransactions[[#This Row],[discount_pct]]&lt;=10%,"1–
10%",IF(tblTransactions[[#This Row],[discount_pct]]&lt;=20%,"11–20%","&gt;20%")))</f>
        <v>0%</v>
      </c>
      <c r="P2723" s="13" t="str">
        <f>_xlfn.XLOOKUP(tblTransactions[[#This Row],[tenant_id]],tblTenants[tenant_id],tblTenants[zone],"NOT FOUND")</f>
        <v>Fashion Avenue</v>
      </c>
      <c r="Q2723" s="13" t="str">
        <f>_xlfn.XLOOKUP(tblTransactions[[#This Row],[tenant_id]],tblTenants[tenant_id],tblTenants[category],"NOT FOUND")</f>
        <v>Accessories</v>
      </c>
    </row>
    <row r="2724" spans="1:17">
      <c r="A2724" t="s">
        <v>2768</v>
      </c>
      <c r="B2724" s="2">
        <v>45812</v>
      </c>
      <c r="C2724">
        <v>15</v>
      </c>
      <c r="D2724" t="s">
        <v>80</v>
      </c>
      <c r="E2724" t="s">
        <v>32</v>
      </c>
      <c r="F2724" s="7">
        <v>750.79</v>
      </c>
      <c r="G2724" s="10">
        <v>0.1</v>
      </c>
      <c r="H2724" s="7">
        <v>675.71</v>
      </c>
      <c r="I2724">
        <v>1</v>
      </c>
      <c r="J2724" t="s">
        <v>16</v>
      </c>
      <c r="K2724" s="13">
        <f>ROUND(tblTransactions[[#This Row],[gross_sales_inr]]*(1-tblTransactions[[#This Row],[discount_pct]]),2)</f>
        <v>675.71</v>
      </c>
      <c r="L2724" t="str">
        <f>IF(ABS(tblTransactions[[#This Row],[net_sales_inr]]-tblTransactions[[#This Row],[Recalc_Net_Sales]])&lt;0.02,"OK","CHECK")</f>
        <v>OK</v>
      </c>
      <c r="M2724" s="14">
        <f>DATE(YEAR(tblTransactions[[#This Row],[date]]),MONTH(tblTransactions[[#This Row],[date]]),1)</f>
        <v>45809</v>
      </c>
      <c r="N2724" t="str">
        <f>IF(WEEKDAY(tblTransactions[[#This Row],[date]],2)&gt;5,"Weekend","Weekday")</f>
        <v>Weekday</v>
      </c>
      <c r="O272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24" s="13" t="str">
        <f>_xlfn.XLOOKUP(tblTransactions[[#This Row],[tenant_id]],tblTenants[tenant_id],tblTenants[zone],"NOT FOUND")</f>
        <v>Food Court</v>
      </c>
      <c r="Q2724" s="13" t="str">
        <f>_xlfn.XLOOKUP(tblTransactions[[#This Row],[tenant_id]],tblTenants[tenant_id],tblTenants[category],"NOT FOUND")</f>
        <v>Casual Dining</v>
      </c>
    </row>
    <row r="2725" spans="1:17">
      <c r="A2725" t="s">
        <v>2769</v>
      </c>
      <c r="B2725" s="2">
        <v>45763</v>
      </c>
      <c r="C2725">
        <v>21</v>
      </c>
      <c r="D2725" t="s">
        <v>72</v>
      </c>
      <c r="E2725" t="s">
        <v>12</v>
      </c>
      <c r="F2725" s="7">
        <v>460.23</v>
      </c>
      <c r="G2725" s="10">
        <v>0</v>
      </c>
      <c r="H2725" s="7">
        <v>460.23</v>
      </c>
      <c r="I2725">
        <v>1</v>
      </c>
      <c r="J2725" t="s">
        <v>13</v>
      </c>
      <c r="K2725" s="13">
        <f>ROUND(tblTransactions[[#This Row],[gross_sales_inr]]*(1-tblTransactions[[#This Row],[discount_pct]]),2)</f>
        <v>460.23</v>
      </c>
      <c r="L2725" t="str">
        <f>IF(ABS(tblTransactions[[#This Row],[net_sales_inr]]-tblTransactions[[#This Row],[Recalc_Net_Sales]])&lt;0.02,"OK","CHECK")</f>
        <v>OK</v>
      </c>
      <c r="M2725" s="14">
        <f>DATE(YEAR(tblTransactions[[#This Row],[date]]),MONTH(tblTransactions[[#This Row],[date]]),1)</f>
        <v>45748</v>
      </c>
      <c r="N2725" t="str">
        <f>IF(WEEKDAY(tblTransactions[[#This Row],[date]],2)&gt;5,"Weekend","Weekday")</f>
        <v>Weekday</v>
      </c>
      <c r="O2725" s="13" t="str">
        <f>IF(tblTransactions[[#This Row],[discount_pct]]=0,"0%",IF(tblTransactions[[#This Row],[discount_pct]]&lt;=10%,"1–
10%",IF(tblTransactions[[#This Row],[discount_pct]]&lt;=20%,"11–20%","&gt;20%")))</f>
        <v>0%</v>
      </c>
      <c r="P2725" s="13" t="str">
        <f>_xlfn.XLOOKUP(tblTransactions[[#This Row],[tenant_id]],tblTenants[tenant_id],tblTenants[zone],"NOT FOUND")</f>
        <v>Entertainment</v>
      </c>
      <c r="Q2725" s="13" t="str">
        <f>_xlfn.XLOOKUP(tblTransactions[[#This Row],[tenant_id]],tblTenants[tenant_id],tblTenants[category],"NOT FOUND")</f>
        <v>Arcade</v>
      </c>
    </row>
    <row r="2726" spans="1:17">
      <c r="A2726" t="s">
        <v>2770</v>
      </c>
      <c r="B2726" s="2">
        <v>45798</v>
      </c>
      <c r="C2726">
        <v>13</v>
      </c>
      <c r="D2726" t="s">
        <v>104</v>
      </c>
      <c r="E2726" t="s">
        <v>51</v>
      </c>
      <c r="F2726" s="7">
        <v>977.21</v>
      </c>
      <c r="G2726" s="10">
        <v>0</v>
      </c>
      <c r="H2726" s="7">
        <v>977.21</v>
      </c>
      <c r="I2726">
        <v>3</v>
      </c>
      <c r="J2726" t="s">
        <v>13</v>
      </c>
      <c r="K2726" s="13">
        <f>ROUND(tblTransactions[[#This Row],[gross_sales_inr]]*(1-tblTransactions[[#This Row],[discount_pct]]),2)</f>
        <v>977.21</v>
      </c>
      <c r="L2726" t="str">
        <f>IF(ABS(tblTransactions[[#This Row],[net_sales_inr]]-tblTransactions[[#This Row],[Recalc_Net_Sales]])&lt;0.02,"OK","CHECK")</f>
        <v>OK</v>
      </c>
      <c r="M2726" s="14">
        <f>DATE(YEAR(tblTransactions[[#This Row],[date]]),MONTH(tblTransactions[[#This Row],[date]]),1)</f>
        <v>45778</v>
      </c>
      <c r="N2726" t="str">
        <f>IF(WEEKDAY(tblTransactions[[#This Row],[date]],2)&gt;5,"Weekend","Weekday")</f>
        <v>Weekday</v>
      </c>
      <c r="O2726" s="13" t="str">
        <f>IF(tblTransactions[[#This Row],[discount_pct]]=0,"0%",IF(tblTransactions[[#This Row],[discount_pct]]&lt;=10%,"1–
10%",IF(tblTransactions[[#This Row],[discount_pct]]&lt;=20%,"11–20%","&gt;20%")))</f>
        <v>0%</v>
      </c>
      <c r="P2726" s="13" t="str">
        <f>_xlfn.XLOOKUP(tblTransactions[[#This Row],[tenant_id]],tblTenants[tenant_id],tblTenants[zone],"NOT FOUND")</f>
        <v>Entertainment</v>
      </c>
      <c r="Q2726" s="13" t="str">
        <f>_xlfn.XLOOKUP(tblTransactions[[#This Row],[tenant_id]],tblTenants[tenant_id],tblTenants[category],"NOT FOUND")</f>
        <v>Family Entertainment</v>
      </c>
    </row>
    <row r="2727" spans="1:17">
      <c r="A2727" t="s">
        <v>2771</v>
      </c>
      <c r="B2727" s="2">
        <v>45773</v>
      </c>
      <c r="C2727">
        <v>20</v>
      </c>
      <c r="D2727" t="s">
        <v>34</v>
      </c>
      <c r="E2727" t="s">
        <v>12</v>
      </c>
      <c r="F2727" s="7">
        <v>1268.73</v>
      </c>
      <c r="G2727" s="10">
        <v>0.1</v>
      </c>
      <c r="H2727" s="7">
        <v>1141.8599999999999</v>
      </c>
      <c r="I2727">
        <v>1</v>
      </c>
      <c r="J2727" t="s">
        <v>13</v>
      </c>
      <c r="K2727" s="13">
        <f>ROUND(tblTransactions[[#This Row],[gross_sales_inr]]*(1-tblTransactions[[#This Row],[discount_pct]]),2)</f>
        <v>1141.8599999999999</v>
      </c>
      <c r="L2727" t="str">
        <f>IF(ABS(tblTransactions[[#This Row],[net_sales_inr]]-tblTransactions[[#This Row],[Recalc_Net_Sales]])&lt;0.02,"OK","CHECK")</f>
        <v>OK</v>
      </c>
      <c r="M2727" s="14">
        <f>DATE(YEAR(tblTransactions[[#This Row],[date]]),MONTH(tblTransactions[[#This Row],[date]]),1)</f>
        <v>45748</v>
      </c>
      <c r="N2727" t="str">
        <f>IF(WEEKDAY(tblTransactions[[#This Row],[date]],2)&gt;5,"Weekend","Weekday")</f>
        <v>Weekend</v>
      </c>
      <c r="O272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27" s="13" t="str">
        <f>_xlfn.XLOOKUP(tblTransactions[[#This Row],[tenant_id]],tblTenants[tenant_id],tblTenants[zone],"NOT FOUND")</f>
        <v>Home &amp; Living</v>
      </c>
      <c r="Q2727" s="13" t="str">
        <f>_xlfn.XLOOKUP(tblTransactions[[#This Row],[tenant_id]],tblTenants[tenant_id],tblTenants[category],"NOT FOUND")</f>
        <v>Electronics</v>
      </c>
    </row>
    <row r="2728" spans="1:17">
      <c r="A2728" t="s">
        <v>2772</v>
      </c>
      <c r="B2728" s="2">
        <v>45811</v>
      </c>
      <c r="C2728">
        <v>17</v>
      </c>
      <c r="D2728" t="s">
        <v>98</v>
      </c>
      <c r="E2728" t="s">
        <v>12</v>
      </c>
      <c r="F2728" s="7">
        <v>351.75</v>
      </c>
      <c r="G2728" s="10">
        <v>0.1</v>
      </c>
      <c r="H2728" s="7">
        <v>316.57</v>
      </c>
      <c r="I2728">
        <v>3</v>
      </c>
      <c r="J2728" t="s">
        <v>13</v>
      </c>
      <c r="K2728" s="13">
        <f>ROUND(tblTransactions[[#This Row],[gross_sales_inr]]*(1-tblTransactions[[#This Row],[discount_pct]]),2)</f>
        <v>316.58</v>
      </c>
      <c r="L2728" t="str">
        <f>IF(ABS(tblTransactions[[#This Row],[net_sales_inr]]-tblTransactions[[#This Row],[Recalc_Net_Sales]])&lt;0.02,"OK","CHECK")</f>
        <v>OK</v>
      </c>
      <c r="M2728" s="14">
        <f>DATE(YEAR(tblTransactions[[#This Row],[date]]),MONTH(tblTransactions[[#This Row],[date]]),1)</f>
        <v>45809</v>
      </c>
      <c r="N2728" t="str">
        <f>IF(WEEKDAY(tblTransactions[[#This Row],[date]],2)&gt;5,"Weekend","Weekday")</f>
        <v>Weekday</v>
      </c>
      <c r="O272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28" s="13" t="str">
        <f>_xlfn.XLOOKUP(tblTransactions[[#This Row],[tenant_id]],tblTenants[tenant_id],tblTenants[zone],"NOT FOUND")</f>
        <v>Fashion Avenue</v>
      </c>
      <c r="Q2728" s="13" t="str">
        <f>_xlfn.XLOOKUP(tblTransactions[[#This Row],[tenant_id]],tblTenants[tenant_id],tblTenants[category],"NOT FOUND")</f>
        <v>Accessories</v>
      </c>
    </row>
    <row r="2729" spans="1:17">
      <c r="A2729" t="s">
        <v>2773</v>
      </c>
      <c r="B2729" s="2">
        <v>45669</v>
      </c>
      <c r="C2729">
        <v>20</v>
      </c>
      <c r="D2729" t="s">
        <v>31</v>
      </c>
      <c r="E2729" t="s">
        <v>12</v>
      </c>
      <c r="F2729" s="7">
        <v>452.98</v>
      </c>
      <c r="G2729" s="10">
        <v>0.15</v>
      </c>
      <c r="H2729" s="7">
        <v>385.03</v>
      </c>
      <c r="I2729">
        <v>1</v>
      </c>
      <c r="J2729" t="s">
        <v>13</v>
      </c>
      <c r="K2729" s="13">
        <f>ROUND(tblTransactions[[#This Row],[gross_sales_inr]]*(1-tblTransactions[[#This Row],[discount_pct]]),2)</f>
        <v>385.03</v>
      </c>
      <c r="L2729" t="str">
        <f>IF(ABS(tblTransactions[[#This Row],[net_sales_inr]]-tblTransactions[[#This Row],[Recalc_Net_Sales]])&lt;0.02,"OK","CHECK")</f>
        <v>OK</v>
      </c>
      <c r="M2729" s="14">
        <f>DATE(YEAR(tblTransactions[[#This Row],[date]]),MONTH(tblTransactions[[#This Row],[date]]),1)</f>
        <v>45658</v>
      </c>
      <c r="N2729" t="str">
        <f>IF(WEEKDAY(tblTransactions[[#This Row],[date]],2)&gt;5,"Weekend","Weekday")</f>
        <v>Weekend</v>
      </c>
      <c r="O272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29" s="13" t="str">
        <f>_xlfn.XLOOKUP(tblTransactions[[#This Row],[tenant_id]],tblTenants[tenant_id],tblTenants[zone],"NOT FOUND")</f>
        <v>Entertainment</v>
      </c>
      <c r="Q2729" s="13" t="str">
        <f>_xlfn.XLOOKUP(tblTransactions[[#This Row],[tenant_id]],tblTenants[tenant_id],tblTenants[category],"NOT FOUND")</f>
        <v>Arcade</v>
      </c>
    </row>
    <row r="2730" spans="1:17">
      <c r="A2730" t="s">
        <v>2774</v>
      </c>
      <c r="B2730" s="2">
        <v>45705</v>
      </c>
      <c r="C2730">
        <v>18</v>
      </c>
      <c r="D2730" t="s">
        <v>31</v>
      </c>
      <c r="E2730" t="s">
        <v>21</v>
      </c>
      <c r="F2730" s="7">
        <v>2593.16</v>
      </c>
      <c r="G2730" s="10">
        <v>0</v>
      </c>
      <c r="H2730" s="7">
        <v>2593.16</v>
      </c>
      <c r="I2730">
        <v>6</v>
      </c>
      <c r="J2730" t="s">
        <v>16</v>
      </c>
      <c r="K2730" s="13">
        <f>ROUND(tblTransactions[[#This Row],[gross_sales_inr]]*(1-tblTransactions[[#This Row],[discount_pct]]),2)</f>
        <v>2593.16</v>
      </c>
      <c r="L2730" t="str">
        <f>IF(ABS(tblTransactions[[#This Row],[net_sales_inr]]-tblTransactions[[#This Row],[Recalc_Net_Sales]])&lt;0.02,"OK","CHECK")</f>
        <v>OK</v>
      </c>
      <c r="M2730" s="14">
        <f>DATE(YEAR(tblTransactions[[#This Row],[date]]),MONTH(tblTransactions[[#This Row],[date]]),1)</f>
        <v>45689</v>
      </c>
      <c r="N2730" t="str">
        <f>IF(WEEKDAY(tblTransactions[[#This Row],[date]],2)&gt;5,"Weekend","Weekday")</f>
        <v>Weekday</v>
      </c>
      <c r="O2730" s="13" t="str">
        <f>IF(tblTransactions[[#This Row],[discount_pct]]=0,"0%",IF(tblTransactions[[#This Row],[discount_pct]]&lt;=10%,"1–
10%",IF(tblTransactions[[#This Row],[discount_pct]]&lt;=20%,"11–20%","&gt;20%")))</f>
        <v>0%</v>
      </c>
      <c r="P2730" s="13" t="str">
        <f>_xlfn.XLOOKUP(tblTransactions[[#This Row],[tenant_id]],tblTenants[tenant_id],tblTenants[zone],"NOT FOUND")</f>
        <v>Entertainment</v>
      </c>
      <c r="Q2730" s="13" t="str">
        <f>_xlfn.XLOOKUP(tblTransactions[[#This Row],[tenant_id]],tblTenants[tenant_id],tblTenants[category],"NOT FOUND")</f>
        <v>Arcade</v>
      </c>
    </row>
    <row r="2731" spans="1:17">
      <c r="A2731" t="s">
        <v>2775</v>
      </c>
      <c r="B2731" s="2">
        <v>45807</v>
      </c>
      <c r="C2731">
        <v>15</v>
      </c>
      <c r="D2731" t="s">
        <v>53</v>
      </c>
      <c r="E2731" t="s">
        <v>12</v>
      </c>
      <c r="F2731" s="7">
        <v>688.59</v>
      </c>
      <c r="G2731" s="10">
        <v>0</v>
      </c>
      <c r="H2731" s="7">
        <v>688.59</v>
      </c>
      <c r="I2731">
        <v>1</v>
      </c>
      <c r="J2731" t="s">
        <v>13</v>
      </c>
      <c r="K2731" s="13">
        <f>ROUND(tblTransactions[[#This Row],[gross_sales_inr]]*(1-tblTransactions[[#This Row],[discount_pct]]),2)</f>
        <v>688.59</v>
      </c>
      <c r="L2731" t="str">
        <f>IF(ABS(tblTransactions[[#This Row],[net_sales_inr]]-tblTransactions[[#This Row],[Recalc_Net_Sales]])&lt;0.02,"OK","CHECK")</f>
        <v>OK</v>
      </c>
      <c r="M2731" s="14">
        <f>DATE(YEAR(tblTransactions[[#This Row],[date]]),MONTH(tblTransactions[[#This Row],[date]]),1)</f>
        <v>45778</v>
      </c>
      <c r="N2731" t="str">
        <f>IF(WEEKDAY(tblTransactions[[#This Row],[date]],2)&gt;5,"Weekend","Weekday")</f>
        <v>Weekday</v>
      </c>
      <c r="O2731" s="13" t="str">
        <f>IF(tblTransactions[[#This Row],[discount_pct]]=0,"0%",IF(tblTransactions[[#This Row],[discount_pct]]&lt;=10%,"1–
10%",IF(tblTransactions[[#This Row],[discount_pct]]&lt;=20%,"11–20%","&gt;20%")))</f>
        <v>0%</v>
      </c>
      <c r="P2731" s="13" t="str">
        <f>_xlfn.XLOOKUP(tblTransactions[[#This Row],[tenant_id]],tblTenants[tenant_id],tblTenants[zone],"NOT FOUND")</f>
        <v>Beauty &amp; Wellness</v>
      </c>
      <c r="Q2731" s="13" t="str">
        <f>_xlfn.XLOOKUP(tblTransactions[[#This Row],[tenant_id]],tblTenants[tenant_id],tblTenants[category],"NOT FOUND")</f>
        <v>Beauty</v>
      </c>
    </row>
    <row r="2732" spans="1:17">
      <c r="A2732" t="s">
        <v>2776</v>
      </c>
      <c r="B2732" s="2">
        <v>45801</v>
      </c>
      <c r="C2732">
        <v>13</v>
      </c>
      <c r="D2732" t="s">
        <v>25</v>
      </c>
      <c r="E2732" t="s">
        <v>32</v>
      </c>
      <c r="F2732" s="7">
        <v>1926.39</v>
      </c>
      <c r="G2732" s="10">
        <v>0</v>
      </c>
      <c r="H2732" s="7">
        <v>1926.39</v>
      </c>
      <c r="I2732">
        <v>1</v>
      </c>
      <c r="J2732" t="s">
        <v>16</v>
      </c>
      <c r="K2732" s="13">
        <f>ROUND(tblTransactions[[#This Row],[gross_sales_inr]]*(1-tblTransactions[[#This Row],[discount_pct]]),2)</f>
        <v>1926.39</v>
      </c>
      <c r="L2732" t="str">
        <f>IF(ABS(tblTransactions[[#This Row],[net_sales_inr]]-tblTransactions[[#This Row],[Recalc_Net_Sales]])&lt;0.02,"OK","CHECK")</f>
        <v>OK</v>
      </c>
      <c r="M2732" s="14">
        <f>DATE(YEAR(tblTransactions[[#This Row],[date]]),MONTH(tblTransactions[[#This Row],[date]]),1)</f>
        <v>45778</v>
      </c>
      <c r="N2732" t="str">
        <f>IF(WEEKDAY(tblTransactions[[#This Row],[date]],2)&gt;5,"Weekend","Weekday")</f>
        <v>Weekend</v>
      </c>
      <c r="O2732" s="13" t="str">
        <f>IF(tblTransactions[[#This Row],[discount_pct]]=0,"0%",IF(tblTransactions[[#This Row],[discount_pct]]&lt;=10%,"1–
10%",IF(tblTransactions[[#This Row],[discount_pct]]&lt;=20%,"11–20%","&gt;20%")))</f>
        <v>0%</v>
      </c>
      <c r="P2732" s="13" t="str">
        <f>_xlfn.XLOOKUP(tblTransactions[[#This Row],[tenant_id]],tblTenants[tenant_id],tblTenants[zone],"NOT FOUND")</f>
        <v>Beauty &amp; Wellness</v>
      </c>
      <c r="Q2732" s="13" t="str">
        <f>_xlfn.XLOOKUP(tblTransactions[[#This Row],[tenant_id]],tblTenants[tenant_id],tblTenants[category],"NOT FOUND")</f>
        <v>Beauty</v>
      </c>
    </row>
    <row r="2733" spans="1:17">
      <c r="A2733" t="s">
        <v>2777</v>
      </c>
      <c r="B2733" s="2">
        <v>45790</v>
      </c>
      <c r="C2733">
        <v>22</v>
      </c>
      <c r="D2733" t="s">
        <v>122</v>
      </c>
      <c r="E2733" t="s">
        <v>32</v>
      </c>
      <c r="F2733" s="7">
        <v>990.36</v>
      </c>
      <c r="G2733" s="10">
        <v>0.1</v>
      </c>
      <c r="H2733" s="7">
        <v>891.32</v>
      </c>
      <c r="I2733">
        <v>5</v>
      </c>
      <c r="J2733" t="s">
        <v>16</v>
      </c>
      <c r="K2733" s="13">
        <f>ROUND(tblTransactions[[#This Row],[gross_sales_inr]]*(1-tblTransactions[[#This Row],[discount_pct]]),2)</f>
        <v>891.32</v>
      </c>
      <c r="L2733" t="str">
        <f>IF(ABS(tblTransactions[[#This Row],[net_sales_inr]]-tblTransactions[[#This Row],[Recalc_Net_Sales]])&lt;0.02,"OK","CHECK")</f>
        <v>OK</v>
      </c>
      <c r="M2733" s="14">
        <f>DATE(YEAR(tblTransactions[[#This Row],[date]]),MONTH(tblTransactions[[#This Row],[date]]),1)</f>
        <v>45778</v>
      </c>
      <c r="N2733" t="str">
        <f>IF(WEEKDAY(tblTransactions[[#This Row],[date]],2)&gt;5,"Weekend","Weekday")</f>
        <v>Weekday</v>
      </c>
      <c r="O273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33" s="13" t="str">
        <f>_xlfn.XLOOKUP(tblTransactions[[#This Row],[tenant_id]],tblTenants[tenant_id],tblTenants[zone],"NOT FOUND")</f>
        <v>Beauty &amp; Wellness</v>
      </c>
      <c r="Q2733" s="13" t="str">
        <f>_xlfn.XLOOKUP(tblTransactions[[#This Row],[tenant_id]],tblTenants[tenant_id],tblTenants[category],"NOT FOUND")</f>
        <v>Wellness</v>
      </c>
    </row>
    <row r="2734" spans="1:17">
      <c r="A2734" t="s">
        <v>2778</v>
      </c>
      <c r="B2734" s="2">
        <v>45711</v>
      </c>
      <c r="C2734">
        <v>18</v>
      </c>
      <c r="D2734" t="s">
        <v>36</v>
      </c>
      <c r="E2734" t="s">
        <v>12</v>
      </c>
      <c r="F2734" s="7">
        <v>1081.48</v>
      </c>
      <c r="G2734" s="10">
        <v>0.15</v>
      </c>
      <c r="H2734" s="7">
        <v>919.26</v>
      </c>
      <c r="I2734">
        <v>1</v>
      </c>
      <c r="J2734" t="s">
        <v>13</v>
      </c>
      <c r="K2734" s="13">
        <f>ROUND(tblTransactions[[#This Row],[gross_sales_inr]]*(1-tblTransactions[[#This Row],[discount_pct]]),2)</f>
        <v>919.26</v>
      </c>
      <c r="L2734" t="str">
        <f>IF(ABS(tblTransactions[[#This Row],[net_sales_inr]]-tblTransactions[[#This Row],[Recalc_Net_Sales]])&lt;0.02,"OK","CHECK")</f>
        <v>OK</v>
      </c>
      <c r="M2734" s="14">
        <f>DATE(YEAR(tblTransactions[[#This Row],[date]]),MONTH(tblTransactions[[#This Row],[date]]),1)</f>
        <v>45689</v>
      </c>
      <c r="N2734" t="str">
        <f>IF(WEEKDAY(tblTransactions[[#This Row],[date]],2)&gt;5,"Weekend","Weekday")</f>
        <v>Weekend</v>
      </c>
      <c r="O273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34" s="13" t="str">
        <f>_xlfn.XLOOKUP(tblTransactions[[#This Row],[tenant_id]],tblTenants[tenant_id],tblTenants[zone],"NOT FOUND")</f>
        <v>Home &amp; Living</v>
      </c>
      <c r="Q2734" s="13" t="str">
        <f>_xlfn.XLOOKUP(tblTransactions[[#This Row],[tenant_id]],tblTenants[tenant_id],tblTenants[category],"NOT FOUND")</f>
        <v>Electronics</v>
      </c>
    </row>
    <row r="2735" spans="1:17">
      <c r="A2735" t="s">
        <v>2779</v>
      </c>
      <c r="B2735" s="2">
        <v>45679</v>
      </c>
      <c r="C2735">
        <v>18</v>
      </c>
      <c r="D2735" t="s">
        <v>34</v>
      </c>
      <c r="E2735" t="s">
        <v>32</v>
      </c>
      <c r="F2735" s="7">
        <v>1926.44</v>
      </c>
      <c r="G2735" s="10">
        <v>0</v>
      </c>
      <c r="H2735" s="7">
        <v>1926.44</v>
      </c>
      <c r="I2735">
        <v>1</v>
      </c>
      <c r="J2735" t="s">
        <v>13</v>
      </c>
      <c r="K2735" s="13">
        <f>ROUND(tblTransactions[[#This Row],[gross_sales_inr]]*(1-tblTransactions[[#This Row],[discount_pct]]),2)</f>
        <v>1926.44</v>
      </c>
      <c r="L2735" t="str">
        <f>IF(ABS(tblTransactions[[#This Row],[net_sales_inr]]-tblTransactions[[#This Row],[Recalc_Net_Sales]])&lt;0.02,"OK","CHECK")</f>
        <v>OK</v>
      </c>
      <c r="M2735" s="14">
        <f>DATE(YEAR(tblTransactions[[#This Row],[date]]),MONTH(tblTransactions[[#This Row],[date]]),1)</f>
        <v>45658</v>
      </c>
      <c r="N2735" t="str">
        <f>IF(WEEKDAY(tblTransactions[[#This Row],[date]],2)&gt;5,"Weekend","Weekday")</f>
        <v>Weekday</v>
      </c>
      <c r="O2735" s="13" t="str">
        <f>IF(tblTransactions[[#This Row],[discount_pct]]=0,"0%",IF(tblTransactions[[#This Row],[discount_pct]]&lt;=10%,"1–
10%",IF(tblTransactions[[#This Row],[discount_pct]]&lt;=20%,"11–20%","&gt;20%")))</f>
        <v>0%</v>
      </c>
      <c r="P2735" s="13" t="str">
        <f>_xlfn.XLOOKUP(tblTransactions[[#This Row],[tenant_id]],tblTenants[tenant_id],tblTenants[zone],"NOT FOUND")</f>
        <v>Home &amp; Living</v>
      </c>
      <c r="Q2735" s="13" t="str">
        <f>_xlfn.XLOOKUP(tblTransactions[[#This Row],[tenant_id]],tblTenants[tenant_id],tblTenants[category],"NOT FOUND")</f>
        <v>Electronics</v>
      </c>
    </row>
    <row r="2736" spans="1:17">
      <c r="A2736" t="s">
        <v>2780</v>
      </c>
      <c r="B2736" s="2">
        <v>45661</v>
      </c>
      <c r="C2736">
        <v>12</v>
      </c>
      <c r="D2736" t="s">
        <v>43</v>
      </c>
      <c r="E2736" t="s">
        <v>12</v>
      </c>
      <c r="F2736" s="7">
        <v>1292.96</v>
      </c>
      <c r="G2736" s="10">
        <v>0</v>
      </c>
      <c r="H2736" s="7">
        <v>1292.96</v>
      </c>
      <c r="I2736">
        <v>1</v>
      </c>
      <c r="J2736" t="s">
        <v>13</v>
      </c>
      <c r="K2736" s="13">
        <f>ROUND(tblTransactions[[#This Row],[gross_sales_inr]]*(1-tblTransactions[[#This Row],[discount_pct]]),2)</f>
        <v>1292.96</v>
      </c>
      <c r="L2736" t="str">
        <f>IF(ABS(tblTransactions[[#This Row],[net_sales_inr]]-tblTransactions[[#This Row],[Recalc_Net_Sales]])&lt;0.02,"OK","CHECK")</f>
        <v>OK</v>
      </c>
      <c r="M2736" s="14">
        <f>DATE(YEAR(tblTransactions[[#This Row],[date]]),MONTH(tblTransactions[[#This Row],[date]]),1)</f>
        <v>45658</v>
      </c>
      <c r="N2736" t="str">
        <f>IF(WEEKDAY(tblTransactions[[#This Row],[date]],2)&gt;5,"Weekend","Weekday")</f>
        <v>Weekend</v>
      </c>
      <c r="O2736" s="13" t="str">
        <f>IF(tblTransactions[[#This Row],[discount_pct]]=0,"0%",IF(tblTransactions[[#This Row],[discount_pct]]&lt;=10%,"1–
10%",IF(tblTransactions[[#This Row],[discount_pct]]&lt;=20%,"11–20%","&gt;20%")))</f>
        <v>0%</v>
      </c>
      <c r="P2736" s="13" t="str">
        <f>_xlfn.XLOOKUP(tblTransactions[[#This Row],[tenant_id]],tblTenants[tenant_id],tblTenants[zone],"NOT FOUND")</f>
        <v>Food Court</v>
      </c>
      <c r="Q2736" s="13" t="str">
        <f>_xlfn.XLOOKUP(tblTransactions[[#This Row],[tenant_id]],tblTenants[tenant_id],tblTenants[category],"NOT FOUND")</f>
        <v>Casual Dining</v>
      </c>
    </row>
    <row r="2737" spans="1:17">
      <c r="A2737" t="s">
        <v>2781</v>
      </c>
      <c r="B2737" s="2">
        <v>45773</v>
      </c>
      <c r="C2737">
        <v>17</v>
      </c>
      <c r="D2737" t="s">
        <v>59</v>
      </c>
      <c r="E2737" t="s">
        <v>32</v>
      </c>
      <c r="F2737" s="7">
        <v>1331.5</v>
      </c>
      <c r="G2737" s="10">
        <v>0.1</v>
      </c>
      <c r="H2737" s="7">
        <v>1198.3499999999999</v>
      </c>
      <c r="I2737">
        <v>4</v>
      </c>
      <c r="J2737" t="s">
        <v>13</v>
      </c>
      <c r="K2737" s="13">
        <f>ROUND(tblTransactions[[#This Row],[gross_sales_inr]]*(1-tblTransactions[[#This Row],[discount_pct]]),2)</f>
        <v>1198.3499999999999</v>
      </c>
      <c r="L2737" t="str">
        <f>IF(ABS(tblTransactions[[#This Row],[net_sales_inr]]-tblTransactions[[#This Row],[Recalc_Net_Sales]])&lt;0.02,"OK","CHECK")</f>
        <v>OK</v>
      </c>
      <c r="M2737" s="14">
        <f>DATE(YEAR(tblTransactions[[#This Row],[date]]),MONTH(tblTransactions[[#This Row],[date]]),1)</f>
        <v>45748</v>
      </c>
      <c r="N2737" t="str">
        <f>IF(WEEKDAY(tblTransactions[[#This Row],[date]],2)&gt;5,"Weekend","Weekday")</f>
        <v>Weekend</v>
      </c>
      <c r="O273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37" s="13" t="str">
        <f>_xlfn.XLOOKUP(tblTransactions[[#This Row],[tenant_id]],tblTenants[tenant_id],tblTenants[zone],"NOT FOUND")</f>
        <v>Fashion Avenue</v>
      </c>
      <c r="Q2737" s="13" t="str">
        <f>_xlfn.XLOOKUP(tblTransactions[[#This Row],[tenant_id]],tblTenants[tenant_id],tblTenants[category],"NOT FOUND")</f>
        <v>Footwear</v>
      </c>
    </row>
    <row r="2738" spans="1:17">
      <c r="A2738" t="s">
        <v>2782</v>
      </c>
      <c r="B2738" s="2">
        <v>45727</v>
      </c>
      <c r="C2738">
        <v>15</v>
      </c>
      <c r="D2738" t="s">
        <v>70</v>
      </c>
      <c r="E2738" t="s">
        <v>12</v>
      </c>
      <c r="F2738" s="7">
        <v>209.81</v>
      </c>
      <c r="G2738" s="10">
        <v>0</v>
      </c>
      <c r="H2738" s="7">
        <v>209.81</v>
      </c>
      <c r="I2738">
        <v>1</v>
      </c>
      <c r="J2738" t="s">
        <v>16</v>
      </c>
      <c r="K2738" s="13">
        <f>ROUND(tblTransactions[[#This Row],[gross_sales_inr]]*(1-tblTransactions[[#This Row],[discount_pct]]),2)</f>
        <v>209.81</v>
      </c>
      <c r="L2738" t="str">
        <f>IF(ABS(tblTransactions[[#This Row],[net_sales_inr]]-tblTransactions[[#This Row],[Recalc_Net_Sales]])&lt;0.02,"OK","CHECK")</f>
        <v>OK</v>
      </c>
      <c r="M2738" s="14">
        <f>DATE(YEAR(tblTransactions[[#This Row],[date]]),MONTH(tblTransactions[[#This Row],[date]]),1)</f>
        <v>45717</v>
      </c>
      <c r="N2738" t="str">
        <f>IF(WEEKDAY(tblTransactions[[#This Row],[date]],2)&gt;5,"Weekend","Weekday")</f>
        <v>Weekday</v>
      </c>
      <c r="O2738" s="13" t="str">
        <f>IF(tblTransactions[[#This Row],[discount_pct]]=0,"0%",IF(tblTransactions[[#This Row],[discount_pct]]&lt;=10%,"1–
10%",IF(tblTransactions[[#This Row],[discount_pct]]&lt;=20%,"11–20%","&gt;20%")))</f>
        <v>0%</v>
      </c>
      <c r="P2738" s="13" t="str">
        <f>_xlfn.XLOOKUP(tblTransactions[[#This Row],[tenant_id]],tblTenants[tenant_id],tblTenants[zone],"NOT FOUND")</f>
        <v>Food Court</v>
      </c>
      <c r="Q2738" s="13" t="str">
        <f>_xlfn.XLOOKUP(tblTransactions[[#This Row],[tenant_id]],tblTenants[tenant_id],tblTenants[category],"NOT FOUND")</f>
        <v>Quick Service</v>
      </c>
    </row>
    <row r="2739" spans="1:17">
      <c r="A2739" t="s">
        <v>2783</v>
      </c>
      <c r="B2739" s="2">
        <v>45798</v>
      </c>
      <c r="C2739">
        <v>16</v>
      </c>
      <c r="D2739" t="s">
        <v>29</v>
      </c>
      <c r="E2739" t="s">
        <v>12</v>
      </c>
      <c r="F2739" s="7">
        <v>923</v>
      </c>
      <c r="G2739" s="10">
        <v>0</v>
      </c>
      <c r="H2739" s="7">
        <v>923</v>
      </c>
      <c r="I2739">
        <v>1</v>
      </c>
      <c r="J2739" t="s">
        <v>16</v>
      </c>
      <c r="K2739" s="13">
        <f>ROUND(tblTransactions[[#This Row],[gross_sales_inr]]*(1-tblTransactions[[#This Row],[discount_pct]]),2)</f>
        <v>923</v>
      </c>
      <c r="L2739" t="str">
        <f>IF(ABS(tblTransactions[[#This Row],[net_sales_inr]]-tblTransactions[[#This Row],[Recalc_Net_Sales]])&lt;0.02,"OK","CHECK")</f>
        <v>OK</v>
      </c>
      <c r="M2739" s="14">
        <f>DATE(YEAR(tblTransactions[[#This Row],[date]]),MONTH(tblTransactions[[#This Row],[date]]),1)</f>
        <v>45778</v>
      </c>
      <c r="N2739" t="str">
        <f>IF(WEEKDAY(tblTransactions[[#This Row],[date]],2)&gt;5,"Weekend","Weekday")</f>
        <v>Weekday</v>
      </c>
      <c r="O2739" s="13" t="str">
        <f>IF(tblTransactions[[#This Row],[discount_pct]]=0,"0%",IF(tblTransactions[[#This Row],[discount_pct]]&lt;=10%,"1–
10%",IF(tblTransactions[[#This Row],[discount_pct]]&lt;=20%,"11–20%","&gt;20%")))</f>
        <v>0%</v>
      </c>
      <c r="P2739" s="13" t="str">
        <f>_xlfn.XLOOKUP(tblTransactions[[#This Row],[tenant_id]],tblTenants[tenant_id],tblTenants[zone],"NOT FOUND")</f>
        <v>Entertainment</v>
      </c>
      <c r="Q2739" s="13" t="str">
        <f>_xlfn.XLOOKUP(tblTransactions[[#This Row],[tenant_id]],tblTenants[tenant_id],tblTenants[category],"NOT FOUND")</f>
        <v>Cinema</v>
      </c>
    </row>
    <row r="2740" spans="1:17">
      <c r="A2740" t="s">
        <v>2784</v>
      </c>
      <c r="B2740" s="2">
        <v>45736</v>
      </c>
      <c r="C2740">
        <v>15</v>
      </c>
      <c r="D2740" t="s">
        <v>23</v>
      </c>
      <c r="E2740" t="s">
        <v>12</v>
      </c>
      <c r="F2740" s="7">
        <v>604.39</v>
      </c>
      <c r="G2740" s="10">
        <v>0.15</v>
      </c>
      <c r="H2740" s="7">
        <v>513.73</v>
      </c>
      <c r="I2740">
        <v>1</v>
      </c>
      <c r="J2740" t="s">
        <v>16</v>
      </c>
      <c r="K2740" s="13">
        <f>ROUND(tblTransactions[[#This Row],[gross_sales_inr]]*(1-tblTransactions[[#This Row],[discount_pct]]),2)</f>
        <v>513.73</v>
      </c>
      <c r="L2740" t="str">
        <f>IF(ABS(tblTransactions[[#This Row],[net_sales_inr]]-tblTransactions[[#This Row],[Recalc_Net_Sales]])&lt;0.02,"OK","CHECK")</f>
        <v>OK</v>
      </c>
      <c r="M2740" s="14">
        <f>DATE(YEAR(tblTransactions[[#This Row],[date]]),MONTH(tblTransactions[[#This Row],[date]]),1)</f>
        <v>45717</v>
      </c>
      <c r="N2740" t="str">
        <f>IF(WEEKDAY(tblTransactions[[#This Row],[date]],2)&gt;5,"Weekend","Weekday")</f>
        <v>Weekday</v>
      </c>
      <c r="O274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40" s="13" t="str">
        <f>_xlfn.XLOOKUP(tblTransactions[[#This Row],[tenant_id]],tblTenants[tenant_id],tblTenants[zone],"NOT FOUND")</f>
        <v>Entertainment</v>
      </c>
      <c r="Q2740" s="13" t="str">
        <f>_xlfn.XLOOKUP(tblTransactions[[#This Row],[tenant_id]],tblTenants[tenant_id],tblTenants[category],"NOT FOUND")</f>
        <v>Cinema</v>
      </c>
    </row>
    <row r="2741" spans="1:17">
      <c r="A2741" t="s">
        <v>2785</v>
      </c>
      <c r="B2741" s="2">
        <v>45784</v>
      </c>
      <c r="C2741">
        <v>14</v>
      </c>
      <c r="D2741" t="s">
        <v>20</v>
      </c>
      <c r="E2741" t="s">
        <v>32</v>
      </c>
      <c r="F2741" s="7">
        <v>1154.78</v>
      </c>
      <c r="G2741" s="10">
        <v>0.2</v>
      </c>
      <c r="H2741" s="7">
        <v>923.82</v>
      </c>
      <c r="I2741">
        <v>2</v>
      </c>
      <c r="J2741" t="s">
        <v>16</v>
      </c>
      <c r="K2741" s="13">
        <f>ROUND(tblTransactions[[#This Row],[gross_sales_inr]]*(1-tblTransactions[[#This Row],[discount_pct]]),2)</f>
        <v>923.82</v>
      </c>
      <c r="L2741" t="str">
        <f>IF(ABS(tblTransactions[[#This Row],[net_sales_inr]]-tblTransactions[[#This Row],[Recalc_Net_Sales]])&lt;0.02,"OK","CHECK")</f>
        <v>OK</v>
      </c>
      <c r="M2741" s="14">
        <f>DATE(YEAR(tblTransactions[[#This Row],[date]]),MONTH(tblTransactions[[#This Row],[date]]),1)</f>
        <v>45778</v>
      </c>
      <c r="N2741" t="str">
        <f>IF(WEEKDAY(tblTransactions[[#This Row],[date]],2)&gt;5,"Weekend","Weekday")</f>
        <v>Weekday</v>
      </c>
      <c r="O274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41" s="13" t="str">
        <f>_xlfn.XLOOKUP(tblTransactions[[#This Row],[tenant_id]],tblTenants[tenant_id],tblTenants[zone],"NOT FOUND")</f>
        <v>Fashion Avenue</v>
      </c>
      <c r="Q2741" s="13" t="str">
        <f>_xlfn.XLOOKUP(tblTransactions[[#This Row],[tenant_id]],tblTenants[tenant_id],tblTenants[category],"NOT FOUND")</f>
        <v>Accessories</v>
      </c>
    </row>
    <row r="2742" spans="1:17">
      <c r="A2742" t="s">
        <v>2786</v>
      </c>
      <c r="B2742" s="2">
        <v>45726</v>
      </c>
      <c r="C2742">
        <v>11</v>
      </c>
      <c r="D2742" t="s">
        <v>25</v>
      </c>
      <c r="E2742" t="s">
        <v>12</v>
      </c>
      <c r="F2742" s="7">
        <v>1201.43</v>
      </c>
      <c r="G2742" s="10">
        <v>0</v>
      </c>
      <c r="H2742" s="7">
        <v>1201.43</v>
      </c>
      <c r="I2742">
        <v>3</v>
      </c>
      <c r="J2742" t="s">
        <v>16</v>
      </c>
      <c r="K2742" s="13">
        <f>ROUND(tblTransactions[[#This Row],[gross_sales_inr]]*(1-tblTransactions[[#This Row],[discount_pct]]),2)</f>
        <v>1201.43</v>
      </c>
      <c r="L2742" t="str">
        <f>IF(ABS(tblTransactions[[#This Row],[net_sales_inr]]-tblTransactions[[#This Row],[Recalc_Net_Sales]])&lt;0.02,"OK","CHECK")</f>
        <v>OK</v>
      </c>
      <c r="M2742" s="14">
        <f>DATE(YEAR(tblTransactions[[#This Row],[date]]),MONTH(tblTransactions[[#This Row],[date]]),1)</f>
        <v>45717</v>
      </c>
      <c r="N2742" t="str">
        <f>IF(WEEKDAY(tblTransactions[[#This Row],[date]],2)&gt;5,"Weekend","Weekday")</f>
        <v>Weekday</v>
      </c>
      <c r="O2742" s="13" t="str">
        <f>IF(tblTransactions[[#This Row],[discount_pct]]=0,"0%",IF(tblTransactions[[#This Row],[discount_pct]]&lt;=10%,"1–
10%",IF(tblTransactions[[#This Row],[discount_pct]]&lt;=20%,"11–20%","&gt;20%")))</f>
        <v>0%</v>
      </c>
      <c r="P2742" s="13" t="str">
        <f>_xlfn.XLOOKUP(tblTransactions[[#This Row],[tenant_id]],tblTenants[tenant_id],tblTenants[zone],"NOT FOUND")</f>
        <v>Beauty &amp; Wellness</v>
      </c>
      <c r="Q2742" s="13" t="str">
        <f>_xlfn.XLOOKUP(tblTransactions[[#This Row],[tenant_id]],tblTenants[tenant_id],tblTenants[category],"NOT FOUND")</f>
        <v>Beauty</v>
      </c>
    </row>
    <row r="2743" spans="1:17">
      <c r="A2743" t="s">
        <v>2787</v>
      </c>
      <c r="B2743" s="2">
        <v>45810</v>
      </c>
      <c r="C2743">
        <v>17</v>
      </c>
      <c r="D2743" t="s">
        <v>55</v>
      </c>
      <c r="E2743" t="s">
        <v>32</v>
      </c>
      <c r="F2743" s="7">
        <v>1926.36</v>
      </c>
      <c r="G2743" s="10">
        <v>0.05</v>
      </c>
      <c r="H2743" s="7">
        <v>1830.04</v>
      </c>
      <c r="I2743">
        <v>3</v>
      </c>
      <c r="J2743" t="s">
        <v>13</v>
      </c>
      <c r="K2743" s="13">
        <f>ROUND(tblTransactions[[#This Row],[gross_sales_inr]]*(1-tblTransactions[[#This Row],[discount_pct]]),2)</f>
        <v>1830.04</v>
      </c>
      <c r="L2743" t="str">
        <f>IF(ABS(tblTransactions[[#This Row],[net_sales_inr]]-tblTransactions[[#This Row],[Recalc_Net_Sales]])&lt;0.02,"OK","CHECK")</f>
        <v>OK</v>
      </c>
      <c r="M2743" s="14">
        <f>DATE(YEAR(tblTransactions[[#This Row],[date]]),MONTH(tblTransactions[[#This Row],[date]]),1)</f>
        <v>45809</v>
      </c>
      <c r="N2743" t="str">
        <f>IF(WEEKDAY(tblTransactions[[#This Row],[date]],2)&gt;5,"Weekend","Weekday")</f>
        <v>Weekday</v>
      </c>
      <c r="O274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43" s="13" t="str">
        <f>_xlfn.XLOOKUP(tblTransactions[[#This Row],[tenant_id]],tblTenants[tenant_id],tblTenants[zone],"NOT FOUND")</f>
        <v>Food Court</v>
      </c>
      <c r="Q2743" s="13" t="str">
        <f>_xlfn.XLOOKUP(tblTransactions[[#This Row],[tenant_id]],tblTenants[tenant_id],tblTenants[category],"NOT FOUND")</f>
        <v>Quick Service</v>
      </c>
    </row>
    <row r="2744" spans="1:17">
      <c r="A2744" t="s">
        <v>2788</v>
      </c>
      <c r="B2744" s="2">
        <v>45790</v>
      </c>
      <c r="C2744">
        <v>17</v>
      </c>
      <c r="D2744" t="s">
        <v>23</v>
      </c>
      <c r="E2744" t="s">
        <v>12</v>
      </c>
      <c r="F2744" s="7">
        <v>1990.32</v>
      </c>
      <c r="G2744" s="10">
        <v>0</v>
      </c>
      <c r="H2744" s="7">
        <v>1990.32</v>
      </c>
      <c r="I2744">
        <v>2</v>
      </c>
      <c r="J2744" t="s">
        <v>13</v>
      </c>
      <c r="K2744" s="13">
        <f>ROUND(tblTransactions[[#This Row],[gross_sales_inr]]*(1-tblTransactions[[#This Row],[discount_pct]]),2)</f>
        <v>1990.32</v>
      </c>
      <c r="L2744" t="str">
        <f>IF(ABS(tblTransactions[[#This Row],[net_sales_inr]]-tblTransactions[[#This Row],[Recalc_Net_Sales]])&lt;0.02,"OK","CHECK")</f>
        <v>OK</v>
      </c>
      <c r="M2744" s="14">
        <f>DATE(YEAR(tblTransactions[[#This Row],[date]]),MONTH(tblTransactions[[#This Row],[date]]),1)</f>
        <v>45778</v>
      </c>
      <c r="N2744" t="str">
        <f>IF(WEEKDAY(tblTransactions[[#This Row],[date]],2)&gt;5,"Weekend","Weekday")</f>
        <v>Weekday</v>
      </c>
      <c r="O2744" s="13" t="str">
        <f>IF(tblTransactions[[#This Row],[discount_pct]]=0,"0%",IF(tblTransactions[[#This Row],[discount_pct]]&lt;=10%,"1–
10%",IF(tblTransactions[[#This Row],[discount_pct]]&lt;=20%,"11–20%","&gt;20%")))</f>
        <v>0%</v>
      </c>
      <c r="P2744" s="13" t="str">
        <f>_xlfn.XLOOKUP(tblTransactions[[#This Row],[tenant_id]],tblTenants[tenant_id],tblTenants[zone],"NOT FOUND")</f>
        <v>Entertainment</v>
      </c>
      <c r="Q2744" s="13" t="str">
        <f>_xlfn.XLOOKUP(tblTransactions[[#This Row],[tenant_id]],tblTenants[tenant_id],tblTenants[category],"NOT FOUND")</f>
        <v>Cinema</v>
      </c>
    </row>
    <row r="2745" spans="1:17">
      <c r="A2745" t="s">
        <v>2789</v>
      </c>
      <c r="B2745" s="2">
        <v>45779</v>
      </c>
      <c r="C2745">
        <v>22</v>
      </c>
      <c r="D2745" t="s">
        <v>15</v>
      </c>
      <c r="E2745" t="s">
        <v>32</v>
      </c>
      <c r="F2745" s="7">
        <v>1018.85</v>
      </c>
      <c r="G2745" s="10">
        <v>0</v>
      </c>
      <c r="H2745" s="7">
        <v>1018.85</v>
      </c>
      <c r="I2745">
        <v>1</v>
      </c>
      <c r="J2745" t="s">
        <v>16</v>
      </c>
      <c r="K2745" s="13">
        <f>ROUND(tblTransactions[[#This Row],[gross_sales_inr]]*(1-tblTransactions[[#This Row],[discount_pct]]),2)</f>
        <v>1018.85</v>
      </c>
      <c r="L2745" t="str">
        <f>IF(ABS(tblTransactions[[#This Row],[net_sales_inr]]-tblTransactions[[#This Row],[Recalc_Net_Sales]])&lt;0.02,"OK","CHECK")</f>
        <v>OK</v>
      </c>
      <c r="M2745" s="14">
        <f>DATE(YEAR(tblTransactions[[#This Row],[date]]),MONTH(tblTransactions[[#This Row],[date]]),1)</f>
        <v>45778</v>
      </c>
      <c r="N2745" t="str">
        <f>IF(WEEKDAY(tblTransactions[[#This Row],[date]],2)&gt;5,"Weekend","Weekday")</f>
        <v>Weekday</v>
      </c>
      <c r="O2745" s="13" t="str">
        <f>IF(tblTransactions[[#This Row],[discount_pct]]=0,"0%",IF(tblTransactions[[#This Row],[discount_pct]]&lt;=10%,"1–
10%",IF(tblTransactions[[#This Row],[discount_pct]]&lt;=20%,"11–20%","&gt;20%")))</f>
        <v>0%</v>
      </c>
      <c r="P2745" s="13" t="str">
        <f>_xlfn.XLOOKUP(tblTransactions[[#This Row],[tenant_id]],tblTenants[tenant_id],tblTenants[zone],"NOT FOUND")</f>
        <v>Fashion Avenue</v>
      </c>
      <c r="Q2745" s="13" t="str">
        <f>_xlfn.XLOOKUP(tblTransactions[[#This Row],[tenant_id]],tblTenants[tenant_id],tblTenants[category],"NOT FOUND")</f>
        <v>Accessories</v>
      </c>
    </row>
    <row r="2746" spans="1:17">
      <c r="A2746" t="s">
        <v>2790</v>
      </c>
      <c r="B2746" s="2">
        <v>45677</v>
      </c>
      <c r="C2746">
        <v>11</v>
      </c>
      <c r="D2746" t="s">
        <v>55</v>
      </c>
      <c r="E2746" t="s">
        <v>12</v>
      </c>
      <c r="F2746" s="7">
        <v>1169.1400000000001</v>
      </c>
      <c r="G2746" s="10">
        <v>0.2</v>
      </c>
      <c r="H2746" s="7">
        <v>935.31</v>
      </c>
      <c r="I2746">
        <v>1</v>
      </c>
      <c r="J2746" t="s">
        <v>13</v>
      </c>
      <c r="K2746" s="13">
        <f>ROUND(tblTransactions[[#This Row],[gross_sales_inr]]*(1-tblTransactions[[#This Row],[discount_pct]]),2)</f>
        <v>935.31</v>
      </c>
      <c r="L2746" t="str">
        <f>IF(ABS(tblTransactions[[#This Row],[net_sales_inr]]-tblTransactions[[#This Row],[Recalc_Net_Sales]])&lt;0.02,"OK","CHECK")</f>
        <v>OK</v>
      </c>
      <c r="M2746" s="14">
        <f>DATE(YEAR(tblTransactions[[#This Row],[date]]),MONTH(tblTransactions[[#This Row],[date]]),1)</f>
        <v>45658</v>
      </c>
      <c r="N2746" t="str">
        <f>IF(WEEKDAY(tblTransactions[[#This Row],[date]],2)&gt;5,"Weekend","Weekday")</f>
        <v>Weekday</v>
      </c>
      <c r="O274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46" s="13" t="str">
        <f>_xlfn.XLOOKUP(tblTransactions[[#This Row],[tenant_id]],tblTenants[tenant_id],tblTenants[zone],"NOT FOUND")</f>
        <v>Food Court</v>
      </c>
      <c r="Q2746" s="13" t="str">
        <f>_xlfn.XLOOKUP(tblTransactions[[#This Row],[tenant_id]],tblTenants[tenant_id],tblTenants[category],"NOT FOUND")</f>
        <v>Quick Service</v>
      </c>
    </row>
    <row r="2747" spans="1:17">
      <c r="A2747" t="s">
        <v>2791</v>
      </c>
      <c r="B2747" s="2">
        <v>45824</v>
      </c>
      <c r="C2747">
        <v>13</v>
      </c>
      <c r="D2747" t="s">
        <v>53</v>
      </c>
      <c r="E2747" t="s">
        <v>12</v>
      </c>
      <c r="F2747" s="7">
        <v>504.47</v>
      </c>
      <c r="G2747" s="10">
        <v>0.3</v>
      </c>
      <c r="H2747" s="7">
        <v>353.13</v>
      </c>
      <c r="I2747">
        <v>2</v>
      </c>
      <c r="J2747" t="s">
        <v>13</v>
      </c>
      <c r="K2747" s="13">
        <f>ROUND(tblTransactions[[#This Row],[gross_sales_inr]]*(1-tblTransactions[[#This Row],[discount_pct]]),2)</f>
        <v>353.13</v>
      </c>
      <c r="L2747" t="str">
        <f>IF(ABS(tblTransactions[[#This Row],[net_sales_inr]]-tblTransactions[[#This Row],[Recalc_Net_Sales]])&lt;0.02,"OK","CHECK")</f>
        <v>OK</v>
      </c>
      <c r="M2747" s="14">
        <f>DATE(YEAR(tblTransactions[[#This Row],[date]]),MONTH(tblTransactions[[#This Row],[date]]),1)</f>
        <v>45809</v>
      </c>
      <c r="N2747" t="str">
        <f>IF(WEEKDAY(tblTransactions[[#This Row],[date]],2)&gt;5,"Weekend","Weekday")</f>
        <v>Weekday</v>
      </c>
      <c r="O274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747" s="13" t="str">
        <f>_xlfn.XLOOKUP(tblTransactions[[#This Row],[tenant_id]],tblTenants[tenant_id],tblTenants[zone],"NOT FOUND")</f>
        <v>Beauty &amp; Wellness</v>
      </c>
      <c r="Q2747" s="13" t="str">
        <f>_xlfn.XLOOKUP(tblTransactions[[#This Row],[tenant_id]],tblTenants[tenant_id],tblTenants[category],"NOT FOUND")</f>
        <v>Beauty</v>
      </c>
    </row>
    <row r="2748" spans="1:17">
      <c r="A2748" t="s">
        <v>2792</v>
      </c>
      <c r="B2748" s="2">
        <v>45790</v>
      </c>
      <c r="C2748">
        <v>20</v>
      </c>
      <c r="D2748" t="s">
        <v>25</v>
      </c>
      <c r="E2748" t="s">
        <v>21</v>
      </c>
      <c r="F2748" s="7">
        <v>2451.56</v>
      </c>
      <c r="G2748" s="10">
        <v>0.1</v>
      </c>
      <c r="H2748" s="7">
        <v>2206.4</v>
      </c>
      <c r="I2748">
        <v>3</v>
      </c>
      <c r="J2748" t="s">
        <v>13</v>
      </c>
      <c r="K2748" s="13">
        <f>ROUND(tblTransactions[[#This Row],[gross_sales_inr]]*(1-tblTransactions[[#This Row],[discount_pct]]),2)</f>
        <v>2206.4</v>
      </c>
      <c r="L2748" t="str">
        <f>IF(ABS(tblTransactions[[#This Row],[net_sales_inr]]-tblTransactions[[#This Row],[Recalc_Net_Sales]])&lt;0.02,"OK","CHECK")</f>
        <v>OK</v>
      </c>
      <c r="M2748" s="14">
        <f>DATE(YEAR(tblTransactions[[#This Row],[date]]),MONTH(tblTransactions[[#This Row],[date]]),1)</f>
        <v>45778</v>
      </c>
      <c r="N2748" t="str">
        <f>IF(WEEKDAY(tblTransactions[[#This Row],[date]],2)&gt;5,"Weekend","Weekday")</f>
        <v>Weekday</v>
      </c>
      <c r="O274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48" s="13" t="str">
        <f>_xlfn.XLOOKUP(tblTransactions[[#This Row],[tenant_id]],tblTenants[tenant_id],tblTenants[zone],"NOT FOUND")</f>
        <v>Beauty &amp; Wellness</v>
      </c>
      <c r="Q2748" s="13" t="str">
        <f>_xlfn.XLOOKUP(tblTransactions[[#This Row],[tenant_id]],tblTenants[tenant_id],tblTenants[category],"NOT FOUND")</f>
        <v>Beauty</v>
      </c>
    </row>
    <row r="2749" spans="1:17">
      <c r="A2749" t="s">
        <v>2793</v>
      </c>
      <c r="B2749" s="2">
        <v>45712</v>
      </c>
      <c r="C2749">
        <v>16</v>
      </c>
      <c r="D2749" t="s">
        <v>36</v>
      </c>
      <c r="E2749" t="s">
        <v>12</v>
      </c>
      <c r="F2749" s="7">
        <v>958.42</v>
      </c>
      <c r="G2749" s="10">
        <v>0</v>
      </c>
      <c r="H2749" s="7">
        <v>958.42</v>
      </c>
      <c r="I2749">
        <v>6</v>
      </c>
      <c r="J2749" t="s">
        <v>13</v>
      </c>
      <c r="K2749" s="13">
        <f>ROUND(tblTransactions[[#This Row],[gross_sales_inr]]*(1-tblTransactions[[#This Row],[discount_pct]]),2)</f>
        <v>958.42</v>
      </c>
      <c r="L2749" t="str">
        <f>IF(ABS(tblTransactions[[#This Row],[net_sales_inr]]-tblTransactions[[#This Row],[Recalc_Net_Sales]])&lt;0.02,"OK","CHECK")</f>
        <v>OK</v>
      </c>
      <c r="M2749" s="14">
        <f>DATE(YEAR(tblTransactions[[#This Row],[date]]),MONTH(tblTransactions[[#This Row],[date]]),1)</f>
        <v>45689</v>
      </c>
      <c r="N2749" t="str">
        <f>IF(WEEKDAY(tblTransactions[[#This Row],[date]],2)&gt;5,"Weekend","Weekday")</f>
        <v>Weekday</v>
      </c>
      <c r="O2749" s="13" t="str">
        <f>IF(tblTransactions[[#This Row],[discount_pct]]=0,"0%",IF(tblTransactions[[#This Row],[discount_pct]]&lt;=10%,"1–
10%",IF(tblTransactions[[#This Row],[discount_pct]]&lt;=20%,"11–20%","&gt;20%")))</f>
        <v>0%</v>
      </c>
      <c r="P2749" s="13" t="str">
        <f>_xlfn.XLOOKUP(tblTransactions[[#This Row],[tenant_id]],tblTenants[tenant_id],tblTenants[zone],"NOT FOUND")</f>
        <v>Home &amp; Living</v>
      </c>
      <c r="Q2749" s="13" t="str">
        <f>_xlfn.XLOOKUP(tblTransactions[[#This Row],[tenant_id]],tblTenants[tenant_id],tblTenants[category],"NOT FOUND")</f>
        <v>Electronics</v>
      </c>
    </row>
    <row r="2750" spans="1:17">
      <c r="A2750" t="s">
        <v>2794</v>
      </c>
      <c r="B2750" s="2">
        <v>45663</v>
      </c>
      <c r="C2750">
        <v>18</v>
      </c>
      <c r="D2750" t="s">
        <v>20</v>
      </c>
      <c r="E2750" t="s">
        <v>32</v>
      </c>
      <c r="F2750" s="7">
        <v>413.8</v>
      </c>
      <c r="G2750" s="10">
        <v>0</v>
      </c>
      <c r="H2750" s="7">
        <v>413.8</v>
      </c>
      <c r="I2750">
        <v>3</v>
      </c>
      <c r="J2750" t="s">
        <v>13</v>
      </c>
      <c r="K2750" s="13">
        <f>ROUND(tblTransactions[[#This Row],[gross_sales_inr]]*(1-tblTransactions[[#This Row],[discount_pct]]),2)</f>
        <v>413.8</v>
      </c>
      <c r="L2750" t="str">
        <f>IF(ABS(tblTransactions[[#This Row],[net_sales_inr]]-tblTransactions[[#This Row],[Recalc_Net_Sales]])&lt;0.02,"OK","CHECK")</f>
        <v>OK</v>
      </c>
      <c r="M2750" s="14">
        <f>DATE(YEAR(tblTransactions[[#This Row],[date]]),MONTH(tblTransactions[[#This Row],[date]]),1)</f>
        <v>45658</v>
      </c>
      <c r="N2750" t="str">
        <f>IF(WEEKDAY(tblTransactions[[#This Row],[date]],2)&gt;5,"Weekend","Weekday")</f>
        <v>Weekday</v>
      </c>
      <c r="O2750" s="13" t="str">
        <f>IF(tblTransactions[[#This Row],[discount_pct]]=0,"0%",IF(tblTransactions[[#This Row],[discount_pct]]&lt;=10%,"1–
10%",IF(tblTransactions[[#This Row],[discount_pct]]&lt;=20%,"11–20%","&gt;20%")))</f>
        <v>0%</v>
      </c>
      <c r="P2750" s="13" t="str">
        <f>_xlfn.XLOOKUP(tblTransactions[[#This Row],[tenant_id]],tblTenants[tenant_id],tblTenants[zone],"NOT FOUND")</f>
        <v>Fashion Avenue</v>
      </c>
      <c r="Q2750" s="13" t="str">
        <f>_xlfn.XLOOKUP(tblTransactions[[#This Row],[tenant_id]],tblTenants[tenant_id],tblTenants[category],"NOT FOUND")</f>
        <v>Accessories</v>
      </c>
    </row>
    <row r="2751" spans="1:17">
      <c r="A2751" t="s">
        <v>2795</v>
      </c>
      <c r="B2751" s="2">
        <v>45810</v>
      </c>
      <c r="C2751">
        <v>18</v>
      </c>
      <c r="D2751" t="s">
        <v>25</v>
      </c>
      <c r="E2751" t="s">
        <v>21</v>
      </c>
      <c r="F2751" s="7">
        <v>3462.64</v>
      </c>
      <c r="G2751" s="10">
        <v>0</v>
      </c>
      <c r="H2751" s="7">
        <v>3462.64</v>
      </c>
      <c r="I2751">
        <v>1</v>
      </c>
      <c r="J2751" t="s">
        <v>16</v>
      </c>
      <c r="K2751" s="13">
        <f>ROUND(tblTransactions[[#This Row],[gross_sales_inr]]*(1-tblTransactions[[#This Row],[discount_pct]]),2)</f>
        <v>3462.64</v>
      </c>
      <c r="L2751" t="str">
        <f>IF(ABS(tblTransactions[[#This Row],[net_sales_inr]]-tblTransactions[[#This Row],[Recalc_Net_Sales]])&lt;0.02,"OK","CHECK")</f>
        <v>OK</v>
      </c>
      <c r="M2751" s="14">
        <f>DATE(YEAR(tblTransactions[[#This Row],[date]]),MONTH(tblTransactions[[#This Row],[date]]),1)</f>
        <v>45809</v>
      </c>
      <c r="N2751" t="str">
        <f>IF(WEEKDAY(tblTransactions[[#This Row],[date]],2)&gt;5,"Weekend","Weekday")</f>
        <v>Weekday</v>
      </c>
      <c r="O2751" s="13" t="str">
        <f>IF(tblTransactions[[#This Row],[discount_pct]]=0,"0%",IF(tblTransactions[[#This Row],[discount_pct]]&lt;=10%,"1–
10%",IF(tblTransactions[[#This Row],[discount_pct]]&lt;=20%,"11–20%","&gt;20%")))</f>
        <v>0%</v>
      </c>
      <c r="P2751" s="13" t="str">
        <f>_xlfn.XLOOKUP(tblTransactions[[#This Row],[tenant_id]],tblTenants[tenant_id],tblTenants[zone],"NOT FOUND")</f>
        <v>Beauty &amp; Wellness</v>
      </c>
      <c r="Q2751" s="13" t="str">
        <f>_xlfn.XLOOKUP(tblTransactions[[#This Row],[tenant_id]],tblTenants[tenant_id],tblTenants[category],"NOT FOUND")</f>
        <v>Beauty</v>
      </c>
    </row>
    <row r="2752" spans="1:17">
      <c r="A2752" t="s">
        <v>2796</v>
      </c>
      <c r="B2752" s="2">
        <v>45764</v>
      </c>
      <c r="C2752">
        <v>21</v>
      </c>
      <c r="D2752" t="s">
        <v>80</v>
      </c>
      <c r="E2752" t="s">
        <v>12</v>
      </c>
      <c r="F2752" s="7">
        <v>944.86</v>
      </c>
      <c r="G2752" s="10">
        <v>0.2</v>
      </c>
      <c r="H2752" s="7">
        <v>755.89</v>
      </c>
      <c r="I2752">
        <v>2</v>
      </c>
      <c r="J2752" t="s">
        <v>13</v>
      </c>
      <c r="K2752" s="13">
        <f>ROUND(tblTransactions[[#This Row],[gross_sales_inr]]*(1-tblTransactions[[#This Row],[discount_pct]]),2)</f>
        <v>755.89</v>
      </c>
      <c r="L2752" t="str">
        <f>IF(ABS(tblTransactions[[#This Row],[net_sales_inr]]-tblTransactions[[#This Row],[Recalc_Net_Sales]])&lt;0.02,"OK","CHECK")</f>
        <v>OK</v>
      </c>
      <c r="M2752" s="14">
        <f>DATE(YEAR(tblTransactions[[#This Row],[date]]),MONTH(tblTransactions[[#This Row],[date]]),1)</f>
        <v>45748</v>
      </c>
      <c r="N2752" t="str">
        <f>IF(WEEKDAY(tblTransactions[[#This Row],[date]],2)&gt;5,"Weekend","Weekday")</f>
        <v>Weekday</v>
      </c>
      <c r="O275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52" s="13" t="str">
        <f>_xlfn.XLOOKUP(tblTransactions[[#This Row],[tenant_id]],tblTenants[tenant_id],tblTenants[zone],"NOT FOUND")</f>
        <v>Food Court</v>
      </c>
      <c r="Q2752" s="13" t="str">
        <f>_xlfn.XLOOKUP(tblTransactions[[#This Row],[tenant_id]],tblTenants[tenant_id],tblTenants[category],"NOT FOUND")</f>
        <v>Casual Dining</v>
      </c>
    </row>
    <row r="2753" spans="1:17">
      <c r="A2753" t="s">
        <v>2797</v>
      </c>
      <c r="B2753" s="2">
        <v>45707</v>
      </c>
      <c r="C2753">
        <v>22</v>
      </c>
      <c r="D2753" t="s">
        <v>29</v>
      </c>
      <c r="E2753" t="s">
        <v>21</v>
      </c>
      <c r="F2753" s="7">
        <v>1388.01</v>
      </c>
      <c r="G2753" s="10">
        <v>0.05</v>
      </c>
      <c r="H2753" s="7">
        <v>1318.61</v>
      </c>
      <c r="I2753">
        <v>1</v>
      </c>
      <c r="J2753" t="s">
        <v>13</v>
      </c>
      <c r="K2753" s="13">
        <f>ROUND(tblTransactions[[#This Row],[gross_sales_inr]]*(1-tblTransactions[[#This Row],[discount_pct]]),2)</f>
        <v>1318.61</v>
      </c>
      <c r="L2753" t="str">
        <f>IF(ABS(tblTransactions[[#This Row],[net_sales_inr]]-tblTransactions[[#This Row],[Recalc_Net_Sales]])&lt;0.02,"OK","CHECK")</f>
        <v>OK</v>
      </c>
      <c r="M2753" s="14">
        <f>DATE(YEAR(tblTransactions[[#This Row],[date]]),MONTH(tblTransactions[[#This Row],[date]]),1)</f>
        <v>45689</v>
      </c>
      <c r="N2753" t="str">
        <f>IF(WEEKDAY(tblTransactions[[#This Row],[date]],2)&gt;5,"Weekend","Weekday")</f>
        <v>Weekday</v>
      </c>
      <c r="O275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53" s="13" t="str">
        <f>_xlfn.XLOOKUP(tblTransactions[[#This Row],[tenant_id]],tblTenants[tenant_id],tblTenants[zone],"NOT FOUND")</f>
        <v>Entertainment</v>
      </c>
      <c r="Q2753" s="13" t="str">
        <f>_xlfn.XLOOKUP(tblTransactions[[#This Row],[tenant_id]],tblTenants[tenant_id],tblTenants[category],"NOT FOUND")</f>
        <v>Cinema</v>
      </c>
    </row>
    <row r="2754" spans="1:17">
      <c r="A2754" t="s">
        <v>2798</v>
      </c>
      <c r="B2754" s="2">
        <v>45737</v>
      </c>
      <c r="C2754">
        <v>12</v>
      </c>
      <c r="D2754" t="s">
        <v>29</v>
      </c>
      <c r="E2754" t="s">
        <v>12</v>
      </c>
      <c r="F2754" s="7">
        <v>878.99</v>
      </c>
      <c r="G2754" s="10">
        <v>0.1</v>
      </c>
      <c r="H2754" s="7">
        <v>791.09</v>
      </c>
      <c r="I2754">
        <v>1</v>
      </c>
      <c r="J2754" t="s">
        <v>13</v>
      </c>
      <c r="K2754" s="13">
        <f>ROUND(tblTransactions[[#This Row],[gross_sales_inr]]*(1-tblTransactions[[#This Row],[discount_pct]]),2)</f>
        <v>791.09</v>
      </c>
      <c r="L2754" t="str">
        <f>IF(ABS(tblTransactions[[#This Row],[net_sales_inr]]-tblTransactions[[#This Row],[Recalc_Net_Sales]])&lt;0.02,"OK","CHECK")</f>
        <v>OK</v>
      </c>
      <c r="M2754" s="14">
        <f>DATE(YEAR(tblTransactions[[#This Row],[date]]),MONTH(tblTransactions[[#This Row],[date]]),1)</f>
        <v>45717</v>
      </c>
      <c r="N2754" t="str">
        <f>IF(WEEKDAY(tblTransactions[[#This Row],[date]],2)&gt;5,"Weekend","Weekday")</f>
        <v>Weekday</v>
      </c>
      <c r="O275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54" s="13" t="str">
        <f>_xlfn.XLOOKUP(tblTransactions[[#This Row],[tenant_id]],tblTenants[tenant_id],tblTenants[zone],"NOT FOUND")</f>
        <v>Entertainment</v>
      </c>
      <c r="Q2754" s="13" t="str">
        <f>_xlfn.XLOOKUP(tblTransactions[[#This Row],[tenant_id]],tblTenants[tenant_id],tblTenants[category],"NOT FOUND")</f>
        <v>Cinema</v>
      </c>
    </row>
    <row r="2755" spans="1:17">
      <c r="A2755" t="s">
        <v>2799</v>
      </c>
      <c r="B2755" s="2">
        <v>45799</v>
      </c>
      <c r="C2755">
        <v>22</v>
      </c>
      <c r="D2755" t="s">
        <v>87</v>
      </c>
      <c r="E2755" t="s">
        <v>32</v>
      </c>
      <c r="F2755" s="7">
        <v>1056.32</v>
      </c>
      <c r="G2755" s="10">
        <v>0</v>
      </c>
      <c r="H2755" s="7">
        <v>1056.32</v>
      </c>
      <c r="I2755">
        <v>1</v>
      </c>
      <c r="J2755" t="s">
        <v>16</v>
      </c>
      <c r="K2755" s="13">
        <f>ROUND(tblTransactions[[#This Row],[gross_sales_inr]]*(1-tblTransactions[[#This Row],[discount_pct]]),2)</f>
        <v>1056.32</v>
      </c>
      <c r="L2755" t="str">
        <f>IF(ABS(tblTransactions[[#This Row],[net_sales_inr]]-tblTransactions[[#This Row],[Recalc_Net_Sales]])&lt;0.02,"OK","CHECK")</f>
        <v>OK</v>
      </c>
      <c r="M2755" s="14">
        <f>DATE(YEAR(tblTransactions[[#This Row],[date]]),MONTH(tblTransactions[[#This Row],[date]]),1)</f>
        <v>45778</v>
      </c>
      <c r="N2755" t="str">
        <f>IF(WEEKDAY(tblTransactions[[#This Row],[date]],2)&gt;5,"Weekend","Weekday")</f>
        <v>Weekday</v>
      </c>
      <c r="O2755" s="13" t="str">
        <f>IF(tblTransactions[[#This Row],[discount_pct]]=0,"0%",IF(tblTransactions[[#This Row],[discount_pct]]&lt;=10%,"1–
10%",IF(tblTransactions[[#This Row],[discount_pct]]&lt;=20%,"11–20%","&gt;20%")))</f>
        <v>0%</v>
      </c>
      <c r="P2755" s="13" t="str">
        <f>_xlfn.XLOOKUP(tblTransactions[[#This Row],[tenant_id]],tblTenants[tenant_id],tblTenants[zone],"NOT FOUND")</f>
        <v>Fashion Avenue</v>
      </c>
      <c r="Q2755" s="13" t="str">
        <f>_xlfn.XLOOKUP(tblTransactions[[#This Row],[tenant_id]],tblTenants[tenant_id],tblTenants[category],"NOT FOUND")</f>
        <v>Footwear</v>
      </c>
    </row>
    <row r="2756" spans="1:17">
      <c r="A2756" t="s">
        <v>2800</v>
      </c>
      <c r="B2756" s="2">
        <v>45708</v>
      </c>
      <c r="C2756">
        <v>16</v>
      </c>
      <c r="D2756" t="s">
        <v>41</v>
      </c>
      <c r="E2756" t="s">
        <v>12</v>
      </c>
      <c r="F2756" s="7">
        <v>2373.48</v>
      </c>
      <c r="G2756" s="10">
        <v>0</v>
      </c>
      <c r="H2756" s="7">
        <v>2373.48</v>
      </c>
      <c r="I2756">
        <v>3</v>
      </c>
      <c r="J2756" t="s">
        <v>16</v>
      </c>
      <c r="K2756" s="13">
        <f>ROUND(tblTransactions[[#This Row],[gross_sales_inr]]*(1-tblTransactions[[#This Row],[discount_pct]]),2)</f>
        <v>2373.48</v>
      </c>
      <c r="L2756" t="str">
        <f>IF(ABS(tblTransactions[[#This Row],[net_sales_inr]]-tblTransactions[[#This Row],[Recalc_Net_Sales]])&lt;0.02,"OK","CHECK")</f>
        <v>OK</v>
      </c>
      <c r="M2756" s="14">
        <f>DATE(YEAR(tblTransactions[[#This Row],[date]]),MONTH(tblTransactions[[#This Row],[date]]),1)</f>
        <v>45689</v>
      </c>
      <c r="N2756" t="str">
        <f>IF(WEEKDAY(tblTransactions[[#This Row],[date]],2)&gt;5,"Weekend","Weekday")</f>
        <v>Weekday</v>
      </c>
      <c r="O2756" s="13" t="str">
        <f>IF(tblTransactions[[#This Row],[discount_pct]]=0,"0%",IF(tblTransactions[[#This Row],[discount_pct]]&lt;=10%,"1–
10%",IF(tblTransactions[[#This Row],[discount_pct]]&lt;=20%,"11–20%","&gt;20%")))</f>
        <v>0%</v>
      </c>
      <c r="P2756" s="13" t="str">
        <f>_xlfn.XLOOKUP(tblTransactions[[#This Row],[tenant_id]],tblTenants[tenant_id],tblTenants[zone],"NOT FOUND")</f>
        <v>Fashion Avenue</v>
      </c>
      <c r="Q2756" s="13" t="str">
        <f>_xlfn.XLOOKUP(tblTransactions[[#This Row],[tenant_id]],tblTenants[tenant_id],tblTenants[category],"NOT FOUND")</f>
        <v>Clothing</v>
      </c>
    </row>
    <row r="2757" spans="1:17">
      <c r="A2757" t="s">
        <v>2801</v>
      </c>
      <c r="B2757" s="2">
        <v>45675</v>
      </c>
      <c r="C2757">
        <v>11</v>
      </c>
      <c r="D2757" t="s">
        <v>98</v>
      </c>
      <c r="E2757" t="s">
        <v>21</v>
      </c>
      <c r="F2757" s="7">
        <v>1590.79</v>
      </c>
      <c r="G2757" s="10">
        <v>0.15</v>
      </c>
      <c r="H2757" s="7">
        <v>1352.17</v>
      </c>
      <c r="I2757">
        <v>2</v>
      </c>
      <c r="J2757" t="s">
        <v>13</v>
      </c>
      <c r="K2757" s="13">
        <f>ROUND(tblTransactions[[#This Row],[gross_sales_inr]]*(1-tblTransactions[[#This Row],[discount_pct]]),2)</f>
        <v>1352.17</v>
      </c>
      <c r="L2757" t="str">
        <f>IF(ABS(tblTransactions[[#This Row],[net_sales_inr]]-tblTransactions[[#This Row],[Recalc_Net_Sales]])&lt;0.02,"OK","CHECK")</f>
        <v>OK</v>
      </c>
      <c r="M2757" s="14">
        <f>DATE(YEAR(tblTransactions[[#This Row],[date]]),MONTH(tblTransactions[[#This Row],[date]]),1)</f>
        <v>45658</v>
      </c>
      <c r="N2757" t="str">
        <f>IF(WEEKDAY(tblTransactions[[#This Row],[date]],2)&gt;5,"Weekend","Weekday")</f>
        <v>Weekend</v>
      </c>
      <c r="O275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57" s="13" t="str">
        <f>_xlfn.XLOOKUP(tblTransactions[[#This Row],[tenant_id]],tblTenants[tenant_id],tblTenants[zone],"NOT FOUND")</f>
        <v>Fashion Avenue</v>
      </c>
      <c r="Q2757" s="13" t="str">
        <f>_xlfn.XLOOKUP(tblTransactions[[#This Row],[tenant_id]],tblTenants[tenant_id],tblTenants[category],"NOT FOUND")</f>
        <v>Accessories</v>
      </c>
    </row>
    <row r="2758" spans="1:17">
      <c r="A2758" t="s">
        <v>2802</v>
      </c>
      <c r="B2758" s="2">
        <v>45733</v>
      </c>
      <c r="C2758">
        <v>17</v>
      </c>
      <c r="D2758" t="s">
        <v>18</v>
      </c>
      <c r="E2758" t="s">
        <v>12</v>
      </c>
      <c r="F2758" s="7">
        <v>1374.17</v>
      </c>
      <c r="G2758" s="10">
        <v>0.05</v>
      </c>
      <c r="H2758" s="7">
        <v>1305.46</v>
      </c>
      <c r="I2758">
        <v>1</v>
      </c>
      <c r="J2758" t="s">
        <v>13</v>
      </c>
      <c r="K2758" s="13">
        <f>ROUND(tblTransactions[[#This Row],[gross_sales_inr]]*(1-tblTransactions[[#This Row],[discount_pct]]),2)</f>
        <v>1305.46</v>
      </c>
      <c r="L2758" t="str">
        <f>IF(ABS(tblTransactions[[#This Row],[net_sales_inr]]-tblTransactions[[#This Row],[Recalc_Net_Sales]])&lt;0.02,"OK","CHECK")</f>
        <v>OK</v>
      </c>
      <c r="M2758" s="14">
        <f>DATE(YEAR(tblTransactions[[#This Row],[date]]),MONTH(tblTransactions[[#This Row],[date]]),1)</f>
        <v>45717</v>
      </c>
      <c r="N2758" t="str">
        <f>IF(WEEKDAY(tblTransactions[[#This Row],[date]],2)&gt;5,"Weekend","Weekday")</f>
        <v>Weekday</v>
      </c>
      <c r="O275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58" s="13" t="str">
        <f>_xlfn.XLOOKUP(tblTransactions[[#This Row],[tenant_id]],tblTenants[tenant_id],tblTenants[zone],"NOT FOUND")</f>
        <v>Beauty &amp; Wellness</v>
      </c>
      <c r="Q2758" s="13" t="str">
        <f>_xlfn.XLOOKUP(tblTransactions[[#This Row],[tenant_id]],tblTenants[tenant_id],tblTenants[category],"NOT FOUND")</f>
        <v>Beauty</v>
      </c>
    </row>
    <row r="2759" spans="1:17">
      <c r="A2759" t="s">
        <v>2803</v>
      </c>
      <c r="B2759" s="2">
        <v>45668</v>
      </c>
      <c r="C2759">
        <v>22</v>
      </c>
      <c r="D2759" t="s">
        <v>15</v>
      </c>
      <c r="E2759" t="s">
        <v>51</v>
      </c>
      <c r="F2759" s="7">
        <v>538.28</v>
      </c>
      <c r="G2759" s="10">
        <v>0.05</v>
      </c>
      <c r="H2759" s="7">
        <v>511.37</v>
      </c>
      <c r="I2759">
        <v>3</v>
      </c>
      <c r="J2759" t="s">
        <v>16</v>
      </c>
      <c r="K2759" s="13">
        <f>ROUND(tblTransactions[[#This Row],[gross_sales_inr]]*(1-tblTransactions[[#This Row],[discount_pct]]),2)</f>
        <v>511.37</v>
      </c>
      <c r="L2759" t="str">
        <f>IF(ABS(tblTransactions[[#This Row],[net_sales_inr]]-tblTransactions[[#This Row],[Recalc_Net_Sales]])&lt;0.02,"OK","CHECK")</f>
        <v>OK</v>
      </c>
      <c r="M2759" s="14">
        <f>DATE(YEAR(tblTransactions[[#This Row],[date]]),MONTH(tblTransactions[[#This Row],[date]]),1)</f>
        <v>45658</v>
      </c>
      <c r="N2759" t="str">
        <f>IF(WEEKDAY(tblTransactions[[#This Row],[date]],2)&gt;5,"Weekend","Weekday")</f>
        <v>Weekend</v>
      </c>
      <c r="O275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59" s="13" t="str">
        <f>_xlfn.XLOOKUP(tblTransactions[[#This Row],[tenant_id]],tblTenants[tenant_id],tblTenants[zone],"NOT FOUND")</f>
        <v>Fashion Avenue</v>
      </c>
      <c r="Q2759" s="13" t="str">
        <f>_xlfn.XLOOKUP(tblTransactions[[#This Row],[tenant_id]],tblTenants[tenant_id],tblTenants[category],"NOT FOUND")</f>
        <v>Accessories</v>
      </c>
    </row>
    <row r="2760" spans="1:17">
      <c r="A2760" t="s">
        <v>2804</v>
      </c>
      <c r="B2760" s="2">
        <v>45820</v>
      </c>
      <c r="C2760">
        <v>22</v>
      </c>
      <c r="D2760" t="s">
        <v>85</v>
      </c>
      <c r="E2760" t="s">
        <v>12</v>
      </c>
      <c r="F2760" s="7">
        <v>2889.75</v>
      </c>
      <c r="G2760" s="10">
        <v>0</v>
      </c>
      <c r="H2760" s="7">
        <v>2889.75</v>
      </c>
      <c r="I2760">
        <v>4</v>
      </c>
      <c r="J2760" t="s">
        <v>16</v>
      </c>
      <c r="K2760" s="13">
        <f>ROUND(tblTransactions[[#This Row],[gross_sales_inr]]*(1-tblTransactions[[#This Row],[discount_pct]]),2)</f>
        <v>2889.75</v>
      </c>
      <c r="L2760" t="str">
        <f>IF(ABS(tblTransactions[[#This Row],[net_sales_inr]]-tblTransactions[[#This Row],[Recalc_Net_Sales]])&lt;0.02,"OK","CHECK")</f>
        <v>OK</v>
      </c>
      <c r="M2760" s="14">
        <f>DATE(YEAR(tblTransactions[[#This Row],[date]]),MONTH(tblTransactions[[#This Row],[date]]),1)</f>
        <v>45809</v>
      </c>
      <c r="N2760" t="str">
        <f>IF(WEEKDAY(tblTransactions[[#This Row],[date]],2)&gt;5,"Weekend","Weekday")</f>
        <v>Weekday</v>
      </c>
      <c r="O2760" s="13" t="str">
        <f>IF(tblTransactions[[#This Row],[discount_pct]]=0,"0%",IF(tblTransactions[[#This Row],[discount_pct]]&lt;=10%,"1–
10%",IF(tblTransactions[[#This Row],[discount_pct]]&lt;=20%,"11–20%","&gt;20%")))</f>
        <v>0%</v>
      </c>
      <c r="P2760" s="13" t="str">
        <f>_xlfn.XLOOKUP(tblTransactions[[#This Row],[tenant_id]],tblTenants[tenant_id],tblTenants[zone],"NOT FOUND")</f>
        <v>Home &amp; Living</v>
      </c>
      <c r="Q2760" s="13" t="str">
        <f>_xlfn.XLOOKUP(tblTransactions[[#This Row],[tenant_id]],tblTenants[tenant_id],tblTenants[category],"NOT FOUND")</f>
        <v>Electronics</v>
      </c>
    </row>
    <row r="2761" spans="1:17">
      <c r="A2761" t="s">
        <v>2805</v>
      </c>
      <c r="B2761" s="2">
        <v>45735</v>
      </c>
      <c r="C2761">
        <v>20</v>
      </c>
      <c r="D2761" t="s">
        <v>41</v>
      </c>
      <c r="E2761" t="s">
        <v>12</v>
      </c>
      <c r="F2761" s="7">
        <v>823.49</v>
      </c>
      <c r="G2761" s="10">
        <v>0.2</v>
      </c>
      <c r="H2761" s="7">
        <v>658.79</v>
      </c>
      <c r="I2761">
        <v>5</v>
      </c>
      <c r="J2761" t="s">
        <v>16</v>
      </c>
      <c r="K2761" s="13">
        <f>ROUND(tblTransactions[[#This Row],[gross_sales_inr]]*(1-tblTransactions[[#This Row],[discount_pct]]),2)</f>
        <v>658.79</v>
      </c>
      <c r="L2761" t="str">
        <f>IF(ABS(tblTransactions[[#This Row],[net_sales_inr]]-tblTransactions[[#This Row],[Recalc_Net_Sales]])&lt;0.02,"OK","CHECK")</f>
        <v>OK</v>
      </c>
      <c r="M2761" s="14">
        <f>DATE(YEAR(tblTransactions[[#This Row],[date]]),MONTH(tblTransactions[[#This Row],[date]]),1)</f>
        <v>45717</v>
      </c>
      <c r="N2761" t="str">
        <f>IF(WEEKDAY(tblTransactions[[#This Row],[date]],2)&gt;5,"Weekend","Weekday")</f>
        <v>Weekday</v>
      </c>
      <c r="O276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61" s="13" t="str">
        <f>_xlfn.XLOOKUP(tblTransactions[[#This Row],[tenant_id]],tblTenants[tenant_id],tblTenants[zone],"NOT FOUND")</f>
        <v>Fashion Avenue</v>
      </c>
      <c r="Q2761" s="13" t="str">
        <f>_xlfn.XLOOKUP(tblTransactions[[#This Row],[tenant_id]],tblTenants[tenant_id],tblTenants[category],"NOT FOUND")</f>
        <v>Clothing</v>
      </c>
    </row>
    <row r="2762" spans="1:17">
      <c r="A2762" t="s">
        <v>2806</v>
      </c>
      <c r="B2762" s="2">
        <v>45660</v>
      </c>
      <c r="C2762">
        <v>12</v>
      </c>
      <c r="D2762" t="s">
        <v>70</v>
      </c>
      <c r="E2762" t="s">
        <v>32</v>
      </c>
      <c r="F2762" s="7">
        <v>2480.7199999999998</v>
      </c>
      <c r="G2762" s="10">
        <v>0.1</v>
      </c>
      <c r="H2762" s="7">
        <v>2232.65</v>
      </c>
      <c r="I2762">
        <v>3</v>
      </c>
      <c r="J2762" t="s">
        <v>13</v>
      </c>
      <c r="K2762" s="13">
        <f>ROUND(tblTransactions[[#This Row],[gross_sales_inr]]*(1-tblTransactions[[#This Row],[discount_pct]]),2)</f>
        <v>2232.65</v>
      </c>
      <c r="L2762" t="str">
        <f>IF(ABS(tblTransactions[[#This Row],[net_sales_inr]]-tblTransactions[[#This Row],[Recalc_Net_Sales]])&lt;0.02,"OK","CHECK")</f>
        <v>OK</v>
      </c>
      <c r="M2762" s="14">
        <f>DATE(YEAR(tblTransactions[[#This Row],[date]]),MONTH(tblTransactions[[#This Row],[date]]),1)</f>
        <v>45658</v>
      </c>
      <c r="N2762" t="str">
        <f>IF(WEEKDAY(tblTransactions[[#This Row],[date]],2)&gt;5,"Weekend","Weekday")</f>
        <v>Weekday</v>
      </c>
      <c r="O276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62" s="13" t="str">
        <f>_xlfn.XLOOKUP(tblTransactions[[#This Row],[tenant_id]],tblTenants[tenant_id],tblTenants[zone],"NOT FOUND")</f>
        <v>Food Court</v>
      </c>
      <c r="Q2762" s="13" t="str">
        <f>_xlfn.XLOOKUP(tblTransactions[[#This Row],[tenant_id]],tblTenants[tenant_id],tblTenants[category],"NOT FOUND")</f>
        <v>Quick Service</v>
      </c>
    </row>
    <row r="2763" spans="1:17">
      <c r="A2763" t="s">
        <v>2807</v>
      </c>
      <c r="B2763" s="2">
        <v>45664</v>
      </c>
      <c r="C2763">
        <v>18</v>
      </c>
      <c r="D2763" t="s">
        <v>85</v>
      </c>
      <c r="E2763" t="s">
        <v>32</v>
      </c>
      <c r="F2763" s="7">
        <v>1400.04</v>
      </c>
      <c r="G2763" s="10">
        <v>0.3</v>
      </c>
      <c r="H2763" s="7">
        <v>980.03</v>
      </c>
      <c r="I2763">
        <v>1</v>
      </c>
      <c r="J2763" t="s">
        <v>16</v>
      </c>
      <c r="K2763" s="13">
        <f>ROUND(tblTransactions[[#This Row],[gross_sales_inr]]*(1-tblTransactions[[#This Row],[discount_pct]]),2)</f>
        <v>980.03</v>
      </c>
      <c r="L2763" t="str">
        <f>IF(ABS(tblTransactions[[#This Row],[net_sales_inr]]-tblTransactions[[#This Row],[Recalc_Net_Sales]])&lt;0.02,"OK","CHECK")</f>
        <v>OK</v>
      </c>
      <c r="M2763" s="14">
        <f>DATE(YEAR(tblTransactions[[#This Row],[date]]),MONTH(tblTransactions[[#This Row],[date]]),1)</f>
        <v>45658</v>
      </c>
      <c r="N2763" t="str">
        <f>IF(WEEKDAY(tblTransactions[[#This Row],[date]],2)&gt;5,"Weekend","Weekday")</f>
        <v>Weekday</v>
      </c>
      <c r="O2763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763" s="13" t="str">
        <f>_xlfn.XLOOKUP(tblTransactions[[#This Row],[tenant_id]],tblTenants[tenant_id],tblTenants[zone],"NOT FOUND")</f>
        <v>Home &amp; Living</v>
      </c>
      <c r="Q2763" s="13" t="str">
        <f>_xlfn.XLOOKUP(tblTransactions[[#This Row],[tenant_id]],tblTenants[tenant_id],tblTenants[category],"NOT FOUND")</f>
        <v>Electronics</v>
      </c>
    </row>
    <row r="2764" spans="1:17">
      <c r="A2764" t="s">
        <v>2808</v>
      </c>
      <c r="B2764" s="2">
        <v>45731</v>
      </c>
      <c r="C2764">
        <v>15</v>
      </c>
      <c r="D2764" t="s">
        <v>80</v>
      </c>
      <c r="E2764" t="s">
        <v>12</v>
      </c>
      <c r="F2764" s="7">
        <v>2426.42</v>
      </c>
      <c r="G2764" s="10">
        <v>0</v>
      </c>
      <c r="H2764" s="7">
        <v>2426.42</v>
      </c>
      <c r="I2764">
        <v>2</v>
      </c>
      <c r="J2764" t="s">
        <v>13</v>
      </c>
      <c r="K2764" s="13">
        <f>ROUND(tblTransactions[[#This Row],[gross_sales_inr]]*(1-tblTransactions[[#This Row],[discount_pct]]),2)</f>
        <v>2426.42</v>
      </c>
      <c r="L2764" t="str">
        <f>IF(ABS(tblTransactions[[#This Row],[net_sales_inr]]-tblTransactions[[#This Row],[Recalc_Net_Sales]])&lt;0.02,"OK","CHECK")</f>
        <v>OK</v>
      </c>
      <c r="M2764" s="14">
        <f>DATE(YEAR(tblTransactions[[#This Row],[date]]),MONTH(tblTransactions[[#This Row],[date]]),1)</f>
        <v>45717</v>
      </c>
      <c r="N2764" t="str">
        <f>IF(WEEKDAY(tblTransactions[[#This Row],[date]],2)&gt;5,"Weekend","Weekday")</f>
        <v>Weekend</v>
      </c>
      <c r="O2764" s="13" t="str">
        <f>IF(tblTransactions[[#This Row],[discount_pct]]=0,"0%",IF(tblTransactions[[#This Row],[discount_pct]]&lt;=10%,"1–
10%",IF(tblTransactions[[#This Row],[discount_pct]]&lt;=20%,"11–20%","&gt;20%")))</f>
        <v>0%</v>
      </c>
      <c r="P2764" s="13" t="str">
        <f>_xlfn.XLOOKUP(tblTransactions[[#This Row],[tenant_id]],tblTenants[tenant_id],tblTenants[zone],"NOT FOUND")</f>
        <v>Food Court</v>
      </c>
      <c r="Q2764" s="13" t="str">
        <f>_xlfn.XLOOKUP(tblTransactions[[#This Row],[tenant_id]],tblTenants[tenant_id],tblTenants[category],"NOT FOUND")</f>
        <v>Casual Dining</v>
      </c>
    </row>
    <row r="2765" spans="1:17">
      <c r="A2765" t="s">
        <v>2809</v>
      </c>
      <c r="B2765" s="2">
        <v>45675</v>
      </c>
      <c r="C2765">
        <v>18</v>
      </c>
      <c r="D2765" t="s">
        <v>55</v>
      </c>
      <c r="E2765" t="s">
        <v>12</v>
      </c>
      <c r="F2765" s="7">
        <v>1828.96</v>
      </c>
      <c r="G2765" s="10">
        <v>0</v>
      </c>
      <c r="H2765" s="7">
        <v>1828.96</v>
      </c>
      <c r="I2765">
        <v>3</v>
      </c>
      <c r="J2765" t="s">
        <v>13</v>
      </c>
      <c r="K2765" s="13">
        <f>ROUND(tblTransactions[[#This Row],[gross_sales_inr]]*(1-tblTransactions[[#This Row],[discount_pct]]),2)</f>
        <v>1828.96</v>
      </c>
      <c r="L2765" t="str">
        <f>IF(ABS(tblTransactions[[#This Row],[net_sales_inr]]-tblTransactions[[#This Row],[Recalc_Net_Sales]])&lt;0.02,"OK","CHECK")</f>
        <v>OK</v>
      </c>
      <c r="M2765" s="14">
        <f>DATE(YEAR(tblTransactions[[#This Row],[date]]),MONTH(tblTransactions[[#This Row],[date]]),1)</f>
        <v>45658</v>
      </c>
      <c r="N2765" t="str">
        <f>IF(WEEKDAY(tblTransactions[[#This Row],[date]],2)&gt;5,"Weekend","Weekday")</f>
        <v>Weekend</v>
      </c>
      <c r="O2765" s="13" t="str">
        <f>IF(tblTransactions[[#This Row],[discount_pct]]=0,"0%",IF(tblTransactions[[#This Row],[discount_pct]]&lt;=10%,"1–
10%",IF(tblTransactions[[#This Row],[discount_pct]]&lt;=20%,"11–20%","&gt;20%")))</f>
        <v>0%</v>
      </c>
      <c r="P2765" s="13" t="str">
        <f>_xlfn.XLOOKUP(tblTransactions[[#This Row],[tenant_id]],tblTenants[tenant_id],tblTenants[zone],"NOT FOUND")</f>
        <v>Food Court</v>
      </c>
      <c r="Q2765" s="13" t="str">
        <f>_xlfn.XLOOKUP(tblTransactions[[#This Row],[tenant_id]],tblTenants[tenant_id],tblTenants[category],"NOT FOUND")</f>
        <v>Quick Service</v>
      </c>
    </row>
    <row r="2766" spans="1:17">
      <c r="A2766" t="s">
        <v>2810</v>
      </c>
      <c r="B2766" s="2">
        <v>45787</v>
      </c>
      <c r="C2766">
        <v>22</v>
      </c>
      <c r="D2766" t="s">
        <v>61</v>
      </c>
      <c r="E2766" t="s">
        <v>32</v>
      </c>
      <c r="F2766" s="7">
        <v>2157.6</v>
      </c>
      <c r="G2766" s="10">
        <v>0.2</v>
      </c>
      <c r="H2766" s="7">
        <v>1726.08</v>
      </c>
      <c r="I2766">
        <v>2</v>
      </c>
      <c r="J2766" t="s">
        <v>13</v>
      </c>
      <c r="K2766" s="13">
        <f>ROUND(tblTransactions[[#This Row],[gross_sales_inr]]*(1-tblTransactions[[#This Row],[discount_pct]]),2)</f>
        <v>1726.08</v>
      </c>
      <c r="L2766" t="str">
        <f>IF(ABS(tblTransactions[[#This Row],[net_sales_inr]]-tblTransactions[[#This Row],[Recalc_Net_Sales]])&lt;0.02,"OK","CHECK")</f>
        <v>OK</v>
      </c>
      <c r="M2766" s="14">
        <f>DATE(YEAR(tblTransactions[[#This Row],[date]]),MONTH(tblTransactions[[#This Row],[date]]),1)</f>
        <v>45778</v>
      </c>
      <c r="N2766" t="str">
        <f>IF(WEEKDAY(tblTransactions[[#This Row],[date]],2)&gt;5,"Weekend","Weekday")</f>
        <v>Weekend</v>
      </c>
      <c r="O276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66" s="13" t="str">
        <f>_xlfn.XLOOKUP(tblTransactions[[#This Row],[tenant_id]],tblTenants[tenant_id],tblTenants[zone],"NOT FOUND")</f>
        <v>Food Court</v>
      </c>
      <c r="Q2766" s="13" t="str">
        <f>_xlfn.XLOOKUP(tblTransactions[[#This Row],[tenant_id]],tblTenants[tenant_id],tblTenants[category],"NOT FOUND")</f>
        <v>Quick Service</v>
      </c>
    </row>
    <row r="2767" spans="1:17">
      <c r="A2767" t="s">
        <v>2811</v>
      </c>
      <c r="B2767" s="2">
        <v>45806</v>
      </c>
      <c r="C2767">
        <v>19</v>
      </c>
      <c r="D2767" t="s">
        <v>34</v>
      </c>
      <c r="E2767" t="s">
        <v>12</v>
      </c>
      <c r="F2767" s="7">
        <v>1698.02</v>
      </c>
      <c r="G2767" s="10">
        <v>0</v>
      </c>
      <c r="H2767" s="7">
        <v>1698.02</v>
      </c>
      <c r="I2767">
        <v>1</v>
      </c>
      <c r="J2767" t="s">
        <v>13</v>
      </c>
      <c r="K2767" s="13">
        <f>ROUND(tblTransactions[[#This Row],[gross_sales_inr]]*(1-tblTransactions[[#This Row],[discount_pct]]),2)</f>
        <v>1698.02</v>
      </c>
      <c r="L2767" t="str">
        <f>IF(ABS(tblTransactions[[#This Row],[net_sales_inr]]-tblTransactions[[#This Row],[Recalc_Net_Sales]])&lt;0.02,"OK","CHECK")</f>
        <v>OK</v>
      </c>
      <c r="M2767" s="14">
        <f>DATE(YEAR(tblTransactions[[#This Row],[date]]),MONTH(tblTransactions[[#This Row],[date]]),1)</f>
        <v>45778</v>
      </c>
      <c r="N2767" t="str">
        <f>IF(WEEKDAY(tblTransactions[[#This Row],[date]],2)&gt;5,"Weekend","Weekday")</f>
        <v>Weekday</v>
      </c>
      <c r="O2767" s="13" t="str">
        <f>IF(tblTransactions[[#This Row],[discount_pct]]=0,"0%",IF(tblTransactions[[#This Row],[discount_pct]]&lt;=10%,"1–
10%",IF(tblTransactions[[#This Row],[discount_pct]]&lt;=20%,"11–20%","&gt;20%")))</f>
        <v>0%</v>
      </c>
      <c r="P2767" s="13" t="str">
        <f>_xlfn.XLOOKUP(tblTransactions[[#This Row],[tenant_id]],tblTenants[tenant_id],tblTenants[zone],"NOT FOUND")</f>
        <v>Home &amp; Living</v>
      </c>
      <c r="Q2767" s="13" t="str">
        <f>_xlfn.XLOOKUP(tblTransactions[[#This Row],[tenant_id]],tblTenants[tenant_id],tblTenants[category],"NOT FOUND")</f>
        <v>Electronics</v>
      </c>
    </row>
    <row r="2768" spans="1:17">
      <c r="A2768" t="s">
        <v>2812</v>
      </c>
      <c r="B2768" s="2">
        <v>45776</v>
      </c>
      <c r="C2768">
        <v>19</v>
      </c>
      <c r="D2768" t="s">
        <v>15</v>
      </c>
      <c r="E2768" t="s">
        <v>12</v>
      </c>
      <c r="F2768" s="7">
        <v>1708.24</v>
      </c>
      <c r="G2768" s="10">
        <v>0.3</v>
      </c>
      <c r="H2768" s="7">
        <v>1195.77</v>
      </c>
      <c r="I2768">
        <v>3</v>
      </c>
      <c r="J2768" t="s">
        <v>13</v>
      </c>
      <c r="K2768" s="13">
        <f>ROUND(tblTransactions[[#This Row],[gross_sales_inr]]*(1-tblTransactions[[#This Row],[discount_pct]]),2)</f>
        <v>1195.77</v>
      </c>
      <c r="L2768" t="str">
        <f>IF(ABS(tblTransactions[[#This Row],[net_sales_inr]]-tblTransactions[[#This Row],[Recalc_Net_Sales]])&lt;0.02,"OK","CHECK")</f>
        <v>OK</v>
      </c>
      <c r="M2768" s="14">
        <f>DATE(YEAR(tblTransactions[[#This Row],[date]]),MONTH(tblTransactions[[#This Row],[date]]),1)</f>
        <v>45748</v>
      </c>
      <c r="N2768" t="str">
        <f>IF(WEEKDAY(tblTransactions[[#This Row],[date]],2)&gt;5,"Weekend","Weekday")</f>
        <v>Weekday</v>
      </c>
      <c r="O2768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768" s="13" t="str">
        <f>_xlfn.XLOOKUP(tblTransactions[[#This Row],[tenant_id]],tblTenants[tenant_id],tblTenants[zone],"NOT FOUND")</f>
        <v>Fashion Avenue</v>
      </c>
      <c r="Q2768" s="13" t="str">
        <f>_xlfn.XLOOKUP(tblTransactions[[#This Row],[tenant_id]],tblTenants[tenant_id],tblTenants[category],"NOT FOUND")</f>
        <v>Accessories</v>
      </c>
    </row>
    <row r="2769" spans="1:17">
      <c r="A2769" t="s">
        <v>2813</v>
      </c>
      <c r="B2769" s="2">
        <v>45830</v>
      </c>
      <c r="C2769">
        <v>10</v>
      </c>
      <c r="D2769" t="s">
        <v>34</v>
      </c>
      <c r="E2769" t="s">
        <v>21</v>
      </c>
      <c r="F2769" s="7">
        <v>1460.42</v>
      </c>
      <c r="G2769" s="10">
        <v>0</v>
      </c>
      <c r="H2769" s="7">
        <v>1460.42</v>
      </c>
      <c r="I2769">
        <v>4</v>
      </c>
      <c r="J2769" t="s">
        <v>13</v>
      </c>
      <c r="K2769" s="13">
        <f>ROUND(tblTransactions[[#This Row],[gross_sales_inr]]*(1-tblTransactions[[#This Row],[discount_pct]]),2)</f>
        <v>1460.42</v>
      </c>
      <c r="L2769" t="str">
        <f>IF(ABS(tblTransactions[[#This Row],[net_sales_inr]]-tblTransactions[[#This Row],[Recalc_Net_Sales]])&lt;0.02,"OK","CHECK")</f>
        <v>OK</v>
      </c>
      <c r="M2769" s="14">
        <f>DATE(YEAR(tblTransactions[[#This Row],[date]]),MONTH(tblTransactions[[#This Row],[date]]),1)</f>
        <v>45809</v>
      </c>
      <c r="N2769" t="str">
        <f>IF(WEEKDAY(tblTransactions[[#This Row],[date]],2)&gt;5,"Weekend","Weekday")</f>
        <v>Weekend</v>
      </c>
      <c r="O2769" s="13" t="str">
        <f>IF(tblTransactions[[#This Row],[discount_pct]]=0,"0%",IF(tblTransactions[[#This Row],[discount_pct]]&lt;=10%,"1–
10%",IF(tblTransactions[[#This Row],[discount_pct]]&lt;=20%,"11–20%","&gt;20%")))</f>
        <v>0%</v>
      </c>
      <c r="P2769" s="13" t="str">
        <f>_xlfn.XLOOKUP(tblTransactions[[#This Row],[tenant_id]],tblTenants[tenant_id],tblTenants[zone],"NOT FOUND")</f>
        <v>Home &amp; Living</v>
      </c>
      <c r="Q2769" s="13" t="str">
        <f>_xlfn.XLOOKUP(tblTransactions[[#This Row],[tenant_id]],tblTenants[tenant_id],tblTenants[category],"NOT FOUND")</f>
        <v>Electronics</v>
      </c>
    </row>
    <row r="2770" spans="1:17">
      <c r="A2770" t="s">
        <v>2814</v>
      </c>
      <c r="B2770" s="2">
        <v>45698</v>
      </c>
      <c r="C2770">
        <v>12</v>
      </c>
      <c r="D2770" t="s">
        <v>63</v>
      </c>
      <c r="E2770" t="s">
        <v>12</v>
      </c>
      <c r="F2770" s="7">
        <v>617.54</v>
      </c>
      <c r="G2770" s="10">
        <v>0</v>
      </c>
      <c r="H2770" s="7">
        <v>617.54</v>
      </c>
      <c r="I2770">
        <v>3</v>
      </c>
      <c r="J2770" t="s">
        <v>16</v>
      </c>
      <c r="K2770" s="13">
        <f>ROUND(tblTransactions[[#This Row],[gross_sales_inr]]*(1-tblTransactions[[#This Row],[discount_pct]]),2)</f>
        <v>617.54</v>
      </c>
      <c r="L2770" t="str">
        <f>IF(ABS(tblTransactions[[#This Row],[net_sales_inr]]-tblTransactions[[#This Row],[Recalc_Net_Sales]])&lt;0.02,"OK","CHECK")</f>
        <v>OK</v>
      </c>
      <c r="M2770" s="14">
        <f>DATE(YEAR(tblTransactions[[#This Row],[date]]),MONTH(tblTransactions[[#This Row],[date]]),1)</f>
        <v>45689</v>
      </c>
      <c r="N2770" t="str">
        <f>IF(WEEKDAY(tblTransactions[[#This Row],[date]],2)&gt;5,"Weekend","Weekday")</f>
        <v>Weekday</v>
      </c>
      <c r="O2770" s="13" t="str">
        <f>IF(tblTransactions[[#This Row],[discount_pct]]=0,"0%",IF(tblTransactions[[#This Row],[discount_pct]]&lt;=10%,"1–
10%",IF(tblTransactions[[#This Row],[discount_pct]]&lt;=20%,"11–20%","&gt;20%")))</f>
        <v>0%</v>
      </c>
      <c r="P2770" s="13" t="str">
        <f>_xlfn.XLOOKUP(tblTransactions[[#This Row],[tenant_id]],tblTenants[tenant_id],tblTenants[zone],"NOT FOUND")</f>
        <v>Entertainment</v>
      </c>
      <c r="Q2770" s="13" t="str">
        <f>_xlfn.XLOOKUP(tblTransactions[[#This Row],[tenant_id]],tblTenants[tenant_id],tblTenants[category],"NOT FOUND")</f>
        <v>Family Entertainment</v>
      </c>
    </row>
    <row r="2771" spans="1:17">
      <c r="A2771" t="s">
        <v>2815</v>
      </c>
      <c r="B2771" s="2">
        <v>45785</v>
      </c>
      <c r="C2771">
        <v>12</v>
      </c>
      <c r="D2771" t="s">
        <v>53</v>
      </c>
      <c r="E2771" t="s">
        <v>32</v>
      </c>
      <c r="F2771" s="7">
        <v>1097.54</v>
      </c>
      <c r="G2771" s="10">
        <v>0.1</v>
      </c>
      <c r="H2771" s="7">
        <v>987.79</v>
      </c>
      <c r="I2771">
        <v>3</v>
      </c>
      <c r="J2771" t="s">
        <v>13</v>
      </c>
      <c r="K2771" s="13">
        <f>ROUND(tblTransactions[[#This Row],[gross_sales_inr]]*(1-tblTransactions[[#This Row],[discount_pct]]),2)</f>
        <v>987.79</v>
      </c>
      <c r="L2771" t="str">
        <f>IF(ABS(tblTransactions[[#This Row],[net_sales_inr]]-tblTransactions[[#This Row],[Recalc_Net_Sales]])&lt;0.02,"OK","CHECK")</f>
        <v>OK</v>
      </c>
      <c r="M2771" s="14">
        <f>DATE(YEAR(tblTransactions[[#This Row],[date]]),MONTH(tblTransactions[[#This Row],[date]]),1)</f>
        <v>45778</v>
      </c>
      <c r="N2771" t="str">
        <f>IF(WEEKDAY(tblTransactions[[#This Row],[date]],2)&gt;5,"Weekend","Weekday")</f>
        <v>Weekday</v>
      </c>
      <c r="O277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71" s="13" t="str">
        <f>_xlfn.XLOOKUP(tblTransactions[[#This Row],[tenant_id]],tblTenants[tenant_id],tblTenants[zone],"NOT FOUND")</f>
        <v>Beauty &amp; Wellness</v>
      </c>
      <c r="Q2771" s="13" t="str">
        <f>_xlfn.XLOOKUP(tblTransactions[[#This Row],[tenant_id]],tblTenants[tenant_id],tblTenants[category],"NOT FOUND")</f>
        <v>Beauty</v>
      </c>
    </row>
    <row r="2772" spans="1:17">
      <c r="A2772" t="s">
        <v>2816</v>
      </c>
      <c r="B2772" s="2">
        <v>45736</v>
      </c>
      <c r="C2772">
        <v>17</v>
      </c>
      <c r="D2772" t="s">
        <v>45</v>
      </c>
      <c r="E2772" t="s">
        <v>32</v>
      </c>
      <c r="F2772" s="7">
        <v>1127.27</v>
      </c>
      <c r="G2772" s="10">
        <v>0.1</v>
      </c>
      <c r="H2772" s="7">
        <v>1014.54</v>
      </c>
      <c r="I2772">
        <v>1</v>
      </c>
      <c r="J2772" t="s">
        <v>13</v>
      </c>
      <c r="K2772" s="13">
        <f>ROUND(tblTransactions[[#This Row],[gross_sales_inr]]*(1-tblTransactions[[#This Row],[discount_pct]]),2)</f>
        <v>1014.54</v>
      </c>
      <c r="L2772" t="str">
        <f>IF(ABS(tblTransactions[[#This Row],[net_sales_inr]]-tblTransactions[[#This Row],[Recalc_Net_Sales]])&lt;0.02,"OK","CHECK")</f>
        <v>OK</v>
      </c>
      <c r="M2772" s="14">
        <f>DATE(YEAR(tblTransactions[[#This Row],[date]]),MONTH(tblTransactions[[#This Row],[date]]),1)</f>
        <v>45717</v>
      </c>
      <c r="N2772" t="str">
        <f>IF(WEEKDAY(tblTransactions[[#This Row],[date]],2)&gt;5,"Weekend","Weekday")</f>
        <v>Weekday</v>
      </c>
      <c r="O277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72" s="13" t="str">
        <f>_xlfn.XLOOKUP(tblTransactions[[#This Row],[tenant_id]],tblTenants[tenant_id],tblTenants[zone],"NOT FOUND")</f>
        <v>Home &amp; Living</v>
      </c>
      <c r="Q2772" s="13" t="str">
        <f>_xlfn.XLOOKUP(tblTransactions[[#This Row],[tenant_id]],tblTenants[tenant_id],tblTenants[category],"NOT FOUND")</f>
        <v>Home Decor</v>
      </c>
    </row>
    <row r="2773" spans="1:17">
      <c r="A2773" t="s">
        <v>2817</v>
      </c>
      <c r="B2773" s="2">
        <v>45736</v>
      </c>
      <c r="C2773">
        <v>12</v>
      </c>
      <c r="D2773" t="s">
        <v>204</v>
      </c>
      <c r="E2773" t="s">
        <v>32</v>
      </c>
      <c r="F2773" s="7">
        <v>400.93</v>
      </c>
      <c r="G2773" s="10">
        <v>0.15</v>
      </c>
      <c r="H2773" s="7">
        <v>340.79</v>
      </c>
      <c r="I2773">
        <v>4</v>
      </c>
      <c r="J2773" t="s">
        <v>13</v>
      </c>
      <c r="K2773" s="13">
        <f>ROUND(tblTransactions[[#This Row],[gross_sales_inr]]*(1-tblTransactions[[#This Row],[discount_pct]]),2)</f>
        <v>340.79</v>
      </c>
      <c r="L2773" t="str">
        <f>IF(ABS(tblTransactions[[#This Row],[net_sales_inr]]-tblTransactions[[#This Row],[Recalc_Net_Sales]])&lt;0.02,"OK","CHECK")</f>
        <v>OK</v>
      </c>
      <c r="M2773" s="14">
        <f>DATE(YEAR(tblTransactions[[#This Row],[date]]),MONTH(tblTransactions[[#This Row],[date]]),1)</f>
        <v>45717</v>
      </c>
      <c r="N2773" t="str">
        <f>IF(WEEKDAY(tblTransactions[[#This Row],[date]],2)&gt;5,"Weekend","Weekday")</f>
        <v>Weekday</v>
      </c>
      <c r="O277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73" s="13" t="str">
        <f>_xlfn.XLOOKUP(tblTransactions[[#This Row],[tenant_id]],tblTenants[tenant_id],tblTenants[zone],"NOT FOUND")</f>
        <v>Home &amp; Living</v>
      </c>
      <c r="Q2773" s="13" t="str">
        <f>_xlfn.XLOOKUP(tblTransactions[[#This Row],[tenant_id]],tblTenants[tenant_id],tblTenants[category],"NOT FOUND")</f>
        <v>Home Decor</v>
      </c>
    </row>
    <row r="2774" spans="1:17">
      <c r="A2774" t="s">
        <v>2818</v>
      </c>
      <c r="B2774" s="2">
        <v>45665</v>
      </c>
      <c r="C2774">
        <v>22</v>
      </c>
      <c r="D2774" t="s">
        <v>48</v>
      </c>
      <c r="E2774" t="s">
        <v>12</v>
      </c>
      <c r="F2774" s="7">
        <v>288.08</v>
      </c>
      <c r="G2774" s="10">
        <v>0.3</v>
      </c>
      <c r="H2774" s="7">
        <v>201.66</v>
      </c>
      <c r="I2774">
        <v>3</v>
      </c>
      <c r="J2774" t="s">
        <v>13</v>
      </c>
      <c r="K2774" s="13">
        <f>ROUND(tblTransactions[[#This Row],[gross_sales_inr]]*(1-tblTransactions[[#This Row],[discount_pct]]),2)</f>
        <v>201.66</v>
      </c>
      <c r="L2774" t="str">
        <f>IF(ABS(tblTransactions[[#This Row],[net_sales_inr]]-tblTransactions[[#This Row],[Recalc_Net_Sales]])&lt;0.02,"OK","CHECK")</f>
        <v>OK</v>
      </c>
      <c r="M2774" s="14">
        <f>DATE(YEAR(tblTransactions[[#This Row],[date]]),MONTH(tblTransactions[[#This Row],[date]]),1)</f>
        <v>45658</v>
      </c>
      <c r="N2774" t="str">
        <f>IF(WEEKDAY(tblTransactions[[#This Row],[date]],2)&gt;5,"Weekend","Weekday")</f>
        <v>Weekday</v>
      </c>
      <c r="O277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774" s="13" t="str">
        <f>_xlfn.XLOOKUP(tblTransactions[[#This Row],[tenant_id]],tblTenants[tenant_id],tblTenants[zone],"NOT FOUND")</f>
        <v>Beauty &amp; Wellness</v>
      </c>
      <c r="Q2774" s="13" t="str">
        <f>_xlfn.XLOOKUP(tblTransactions[[#This Row],[tenant_id]],tblTenants[tenant_id],tblTenants[category],"NOT FOUND")</f>
        <v>Wellness</v>
      </c>
    </row>
    <row r="2775" spans="1:17">
      <c r="A2775" t="s">
        <v>2819</v>
      </c>
      <c r="B2775" s="2">
        <v>45665</v>
      </c>
      <c r="C2775">
        <v>18</v>
      </c>
      <c r="D2775" t="s">
        <v>122</v>
      </c>
      <c r="E2775" t="s">
        <v>12</v>
      </c>
      <c r="F2775" s="7">
        <v>1097.56</v>
      </c>
      <c r="G2775" s="10">
        <v>0.15</v>
      </c>
      <c r="H2775" s="7">
        <v>932.93</v>
      </c>
      <c r="I2775">
        <v>2</v>
      </c>
      <c r="J2775" t="s">
        <v>13</v>
      </c>
      <c r="K2775" s="13">
        <f>ROUND(tblTransactions[[#This Row],[gross_sales_inr]]*(1-tblTransactions[[#This Row],[discount_pct]]),2)</f>
        <v>932.93</v>
      </c>
      <c r="L2775" t="str">
        <f>IF(ABS(tblTransactions[[#This Row],[net_sales_inr]]-tblTransactions[[#This Row],[Recalc_Net_Sales]])&lt;0.02,"OK","CHECK")</f>
        <v>OK</v>
      </c>
      <c r="M2775" s="14">
        <f>DATE(YEAR(tblTransactions[[#This Row],[date]]),MONTH(tblTransactions[[#This Row],[date]]),1)</f>
        <v>45658</v>
      </c>
      <c r="N2775" t="str">
        <f>IF(WEEKDAY(tblTransactions[[#This Row],[date]],2)&gt;5,"Weekend","Weekday")</f>
        <v>Weekday</v>
      </c>
      <c r="O277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75" s="13" t="str">
        <f>_xlfn.XLOOKUP(tblTransactions[[#This Row],[tenant_id]],tblTenants[tenant_id],tblTenants[zone],"NOT FOUND")</f>
        <v>Beauty &amp; Wellness</v>
      </c>
      <c r="Q2775" s="13" t="str">
        <f>_xlfn.XLOOKUP(tblTransactions[[#This Row],[tenant_id]],tblTenants[tenant_id],tblTenants[category],"NOT FOUND")</f>
        <v>Wellness</v>
      </c>
    </row>
    <row r="2776" spans="1:17">
      <c r="A2776" t="s">
        <v>2820</v>
      </c>
      <c r="B2776" s="2">
        <v>45783</v>
      </c>
      <c r="C2776">
        <v>10</v>
      </c>
      <c r="D2776" t="s">
        <v>59</v>
      </c>
      <c r="E2776" t="s">
        <v>12</v>
      </c>
      <c r="F2776" s="7">
        <v>904.04</v>
      </c>
      <c r="G2776" s="10">
        <v>0</v>
      </c>
      <c r="H2776" s="7">
        <v>904.04</v>
      </c>
      <c r="I2776">
        <v>2</v>
      </c>
      <c r="J2776" t="s">
        <v>13</v>
      </c>
      <c r="K2776" s="13">
        <f>ROUND(tblTransactions[[#This Row],[gross_sales_inr]]*(1-tblTransactions[[#This Row],[discount_pct]]),2)</f>
        <v>904.04</v>
      </c>
      <c r="L2776" t="str">
        <f>IF(ABS(tblTransactions[[#This Row],[net_sales_inr]]-tblTransactions[[#This Row],[Recalc_Net_Sales]])&lt;0.02,"OK","CHECK")</f>
        <v>OK</v>
      </c>
      <c r="M2776" s="14">
        <f>DATE(YEAR(tblTransactions[[#This Row],[date]]),MONTH(tblTransactions[[#This Row],[date]]),1)</f>
        <v>45778</v>
      </c>
      <c r="N2776" t="str">
        <f>IF(WEEKDAY(tblTransactions[[#This Row],[date]],2)&gt;5,"Weekend","Weekday")</f>
        <v>Weekday</v>
      </c>
      <c r="O2776" s="13" t="str">
        <f>IF(tblTransactions[[#This Row],[discount_pct]]=0,"0%",IF(tblTransactions[[#This Row],[discount_pct]]&lt;=10%,"1–
10%",IF(tblTransactions[[#This Row],[discount_pct]]&lt;=20%,"11–20%","&gt;20%")))</f>
        <v>0%</v>
      </c>
      <c r="P2776" s="13" t="str">
        <f>_xlfn.XLOOKUP(tblTransactions[[#This Row],[tenant_id]],tblTenants[tenant_id],tblTenants[zone],"NOT FOUND")</f>
        <v>Fashion Avenue</v>
      </c>
      <c r="Q2776" s="13" t="str">
        <f>_xlfn.XLOOKUP(tblTransactions[[#This Row],[tenant_id]],tblTenants[tenant_id],tblTenants[category],"NOT FOUND")</f>
        <v>Footwear</v>
      </c>
    </row>
    <row r="2777" spans="1:17">
      <c r="A2777" t="s">
        <v>2821</v>
      </c>
      <c r="B2777" s="2">
        <v>45698</v>
      </c>
      <c r="C2777">
        <v>17</v>
      </c>
      <c r="D2777" t="s">
        <v>41</v>
      </c>
      <c r="E2777" t="s">
        <v>12</v>
      </c>
      <c r="F2777" s="7">
        <v>898.55</v>
      </c>
      <c r="G2777" s="10">
        <v>0.2</v>
      </c>
      <c r="H2777" s="7">
        <v>718.84</v>
      </c>
      <c r="I2777">
        <v>1</v>
      </c>
      <c r="J2777" t="s">
        <v>13</v>
      </c>
      <c r="K2777" s="13">
        <f>ROUND(tblTransactions[[#This Row],[gross_sales_inr]]*(1-tblTransactions[[#This Row],[discount_pct]]),2)</f>
        <v>718.84</v>
      </c>
      <c r="L2777" t="str">
        <f>IF(ABS(tblTransactions[[#This Row],[net_sales_inr]]-tblTransactions[[#This Row],[Recalc_Net_Sales]])&lt;0.02,"OK","CHECK")</f>
        <v>OK</v>
      </c>
      <c r="M2777" s="14">
        <f>DATE(YEAR(tblTransactions[[#This Row],[date]]),MONTH(tblTransactions[[#This Row],[date]]),1)</f>
        <v>45689</v>
      </c>
      <c r="N2777" t="str">
        <f>IF(WEEKDAY(tblTransactions[[#This Row],[date]],2)&gt;5,"Weekend","Weekday")</f>
        <v>Weekday</v>
      </c>
      <c r="O277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77" s="13" t="str">
        <f>_xlfn.XLOOKUP(tblTransactions[[#This Row],[tenant_id]],tblTenants[tenant_id],tblTenants[zone],"NOT FOUND")</f>
        <v>Fashion Avenue</v>
      </c>
      <c r="Q2777" s="13" t="str">
        <f>_xlfn.XLOOKUP(tblTransactions[[#This Row],[tenant_id]],tblTenants[tenant_id],tblTenants[category],"NOT FOUND")</f>
        <v>Clothing</v>
      </c>
    </row>
    <row r="2778" spans="1:17">
      <c r="A2778" t="s">
        <v>2822</v>
      </c>
      <c r="B2778" s="2">
        <v>45795</v>
      </c>
      <c r="C2778">
        <v>22</v>
      </c>
      <c r="D2778" t="s">
        <v>27</v>
      </c>
      <c r="E2778" t="s">
        <v>12</v>
      </c>
      <c r="F2778" s="7">
        <v>421.28</v>
      </c>
      <c r="G2778" s="10">
        <v>0</v>
      </c>
      <c r="H2778" s="7">
        <v>421.28</v>
      </c>
      <c r="I2778">
        <v>1</v>
      </c>
      <c r="J2778" t="s">
        <v>13</v>
      </c>
      <c r="K2778" s="13">
        <f>ROUND(tblTransactions[[#This Row],[gross_sales_inr]]*(1-tblTransactions[[#This Row],[discount_pct]]),2)</f>
        <v>421.28</v>
      </c>
      <c r="L2778" t="str">
        <f>IF(ABS(tblTransactions[[#This Row],[net_sales_inr]]-tblTransactions[[#This Row],[Recalc_Net_Sales]])&lt;0.02,"OK","CHECK")</f>
        <v>OK</v>
      </c>
      <c r="M2778" s="14">
        <f>DATE(YEAR(tblTransactions[[#This Row],[date]]),MONTH(tblTransactions[[#This Row],[date]]),1)</f>
        <v>45778</v>
      </c>
      <c r="N2778" t="str">
        <f>IF(WEEKDAY(tblTransactions[[#This Row],[date]],2)&gt;5,"Weekend","Weekday")</f>
        <v>Weekend</v>
      </c>
      <c r="O2778" s="13" t="str">
        <f>IF(tblTransactions[[#This Row],[discount_pct]]=0,"0%",IF(tblTransactions[[#This Row],[discount_pct]]&lt;=10%,"1–
10%",IF(tblTransactions[[#This Row],[discount_pct]]&lt;=20%,"11–20%","&gt;20%")))</f>
        <v>0%</v>
      </c>
      <c r="P2778" s="13" t="str">
        <f>_xlfn.XLOOKUP(tblTransactions[[#This Row],[tenant_id]],tblTenants[tenant_id],tblTenants[zone],"NOT FOUND")</f>
        <v>Beauty &amp; Wellness</v>
      </c>
      <c r="Q2778" s="13" t="str">
        <f>_xlfn.XLOOKUP(tblTransactions[[#This Row],[tenant_id]],tblTenants[tenant_id],tblTenants[category],"NOT FOUND")</f>
        <v>Wellness</v>
      </c>
    </row>
    <row r="2779" spans="1:17">
      <c r="A2779" t="s">
        <v>2823</v>
      </c>
      <c r="B2779" s="2">
        <v>45782</v>
      </c>
      <c r="C2779">
        <v>19</v>
      </c>
      <c r="D2779" t="s">
        <v>27</v>
      </c>
      <c r="E2779" t="s">
        <v>12</v>
      </c>
      <c r="F2779" s="7">
        <v>980.66</v>
      </c>
      <c r="G2779" s="10">
        <v>0.1</v>
      </c>
      <c r="H2779" s="7">
        <v>882.59</v>
      </c>
      <c r="I2779">
        <v>2</v>
      </c>
      <c r="J2779" t="s">
        <v>16</v>
      </c>
      <c r="K2779" s="13">
        <f>ROUND(tblTransactions[[#This Row],[gross_sales_inr]]*(1-tblTransactions[[#This Row],[discount_pct]]),2)</f>
        <v>882.59</v>
      </c>
      <c r="L2779" t="str">
        <f>IF(ABS(tblTransactions[[#This Row],[net_sales_inr]]-tblTransactions[[#This Row],[Recalc_Net_Sales]])&lt;0.02,"OK","CHECK")</f>
        <v>OK</v>
      </c>
      <c r="M2779" s="14">
        <f>DATE(YEAR(tblTransactions[[#This Row],[date]]),MONTH(tblTransactions[[#This Row],[date]]),1)</f>
        <v>45778</v>
      </c>
      <c r="N2779" t="str">
        <f>IF(WEEKDAY(tblTransactions[[#This Row],[date]],2)&gt;5,"Weekend","Weekday")</f>
        <v>Weekday</v>
      </c>
      <c r="O277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79" s="13" t="str">
        <f>_xlfn.XLOOKUP(tblTransactions[[#This Row],[tenant_id]],tblTenants[tenant_id],tblTenants[zone],"NOT FOUND")</f>
        <v>Beauty &amp; Wellness</v>
      </c>
      <c r="Q2779" s="13" t="str">
        <f>_xlfn.XLOOKUP(tblTransactions[[#This Row],[tenant_id]],tblTenants[tenant_id],tblTenants[category],"NOT FOUND")</f>
        <v>Wellness</v>
      </c>
    </row>
    <row r="2780" spans="1:17">
      <c r="A2780" t="s">
        <v>2824</v>
      </c>
      <c r="B2780" s="2">
        <v>45832</v>
      </c>
      <c r="C2780">
        <v>14</v>
      </c>
      <c r="D2780" t="s">
        <v>48</v>
      </c>
      <c r="E2780" t="s">
        <v>51</v>
      </c>
      <c r="F2780" s="7">
        <v>2351.21</v>
      </c>
      <c r="G2780" s="10">
        <v>0.2</v>
      </c>
      <c r="H2780" s="7">
        <v>1880.97</v>
      </c>
      <c r="I2780">
        <v>1</v>
      </c>
      <c r="J2780" t="s">
        <v>16</v>
      </c>
      <c r="K2780" s="13">
        <f>ROUND(tblTransactions[[#This Row],[gross_sales_inr]]*(1-tblTransactions[[#This Row],[discount_pct]]),2)</f>
        <v>1880.97</v>
      </c>
      <c r="L2780" t="str">
        <f>IF(ABS(tblTransactions[[#This Row],[net_sales_inr]]-tblTransactions[[#This Row],[Recalc_Net_Sales]])&lt;0.02,"OK","CHECK")</f>
        <v>OK</v>
      </c>
      <c r="M2780" s="14">
        <f>DATE(YEAR(tblTransactions[[#This Row],[date]]),MONTH(tblTransactions[[#This Row],[date]]),1)</f>
        <v>45809</v>
      </c>
      <c r="N2780" t="str">
        <f>IF(WEEKDAY(tblTransactions[[#This Row],[date]],2)&gt;5,"Weekend","Weekday")</f>
        <v>Weekday</v>
      </c>
      <c r="O278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80" s="13" t="str">
        <f>_xlfn.XLOOKUP(tblTransactions[[#This Row],[tenant_id]],tblTenants[tenant_id],tblTenants[zone],"NOT FOUND")</f>
        <v>Beauty &amp; Wellness</v>
      </c>
      <c r="Q2780" s="13" t="str">
        <f>_xlfn.XLOOKUP(tblTransactions[[#This Row],[tenant_id]],tblTenants[tenant_id],tblTenants[category],"NOT FOUND")</f>
        <v>Wellness</v>
      </c>
    </row>
    <row r="2781" spans="1:17">
      <c r="A2781" t="s">
        <v>2825</v>
      </c>
      <c r="B2781" s="2">
        <v>45676</v>
      </c>
      <c r="C2781">
        <v>17</v>
      </c>
      <c r="D2781" t="s">
        <v>87</v>
      </c>
      <c r="E2781" t="s">
        <v>12</v>
      </c>
      <c r="F2781" s="7">
        <v>397.18</v>
      </c>
      <c r="G2781" s="10">
        <v>0</v>
      </c>
      <c r="H2781" s="7">
        <v>397.18</v>
      </c>
      <c r="I2781">
        <v>3</v>
      </c>
      <c r="J2781" t="s">
        <v>16</v>
      </c>
      <c r="K2781" s="13">
        <f>ROUND(tblTransactions[[#This Row],[gross_sales_inr]]*(1-tblTransactions[[#This Row],[discount_pct]]),2)</f>
        <v>397.18</v>
      </c>
      <c r="L2781" t="str">
        <f>IF(ABS(tblTransactions[[#This Row],[net_sales_inr]]-tblTransactions[[#This Row],[Recalc_Net_Sales]])&lt;0.02,"OK","CHECK")</f>
        <v>OK</v>
      </c>
      <c r="M2781" s="14">
        <f>DATE(YEAR(tblTransactions[[#This Row],[date]]),MONTH(tblTransactions[[#This Row],[date]]),1)</f>
        <v>45658</v>
      </c>
      <c r="N2781" t="str">
        <f>IF(WEEKDAY(tblTransactions[[#This Row],[date]],2)&gt;5,"Weekend","Weekday")</f>
        <v>Weekend</v>
      </c>
      <c r="O2781" s="13" t="str">
        <f>IF(tblTransactions[[#This Row],[discount_pct]]=0,"0%",IF(tblTransactions[[#This Row],[discount_pct]]&lt;=10%,"1–
10%",IF(tblTransactions[[#This Row],[discount_pct]]&lt;=20%,"11–20%","&gt;20%")))</f>
        <v>0%</v>
      </c>
      <c r="P2781" s="13" t="str">
        <f>_xlfn.XLOOKUP(tblTransactions[[#This Row],[tenant_id]],tblTenants[tenant_id],tblTenants[zone],"NOT FOUND")</f>
        <v>Fashion Avenue</v>
      </c>
      <c r="Q2781" s="13" t="str">
        <f>_xlfn.XLOOKUP(tblTransactions[[#This Row],[tenant_id]],tblTenants[tenant_id],tblTenants[category],"NOT FOUND")</f>
        <v>Footwear</v>
      </c>
    </row>
    <row r="2782" spans="1:17">
      <c r="A2782" t="s">
        <v>2826</v>
      </c>
      <c r="B2782" s="2">
        <v>45819</v>
      </c>
      <c r="C2782">
        <v>13</v>
      </c>
      <c r="D2782" t="s">
        <v>25</v>
      </c>
      <c r="E2782" t="s">
        <v>12</v>
      </c>
      <c r="F2782" s="7">
        <v>622.78</v>
      </c>
      <c r="G2782" s="10">
        <v>0</v>
      </c>
      <c r="H2782" s="7">
        <v>622.78</v>
      </c>
      <c r="I2782">
        <v>5</v>
      </c>
      <c r="J2782" t="s">
        <v>13</v>
      </c>
      <c r="K2782" s="13">
        <f>ROUND(tblTransactions[[#This Row],[gross_sales_inr]]*(1-tblTransactions[[#This Row],[discount_pct]]),2)</f>
        <v>622.78</v>
      </c>
      <c r="L2782" t="str">
        <f>IF(ABS(tblTransactions[[#This Row],[net_sales_inr]]-tblTransactions[[#This Row],[Recalc_Net_Sales]])&lt;0.02,"OK","CHECK")</f>
        <v>OK</v>
      </c>
      <c r="M2782" s="14">
        <f>DATE(YEAR(tblTransactions[[#This Row],[date]]),MONTH(tblTransactions[[#This Row],[date]]),1)</f>
        <v>45809</v>
      </c>
      <c r="N2782" t="str">
        <f>IF(WEEKDAY(tblTransactions[[#This Row],[date]],2)&gt;5,"Weekend","Weekday")</f>
        <v>Weekday</v>
      </c>
      <c r="O2782" s="13" t="str">
        <f>IF(tblTransactions[[#This Row],[discount_pct]]=0,"0%",IF(tblTransactions[[#This Row],[discount_pct]]&lt;=10%,"1–
10%",IF(tblTransactions[[#This Row],[discount_pct]]&lt;=20%,"11–20%","&gt;20%")))</f>
        <v>0%</v>
      </c>
      <c r="P2782" s="13" t="str">
        <f>_xlfn.XLOOKUP(tblTransactions[[#This Row],[tenant_id]],tblTenants[tenant_id],tblTenants[zone],"NOT FOUND")</f>
        <v>Beauty &amp; Wellness</v>
      </c>
      <c r="Q2782" s="13" t="str">
        <f>_xlfn.XLOOKUP(tblTransactions[[#This Row],[tenant_id]],tblTenants[tenant_id],tblTenants[category],"NOT FOUND")</f>
        <v>Beauty</v>
      </c>
    </row>
    <row r="2783" spans="1:17">
      <c r="A2783" t="s">
        <v>2827</v>
      </c>
      <c r="B2783" s="2">
        <v>45810</v>
      </c>
      <c r="C2783">
        <v>18</v>
      </c>
      <c r="D2783" t="s">
        <v>204</v>
      </c>
      <c r="E2783" t="s">
        <v>12</v>
      </c>
      <c r="F2783" s="7">
        <v>4328.0600000000004</v>
      </c>
      <c r="G2783" s="10">
        <v>0.15</v>
      </c>
      <c r="H2783" s="7">
        <v>3678.85</v>
      </c>
      <c r="I2783">
        <v>1</v>
      </c>
      <c r="J2783" t="s">
        <v>16</v>
      </c>
      <c r="K2783" s="13">
        <f>ROUND(tblTransactions[[#This Row],[gross_sales_inr]]*(1-tblTransactions[[#This Row],[discount_pct]]),2)</f>
        <v>3678.85</v>
      </c>
      <c r="L2783" t="str">
        <f>IF(ABS(tblTransactions[[#This Row],[net_sales_inr]]-tblTransactions[[#This Row],[Recalc_Net_Sales]])&lt;0.02,"OK","CHECK")</f>
        <v>OK</v>
      </c>
      <c r="M2783" s="14">
        <f>DATE(YEAR(tblTransactions[[#This Row],[date]]),MONTH(tblTransactions[[#This Row],[date]]),1)</f>
        <v>45809</v>
      </c>
      <c r="N2783" t="str">
        <f>IF(WEEKDAY(tblTransactions[[#This Row],[date]],2)&gt;5,"Weekend","Weekday")</f>
        <v>Weekday</v>
      </c>
      <c r="O278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83" s="13" t="str">
        <f>_xlfn.XLOOKUP(tblTransactions[[#This Row],[tenant_id]],tblTenants[tenant_id],tblTenants[zone],"NOT FOUND")</f>
        <v>Home &amp; Living</v>
      </c>
      <c r="Q2783" s="13" t="str">
        <f>_xlfn.XLOOKUP(tblTransactions[[#This Row],[tenant_id]],tblTenants[tenant_id],tblTenants[category],"NOT FOUND")</f>
        <v>Home Decor</v>
      </c>
    </row>
    <row r="2784" spans="1:17">
      <c r="A2784" t="s">
        <v>2828</v>
      </c>
      <c r="B2784" s="2">
        <v>45781</v>
      </c>
      <c r="C2784">
        <v>19</v>
      </c>
      <c r="D2784" t="s">
        <v>34</v>
      </c>
      <c r="E2784" t="s">
        <v>12</v>
      </c>
      <c r="F2784" s="7">
        <v>1675.68</v>
      </c>
      <c r="G2784" s="10">
        <v>0.1</v>
      </c>
      <c r="H2784" s="7">
        <v>1508.11</v>
      </c>
      <c r="I2784">
        <v>1</v>
      </c>
      <c r="J2784" t="s">
        <v>13</v>
      </c>
      <c r="K2784" s="13">
        <f>ROUND(tblTransactions[[#This Row],[gross_sales_inr]]*(1-tblTransactions[[#This Row],[discount_pct]]),2)</f>
        <v>1508.11</v>
      </c>
      <c r="L2784" t="str">
        <f>IF(ABS(tblTransactions[[#This Row],[net_sales_inr]]-tblTransactions[[#This Row],[Recalc_Net_Sales]])&lt;0.02,"OK","CHECK")</f>
        <v>OK</v>
      </c>
      <c r="M2784" s="14">
        <f>DATE(YEAR(tblTransactions[[#This Row],[date]]),MONTH(tblTransactions[[#This Row],[date]]),1)</f>
        <v>45778</v>
      </c>
      <c r="N2784" t="str">
        <f>IF(WEEKDAY(tblTransactions[[#This Row],[date]],2)&gt;5,"Weekend","Weekday")</f>
        <v>Weekend</v>
      </c>
      <c r="O278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84" s="13" t="str">
        <f>_xlfn.XLOOKUP(tblTransactions[[#This Row],[tenant_id]],tblTenants[tenant_id],tblTenants[zone],"NOT FOUND")</f>
        <v>Home &amp; Living</v>
      </c>
      <c r="Q2784" s="13" t="str">
        <f>_xlfn.XLOOKUP(tblTransactions[[#This Row],[tenant_id]],tblTenants[tenant_id],tblTenants[category],"NOT FOUND")</f>
        <v>Electronics</v>
      </c>
    </row>
    <row r="2785" spans="1:17">
      <c r="A2785" t="s">
        <v>2829</v>
      </c>
      <c r="B2785" s="2">
        <v>45738</v>
      </c>
      <c r="C2785">
        <v>14</v>
      </c>
      <c r="D2785" t="s">
        <v>45</v>
      </c>
      <c r="E2785" t="s">
        <v>51</v>
      </c>
      <c r="F2785" s="7">
        <v>602.12</v>
      </c>
      <c r="G2785" s="10">
        <v>0</v>
      </c>
      <c r="H2785" s="7">
        <v>602.12</v>
      </c>
      <c r="I2785">
        <v>1</v>
      </c>
      <c r="J2785" t="s">
        <v>13</v>
      </c>
      <c r="K2785" s="13">
        <f>ROUND(tblTransactions[[#This Row],[gross_sales_inr]]*(1-tblTransactions[[#This Row],[discount_pct]]),2)</f>
        <v>602.12</v>
      </c>
      <c r="L2785" t="str">
        <f>IF(ABS(tblTransactions[[#This Row],[net_sales_inr]]-tblTransactions[[#This Row],[Recalc_Net_Sales]])&lt;0.02,"OK","CHECK")</f>
        <v>OK</v>
      </c>
      <c r="M2785" s="14">
        <f>DATE(YEAR(tblTransactions[[#This Row],[date]]),MONTH(tblTransactions[[#This Row],[date]]),1)</f>
        <v>45717</v>
      </c>
      <c r="N2785" t="str">
        <f>IF(WEEKDAY(tblTransactions[[#This Row],[date]],2)&gt;5,"Weekend","Weekday")</f>
        <v>Weekend</v>
      </c>
      <c r="O2785" s="13" t="str">
        <f>IF(tblTransactions[[#This Row],[discount_pct]]=0,"0%",IF(tblTransactions[[#This Row],[discount_pct]]&lt;=10%,"1–
10%",IF(tblTransactions[[#This Row],[discount_pct]]&lt;=20%,"11–20%","&gt;20%")))</f>
        <v>0%</v>
      </c>
      <c r="P2785" s="13" t="str">
        <f>_xlfn.XLOOKUP(tblTransactions[[#This Row],[tenant_id]],tblTenants[tenant_id],tblTenants[zone],"NOT FOUND")</f>
        <v>Home &amp; Living</v>
      </c>
      <c r="Q2785" s="13" t="str">
        <f>_xlfn.XLOOKUP(tblTransactions[[#This Row],[tenant_id]],tblTenants[tenant_id],tblTenants[category],"NOT FOUND")</f>
        <v>Home Decor</v>
      </c>
    </row>
    <row r="2786" spans="1:17">
      <c r="A2786" t="s">
        <v>2830</v>
      </c>
      <c r="B2786" s="2">
        <v>45773</v>
      </c>
      <c r="C2786">
        <v>21</v>
      </c>
      <c r="D2786" t="s">
        <v>61</v>
      </c>
      <c r="E2786" t="s">
        <v>32</v>
      </c>
      <c r="F2786" s="7">
        <v>1555.51</v>
      </c>
      <c r="G2786" s="10">
        <v>0.1</v>
      </c>
      <c r="H2786" s="7">
        <v>1399.96</v>
      </c>
      <c r="I2786">
        <v>1</v>
      </c>
      <c r="J2786" t="s">
        <v>13</v>
      </c>
      <c r="K2786" s="13">
        <f>ROUND(tblTransactions[[#This Row],[gross_sales_inr]]*(1-tblTransactions[[#This Row],[discount_pct]]),2)</f>
        <v>1399.96</v>
      </c>
      <c r="L2786" t="str">
        <f>IF(ABS(tblTransactions[[#This Row],[net_sales_inr]]-tblTransactions[[#This Row],[Recalc_Net_Sales]])&lt;0.02,"OK","CHECK")</f>
        <v>OK</v>
      </c>
      <c r="M2786" s="14">
        <f>DATE(YEAR(tblTransactions[[#This Row],[date]]),MONTH(tblTransactions[[#This Row],[date]]),1)</f>
        <v>45748</v>
      </c>
      <c r="N2786" t="str">
        <f>IF(WEEKDAY(tblTransactions[[#This Row],[date]],2)&gt;5,"Weekend","Weekday")</f>
        <v>Weekend</v>
      </c>
      <c r="O278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86" s="13" t="str">
        <f>_xlfn.XLOOKUP(tblTransactions[[#This Row],[tenant_id]],tblTenants[tenant_id],tblTenants[zone],"NOT FOUND")</f>
        <v>Food Court</v>
      </c>
      <c r="Q2786" s="13" t="str">
        <f>_xlfn.XLOOKUP(tblTransactions[[#This Row],[tenant_id]],tblTenants[tenant_id],tblTenants[category],"NOT FOUND")</f>
        <v>Quick Service</v>
      </c>
    </row>
    <row r="2787" spans="1:17">
      <c r="A2787" t="s">
        <v>2831</v>
      </c>
      <c r="B2787" s="2">
        <v>45772</v>
      </c>
      <c r="C2787">
        <v>17</v>
      </c>
      <c r="D2787" t="s">
        <v>55</v>
      </c>
      <c r="E2787" t="s">
        <v>12</v>
      </c>
      <c r="F2787" s="7">
        <v>1539.59</v>
      </c>
      <c r="G2787" s="10">
        <v>0</v>
      </c>
      <c r="H2787" s="7">
        <v>1539.59</v>
      </c>
      <c r="I2787">
        <v>2</v>
      </c>
      <c r="J2787" t="s">
        <v>13</v>
      </c>
      <c r="K2787" s="13">
        <f>ROUND(tblTransactions[[#This Row],[gross_sales_inr]]*(1-tblTransactions[[#This Row],[discount_pct]]),2)</f>
        <v>1539.59</v>
      </c>
      <c r="L2787" t="str">
        <f>IF(ABS(tblTransactions[[#This Row],[net_sales_inr]]-tblTransactions[[#This Row],[Recalc_Net_Sales]])&lt;0.02,"OK","CHECK")</f>
        <v>OK</v>
      </c>
      <c r="M2787" s="14">
        <f>DATE(YEAR(tblTransactions[[#This Row],[date]]),MONTH(tblTransactions[[#This Row],[date]]),1)</f>
        <v>45748</v>
      </c>
      <c r="N2787" t="str">
        <f>IF(WEEKDAY(tblTransactions[[#This Row],[date]],2)&gt;5,"Weekend","Weekday")</f>
        <v>Weekday</v>
      </c>
      <c r="O2787" s="13" t="str">
        <f>IF(tblTransactions[[#This Row],[discount_pct]]=0,"0%",IF(tblTransactions[[#This Row],[discount_pct]]&lt;=10%,"1–
10%",IF(tblTransactions[[#This Row],[discount_pct]]&lt;=20%,"11–20%","&gt;20%")))</f>
        <v>0%</v>
      </c>
      <c r="P2787" s="13" t="str">
        <f>_xlfn.XLOOKUP(tblTransactions[[#This Row],[tenant_id]],tblTenants[tenant_id],tblTenants[zone],"NOT FOUND")</f>
        <v>Food Court</v>
      </c>
      <c r="Q2787" s="13" t="str">
        <f>_xlfn.XLOOKUP(tblTransactions[[#This Row],[tenant_id]],tblTenants[tenant_id],tblTenants[category],"NOT FOUND")</f>
        <v>Quick Service</v>
      </c>
    </row>
    <row r="2788" spans="1:17">
      <c r="A2788" t="s">
        <v>2832</v>
      </c>
      <c r="B2788" s="2">
        <v>45747</v>
      </c>
      <c r="C2788">
        <v>10</v>
      </c>
      <c r="D2788" t="s">
        <v>63</v>
      </c>
      <c r="E2788" t="s">
        <v>12</v>
      </c>
      <c r="F2788" s="7">
        <v>588.55999999999995</v>
      </c>
      <c r="G2788" s="10">
        <v>0</v>
      </c>
      <c r="H2788" s="7">
        <v>588.55999999999995</v>
      </c>
      <c r="I2788">
        <v>4</v>
      </c>
      <c r="J2788" t="s">
        <v>16</v>
      </c>
      <c r="K2788" s="13">
        <f>ROUND(tblTransactions[[#This Row],[gross_sales_inr]]*(1-tblTransactions[[#This Row],[discount_pct]]),2)</f>
        <v>588.55999999999995</v>
      </c>
      <c r="L2788" t="str">
        <f>IF(ABS(tblTransactions[[#This Row],[net_sales_inr]]-tblTransactions[[#This Row],[Recalc_Net_Sales]])&lt;0.02,"OK","CHECK")</f>
        <v>OK</v>
      </c>
      <c r="M2788" s="14">
        <f>DATE(YEAR(tblTransactions[[#This Row],[date]]),MONTH(tblTransactions[[#This Row],[date]]),1)</f>
        <v>45717</v>
      </c>
      <c r="N2788" t="str">
        <f>IF(WEEKDAY(tblTransactions[[#This Row],[date]],2)&gt;5,"Weekend","Weekday")</f>
        <v>Weekday</v>
      </c>
      <c r="O2788" s="13" t="str">
        <f>IF(tblTransactions[[#This Row],[discount_pct]]=0,"0%",IF(tblTransactions[[#This Row],[discount_pct]]&lt;=10%,"1–
10%",IF(tblTransactions[[#This Row],[discount_pct]]&lt;=20%,"11–20%","&gt;20%")))</f>
        <v>0%</v>
      </c>
      <c r="P2788" s="13" t="str">
        <f>_xlfn.XLOOKUP(tblTransactions[[#This Row],[tenant_id]],tblTenants[tenant_id],tblTenants[zone],"NOT FOUND")</f>
        <v>Entertainment</v>
      </c>
      <c r="Q2788" s="13" t="str">
        <f>_xlfn.XLOOKUP(tblTransactions[[#This Row],[tenant_id]],tblTenants[tenant_id],tblTenants[category],"NOT FOUND")</f>
        <v>Family Entertainment</v>
      </c>
    </row>
    <row r="2789" spans="1:17">
      <c r="A2789" t="s">
        <v>2833</v>
      </c>
      <c r="B2789" s="2">
        <v>45689</v>
      </c>
      <c r="C2789">
        <v>11</v>
      </c>
      <c r="D2789" t="s">
        <v>85</v>
      </c>
      <c r="E2789" t="s">
        <v>51</v>
      </c>
      <c r="F2789" s="7">
        <v>1613.8</v>
      </c>
      <c r="G2789" s="10">
        <v>0</v>
      </c>
      <c r="H2789" s="7">
        <v>1613.8</v>
      </c>
      <c r="I2789">
        <v>1</v>
      </c>
      <c r="J2789" t="s">
        <v>13</v>
      </c>
      <c r="K2789" s="13">
        <f>ROUND(tblTransactions[[#This Row],[gross_sales_inr]]*(1-tblTransactions[[#This Row],[discount_pct]]),2)</f>
        <v>1613.8</v>
      </c>
      <c r="L2789" t="str">
        <f>IF(ABS(tblTransactions[[#This Row],[net_sales_inr]]-tblTransactions[[#This Row],[Recalc_Net_Sales]])&lt;0.02,"OK","CHECK")</f>
        <v>OK</v>
      </c>
      <c r="M2789" s="14">
        <f>DATE(YEAR(tblTransactions[[#This Row],[date]]),MONTH(tblTransactions[[#This Row],[date]]),1)</f>
        <v>45689</v>
      </c>
      <c r="N2789" t="str">
        <f>IF(WEEKDAY(tblTransactions[[#This Row],[date]],2)&gt;5,"Weekend","Weekday")</f>
        <v>Weekend</v>
      </c>
      <c r="O2789" s="13" t="str">
        <f>IF(tblTransactions[[#This Row],[discount_pct]]=0,"0%",IF(tblTransactions[[#This Row],[discount_pct]]&lt;=10%,"1–
10%",IF(tblTransactions[[#This Row],[discount_pct]]&lt;=20%,"11–20%","&gt;20%")))</f>
        <v>0%</v>
      </c>
      <c r="P2789" s="13" t="str">
        <f>_xlfn.XLOOKUP(tblTransactions[[#This Row],[tenant_id]],tblTenants[tenant_id],tblTenants[zone],"NOT FOUND")</f>
        <v>Home &amp; Living</v>
      </c>
      <c r="Q2789" s="13" t="str">
        <f>_xlfn.XLOOKUP(tblTransactions[[#This Row],[tenant_id]],tblTenants[tenant_id],tblTenants[category],"NOT FOUND")</f>
        <v>Electronics</v>
      </c>
    </row>
    <row r="2790" spans="1:17">
      <c r="A2790" t="s">
        <v>2834</v>
      </c>
      <c r="B2790" s="2">
        <v>45709</v>
      </c>
      <c r="C2790">
        <v>18</v>
      </c>
      <c r="D2790" t="s">
        <v>15</v>
      </c>
      <c r="E2790" t="s">
        <v>32</v>
      </c>
      <c r="F2790" s="7">
        <v>1407.2</v>
      </c>
      <c r="G2790" s="10">
        <v>0.05</v>
      </c>
      <c r="H2790" s="7">
        <v>1336.84</v>
      </c>
      <c r="I2790">
        <v>1</v>
      </c>
      <c r="J2790" t="s">
        <v>13</v>
      </c>
      <c r="K2790" s="13">
        <f>ROUND(tblTransactions[[#This Row],[gross_sales_inr]]*(1-tblTransactions[[#This Row],[discount_pct]]),2)</f>
        <v>1336.84</v>
      </c>
      <c r="L2790" t="str">
        <f>IF(ABS(tblTransactions[[#This Row],[net_sales_inr]]-tblTransactions[[#This Row],[Recalc_Net_Sales]])&lt;0.02,"OK","CHECK")</f>
        <v>OK</v>
      </c>
      <c r="M2790" s="14">
        <f>DATE(YEAR(tblTransactions[[#This Row],[date]]),MONTH(tblTransactions[[#This Row],[date]]),1)</f>
        <v>45689</v>
      </c>
      <c r="N2790" t="str">
        <f>IF(WEEKDAY(tblTransactions[[#This Row],[date]],2)&gt;5,"Weekend","Weekday")</f>
        <v>Weekday</v>
      </c>
      <c r="O279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90" s="13" t="str">
        <f>_xlfn.XLOOKUP(tblTransactions[[#This Row],[tenant_id]],tblTenants[tenant_id],tblTenants[zone],"NOT FOUND")</f>
        <v>Fashion Avenue</v>
      </c>
      <c r="Q2790" s="13" t="str">
        <f>_xlfn.XLOOKUP(tblTransactions[[#This Row],[tenant_id]],tblTenants[tenant_id],tblTenants[category],"NOT FOUND")</f>
        <v>Accessories</v>
      </c>
    </row>
    <row r="2791" spans="1:17">
      <c r="A2791" t="s">
        <v>2835</v>
      </c>
      <c r="B2791" s="2">
        <v>45781</v>
      </c>
      <c r="C2791">
        <v>14</v>
      </c>
      <c r="D2791" t="s">
        <v>72</v>
      </c>
      <c r="E2791" t="s">
        <v>32</v>
      </c>
      <c r="F2791" s="7">
        <v>491.39</v>
      </c>
      <c r="G2791" s="10">
        <v>0</v>
      </c>
      <c r="H2791" s="7">
        <v>491.39</v>
      </c>
      <c r="I2791">
        <v>2</v>
      </c>
      <c r="J2791" t="s">
        <v>16</v>
      </c>
      <c r="K2791" s="13">
        <f>ROUND(tblTransactions[[#This Row],[gross_sales_inr]]*(1-tblTransactions[[#This Row],[discount_pct]]),2)</f>
        <v>491.39</v>
      </c>
      <c r="L2791" t="str">
        <f>IF(ABS(tblTransactions[[#This Row],[net_sales_inr]]-tblTransactions[[#This Row],[Recalc_Net_Sales]])&lt;0.02,"OK","CHECK")</f>
        <v>OK</v>
      </c>
      <c r="M2791" s="14">
        <f>DATE(YEAR(tblTransactions[[#This Row],[date]]),MONTH(tblTransactions[[#This Row],[date]]),1)</f>
        <v>45778</v>
      </c>
      <c r="N2791" t="str">
        <f>IF(WEEKDAY(tblTransactions[[#This Row],[date]],2)&gt;5,"Weekend","Weekday")</f>
        <v>Weekend</v>
      </c>
      <c r="O2791" s="13" t="str">
        <f>IF(tblTransactions[[#This Row],[discount_pct]]=0,"0%",IF(tblTransactions[[#This Row],[discount_pct]]&lt;=10%,"1–
10%",IF(tblTransactions[[#This Row],[discount_pct]]&lt;=20%,"11–20%","&gt;20%")))</f>
        <v>0%</v>
      </c>
      <c r="P2791" s="13" t="str">
        <f>_xlfn.XLOOKUP(tblTransactions[[#This Row],[tenant_id]],tblTenants[tenant_id],tblTenants[zone],"NOT FOUND")</f>
        <v>Entertainment</v>
      </c>
      <c r="Q2791" s="13" t="str">
        <f>_xlfn.XLOOKUP(tblTransactions[[#This Row],[tenant_id]],tblTenants[tenant_id],tblTenants[category],"NOT FOUND")</f>
        <v>Arcade</v>
      </c>
    </row>
    <row r="2792" spans="1:17">
      <c r="A2792" t="s">
        <v>2836</v>
      </c>
      <c r="B2792" s="2">
        <v>45738</v>
      </c>
      <c r="C2792">
        <v>22</v>
      </c>
      <c r="D2792" t="s">
        <v>61</v>
      </c>
      <c r="E2792" t="s">
        <v>12</v>
      </c>
      <c r="F2792" s="7">
        <v>603.14</v>
      </c>
      <c r="G2792" s="10">
        <v>0</v>
      </c>
      <c r="H2792" s="7">
        <v>603.14</v>
      </c>
      <c r="I2792">
        <v>6</v>
      </c>
      <c r="J2792" t="s">
        <v>13</v>
      </c>
      <c r="K2792" s="13">
        <f>ROUND(tblTransactions[[#This Row],[gross_sales_inr]]*(1-tblTransactions[[#This Row],[discount_pct]]),2)</f>
        <v>603.14</v>
      </c>
      <c r="L2792" t="str">
        <f>IF(ABS(tblTransactions[[#This Row],[net_sales_inr]]-tblTransactions[[#This Row],[Recalc_Net_Sales]])&lt;0.02,"OK","CHECK")</f>
        <v>OK</v>
      </c>
      <c r="M2792" s="14">
        <f>DATE(YEAR(tblTransactions[[#This Row],[date]]),MONTH(tblTransactions[[#This Row],[date]]),1)</f>
        <v>45717</v>
      </c>
      <c r="N2792" t="str">
        <f>IF(WEEKDAY(tblTransactions[[#This Row],[date]],2)&gt;5,"Weekend","Weekday")</f>
        <v>Weekend</v>
      </c>
      <c r="O2792" s="13" t="str">
        <f>IF(tblTransactions[[#This Row],[discount_pct]]=0,"0%",IF(tblTransactions[[#This Row],[discount_pct]]&lt;=10%,"1–
10%",IF(tblTransactions[[#This Row],[discount_pct]]&lt;=20%,"11–20%","&gt;20%")))</f>
        <v>0%</v>
      </c>
      <c r="P2792" s="13" t="str">
        <f>_xlfn.XLOOKUP(tblTransactions[[#This Row],[tenant_id]],tblTenants[tenant_id],tblTenants[zone],"NOT FOUND")</f>
        <v>Food Court</v>
      </c>
      <c r="Q2792" s="13" t="str">
        <f>_xlfn.XLOOKUP(tblTransactions[[#This Row],[tenant_id]],tblTenants[tenant_id],tblTenants[category],"NOT FOUND")</f>
        <v>Quick Service</v>
      </c>
    </row>
    <row r="2793" spans="1:17">
      <c r="A2793" t="s">
        <v>2837</v>
      </c>
      <c r="B2793" s="2">
        <v>45812</v>
      </c>
      <c r="C2793">
        <v>19</v>
      </c>
      <c r="D2793" t="s">
        <v>72</v>
      </c>
      <c r="E2793" t="s">
        <v>32</v>
      </c>
      <c r="F2793" s="7">
        <v>2781.85</v>
      </c>
      <c r="G2793" s="10">
        <v>0</v>
      </c>
      <c r="H2793" s="7">
        <v>2781.85</v>
      </c>
      <c r="I2793">
        <v>1</v>
      </c>
      <c r="J2793" t="s">
        <v>16</v>
      </c>
      <c r="K2793" s="13">
        <f>ROUND(tblTransactions[[#This Row],[gross_sales_inr]]*(1-tblTransactions[[#This Row],[discount_pct]]),2)</f>
        <v>2781.85</v>
      </c>
      <c r="L2793" t="str">
        <f>IF(ABS(tblTransactions[[#This Row],[net_sales_inr]]-tblTransactions[[#This Row],[Recalc_Net_Sales]])&lt;0.02,"OK","CHECK")</f>
        <v>OK</v>
      </c>
      <c r="M2793" s="14">
        <f>DATE(YEAR(tblTransactions[[#This Row],[date]]),MONTH(tblTransactions[[#This Row],[date]]),1)</f>
        <v>45809</v>
      </c>
      <c r="N2793" t="str">
        <f>IF(WEEKDAY(tblTransactions[[#This Row],[date]],2)&gt;5,"Weekend","Weekday")</f>
        <v>Weekday</v>
      </c>
      <c r="O2793" s="13" t="str">
        <f>IF(tblTransactions[[#This Row],[discount_pct]]=0,"0%",IF(tblTransactions[[#This Row],[discount_pct]]&lt;=10%,"1–
10%",IF(tblTransactions[[#This Row],[discount_pct]]&lt;=20%,"11–20%","&gt;20%")))</f>
        <v>0%</v>
      </c>
      <c r="P2793" s="13" t="str">
        <f>_xlfn.XLOOKUP(tblTransactions[[#This Row],[tenant_id]],tblTenants[tenant_id],tblTenants[zone],"NOT FOUND")</f>
        <v>Entertainment</v>
      </c>
      <c r="Q2793" s="13" t="str">
        <f>_xlfn.XLOOKUP(tblTransactions[[#This Row],[tenant_id]],tblTenants[tenant_id],tblTenants[category],"NOT FOUND")</f>
        <v>Arcade</v>
      </c>
    </row>
    <row r="2794" spans="1:17">
      <c r="A2794" t="s">
        <v>2838</v>
      </c>
      <c r="B2794" s="2">
        <v>45731</v>
      </c>
      <c r="C2794">
        <v>12</v>
      </c>
      <c r="D2794" t="s">
        <v>59</v>
      </c>
      <c r="E2794" t="s">
        <v>32</v>
      </c>
      <c r="F2794" s="7">
        <v>1268.7</v>
      </c>
      <c r="G2794" s="10">
        <v>0.15</v>
      </c>
      <c r="H2794" s="7">
        <v>1078.3900000000001</v>
      </c>
      <c r="I2794">
        <v>1</v>
      </c>
      <c r="J2794" t="s">
        <v>16</v>
      </c>
      <c r="K2794" s="13">
        <f>ROUND(tblTransactions[[#This Row],[gross_sales_inr]]*(1-tblTransactions[[#This Row],[discount_pct]]),2)</f>
        <v>1078.4000000000001</v>
      </c>
      <c r="L2794" t="str">
        <f>IF(ABS(tblTransactions[[#This Row],[net_sales_inr]]-tblTransactions[[#This Row],[Recalc_Net_Sales]])&lt;0.02,"OK","CHECK")</f>
        <v>OK</v>
      </c>
      <c r="M2794" s="14">
        <f>DATE(YEAR(tblTransactions[[#This Row],[date]]),MONTH(tblTransactions[[#This Row],[date]]),1)</f>
        <v>45717</v>
      </c>
      <c r="N2794" t="str">
        <f>IF(WEEKDAY(tblTransactions[[#This Row],[date]],2)&gt;5,"Weekend","Weekday")</f>
        <v>Weekend</v>
      </c>
      <c r="O279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94" s="13" t="str">
        <f>_xlfn.XLOOKUP(tblTransactions[[#This Row],[tenant_id]],tblTenants[tenant_id],tblTenants[zone],"NOT FOUND")</f>
        <v>Fashion Avenue</v>
      </c>
      <c r="Q2794" s="13" t="str">
        <f>_xlfn.XLOOKUP(tblTransactions[[#This Row],[tenant_id]],tblTenants[tenant_id],tblTenants[category],"NOT FOUND")</f>
        <v>Footwear</v>
      </c>
    </row>
    <row r="2795" spans="1:17">
      <c r="A2795" t="s">
        <v>2839</v>
      </c>
      <c r="B2795" s="2">
        <v>45704</v>
      </c>
      <c r="C2795">
        <v>10</v>
      </c>
      <c r="D2795" t="s">
        <v>25</v>
      </c>
      <c r="E2795" t="s">
        <v>12</v>
      </c>
      <c r="F2795" s="7">
        <v>2309.41</v>
      </c>
      <c r="G2795" s="10">
        <v>0.05</v>
      </c>
      <c r="H2795" s="7">
        <v>2193.94</v>
      </c>
      <c r="I2795">
        <v>1</v>
      </c>
      <c r="J2795" t="s">
        <v>13</v>
      </c>
      <c r="K2795" s="13">
        <f>ROUND(tblTransactions[[#This Row],[gross_sales_inr]]*(1-tblTransactions[[#This Row],[discount_pct]]),2)</f>
        <v>2193.94</v>
      </c>
      <c r="L2795" t="str">
        <f>IF(ABS(tblTransactions[[#This Row],[net_sales_inr]]-tblTransactions[[#This Row],[Recalc_Net_Sales]])&lt;0.02,"OK","CHECK")</f>
        <v>OK</v>
      </c>
      <c r="M2795" s="14">
        <f>DATE(YEAR(tblTransactions[[#This Row],[date]]),MONTH(tblTransactions[[#This Row],[date]]),1)</f>
        <v>45689</v>
      </c>
      <c r="N2795" t="str">
        <f>IF(WEEKDAY(tblTransactions[[#This Row],[date]],2)&gt;5,"Weekend","Weekday")</f>
        <v>Weekend</v>
      </c>
      <c r="O279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795" s="13" t="str">
        <f>_xlfn.XLOOKUP(tblTransactions[[#This Row],[tenant_id]],tblTenants[tenant_id],tblTenants[zone],"NOT FOUND")</f>
        <v>Beauty &amp; Wellness</v>
      </c>
      <c r="Q2795" s="13" t="str">
        <f>_xlfn.XLOOKUP(tblTransactions[[#This Row],[tenant_id]],tblTenants[tenant_id],tblTenants[category],"NOT FOUND")</f>
        <v>Beauty</v>
      </c>
    </row>
    <row r="2796" spans="1:17">
      <c r="A2796" t="s">
        <v>2840</v>
      </c>
      <c r="B2796" s="2">
        <v>45689</v>
      </c>
      <c r="C2796">
        <v>14</v>
      </c>
      <c r="D2796" t="s">
        <v>18</v>
      </c>
      <c r="E2796" t="s">
        <v>12</v>
      </c>
      <c r="F2796" s="7">
        <v>699.99</v>
      </c>
      <c r="G2796" s="10">
        <v>0.15</v>
      </c>
      <c r="H2796" s="7">
        <v>594.99</v>
      </c>
      <c r="I2796">
        <v>1</v>
      </c>
      <c r="J2796" t="s">
        <v>13</v>
      </c>
      <c r="K2796" s="13">
        <f>ROUND(tblTransactions[[#This Row],[gross_sales_inr]]*(1-tblTransactions[[#This Row],[discount_pct]]),2)</f>
        <v>594.99</v>
      </c>
      <c r="L2796" t="str">
        <f>IF(ABS(tblTransactions[[#This Row],[net_sales_inr]]-tblTransactions[[#This Row],[Recalc_Net_Sales]])&lt;0.02,"OK","CHECK")</f>
        <v>OK</v>
      </c>
      <c r="M2796" s="14">
        <f>DATE(YEAR(tblTransactions[[#This Row],[date]]),MONTH(tblTransactions[[#This Row],[date]]),1)</f>
        <v>45689</v>
      </c>
      <c r="N2796" t="str">
        <f>IF(WEEKDAY(tblTransactions[[#This Row],[date]],2)&gt;5,"Weekend","Weekday")</f>
        <v>Weekend</v>
      </c>
      <c r="O279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96" s="13" t="str">
        <f>_xlfn.XLOOKUP(tblTransactions[[#This Row],[tenant_id]],tblTenants[tenant_id],tblTenants[zone],"NOT FOUND")</f>
        <v>Beauty &amp; Wellness</v>
      </c>
      <c r="Q2796" s="13" t="str">
        <f>_xlfn.XLOOKUP(tblTransactions[[#This Row],[tenant_id]],tblTenants[tenant_id],tblTenants[category],"NOT FOUND")</f>
        <v>Beauty</v>
      </c>
    </row>
    <row r="2797" spans="1:17">
      <c r="A2797" t="s">
        <v>2841</v>
      </c>
      <c r="B2797" s="2">
        <v>45772</v>
      </c>
      <c r="C2797">
        <v>16</v>
      </c>
      <c r="D2797" t="s">
        <v>43</v>
      </c>
      <c r="E2797" t="s">
        <v>21</v>
      </c>
      <c r="F2797" s="7">
        <v>1113.79</v>
      </c>
      <c r="G2797" s="10">
        <v>0.2</v>
      </c>
      <c r="H2797" s="7">
        <v>891.03</v>
      </c>
      <c r="I2797">
        <v>3</v>
      </c>
      <c r="J2797" t="s">
        <v>13</v>
      </c>
      <c r="K2797" s="13">
        <f>ROUND(tblTransactions[[#This Row],[gross_sales_inr]]*(1-tblTransactions[[#This Row],[discount_pct]]),2)</f>
        <v>891.03</v>
      </c>
      <c r="L2797" t="str">
        <f>IF(ABS(tblTransactions[[#This Row],[net_sales_inr]]-tblTransactions[[#This Row],[Recalc_Net_Sales]])&lt;0.02,"OK","CHECK")</f>
        <v>OK</v>
      </c>
      <c r="M2797" s="14">
        <f>DATE(YEAR(tblTransactions[[#This Row],[date]]),MONTH(tblTransactions[[#This Row],[date]]),1)</f>
        <v>45748</v>
      </c>
      <c r="N2797" t="str">
        <f>IF(WEEKDAY(tblTransactions[[#This Row],[date]],2)&gt;5,"Weekend","Weekday")</f>
        <v>Weekday</v>
      </c>
      <c r="O279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97" s="13" t="str">
        <f>_xlfn.XLOOKUP(tblTransactions[[#This Row],[tenant_id]],tblTenants[tenant_id],tblTenants[zone],"NOT FOUND")</f>
        <v>Food Court</v>
      </c>
      <c r="Q2797" s="13" t="str">
        <f>_xlfn.XLOOKUP(tblTransactions[[#This Row],[tenant_id]],tblTenants[tenant_id],tblTenants[category],"NOT FOUND")</f>
        <v>Casual Dining</v>
      </c>
    </row>
    <row r="2798" spans="1:17">
      <c r="A2798" t="s">
        <v>2842</v>
      </c>
      <c r="B2798" s="2">
        <v>45798</v>
      </c>
      <c r="C2798">
        <v>15</v>
      </c>
      <c r="D2798" t="s">
        <v>204</v>
      </c>
      <c r="E2798" t="s">
        <v>12</v>
      </c>
      <c r="F2798" s="7">
        <v>869.74</v>
      </c>
      <c r="G2798" s="10">
        <v>0</v>
      </c>
      <c r="H2798" s="7">
        <v>869.74</v>
      </c>
      <c r="I2798">
        <v>1</v>
      </c>
      <c r="J2798" t="s">
        <v>13</v>
      </c>
      <c r="K2798" s="13">
        <f>ROUND(tblTransactions[[#This Row],[gross_sales_inr]]*(1-tblTransactions[[#This Row],[discount_pct]]),2)</f>
        <v>869.74</v>
      </c>
      <c r="L2798" t="str">
        <f>IF(ABS(tblTransactions[[#This Row],[net_sales_inr]]-tblTransactions[[#This Row],[Recalc_Net_Sales]])&lt;0.02,"OK","CHECK")</f>
        <v>OK</v>
      </c>
      <c r="M2798" s="14">
        <f>DATE(YEAR(tblTransactions[[#This Row],[date]]),MONTH(tblTransactions[[#This Row],[date]]),1)</f>
        <v>45778</v>
      </c>
      <c r="N2798" t="str">
        <f>IF(WEEKDAY(tblTransactions[[#This Row],[date]],2)&gt;5,"Weekend","Weekday")</f>
        <v>Weekday</v>
      </c>
      <c r="O2798" s="13" t="str">
        <f>IF(tblTransactions[[#This Row],[discount_pct]]=0,"0%",IF(tblTransactions[[#This Row],[discount_pct]]&lt;=10%,"1–
10%",IF(tblTransactions[[#This Row],[discount_pct]]&lt;=20%,"11–20%","&gt;20%")))</f>
        <v>0%</v>
      </c>
      <c r="P2798" s="13" t="str">
        <f>_xlfn.XLOOKUP(tblTransactions[[#This Row],[tenant_id]],tblTenants[tenant_id],tblTenants[zone],"NOT FOUND")</f>
        <v>Home &amp; Living</v>
      </c>
      <c r="Q2798" s="13" t="str">
        <f>_xlfn.XLOOKUP(tblTransactions[[#This Row],[tenant_id]],tblTenants[tenant_id],tblTenants[category],"NOT FOUND")</f>
        <v>Home Decor</v>
      </c>
    </row>
    <row r="2799" spans="1:17">
      <c r="A2799" t="s">
        <v>2843</v>
      </c>
      <c r="B2799" s="2">
        <v>45814</v>
      </c>
      <c r="C2799">
        <v>19</v>
      </c>
      <c r="D2799" t="s">
        <v>41</v>
      </c>
      <c r="E2799" t="s">
        <v>12</v>
      </c>
      <c r="F2799" s="7">
        <v>952.9</v>
      </c>
      <c r="G2799" s="10">
        <v>0.15</v>
      </c>
      <c r="H2799" s="7">
        <v>809.96</v>
      </c>
      <c r="I2799">
        <v>1</v>
      </c>
      <c r="J2799" t="s">
        <v>13</v>
      </c>
      <c r="K2799" s="13">
        <f>ROUND(tblTransactions[[#This Row],[gross_sales_inr]]*(1-tblTransactions[[#This Row],[discount_pct]]),2)</f>
        <v>809.97</v>
      </c>
      <c r="L2799" t="str">
        <f>IF(ABS(tblTransactions[[#This Row],[net_sales_inr]]-tblTransactions[[#This Row],[Recalc_Net_Sales]])&lt;0.02,"OK","CHECK")</f>
        <v>OK</v>
      </c>
      <c r="M2799" s="14">
        <f>DATE(YEAR(tblTransactions[[#This Row],[date]]),MONTH(tblTransactions[[#This Row],[date]]),1)</f>
        <v>45809</v>
      </c>
      <c r="N2799" t="str">
        <f>IF(WEEKDAY(tblTransactions[[#This Row],[date]],2)&gt;5,"Weekend","Weekday")</f>
        <v>Weekday</v>
      </c>
      <c r="O279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799" s="13" t="str">
        <f>_xlfn.XLOOKUP(tblTransactions[[#This Row],[tenant_id]],tblTenants[tenant_id],tblTenants[zone],"NOT FOUND")</f>
        <v>Fashion Avenue</v>
      </c>
      <c r="Q2799" s="13" t="str">
        <f>_xlfn.XLOOKUP(tblTransactions[[#This Row],[tenant_id]],tblTenants[tenant_id],tblTenants[category],"NOT FOUND")</f>
        <v>Clothing</v>
      </c>
    </row>
    <row r="2800" spans="1:17">
      <c r="A2800" t="s">
        <v>2844</v>
      </c>
      <c r="B2800" s="2">
        <v>45743</v>
      </c>
      <c r="C2800">
        <v>11</v>
      </c>
      <c r="D2800" t="s">
        <v>55</v>
      </c>
      <c r="E2800" t="s">
        <v>12</v>
      </c>
      <c r="F2800" s="7">
        <v>546.78</v>
      </c>
      <c r="G2800" s="10">
        <v>0.3</v>
      </c>
      <c r="H2800" s="7">
        <v>382.75</v>
      </c>
      <c r="I2800">
        <v>2</v>
      </c>
      <c r="J2800" t="s">
        <v>13</v>
      </c>
      <c r="K2800" s="13">
        <f>ROUND(tblTransactions[[#This Row],[gross_sales_inr]]*(1-tblTransactions[[#This Row],[discount_pct]]),2)</f>
        <v>382.75</v>
      </c>
      <c r="L2800" t="str">
        <f>IF(ABS(tblTransactions[[#This Row],[net_sales_inr]]-tblTransactions[[#This Row],[Recalc_Net_Sales]])&lt;0.02,"OK","CHECK")</f>
        <v>OK</v>
      </c>
      <c r="M2800" s="14">
        <f>DATE(YEAR(tblTransactions[[#This Row],[date]]),MONTH(tblTransactions[[#This Row],[date]]),1)</f>
        <v>45717</v>
      </c>
      <c r="N2800" t="str">
        <f>IF(WEEKDAY(tblTransactions[[#This Row],[date]],2)&gt;5,"Weekend","Weekday")</f>
        <v>Weekday</v>
      </c>
      <c r="O280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800" s="13" t="str">
        <f>_xlfn.XLOOKUP(tblTransactions[[#This Row],[tenant_id]],tblTenants[tenant_id],tblTenants[zone],"NOT FOUND")</f>
        <v>Food Court</v>
      </c>
      <c r="Q2800" s="13" t="str">
        <f>_xlfn.XLOOKUP(tblTransactions[[#This Row],[tenant_id]],tblTenants[tenant_id],tblTenants[category],"NOT FOUND")</f>
        <v>Quick Service</v>
      </c>
    </row>
    <row r="2801" spans="1:17">
      <c r="A2801" t="s">
        <v>2845</v>
      </c>
      <c r="B2801" s="2">
        <v>45776</v>
      </c>
      <c r="C2801">
        <v>18</v>
      </c>
      <c r="D2801" t="s">
        <v>53</v>
      </c>
      <c r="E2801" t="s">
        <v>32</v>
      </c>
      <c r="F2801" s="7">
        <v>623.14</v>
      </c>
      <c r="G2801" s="10">
        <v>0</v>
      </c>
      <c r="H2801" s="7">
        <v>623.14</v>
      </c>
      <c r="I2801">
        <v>1</v>
      </c>
      <c r="J2801" t="s">
        <v>13</v>
      </c>
      <c r="K2801" s="13">
        <f>ROUND(tblTransactions[[#This Row],[gross_sales_inr]]*(1-tblTransactions[[#This Row],[discount_pct]]),2)</f>
        <v>623.14</v>
      </c>
      <c r="L2801" t="str">
        <f>IF(ABS(tblTransactions[[#This Row],[net_sales_inr]]-tblTransactions[[#This Row],[Recalc_Net_Sales]])&lt;0.02,"OK","CHECK")</f>
        <v>OK</v>
      </c>
      <c r="M2801" s="14">
        <f>DATE(YEAR(tblTransactions[[#This Row],[date]]),MONTH(tblTransactions[[#This Row],[date]]),1)</f>
        <v>45748</v>
      </c>
      <c r="N2801" t="str">
        <f>IF(WEEKDAY(tblTransactions[[#This Row],[date]],2)&gt;5,"Weekend","Weekday")</f>
        <v>Weekday</v>
      </c>
      <c r="O2801" s="13" t="str">
        <f>IF(tblTransactions[[#This Row],[discount_pct]]=0,"0%",IF(tblTransactions[[#This Row],[discount_pct]]&lt;=10%,"1–
10%",IF(tblTransactions[[#This Row],[discount_pct]]&lt;=20%,"11–20%","&gt;20%")))</f>
        <v>0%</v>
      </c>
      <c r="P2801" s="13" t="str">
        <f>_xlfn.XLOOKUP(tblTransactions[[#This Row],[tenant_id]],tblTenants[tenant_id],tblTenants[zone],"NOT FOUND")</f>
        <v>Beauty &amp; Wellness</v>
      </c>
      <c r="Q2801" s="13" t="str">
        <f>_xlfn.XLOOKUP(tblTransactions[[#This Row],[tenant_id]],tblTenants[tenant_id],tblTenants[category],"NOT FOUND")</f>
        <v>Beauty</v>
      </c>
    </row>
    <row r="2802" spans="1:17">
      <c r="A2802" t="s">
        <v>2846</v>
      </c>
      <c r="B2802" s="2">
        <v>45764</v>
      </c>
      <c r="C2802">
        <v>14</v>
      </c>
      <c r="D2802" t="s">
        <v>70</v>
      </c>
      <c r="E2802" t="s">
        <v>12</v>
      </c>
      <c r="F2802" s="7">
        <v>827.46</v>
      </c>
      <c r="G2802" s="10">
        <v>0</v>
      </c>
      <c r="H2802" s="7">
        <v>827.46</v>
      </c>
      <c r="I2802">
        <v>2</v>
      </c>
      <c r="J2802" t="s">
        <v>13</v>
      </c>
      <c r="K2802" s="13">
        <f>ROUND(tblTransactions[[#This Row],[gross_sales_inr]]*(1-tblTransactions[[#This Row],[discount_pct]]),2)</f>
        <v>827.46</v>
      </c>
      <c r="L2802" t="str">
        <f>IF(ABS(tblTransactions[[#This Row],[net_sales_inr]]-tblTransactions[[#This Row],[Recalc_Net_Sales]])&lt;0.02,"OK","CHECK")</f>
        <v>OK</v>
      </c>
      <c r="M2802" s="14">
        <f>DATE(YEAR(tblTransactions[[#This Row],[date]]),MONTH(tblTransactions[[#This Row],[date]]),1)</f>
        <v>45748</v>
      </c>
      <c r="N2802" t="str">
        <f>IF(WEEKDAY(tblTransactions[[#This Row],[date]],2)&gt;5,"Weekend","Weekday")</f>
        <v>Weekday</v>
      </c>
      <c r="O2802" s="13" t="str">
        <f>IF(tblTransactions[[#This Row],[discount_pct]]=0,"0%",IF(tblTransactions[[#This Row],[discount_pct]]&lt;=10%,"1–
10%",IF(tblTransactions[[#This Row],[discount_pct]]&lt;=20%,"11–20%","&gt;20%")))</f>
        <v>0%</v>
      </c>
      <c r="P2802" s="13" t="str">
        <f>_xlfn.XLOOKUP(tblTransactions[[#This Row],[tenant_id]],tblTenants[tenant_id],tblTenants[zone],"NOT FOUND")</f>
        <v>Food Court</v>
      </c>
      <c r="Q2802" s="13" t="str">
        <f>_xlfn.XLOOKUP(tblTransactions[[#This Row],[tenant_id]],tblTenants[tenant_id],tblTenants[category],"NOT FOUND")</f>
        <v>Quick Service</v>
      </c>
    </row>
    <row r="2803" spans="1:17">
      <c r="A2803" t="s">
        <v>2847</v>
      </c>
      <c r="B2803" s="2">
        <v>45807</v>
      </c>
      <c r="C2803">
        <v>16</v>
      </c>
      <c r="D2803" t="s">
        <v>61</v>
      </c>
      <c r="E2803" t="s">
        <v>32</v>
      </c>
      <c r="F2803" s="7">
        <v>396.71</v>
      </c>
      <c r="G2803" s="10">
        <v>0.1</v>
      </c>
      <c r="H2803" s="7">
        <v>357.04</v>
      </c>
      <c r="I2803">
        <v>2</v>
      </c>
      <c r="J2803" t="s">
        <v>13</v>
      </c>
      <c r="K2803" s="13">
        <f>ROUND(tblTransactions[[#This Row],[gross_sales_inr]]*(1-tblTransactions[[#This Row],[discount_pct]]),2)</f>
        <v>357.04</v>
      </c>
      <c r="L2803" t="str">
        <f>IF(ABS(tblTransactions[[#This Row],[net_sales_inr]]-tblTransactions[[#This Row],[Recalc_Net_Sales]])&lt;0.02,"OK","CHECK")</f>
        <v>OK</v>
      </c>
      <c r="M2803" s="14">
        <f>DATE(YEAR(tblTransactions[[#This Row],[date]]),MONTH(tblTransactions[[#This Row],[date]]),1)</f>
        <v>45778</v>
      </c>
      <c r="N2803" t="str">
        <f>IF(WEEKDAY(tblTransactions[[#This Row],[date]],2)&gt;5,"Weekend","Weekday")</f>
        <v>Weekday</v>
      </c>
      <c r="O280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03" s="13" t="str">
        <f>_xlfn.XLOOKUP(tblTransactions[[#This Row],[tenant_id]],tblTenants[tenant_id],tblTenants[zone],"NOT FOUND")</f>
        <v>Food Court</v>
      </c>
      <c r="Q2803" s="13" t="str">
        <f>_xlfn.XLOOKUP(tblTransactions[[#This Row],[tenant_id]],tblTenants[tenant_id],tblTenants[category],"NOT FOUND")</f>
        <v>Quick Service</v>
      </c>
    </row>
    <row r="2804" spans="1:17">
      <c r="A2804" t="s">
        <v>2848</v>
      </c>
      <c r="B2804" s="2">
        <v>45696</v>
      </c>
      <c r="C2804">
        <v>14</v>
      </c>
      <c r="D2804" t="s">
        <v>80</v>
      </c>
      <c r="E2804" t="s">
        <v>32</v>
      </c>
      <c r="F2804" s="7">
        <v>907.25</v>
      </c>
      <c r="G2804" s="10">
        <v>0</v>
      </c>
      <c r="H2804" s="7">
        <v>907.25</v>
      </c>
      <c r="I2804">
        <v>1</v>
      </c>
      <c r="J2804" t="s">
        <v>16</v>
      </c>
      <c r="K2804" s="13">
        <f>ROUND(tblTransactions[[#This Row],[gross_sales_inr]]*(1-tblTransactions[[#This Row],[discount_pct]]),2)</f>
        <v>907.25</v>
      </c>
      <c r="L2804" t="str">
        <f>IF(ABS(tblTransactions[[#This Row],[net_sales_inr]]-tblTransactions[[#This Row],[Recalc_Net_Sales]])&lt;0.02,"OK","CHECK")</f>
        <v>OK</v>
      </c>
      <c r="M2804" s="14">
        <f>DATE(YEAR(tblTransactions[[#This Row],[date]]),MONTH(tblTransactions[[#This Row],[date]]),1)</f>
        <v>45689</v>
      </c>
      <c r="N2804" t="str">
        <f>IF(WEEKDAY(tblTransactions[[#This Row],[date]],2)&gt;5,"Weekend","Weekday")</f>
        <v>Weekend</v>
      </c>
      <c r="O2804" s="13" t="str">
        <f>IF(tblTransactions[[#This Row],[discount_pct]]=0,"0%",IF(tblTransactions[[#This Row],[discount_pct]]&lt;=10%,"1–
10%",IF(tblTransactions[[#This Row],[discount_pct]]&lt;=20%,"11–20%","&gt;20%")))</f>
        <v>0%</v>
      </c>
      <c r="P2804" s="13" t="str">
        <f>_xlfn.XLOOKUP(tblTransactions[[#This Row],[tenant_id]],tblTenants[tenant_id],tblTenants[zone],"NOT FOUND")</f>
        <v>Food Court</v>
      </c>
      <c r="Q2804" s="13" t="str">
        <f>_xlfn.XLOOKUP(tblTransactions[[#This Row],[tenant_id]],tblTenants[tenant_id],tblTenants[category],"NOT FOUND")</f>
        <v>Casual Dining</v>
      </c>
    </row>
    <row r="2805" spans="1:17">
      <c r="A2805" t="s">
        <v>2849</v>
      </c>
      <c r="B2805" s="2">
        <v>45754</v>
      </c>
      <c r="C2805">
        <v>21</v>
      </c>
      <c r="D2805" t="s">
        <v>23</v>
      </c>
      <c r="E2805" t="s">
        <v>32</v>
      </c>
      <c r="F2805" s="7">
        <v>2161.91</v>
      </c>
      <c r="G2805" s="10">
        <v>0.1</v>
      </c>
      <c r="H2805" s="7">
        <v>1945.72</v>
      </c>
      <c r="I2805">
        <v>6</v>
      </c>
      <c r="J2805" t="s">
        <v>13</v>
      </c>
      <c r="K2805" s="13">
        <f>ROUND(tblTransactions[[#This Row],[gross_sales_inr]]*(1-tblTransactions[[#This Row],[discount_pct]]),2)</f>
        <v>1945.72</v>
      </c>
      <c r="L2805" t="str">
        <f>IF(ABS(tblTransactions[[#This Row],[net_sales_inr]]-tblTransactions[[#This Row],[Recalc_Net_Sales]])&lt;0.02,"OK","CHECK")</f>
        <v>OK</v>
      </c>
      <c r="M2805" s="14">
        <f>DATE(YEAR(tblTransactions[[#This Row],[date]]),MONTH(tblTransactions[[#This Row],[date]]),1)</f>
        <v>45748</v>
      </c>
      <c r="N2805" t="str">
        <f>IF(WEEKDAY(tblTransactions[[#This Row],[date]],2)&gt;5,"Weekend","Weekday")</f>
        <v>Weekday</v>
      </c>
      <c r="O280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05" s="13" t="str">
        <f>_xlfn.XLOOKUP(tblTransactions[[#This Row],[tenant_id]],tblTenants[tenant_id],tblTenants[zone],"NOT FOUND")</f>
        <v>Entertainment</v>
      </c>
      <c r="Q2805" s="13" t="str">
        <f>_xlfn.XLOOKUP(tblTransactions[[#This Row],[tenant_id]],tblTenants[tenant_id],tblTenants[category],"NOT FOUND")</f>
        <v>Cinema</v>
      </c>
    </row>
    <row r="2806" spans="1:17">
      <c r="A2806" t="s">
        <v>2850</v>
      </c>
      <c r="B2806" s="2">
        <v>45773</v>
      </c>
      <c r="C2806">
        <v>15</v>
      </c>
      <c r="D2806" t="s">
        <v>31</v>
      </c>
      <c r="E2806" t="s">
        <v>12</v>
      </c>
      <c r="F2806" s="7">
        <v>952.46</v>
      </c>
      <c r="G2806" s="10">
        <v>0.2</v>
      </c>
      <c r="H2806" s="7">
        <v>761.97</v>
      </c>
      <c r="I2806">
        <v>5</v>
      </c>
      <c r="J2806" t="s">
        <v>13</v>
      </c>
      <c r="K2806" s="13">
        <f>ROUND(tblTransactions[[#This Row],[gross_sales_inr]]*(1-tblTransactions[[#This Row],[discount_pct]]),2)</f>
        <v>761.97</v>
      </c>
      <c r="L2806" t="str">
        <f>IF(ABS(tblTransactions[[#This Row],[net_sales_inr]]-tblTransactions[[#This Row],[Recalc_Net_Sales]])&lt;0.02,"OK","CHECK")</f>
        <v>OK</v>
      </c>
      <c r="M2806" s="14">
        <f>DATE(YEAR(tblTransactions[[#This Row],[date]]),MONTH(tblTransactions[[#This Row],[date]]),1)</f>
        <v>45748</v>
      </c>
      <c r="N2806" t="str">
        <f>IF(WEEKDAY(tblTransactions[[#This Row],[date]],2)&gt;5,"Weekend","Weekday")</f>
        <v>Weekend</v>
      </c>
      <c r="O280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06" s="13" t="str">
        <f>_xlfn.XLOOKUP(tblTransactions[[#This Row],[tenant_id]],tblTenants[tenant_id],tblTenants[zone],"NOT FOUND")</f>
        <v>Entertainment</v>
      </c>
      <c r="Q2806" s="13" t="str">
        <f>_xlfn.XLOOKUP(tblTransactions[[#This Row],[tenant_id]],tblTenants[tenant_id],tblTenants[category],"NOT FOUND")</f>
        <v>Arcade</v>
      </c>
    </row>
    <row r="2807" spans="1:17">
      <c r="A2807" t="s">
        <v>2851</v>
      </c>
      <c r="B2807" s="2">
        <v>45782</v>
      </c>
      <c r="C2807">
        <v>15</v>
      </c>
      <c r="D2807" t="s">
        <v>61</v>
      </c>
      <c r="E2807" t="s">
        <v>21</v>
      </c>
      <c r="F2807" s="7">
        <v>497.12</v>
      </c>
      <c r="G2807" s="10">
        <v>0.1</v>
      </c>
      <c r="H2807" s="7">
        <v>447.41</v>
      </c>
      <c r="I2807">
        <v>5</v>
      </c>
      <c r="J2807" t="s">
        <v>16</v>
      </c>
      <c r="K2807" s="13">
        <f>ROUND(tblTransactions[[#This Row],[gross_sales_inr]]*(1-tblTransactions[[#This Row],[discount_pct]]),2)</f>
        <v>447.41</v>
      </c>
      <c r="L2807" t="str">
        <f>IF(ABS(tblTransactions[[#This Row],[net_sales_inr]]-tblTransactions[[#This Row],[Recalc_Net_Sales]])&lt;0.02,"OK","CHECK")</f>
        <v>OK</v>
      </c>
      <c r="M2807" s="14">
        <f>DATE(YEAR(tblTransactions[[#This Row],[date]]),MONTH(tblTransactions[[#This Row],[date]]),1)</f>
        <v>45778</v>
      </c>
      <c r="N2807" t="str">
        <f>IF(WEEKDAY(tblTransactions[[#This Row],[date]],2)&gt;5,"Weekend","Weekday")</f>
        <v>Weekday</v>
      </c>
      <c r="O280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07" s="13" t="str">
        <f>_xlfn.XLOOKUP(tblTransactions[[#This Row],[tenant_id]],tblTenants[tenant_id],tblTenants[zone],"NOT FOUND")</f>
        <v>Food Court</v>
      </c>
      <c r="Q2807" s="13" t="str">
        <f>_xlfn.XLOOKUP(tblTransactions[[#This Row],[tenant_id]],tblTenants[tenant_id],tblTenants[category],"NOT FOUND")</f>
        <v>Quick Service</v>
      </c>
    </row>
    <row r="2808" spans="1:17">
      <c r="A2808" t="s">
        <v>2852</v>
      </c>
      <c r="B2808" s="2">
        <v>45749</v>
      </c>
      <c r="C2808">
        <v>20</v>
      </c>
      <c r="D2808" t="s">
        <v>45</v>
      </c>
      <c r="E2808" t="s">
        <v>21</v>
      </c>
      <c r="F2808" s="7">
        <v>851.83</v>
      </c>
      <c r="G2808" s="10">
        <v>0.2</v>
      </c>
      <c r="H2808" s="7">
        <v>681.46</v>
      </c>
      <c r="I2808">
        <v>4</v>
      </c>
      <c r="J2808" t="s">
        <v>13</v>
      </c>
      <c r="K2808" s="13">
        <f>ROUND(tblTransactions[[#This Row],[gross_sales_inr]]*(1-tblTransactions[[#This Row],[discount_pct]]),2)</f>
        <v>681.46</v>
      </c>
      <c r="L2808" t="str">
        <f>IF(ABS(tblTransactions[[#This Row],[net_sales_inr]]-tblTransactions[[#This Row],[Recalc_Net_Sales]])&lt;0.02,"OK","CHECK")</f>
        <v>OK</v>
      </c>
      <c r="M2808" s="14">
        <f>DATE(YEAR(tblTransactions[[#This Row],[date]]),MONTH(tblTransactions[[#This Row],[date]]),1)</f>
        <v>45748</v>
      </c>
      <c r="N2808" t="str">
        <f>IF(WEEKDAY(tblTransactions[[#This Row],[date]],2)&gt;5,"Weekend","Weekday")</f>
        <v>Weekday</v>
      </c>
      <c r="O280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08" s="13" t="str">
        <f>_xlfn.XLOOKUP(tblTransactions[[#This Row],[tenant_id]],tblTenants[tenant_id],tblTenants[zone],"NOT FOUND")</f>
        <v>Home &amp; Living</v>
      </c>
      <c r="Q2808" s="13" t="str">
        <f>_xlfn.XLOOKUP(tblTransactions[[#This Row],[tenant_id]],tblTenants[tenant_id],tblTenants[category],"NOT FOUND")</f>
        <v>Home Decor</v>
      </c>
    </row>
    <row r="2809" spans="1:17">
      <c r="A2809" t="s">
        <v>2853</v>
      </c>
      <c r="B2809" s="2">
        <v>45816</v>
      </c>
      <c r="C2809">
        <v>13</v>
      </c>
      <c r="D2809" t="s">
        <v>48</v>
      </c>
      <c r="E2809" t="s">
        <v>21</v>
      </c>
      <c r="F2809" s="7">
        <v>792.63</v>
      </c>
      <c r="G2809" s="10">
        <v>0</v>
      </c>
      <c r="H2809" s="7">
        <v>792.63</v>
      </c>
      <c r="I2809">
        <v>3</v>
      </c>
      <c r="J2809" t="s">
        <v>13</v>
      </c>
      <c r="K2809" s="13">
        <f>ROUND(tblTransactions[[#This Row],[gross_sales_inr]]*(1-tblTransactions[[#This Row],[discount_pct]]),2)</f>
        <v>792.63</v>
      </c>
      <c r="L2809" t="str">
        <f>IF(ABS(tblTransactions[[#This Row],[net_sales_inr]]-tblTransactions[[#This Row],[Recalc_Net_Sales]])&lt;0.02,"OK","CHECK")</f>
        <v>OK</v>
      </c>
      <c r="M2809" s="14">
        <f>DATE(YEAR(tblTransactions[[#This Row],[date]]),MONTH(tblTransactions[[#This Row],[date]]),1)</f>
        <v>45809</v>
      </c>
      <c r="N2809" t="str">
        <f>IF(WEEKDAY(tblTransactions[[#This Row],[date]],2)&gt;5,"Weekend","Weekday")</f>
        <v>Weekend</v>
      </c>
      <c r="O2809" s="13" t="str">
        <f>IF(tblTransactions[[#This Row],[discount_pct]]=0,"0%",IF(tblTransactions[[#This Row],[discount_pct]]&lt;=10%,"1–
10%",IF(tblTransactions[[#This Row],[discount_pct]]&lt;=20%,"11–20%","&gt;20%")))</f>
        <v>0%</v>
      </c>
      <c r="P2809" s="13" t="str">
        <f>_xlfn.XLOOKUP(tblTransactions[[#This Row],[tenant_id]],tblTenants[tenant_id],tblTenants[zone],"NOT FOUND")</f>
        <v>Beauty &amp; Wellness</v>
      </c>
      <c r="Q2809" s="13" t="str">
        <f>_xlfn.XLOOKUP(tblTransactions[[#This Row],[tenant_id]],tblTenants[tenant_id],tblTenants[category],"NOT FOUND")</f>
        <v>Wellness</v>
      </c>
    </row>
    <row r="2810" spans="1:17">
      <c r="A2810" t="s">
        <v>2854</v>
      </c>
      <c r="B2810" s="2">
        <v>45698</v>
      </c>
      <c r="C2810">
        <v>14</v>
      </c>
      <c r="D2810" t="s">
        <v>31</v>
      </c>
      <c r="E2810" t="s">
        <v>21</v>
      </c>
      <c r="F2810" s="7">
        <v>2308.13</v>
      </c>
      <c r="G2810" s="10">
        <v>0.05</v>
      </c>
      <c r="H2810" s="7">
        <v>2192.7199999999998</v>
      </c>
      <c r="I2810">
        <v>2</v>
      </c>
      <c r="J2810" t="s">
        <v>13</v>
      </c>
      <c r="K2810" s="13">
        <f>ROUND(tblTransactions[[#This Row],[gross_sales_inr]]*(1-tblTransactions[[#This Row],[discount_pct]]),2)</f>
        <v>2192.7199999999998</v>
      </c>
      <c r="L2810" t="str">
        <f>IF(ABS(tblTransactions[[#This Row],[net_sales_inr]]-tblTransactions[[#This Row],[Recalc_Net_Sales]])&lt;0.02,"OK","CHECK")</f>
        <v>OK</v>
      </c>
      <c r="M2810" s="14">
        <f>DATE(YEAR(tblTransactions[[#This Row],[date]]),MONTH(tblTransactions[[#This Row],[date]]),1)</f>
        <v>45689</v>
      </c>
      <c r="N2810" t="str">
        <f>IF(WEEKDAY(tblTransactions[[#This Row],[date]],2)&gt;5,"Weekend","Weekday")</f>
        <v>Weekday</v>
      </c>
      <c r="O281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10" s="13" t="str">
        <f>_xlfn.XLOOKUP(tblTransactions[[#This Row],[tenant_id]],tblTenants[tenant_id],tblTenants[zone],"NOT FOUND")</f>
        <v>Entertainment</v>
      </c>
      <c r="Q2810" s="13" t="str">
        <f>_xlfn.XLOOKUP(tblTransactions[[#This Row],[tenant_id]],tblTenants[tenant_id],tblTenants[category],"NOT FOUND")</f>
        <v>Arcade</v>
      </c>
    </row>
    <row r="2811" spans="1:17">
      <c r="A2811" t="s">
        <v>2855</v>
      </c>
      <c r="B2811" s="2">
        <v>45837</v>
      </c>
      <c r="C2811">
        <v>12</v>
      </c>
      <c r="D2811" t="s">
        <v>80</v>
      </c>
      <c r="E2811" t="s">
        <v>32</v>
      </c>
      <c r="F2811" s="7">
        <v>848.08</v>
      </c>
      <c r="G2811" s="10">
        <v>0.1</v>
      </c>
      <c r="H2811" s="7">
        <v>763.27</v>
      </c>
      <c r="I2811">
        <v>1</v>
      </c>
      <c r="J2811" t="s">
        <v>16</v>
      </c>
      <c r="K2811" s="13">
        <f>ROUND(tblTransactions[[#This Row],[gross_sales_inr]]*(1-tblTransactions[[#This Row],[discount_pct]]),2)</f>
        <v>763.27</v>
      </c>
      <c r="L2811" t="str">
        <f>IF(ABS(tblTransactions[[#This Row],[net_sales_inr]]-tblTransactions[[#This Row],[Recalc_Net_Sales]])&lt;0.02,"OK","CHECK")</f>
        <v>OK</v>
      </c>
      <c r="M2811" s="14">
        <f>DATE(YEAR(tblTransactions[[#This Row],[date]]),MONTH(tblTransactions[[#This Row],[date]]),1)</f>
        <v>45809</v>
      </c>
      <c r="N2811" t="str">
        <f>IF(WEEKDAY(tblTransactions[[#This Row],[date]],2)&gt;5,"Weekend","Weekday")</f>
        <v>Weekend</v>
      </c>
      <c r="O281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11" s="13" t="str">
        <f>_xlfn.XLOOKUP(tblTransactions[[#This Row],[tenant_id]],tblTenants[tenant_id],tblTenants[zone],"NOT FOUND")</f>
        <v>Food Court</v>
      </c>
      <c r="Q2811" s="13" t="str">
        <f>_xlfn.XLOOKUP(tblTransactions[[#This Row],[tenant_id]],tblTenants[tenant_id],tblTenants[category],"NOT FOUND")</f>
        <v>Casual Dining</v>
      </c>
    </row>
    <row r="2812" spans="1:17">
      <c r="A2812" t="s">
        <v>2856</v>
      </c>
      <c r="B2812" s="2">
        <v>45670</v>
      </c>
      <c r="C2812">
        <v>20</v>
      </c>
      <c r="D2812" t="s">
        <v>57</v>
      </c>
      <c r="E2812" t="s">
        <v>51</v>
      </c>
      <c r="F2812" s="7">
        <v>1504.77</v>
      </c>
      <c r="G2812" s="10">
        <v>0</v>
      </c>
      <c r="H2812" s="7">
        <v>1504.77</v>
      </c>
      <c r="I2812">
        <v>1</v>
      </c>
      <c r="J2812" t="s">
        <v>16</v>
      </c>
      <c r="K2812" s="13">
        <f>ROUND(tblTransactions[[#This Row],[gross_sales_inr]]*(1-tblTransactions[[#This Row],[discount_pct]]),2)</f>
        <v>1504.77</v>
      </c>
      <c r="L2812" t="str">
        <f>IF(ABS(tblTransactions[[#This Row],[net_sales_inr]]-tblTransactions[[#This Row],[Recalc_Net_Sales]])&lt;0.02,"OK","CHECK")</f>
        <v>OK</v>
      </c>
      <c r="M2812" s="14">
        <f>DATE(YEAR(tblTransactions[[#This Row],[date]]),MONTH(tblTransactions[[#This Row],[date]]),1)</f>
        <v>45658</v>
      </c>
      <c r="N2812" t="str">
        <f>IF(WEEKDAY(tblTransactions[[#This Row],[date]],2)&gt;5,"Weekend","Weekday")</f>
        <v>Weekday</v>
      </c>
      <c r="O2812" s="13" t="str">
        <f>IF(tblTransactions[[#This Row],[discount_pct]]=0,"0%",IF(tblTransactions[[#This Row],[discount_pct]]&lt;=10%,"1–
10%",IF(tblTransactions[[#This Row],[discount_pct]]&lt;=20%,"11–20%","&gt;20%")))</f>
        <v>0%</v>
      </c>
      <c r="P2812" s="13" t="str">
        <f>_xlfn.XLOOKUP(tblTransactions[[#This Row],[tenant_id]],tblTenants[tenant_id],tblTenants[zone],"NOT FOUND")</f>
        <v>Food Court</v>
      </c>
      <c r="Q2812" s="13" t="str">
        <f>_xlfn.XLOOKUP(tblTransactions[[#This Row],[tenant_id]],tblTenants[tenant_id],tblTenants[category],"NOT FOUND")</f>
        <v>Casual Dining</v>
      </c>
    </row>
    <row r="2813" spans="1:17">
      <c r="A2813" t="s">
        <v>2857</v>
      </c>
      <c r="B2813" s="2">
        <v>45744</v>
      </c>
      <c r="C2813">
        <v>10</v>
      </c>
      <c r="D2813" t="s">
        <v>25</v>
      </c>
      <c r="E2813" t="s">
        <v>12</v>
      </c>
      <c r="F2813" s="7">
        <v>2916.55</v>
      </c>
      <c r="G2813" s="10">
        <v>0.15</v>
      </c>
      <c r="H2813" s="7">
        <v>2479.0700000000002</v>
      </c>
      <c r="I2813">
        <v>1</v>
      </c>
      <c r="J2813" t="s">
        <v>13</v>
      </c>
      <c r="K2813" s="13">
        <f>ROUND(tblTransactions[[#This Row],[gross_sales_inr]]*(1-tblTransactions[[#This Row],[discount_pct]]),2)</f>
        <v>2479.0700000000002</v>
      </c>
      <c r="L2813" t="str">
        <f>IF(ABS(tblTransactions[[#This Row],[net_sales_inr]]-tblTransactions[[#This Row],[Recalc_Net_Sales]])&lt;0.02,"OK","CHECK")</f>
        <v>OK</v>
      </c>
      <c r="M2813" s="14">
        <f>DATE(YEAR(tblTransactions[[#This Row],[date]]),MONTH(tblTransactions[[#This Row],[date]]),1)</f>
        <v>45717</v>
      </c>
      <c r="N2813" t="str">
        <f>IF(WEEKDAY(tblTransactions[[#This Row],[date]],2)&gt;5,"Weekend","Weekday")</f>
        <v>Weekday</v>
      </c>
      <c r="O281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13" s="13" t="str">
        <f>_xlfn.XLOOKUP(tblTransactions[[#This Row],[tenant_id]],tblTenants[tenant_id],tblTenants[zone],"NOT FOUND")</f>
        <v>Beauty &amp; Wellness</v>
      </c>
      <c r="Q2813" s="13" t="str">
        <f>_xlfn.XLOOKUP(tblTransactions[[#This Row],[tenant_id]],tblTenants[tenant_id],tblTenants[category],"NOT FOUND")</f>
        <v>Beauty</v>
      </c>
    </row>
    <row r="2814" spans="1:17">
      <c r="A2814" t="s">
        <v>2858</v>
      </c>
      <c r="B2814" s="2">
        <v>45665</v>
      </c>
      <c r="C2814">
        <v>14</v>
      </c>
      <c r="D2814" t="s">
        <v>45</v>
      </c>
      <c r="E2814" t="s">
        <v>32</v>
      </c>
      <c r="F2814" s="7">
        <v>421.84</v>
      </c>
      <c r="G2814" s="10">
        <v>0</v>
      </c>
      <c r="H2814" s="7">
        <v>421.84</v>
      </c>
      <c r="I2814">
        <v>5</v>
      </c>
      <c r="J2814" t="s">
        <v>16</v>
      </c>
      <c r="K2814" s="13">
        <f>ROUND(tblTransactions[[#This Row],[gross_sales_inr]]*(1-tblTransactions[[#This Row],[discount_pct]]),2)</f>
        <v>421.84</v>
      </c>
      <c r="L2814" t="str">
        <f>IF(ABS(tblTransactions[[#This Row],[net_sales_inr]]-tblTransactions[[#This Row],[Recalc_Net_Sales]])&lt;0.02,"OK","CHECK")</f>
        <v>OK</v>
      </c>
      <c r="M2814" s="14">
        <f>DATE(YEAR(tblTransactions[[#This Row],[date]]),MONTH(tblTransactions[[#This Row],[date]]),1)</f>
        <v>45658</v>
      </c>
      <c r="N2814" t="str">
        <f>IF(WEEKDAY(tblTransactions[[#This Row],[date]],2)&gt;5,"Weekend","Weekday")</f>
        <v>Weekday</v>
      </c>
      <c r="O2814" s="13" t="str">
        <f>IF(tblTransactions[[#This Row],[discount_pct]]=0,"0%",IF(tblTransactions[[#This Row],[discount_pct]]&lt;=10%,"1–
10%",IF(tblTransactions[[#This Row],[discount_pct]]&lt;=20%,"11–20%","&gt;20%")))</f>
        <v>0%</v>
      </c>
      <c r="P2814" s="13" t="str">
        <f>_xlfn.XLOOKUP(tblTransactions[[#This Row],[tenant_id]],tblTenants[tenant_id],tblTenants[zone],"NOT FOUND")</f>
        <v>Home &amp; Living</v>
      </c>
      <c r="Q2814" s="13" t="str">
        <f>_xlfn.XLOOKUP(tblTransactions[[#This Row],[tenant_id]],tblTenants[tenant_id],tblTenants[category],"NOT FOUND")</f>
        <v>Home Decor</v>
      </c>
    </row>
    <row r="2815" spans="1:17">
      <c r="A2815" t="s">
        <v>2859</v>
      </c>
      <c r="B2815" s="2">
        <v>45810</v>
      </c>
      <c r="C2815">
        <v>20</v>
      </c>
      <c r="D2815" t="s">
        <v>55</v>
      </c>
      <c r="E2815" t="s">
        <v>32</v>
      </c>
      <c r="F2815" s="7">
        <v>451.84</v>
      </c>
      <c r="G2815" s="10">
        <v>0</v>
      </c>
      <c r="H2815" s="7">
        <v>451.84</v>
      </c>
      <c r="I2815">
        <v>3</v>
      </c>
      <c r="J2815" t="s">
        <v>16</v>
      </c>
      <c r="K2815" s="13">
        <f>ROUND(tblTransactions[[#This Row],[gross_sales_inr]]*(1-tblTransactions[[#This Row],[discount_pct]]),2)</f>
        <v>451.84</v>
      </c>
      <c r="L2815" t="str">
        <f>IF(ABS(tblTransactions[[#This Row],[net_sales_inr]]-tblTransactions[[#This Row],[Recalc_Net_Sales]])&lt;0.02,"OK","CHECK")</f>
        <v>OK</v>
      </c>
      <c r="M2815" s="14">
        <f>DATE(YEAR(tblTransactions[[#This Row],[date]]),MONTH(tblTransactions[[#This Row],[date]]),1)</f>
        <v>45809</v>
      </c>
      <c r="N2815" t="str">
        <f>IF(WEEKDAY(tblTransactions[[#This Row],[date]],2)&gt;5,"Weekend","Weekday")</f>
        <v>Weekday</v>
      </c>
      <c r="O2815" s="13" t="str">
        <f>IF(tblTransactions[[#This Row],[discount_pct]]=0,"0%",IF(tblTransactions[[#This Row],[discount_pct]]&lt;=10%,"1–
10%",IF(tblTransactions[[#This Row],[discount_pct]]&lt;=20%,"11–20%","&gt;20%")))</f>
        <v>0%</v>
      </c>
      <c r="P2815" s="13" t="str">
        <f>_xlfn.XLOOKUP(tblTransactions[[#This Row],[tenant_id]],tblTenants[tenant_id],tblTenants[zone],"NOT FOUND")</f>
        <v>Food Court</v>
      </c>
      <c r="Q2815" s="13" t="str">
        <f>_xlfn.XLOOKUP(tblTransactions[[#This Row],[tenant_id]],tblTenants[tenant_id],tblTenants[category],"NOT FOUND")</f>
        <v>Quick Service</v>
      </c>
    </row>
    <row r="2816" spans="1:17">
      <c r="A2816" t="s">
        <v>2860</v>
      </c>
      <c r="B2816" s="2">
        <v>45703</v>
      </c>
      <c r="C2816">
        <v>12</v>
      </c>
      <c r="D2816" t="s">
        <v>43</v>
      </c>
      <c r="E2816" t="s">
        <v>12</v>
      </c>
      <c r="F2816" s="7">
        <v>831.59</v>
      </c>
      <c r="G2816" s="10">
        <v>0</v>
      </c>
      <c r="H2816" s="7">
        <v>831.59</v>
      </c>
      <c r="I2816">
        <v>1</v>
      </c>
      <c r="J2816" t="s">
        <v>13</v>
      </c>
      <c r="K2816" s="13">
        <f>ROUND(tblTransactions[[#This Row],[gross_sales_inr]]*(1-tblTransactions[[#This Row],[discount_pct]]),2)</f>
        <v>831.59</v>
      </c>
      <c r="L2816" t="str">
        <f>IF(ABS(tblTransactions[[#This Row],[net_sales_inr]]-tblTransactions[[#This Row],[Recalc_Net_Sales]])&lt;0.02,"OK","CHECK")</f>
        <v>OK</v>
      </c>
      <c r="M2816" s="14">
        <f>DATE(YEAR(tblTransactions[[#This Row],[date]]),MONTH(tblTransactions[[#This Row],[date]]),1)</f>
        <v>45689</v>
      </c>
      <c r="N2816" t="str">
        <f>IF(WEEKDAY(tblTransactions[[#This Row],[date]],2)&gt;5,"Weekend","Weekday")</f>
        <v>Weekend</v>
      </c>
      <c r="O2816" s="13" t="str">
        <f>IF(tblTransactions[[#This Row],[discount_pct]]=0,"0%",IF(tblTransactions[[#This Row],[discount_pct]]&lt;=10%,"1–
10%",IF(tblTransactions[[#This Row],[discount_pct]]&lt;=20%,"11–20%","&gt;20%")))</f>
        <v>0%</v>
      </c>
      <c r="P2816" s="13" t="str">
        <f>_xlfn.XLOOKUP(tblTransactions[[#This Row],[tenant_id]],tblTenants[tenant_id],tblTenants[zone],"NOT FOUND")</f>
        <v>Food Court</v>
      </c>
      <c r="Q2816" s="13" t="str">
        <f>_xlfn.XLOOKUP(tblTransactions[[#This Row],[tenant_id]],tblTenants[tenant_id],tblTenants[category],"NOT FOUND")</f>
        <v>Casual Dining</v>
      </c>
    </row>
    <row r="2817" spans="1:17">
      <c r="A2817" t="s">
        <v>2861</v>
      </c>
      <c r="B2817" s="2">
        <v>45716</v>
      </c>
      <c r="C2817">
        <v>10</v>
      </c>
      <c r="D2817" t="s">
        <v>41</v>
      </c>
      <c r="E2817" t="s">
        <v>12</v>
      </c>
      <c r="F2817" s="7">
        <v>689.66</v>
      </c>
      <c r="G2817" s="10">
        <v>0.1</v>
      </c>
      <c r="H2817" s="7">
        <v>620.69000000000005</v>
      </c>
      <c r="I2817">
        <v>3</v>
      </c>
      <c r="J2817" t="s">
        <v>16</v>
      </c>
      <c r="K2817" s="13">
        <f>ROUND(tblTransactions[[#This Row],[gross_sales_inr]]*(1-tblTransactions[[#This Row],[discount_pct]]),2)</f>
        <v>620.69000000000005</v>
      </c>
      <c r="L2817" t="str">
        <f>IF(ABS(tblTransactions[[#This Row],[net_sales_inr]]-tblTransactions[[#This Row],[Recalc_Net_Sales]])&lt;0.02,"OK","CHECK")</f>
        <v>OK</v>
      </c>
      <c r="M2817" s="14">
        <f>DATE(YEAR(tblTransactions[[#This Row],[date]]),MONTH(tblTransactions[[#This Row],[date]]),1)</f>
        <v>45689</v>
      </c>
      <c r="N2817" t="str">
        <f>IF(WEEKDAY(tblTransactions[[#This Row],[date]],2)&gt;5,"Weekend","Weekday")</f>
        <v>Weekday</v>
      </c>
      <c r="O281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17" s="13" t="str">
        <f>_xlfn.XLOOKUP(tblTransactions[[#This Row],[tenant_id]],tblTenants[tenant_id],tblTenants[zone],"NOT FOUND")</f>
        <v>Fashion Avenue</v>
      </c>
      <c r="Q2817" s="13" t="str">
        <f>_xlfn.XLOOKUP(tblTransactions[[#This Row],[tenant_id]],tblTenants[tenant_id],tblTenants[category],"NOT FOUND")</f>
        <v>Clothing</v>
      </c>
    </row>
    <row r="2818" spans="1:17">
      <c r="A2818" t="s">
        <v>2862</v>
      </c>
      <c r="B2818" s="2">
        <v>45810</v>
      </c>
      <c r="C2818">
        <v>17</v>
      </c>
      <c r="D2818" t="s">
        <v>87</v>
      </c>
      <c r="E2818" t="s">
        <v>21</v>
      </c>
      <c r="F2818" s="7">
        <v>1465.95</v>
      </c>
      <c r="G2818" s="10">
        <v>0.15</v>
      </c>
      <c r="H2818" s="7">
        <v>1246.06</v>
      </c>
      <c r="I2818">
        <v>3</v>
      </c>
      <c r="J2818" t="s">
        <v>16</v>
      </c>
      <c r="K2818" s="13">
        <f>ROUND(tblTransactions[[#This Row],[gross_sales_inr]]*(1-tblTransactions[[#This Row],[discount_pct]]),2)</f>
        <v>1246.06</v>
      </c>
      <c r="L2818" t="str">
        <f>IF(ABS(tblTransactions[[#This Row],[net_sales_inr]]-tblTransactions[[#This Row],[Recalc_Net_Sales]])&lt;0.02,"OK","CHECK")</f>
        <v>OK</v>
      </c>
      <c r="M2818" s="14">
        <f>DATE(YEAR(tblTransactions[[#This Row],[date]]),MONTH(tblTransactions[[#This Row],[date]]),1)</f>
        <v>45809</v>
      </c>
      <c r="N2818" t="str">
        <f>IF(WEEKDAY(tblTransactions[[#This Row],[date]],2)&gt;5,"Weekend","Weekday")</f>
        <v>Weekday</v>
      </c>
      <c r="O281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18" s="13" t="str">
        <f>_xlfn.XLOOKUP(tblTransactions[[#This Row],[tenant_id]],tblTenants[tenant_id],tblTenants[zone],"NOT FOUND")</f>
        <v>Fashion Avenue</v>
      </c>
      <c r="Q2818" s="13" t="str">
        <f>_xlfn.XLOOKUP(tblTransactions[[#This Row],[tenant_id]],tblTenants[tenant_id],tblTenants[category],"NOT FOUND")</f>
        <v>Footwear</v>
      </c>
    </row>
    <row r="2819" spans="1:17">
      <c r="A2819" t="s">
        <v>2863</v>
      </c>
      <c r="B2819" s="2">
        <v>45729</v>
      </c>
      <c r="C2819">
        <v>11</v>
      </c>
      <c r="D2819" t="s">
        <v>34</v>
      </c>
      <c r="E2819" t="s">
        <v>12</v>
      </c>
      <c r="F2819" s="7">
        <v>1628.31</v>
      </c>
      <c r="G2819" s="10">
        <v>0</v>
      </c>
      <c r="H2819" s="7">
        <v>1628.31</v>
      </c>
      <c r="I2819">
        <v>5</v>
      </c>
      <c r="J2819" t="s">
        <v>13</v>
      </c>
      <c r="K2819" s="13">
        <f>ROUND(tblTransactions[[#This Row],[gross_sales_inr]]*(1-tblTransactions[[#This Row],[discount_pct]]),2)</f>
        <v>1628.31</v>
      </c>
      <c r="L2819" t="str">
        <f>IF(ABS(tblTransactions[[#This Row],[net_sales_inr]]-tblTransactions[[#This Row],[Recalc_Net_Sales]])&lt;0.02,"OK","CHECK")</f>
        <v>OK</v>
      </c>
      <c r="M2819" s="14">
        <f>DATE(YEAR(tblTransactions[[#This Row],[date]]),MONTH(tblTransactions[[#This Row],[date]]),1)</f>
        <v>45717</v>
      </c>
      <c r="N2819" t="str">
        <f>IF(WEEKDAY(tblTransactions[[#This Row],[date]],2)&gt;5,"Weekend","Weekday")</f>
        <v>Weekday</v>
      </c>
      <c r="O2819" s="13" t="str">
        <f>IF(tblTransactions[[#This Row],[discount_pct]]=0,"0%",IF(tblTransactions[[#This Row],[discount_pct]]&lt;=10%,"1–
10%",IF(tblTransactions[[#This Row],[discount_pct]]&lt;=20%,"11–20%","&gt;20%")))</f>
        <v>0%</v>
      </c>
      <c r="P2819" s="13" t="str">
        <f>_xlfn.XLOOKUP(tblTransactions[[#This Row],[tenant_id]],tblTenants[tenant_id],tblTenants[zone],"NOT FOUND")</f>
        <v>Home &amp; Living</v>
      </c>
      <c r="Q2819" s="13" t="str">
        <f>_xlfn.XLOOKUP(tblTransactions[[#This Row],[tenant_id]],tblTenants[tenant_id],tblTenants[category],"NOT FOUND")</f>
        <v>Electronics</v>
      </c>
    </row>
    <row r="2820" spans="1:17">
      <c r="A2820" t="s">
        <v>2864</v>
      </c>
      <c r="B2820" s="2">
        <v>45674</v>
      </c>
      <c r="C2820">
        <v>18</v>
      </c>
      <c r="D2820" t="s">
        <v>48</v>
      </c>
      <c r="E2820" t="s">
        <v>51</v>
      </c>
      <c r="F2820" s="7">
        <v>628.37</v>
      </c>
      <c r="G2820" s="10">
        <v>0.1</v>
      </c>
      <c r="H2820" s="7">
        <v>565.53</v>
      </c>
      <c r="I2820">
        <v>3</v>
      </c>
      <c r="J2820" t="s">
        <v>13</v>
      </c>
      <c r="K2820" s="13">
        <f>ROUND(tblTransactions[[#This Row],[gross_sales_inr]]*(1-tblTransactions[[#This Row],[discount_pct]]),2)</f>
        <v>565.53</v>
      </c>
      <c r="L2820" t="str">
        <f>IF(ABS(tblTransactions[[#This Row],[net_sales_inr]]-tblTransactions[[#This Row],[Recalc_Net_Sales]])&lt;0.02,"OK","CHECK")</f>
        <v>OK</v>
      </c>
      <c r="M2820" s="14">
        <f>DATE(YEAR(tblTransactions[[#This Row],[date]]),MONTH(tblTransactions[[#This Row],[date]]),1)</f>
        <v>45658</v>
      </c>
      <c r="N2820" t="str">
        <f>IF(WEEKDAY(tblTransactions[[#This Row],[date]],2)&gt;5,"Weekend","Weekday")</f>
        <v>Weekday</v>
      </c>
      <c r="O282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20" s="13" t="str">
        <f>_xlfn.XLOOKUP(tblTransactions[[#This Row],[tenant_id]],tblTenants[tenant_id],tblTenants[zone],"NOT FOUND")</f>
        <v>Beauty &amp; Wellness</v>
      </c>
      <c r="Q2820" s="13" t="str">
        <f>_xlfn.XLOOKUP(tblTransactions[[#This Row],[tenant_id]],tblTenants[tenant_id],tblTenants[category],"NOT FOUND")</f>
        <v>Wellness</v>
      </c>
    </row>
    <row r="2821" spans="1:17">
      <c r="A2821" t="s">
        <v>2865</v>
      </c>
      <c r="B2821" s="2">
        <v>45747</v>
      </c>
      <c r="C2821">
        <v>12</v>
      </c>
      <c r="D2821" t="s">
        <v>204</v>
      </c>
      <c r="E2821" t="s">
        <v>12</v>
      </c>
      <c r="F2821" s="7">
        <v>1959.44</v>
      </c>
      <c r="G2821" s="10">
        <v>0.2</v>
      </c>
      <c r="H2821" s="7">
        <v>1567.55</v>
      </c>
      <c r="I2821">
        <v>1</v>
      </c>
      <c r="J2821" t="s">
        <v>16</v>
      </c>
      <c r="K2821" s="13">
        <f>ROUND(tblTransactions[[#This Row],[gross_sales_inr]]*(1-tblTransactions[[#This Row],[discount_pct]]),2)</f>
        <v>1567.55</v>
      </c>
      <c r="L2821" t="str">
        <f>IF(ABS(tblTransactions[[#This Row],[net_sales_inr]]-tblTransactions[[#This Row],[Recalc_Net_Sales]])&lt;0.02,"OK","CHECK")</f>
        <v>OK</v>
      </c>
      <c r="M2821" s="14">
        <f>DATE(YEAR(tblTransactions[[#This Row],[date]]),MONTH(tblTransactions[[#This Row],[date]]),1)</f>
        <v>45717</v>
      </c>
      <c r="N2821" t="str">
        <f>IF(WEEKDAY(tblTransactions[[#This Row],[date]],2)&gt;5,"Weekend","Weekday")</f>
        <v>Weekday</v>
      </c>
      <c r="O282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21" s="13" t="str">
        <f>_xlfn.XLOOKUP(tblTransactions[[#This Row],[tenant_id]],tblTenants[tenant_id],tblTenants[zone],"NOT FOUND")</f>
        <v>Home &amp; Living</v>
      </c>
      <c r="Q2821" s="13" t="str">
        <f>_xlfn.XLOOKUP(tblTransactions[[#This Row],[tenant_id]],tblTenants[tenant_id],tblTenants[category],"NOT FOUND")</f>
        <v>Home Decor</v>
      </c>
    </row>
    <row r="2822" spans="1:17">
      <c r="A2822" t="s">
        <v>2866</v>
      </c>
      <c r="B2822" s="2">
        <v>45773</v>
      </c>
      <c r="C2822">
        <v>20</v>
      </c>
      <c r="D2822" t="s">
        <v>122</v>
      </c>
      <c r="E2822" t="s">
        <v>21</v>
      </c>
      <c r="F2822" s="7">
        <v>1129.46</v>
      </c>
      <c r="G2822" s="10">
        <v>0.2</v>
      </c>
      <c r="H2822" s="7">
        <v>903.57</v>
      </c>
      <c r="I2822">
        <v>3</v>
      </c>
      <c r="J2822" t="s">
        <v>13</v>
      </c>
      <c r="K2822" s="13">
        <f>ROUND(tblTransactions[[#This Row],[gross_sales_inr]]*(1-tblTransactions[[#This Row],[discount_pct]]),2)</f>
        <v>903.57</v>
      </c>
      <c r="L2822" t="str">
        <f>IF(ABS(tblTransactions[[#This Row],[net_sales_inr]]-tblTransactions[[#This Row],[Recalc_Net_Sales]])&lt;0.02,"OK","CHECK")</f>
        <v>OK</v>
      </c>
      <c r="M2822" s="14">
        <f>DATE(YEAR(tblTransactions[[#This Row],[date]]),MONTH(tblTransactions[[#This Row],[date]]),1)</f>
        <v>45748</v>
      </c>
      <c r="N2822" t="str">
        <f>IF(WEEKDAY(tblTransactions[[#This Row],[date]],2)&gt;5,"Weekend","Weekday")</f>
        <v>Weekend</v>
      </c>
      <c r="O282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22" s="13" t="str">
        <f>_xlfn.XLOOKUP(tblTransactions[[#This Row],[tenant_id]],tblTenants[tenant_id],tblTenants[zone],"NOT FOUND")</f>
        <v>Beauty &amp; Wellness</v>
      </c>
      <c r="Q2822" s="13" t="str">
        <f>_xlfn.XLOOKUP(tblTransactions[[#This Row],[tenant_id]],tblTenants[tenant_id],tblTenants[category],"NOT FOUND")</f>
        <v>Wellness</v>
      </c>
    </row>
    <row r="2823" spans="1:17">
      <c r="A2823" t="s">
        <v>2867</v>
      </c>
      <c r="B2823" s="2">
        <v>45733</v>
      </c>
      <c r="C2823">
        <v>12</v>
      </c>
      <c r="D2823" t="s">
        <v>43</v>
      </c>
      <c r="E2823" t="s">
        <v>32</v>
      </c>
      <c r="F2823" s="7">
        <v>821.81</v>
      </c>
      <c r="G2823" s="10">
        <v>0.2</v>
      </c>
      <c r="H2823" s="7">
        <v>657.45</v>
      </c>
      <c r="I2823">
        <v>2</v>
      </c>
      <c r="J2823" t="s">
        <v>13</v>
      </c>
      <c r="K2823" s="13">
        <f>ROUND(tblTransactions[[#This Row],[gross_sales_inr]]*(1-tblTransactions[[#This Row],[discount_pct]]),2)</f>
        <v>657.45</v>
      </c>
      <c r="L2823" t="str">
        <f>IF(ABS(tblTransactions[[#This Row],[net_sales_inr]]-tblTransactions[[#This Row],[Recalc_Net_Sales]])&lt;0.02,"OK","CHECK")</f>
        <v>OK</v>
      </c>
      <c r="M2823" s="14">
        <f>DATE(YEAR(tblTransactions[[#This Row],[date]]),MONTH(tblTransactions[[#This Row],[date]]),1)</f>
        <v>45717</v>
      </c>
      <c r="N2823" t="str">
        <f>IF(WEEKDAY(tblTransactions[[#This Row],[date]],2)&gt;5,"Weekend","Weekday")</f>
        <v>Weekday</v>
      </c>
      <c r="O282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23" s="13" t="str">
        <f>_xlfn.XLOOKUP(tblTransactions[[#This Row],[tenant_id]],tblTenants[tenant_id],tblTenants[zone],"NOT FOUND")</f>
        <v>Food Court</v>
      </c>
      <c r="Q2823" s="13" t="str">
        <f>_xlfn.XLOOKUP(tblTransactions[[#This Row],[tenant_id]],tblTenants[tenant_id],tblTenants[category],"NOT FOUND")</f>
        <v>Casual Dining</v>
      </c>
    </row>
    <row r="2824" spans="1:17">
      <c r="A2824" t="s">
        <v>2868</v>
      </c>
      <c r="B2824" s="2">
        <v>45718</v>
      </c>
      <c r="C2824">
        <v>17</v>
      </c>
      <c r="D2824" t="s">
        <v>18</v>
      </c>
      <c r="E2824" t="s">
        <v>21</v>
      </c>
      <c r="F2824" s="7">
        <v>425.43</v>
      </c>
      <c r="G2824" s="10">
        <v>0.1</v>
      </c>
      <c r="H2824" s="7">
        <v>382.89</v>
      </c>
      <c r="I2824">
        <v>1</v>
      </c>
      <c r="J2824" t="s">
        <v>16</v>
      </c>
      <c r="K2824" s="13">
        <f>ROUND(tblTransactions[[#This Row],[gross_sales_inr]]*(1-tblTransactions[[#This Row],[discount_pct]]),2)</f>
        <v>382.89</v>
      </c>
      <c r="L2824" t="str">
        <f>IF(ABS(tblTransactions[[#This Row],[net_sales_inr]]-tblTransactions[[#This Row],[Recalc_Net_Sales]])&lt;0.02,"OK","CHECK")</f>
        <v>OK</v>
      </c>
      <c r="M2824" s="14">
        <f>DATE(YEAR(tblTransactions[[#This Row],[date]]),MONTH(tblTransactions[[#This Row],[date]]),1)</f>
        <v>45717</v>
      </c>
      <c r="N2824" t="str">
        <f>IF(WEEKDAY(tblTransactions[[#This Row],[date]],2)&gt;5,"Weekend","Weekday")</f>
        <v>Weekend</v>
      </c>
      <c r="O282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24" s="13" t="str">
        <f>_xlfn.XLOOKUP(tblTransactions[[#This Row],[tenant_id]],tblTenants[tenant_id],tblTenants[zone],"NOT FOUND")</f>
        <v>Beauty &amp; Wellness</v>
      </c>
      <c r="Q2824" s="13" t="str">
        <f>_xlfn.XLOOKUP(tblTransactions[[#This Row],[tenant_id]],tblTenants[tenant_id],tblTenants[category],"NOT FOUND")</f>
        <v>Beauty</v>
      </c>
    </row>
    <row r="2825" spans="1:17">
      <c r="A2825" t="s">
        <v>2869</v>
      </c>
      <c r="B2825" s="2">
        <v>45801</v>
      </c>
      <c r="C2825">
        <v>15</v>
      </c>
      <c r="D2825" t="s">
        <v>25</v>
      </c>
      <c r="E2825" t="s">
        <v>32</v>
      </c>
      <c r="F2825" s="7">
        <v>1090.1400000000001</v>
      </c>
      <c r="G2825" s="10">
        <v>0</v>
      </c>
      <c r="H2825" s="7">
        <v>1090.1400000000001</v>
      </c>
      <c r="I2825">
        <v>2</v>
      </c>
      <c r="J2825" t="s">
        <v>16</v>
      </c>
      <c r="K2825" s="13">
        <f>ROUND(tblTransactions[[#This Row],[gross_sales_inr]]*(1-tblTransactions[[#This Row],[discount_pct]]),2)</f>
        <v>1090.1400000000001</v>
      </c>
      <c r="L2825" t="str">
        <f>IF(ABS(tblTransactions[[#This Row],[net_sales_inr]]-tblTransactions[[#This Row],[Recalc_Net_Sales]])&lt;0.02,"OK","CHECK")</f>
        <v>OK</v>
      </c>
      <c r="M2825" s="14">
        <f>DATE(YEAR(tblTransactions[[#This Row],[date]]),MONTH(tblTransactions[[#This Row],[date]]),1)</f>
        <v>45778</v>
      </c>
      <c r="N2825" t="str">
        <f>IF(WEEKDAY(tblTransactions[[#This Row],[date]],2)&gt;5,"Weekend","Weekday")</f>
        <v>Weekend</v>
      </c>
      <c r="O2825" s="13" t="str">
        <f>IF(tblTransactions[[#This Row],[discount_pct]]=0,"0%",IF(tblTransactions[[#This Row],[discount_pct]]&lt;=10%,"1–
10%",IF(tblTransactions[[#This Row],[discount_pct]]&lt;=20%,"11–20%","&gt;20%")))</f>
        <v>0%</v>
      </c>
      <c r="P2825" s="13" t="str">
        <f>_xlfn.XLOOKUP(tblTransactions[[#This Row],[tenant_id]],tblTenants[tenant_id],tblTenants[zone],"NOT FOUND")</f>
        <v>Beauty &amp; Wellness</v>
      </c>
      <c r="Q2825" s="13" t="str">
        <f>_xlfn.XLOOKUP(tblTransactions[[#This Row],[tenant_id]],tblTenants[tenant_id],tblTenants[category],"NOT FOUND")</f>
        <v>Beauty</v>
      </c>
    </row>
    <row r="2826" spans="1:17">
      <c r="A2826" t="s">
        <v>2870</v>
      </c>
      <c r="B2826" s="2">
        <v>45833</v>
      </c>
      <c r="C2826">
        <v>21</v>
      </c>
      <c r="D2826" t="s">
        <v>29</v>
      </c>
      <c r="E2826" t="s">
        <v>21</v>
      </c>
      <c r="F2826" s="7">
        <v>620.58000000000004</v>
      </c>
      <c r="G2826" s="10">
        <v>0</v>
      </c>
      <c r="H2826" s="7">
        <v>620.58000000000004</v>
      </c>
      <c r="I2826">
        <v>1</v>
      </c>
      <c r="J2826" t="s">
        <v>13</v>
      </c>
      <c r="K2826" s="13">
        <f>ROUND(tblTransactions[[#This Row],[gross_sales_inr]]*(1-tblTransactions[[#This Row],[discount_pct]]),2)</f>
        <v>620.58000000000004</v>
      </c>
      <c r="L2826" t="str">
        <f>IF(ABS(tblTransactions[[#This Row],[net_sales_inr]]-tblTransactions[[#This Row],[Recalc_Net_Sales]])&lt;0.02,"OK","CHECK")</f>
        <v>OK</v>
      </c>
      <c r="M2826" s="14">
        <f>DATE(YEAR(tblTransactions[[#This Row],[date]]),MONTH(tblTransactions[[#This Row],[date]]),1)</f>
        <v>45809</v>
      </c>
      <c r="N2826" t="str">
        <f>IF(WEEKDAY(tblTransactions[[#This Row],[date]],2)&gt;5,"Weekend","Weekday")</f>
        <v>Weekday</v>
      </c>
      <c r="O2826" s="13" t="str">
        <f>IF(tblTransactions[[#This Row],[discount_pct]]=0,"0%",IF(tblTransactions[[#This Row],[discount_pct]]&lt;=10%,"1–
10%",IF(tblTransactions[[#This Row],[discount_pct]]&lt;=20%,"11–20%","&gt;20%")))</f>
        <v>0%</v>
      </c>
      <c r="P2826" s="13" t="str">
        <f>_xlfn.XLOOKUP(tblTransactions[[#This Row],[tenant_id]],tblTenants[tenant_id],tblTenants[zone],"NOT FOUND")</f>
        <v>Entertainment</v>
      </c>
      <c r="Q2826" s="13" t="str">
        <f>_xlfn.XLOOKUP(tblTransactions[[#This Row],[tenant_id]],tblTenants[tenant_id],tblTenants[category],"NOT FOUND")</f>
        <v>Cinema</v>
      </c>
    </row>
    <row r="2827" spans="1:17">
      <c r="A2827" t="s">
        <v>2871</v>
      </c>
      <c r="B2827" s="2">
        <v>45800</v>
      </c>
      <c r="C2827">
        <v>21</v>
      </c>
      <c r="D2827" t="s">
        <v>11</v>
      </c>
      <c r="E2827" t="s">
        <v>12</v>
      </c>
      <c r="F2827" s="7">
        <v>2587.87</v>
      </c>
      <c r="G2827" s="10">
        <v>0.3</v>
      </c>
      <c r="H2827" s="7">
        <v>1811.51</v>
      </c>
      <c r="I2827">
        <v>1</v>
      </c>
      <c r="J2827" t="s">
        <v>13</v>
      </c>
      <c r="K2827" s="13">
        <f>ROUND(tblTransactions[[#This Row],[gross_sales_inr]]*(1-tblTransactions[[#This Row],[discount_pct]]),2)</f>
        <v>1811.51</v>
      </c>
      <c r="L2827" t="str">
        <f>IF(ABS(tblTransactions[[#This Row],[net_sales_inr]]-tblTransactions[[#This Row],[Recalc_Net_Sales]])&lt;0.02,"OK","CHECK")</f>
        <v>OK</v>
      </c>
      <c r="M2827" s="14">
        <f>DATE(YEAR(tblTransactions[[#This Row],[date]]),MONTH(tblTransactions[[#This Row],[date]]),1)</f>
        <v>45778</v>
      </c>
      <c r="N2827" t="str">
        <f>IF(WEEKDAY(tblTransactions[[#This Row],[date]],2)&gt;5,"Weekend","Weekday")</f>
        <v>Weekday</v>
      </c>
      <c r="O282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827" s="13" t="str">
        <f>_xlfn.XLOOKUP(tblTransactions[[#This Row],[tenant_id]],tblTenants[tenant_id],tblTenants[zone],"NOT FOUND")</f>
        <v>Home &amp; Living</v>
      </c>
      <c r="Q2827" s="13" t="str">
        <f>_xlfn.XLOOKUP(tblTransactions[[#This Row],[tenant_id]],tblTenants[tenant_id],tblTenants[category],"NOT FOUND")</f>
        <v>Home Decor</v>
      </c>
    </row>
    <row r="2828" spans="1:17">
      <c r="A2828" t="s">
        <v>2872</v>
      </c>
      <c r="B2828" s="2">
        <v>45813</v>
      </c>
      <c r="C2828">
        <v>10</v>
      </c>
      <c r="D2828" t="s">
        <v>122</v>
      </c>
      <c r="E2828" t="s">
        <v>12</v>
      </c>
      <c r="F2828" s="7">
        <v>301.99</v>
      </c>
      <c r="G2828" s="10">
        <v>0</v>
      </c>
      <c r="H2828" s="7">
        <v>301.99</v>
      </c>
      <c r="I2828">
        <v>1</v>
      </c>
      <c r="J2828" t="s">
        <v>13</v>
      </c>
      <c r="K2828" s="13">
        <f>ROUND(tblTransactions[[#This Row],[gross_sales_inr]]*(1-tblTransactions[[#This Row],[discount_pct]]),2)</f>
        <v>301.99</v>
      </c>
      <c r="L2828" t="str">
        <f>IF(ABS(tblTransactions[[#This Row],[net_sales_inr]]-tblTransactions[[#This Row],[Recalc_Net_Sales]])&lt;0.02,"OK","CHECK")</f>
        <v>OK</v>
      </c>
      <c r="M2828" s="14">
        <f>DATE(YEAR(tblTransactions[[#This Row],[date]]),MONTH(tblTransactions[[#This Row],[date]]),1)</f>
        <v>45809</v>
      </c>
      <c r="N2828" t="str">
        <f>IF(WEEKDAY(tblTransactions[[#This Row],[date]],2)&gt;5,"Weekend","Weekday")</f>
        <v>Weekday</v>
      </c>
      <c r="O2828" s="13" t="str">
        <f>IF(tblTransactions[[#This Row],[discount_pct]]=0,"0%",IF(tblTransactions[[#This Row],[discount_pct]]&lt;=10%,"1–
10%",IF(tblTransactions[[#This Row],[discount_pct]]&lt;=20%,"11–20%","&gt;20%")))</f>
        <v>0%</v>
      </c>
      <c r="P2828" s="13" t="str">
        <f>_xlfn.XLOOKUP(tblTransactions[[#This Row],[tenant_id]],tblTenants[tenant_id],tblTenants[zone],"NOT FOUND")</f>
        <v>Beauty &amp; Wellness</v>
      </c>
      <c r="Q2828" s="13" t="str">
        <f>_xlfn.XLOOKUP(tblTransactions[[#This Row],[tenant_id]],tblTenants[tenant_id],tblTenants[category],"NOT FOUND")</f>
        <v>Wellness</v>
      </c>
    </row>
    <row r="2829" spans="1:17">
      <c r="A2829" t="s">
        <v>2873</v>
      </c>
      <c r="B2829" s="2">
        <v>45669</v>
      </c>
      <c r="C2829">
        <v>13</v>
      </c>
      <c r="D2829" t="s">
        <v>204</v>
      </c>
      <c r="E2829" t="s">
        <v>12</v>
      </c>
      <c r="F2829" s="7">
        <v>594.95000000000005</v>
      </c>
      <c r="G2829" s="10">
        <v>0</v>
      </c>
      <c r="H2829" s="7">
        <v>594.95000000000005</v>
      </c>
      <c r="I2829">
        <v>5</v>
      </c>
      <c r="J2829" t="s">
        <v>16</v>
      </c>
      <c r="K2829" s="13">
        <f>ROUND(tblTransactions[[#This Row],[gross_sales_inr]]*(1-tblTransactions[[#This Row],[discount_pct]]),2)</f>
        <v>594.95000000000005</v>
      </c>
      <c r="L2829" t="str">
        <f>IF(ABS(tblTransactions[[#This Row],[net_sales_inr]]-tblTransactions[[#This Row],[Recalc_Net_Sales]])&lt;0.02,"OK","CHECK")</f>
        <v>OK</v>
      </c>
      <c r="M2829" s="14">
        <f>DATE(YEAR(tblTransactions[[#This Row],[date]]),MONTH(tblTransactions[[#This Row],[date]]),1)</f>
        <v>45658</v>
      </c>
      <c r="N2829" t="str">
        <f>IF(WEEKDAY(tblTransactions[[#This Row],[date]],2)&gt;5,"Weekend","Weekday")</f>
        <v>Weekend</v>
      </c>
      <c r="O2829" s="13" t="str">
        <f>IF(tblTransactions[[#This Row],[discount_pct]]=0,"0%",IF(tblTransactions[[#This Row],[discount_pct]]&lt;=10%,"1–
10%",IF(tblTransactions[[#This Row],[discount_pct]]&lt;=20%,"11–20%","&gt;20%")))</f>
        <v>0%</v>
      </c>
      <c r="P2829" s="13" t="str">
        <f>_xlfn.XLOOKUP(tblTransactions[[#This Row],[tenant_id]],tblTenants[tenant_id],tblTenants[zone],"NOT FOUND")</f>
        <v>Home &amp; Living</v>
      </c>
      <c r="Q2829" s="13" t="str">
        <f>_xlfn.XLOOKUP(tblTransactions[[#This Row],[tenant_id]],tblTenants[tenant_id],tblTenants[category],"NOT FOUND")</f>
        <v>Home Decor</v>
      </c>
    </row>
    <row r="2830" spans="1:17">
      <c r="A2830" t="s">
        <v>2874</v>
      </c>
      <c r="B2830" s="2">
        <v>45742</v>
      </c>
      <c r="C2830">
        <v>10</v>
      </c>
      <c r="D2830" t="s">
        <v>36</v>
      </c>
      <c r="E2830" t="s">
        <v>51</v>
      </c>
      <c r="F2830" s="7">
        <v>378.34</v>
      </c>
      <c r="G2830" s="10">
        <v>0</v>
      </c>
      <c r="H2830" s="7">
        <v>378.34</v>
      </c>
      <c r="I2830">
        <v>2</v>
      </c>
      <c r="J2830" t="s">
        <v>13</v>
      </c>
      <c r="K2830" s="13">
        <f>ROUND(tblTransactions[[#This Row],[gross_sales_inr]]*(1-tblTransactions[[#This Row],[discount_pct]]),2)</f>
        <v>378.34</v>
      </c>
      <c r="L2830" t="str">
        <f>IF(ABS(tblTransactions[[#This Row],[net_sales_inr]]-tblTransactions[[#This Row],[Recalc_Net_Sales]])&lt;0.02,"OK","CHECK")</f>
        <v>OK</v>
      </c>
      <c r="M2830" s="14">
        <f>DATE(YEAR(tblTransactions[[#This Row],[date]]),MONTH(tblTransactions[[#This Row],[date]]),1)</f>
        <v>45717</v>
      </c>
      <c r="N2830" t="str">
        <f>IF(WEEKDAY(tblTransactions[[#This Row],[date]],2)&gt;5,"Weekend","Weekday")</f>
        <v>Weekday</v>
      </c>
      <c r="O2830" s="13" t="str">
        <f>IF(tblTransactions[[#This Row],[discount_pct]]=0,"0%",IF(tblTransactions[[#This Row],[discount_pct]]&lt;=10%,"1–
10%",IF(tblTransactions[[#This Row],[discount_pct]]&lt;=20%,"11–20%","&gt;20%")))</f>
        <v>0%</v>
      </c>
      <c r="P2830" s="13" t="str">
        <f>_xlfn.XLOOKUP(tblTransactions[[#This Row],[tenant_id]],tblTenants[tenant_id],tblTenants[zone],"NOT FOUND")</f>
        <v>Home &amp; Living</v>
      </c>
      <c r="Q2830" s="13" t="str">
        <f>_xlfn.XLOOKUP(tblTransactions[[#This Row],[tenant_id]],tblTenants[tenant_id],tblTenants[category],"NOT FOUND")</f>
        <v>Electronics</v>
      </c>
    </row>
    <row r="2831" spans="1:17">
      <c r="A2831" t="s">
        <v>2875</v>
      </c>
      <c r="B2831" s="2">
        <v>45667</v>
      </c>
      <c r="C2831">
        <v>11</v>
      </c>
      <c r="D2831" t="s">
        <v>36</v>
      </c>
      <c r="E2831" t="s">
        <v>32</v>
      </c>
      <c r="F2831" s="7">
        <v>565.51</v>
      </c>
      <c r="G2831" s="10">
        <v>0.05</v>
      </c>
      <c r="H2831" s="7">
        <v>537.23</v>
      </c>
      <c r="I2831">
        <v>1</v>
      </c>
      <c r="J2831" t="s">
        <v>13</v>
      </c>
      <c r="K2831" s="13">
        <f>ROUND(tblTransactions[[#This Row],[gross_sales_inr]]*(1-tblTransactions[[#This Row],[discount_pct]]),2)</f>
        <v>537.23</v>
      </c>
      <c r="L2831" t="str">
        <f>IF(ABS(tblTransactions[[#This Row],[net_sales_inr]]-tblTransactions[[#This Row],[Recalc_Net_Sales]])&lt;0.02,"OK","CHECK")</f>
        <v>OK</v>
      </c>
      <c r="M2831" s="14">
        <f>DATE(YEAR(tblTransactions[[#This Row],[date]]),MONTH(tblTransactions[[#This Row],[date]]),1)</f>
        <v>45658</v>
      </c>
      <c r="N2831" t="str">
        <f>IF(WEEKDAY(tblTransactions[[#This Row],[date]],2)&gt;5,"Weekend","Weekday")</f>
        <v>Weekday</v>
      </c>
      <c r="O283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31" s="13" t="str">
        <f>_xlfn.XLOOKUP(tblTransactions[[#This Row],[tenant_id]],tblTenants[tenant_id],tblTenants[zone],"NOT FOUND")</f>
        <v>Home &amp; Living</v>
      </c>
      <c r="Q2831" s="13" t="str">
        <f>_xlfn.XLOOKUP(tblTransactions[[#This Row],[tenant_id]],tblTenants[tenant_id],tblTenants[category],"NOT FOUND")</f>
        <v>Electronics</v>
      </c>
    </row>
    <row r="2832" spans="1:17">
      <c r="A2832" t="s">
        <v>2876</v>
      </c>
      <c r="B2832" s="2">
        <v>45663</v>
      </c>
      <c r="C2832">
        <v>17</v>
      </c>
      <c r="D2832" t="s">
        <v>45</v>
      </c>
      <c r="E2832" t="s">
        <v>32</v>
      </c>
      <c r="F2832" s="7">
        <v>636.79</v>
      </c>
      <c r="G2832" s="10">
        <v>0.05</v>
      </c>
      <c r="H2832" s="7">
        <v>604.95000000000005</v>
      </c>
      <c r="I2832">
        <v>1</v>
      </c>
      <c r="J2832" t="s">
        <v>13</v>
      </c>
      <c r="K2832" s="13">
        <f>ROUND(tblTransactions[[#This Row],[gross_sales_inr]]*(1-tblTransactions[[#This Row],[discount_pct]]),2)</f>
        <v>604.95000000000005</v>
      </c>
      <c r="L2832" t="str">
        <f>IF(ABS(tblTransactions[[#This Row],[net_sales_inr]]-tblTransactions[[#This Row],[Recalc_Net_Sales]])&lt;0.02,"OK","CHECK")</f>
        <v>OK</v>
      </c>
      <c r="M2832" s="14">
        <f>DATE(YEAR(tblTransactions[[#This Row],[date]]),MONTH(tblTransactions[[#This Row],[date]]),1)</f>
        <v>45658</v>
      </c>
      <c r="N2832" t="str">
        <f>IF(WEEKDAY(tblTransactions[[#This Row],[date]],2)&gt;5,"Weekend","Weekday")</f>
        <v>Weekday</v>
      </c>
      <c r="O283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32" s="13" t="str">
        <f>_xlfn.XLOOKUP(tblTransactions[[#This Row],[tenant_id]],tblTenants[tenant_id],tblTenants[zone],"NOT FOUND")</f>
        <v>Home &amp; Living</v>
      </c>
      <c r="Q2832" s="13" t="str">
        <f>_xlfn.XLOOKUP(tblTransactions[[#This Row],[tenant_id]],tblTenants[tenant_id],tblTenants[category],"NOT FOUND")</f>
        <v>Home Decor</v>
      </c>
    </row>
    <row r="2833" spans="1:17">
      <c r="A2833" t="s">
        <v>2877</v>
      </c>
      <c r="B2833" s="2">
        <v>45769</v>
      </c>
      <c r="C2833">
        <v>16</v>
      </c>
      <c r="D2833" t="s">
        <v>55</v>
      </c>
      <c r="E2833" t="s">
        <v>12</v>
      </c>
      <c r="F2833" s="7">
        <v>495.44</v>
      </c>
      <c r="G2833" s="10">
        <v>0.3</v>
      </c>
      <c r="H2833" s="7">
        <v>346.81</v>
      </c>
      <c r="I2833">
        <v>2</v>
      </c>
      <c r="J2833" t="s">
        <v>13</v>
      </c>
      <c r="K2833" s="13">
        <f>ROUND(tblTransactions[[#This Row],[gross_sales_inr]]*(1-tblTransactions[[#This Row],[discount_pct]]),2)</f>
        <v>346.81</v>
      </c>
      <c r="L2833" t="str">
        <f>IF(ABS(tblTransactions[[#This Row],[net_sales_inr]]-tblTransactions[[#This Row],[Recalc_Net_Sales]])&lt;0.02,"OK","CHECK")</f>
        <v>OK</v>
      </c>
      <c r="M2833" s="14">
        <f>DATE(YEAR(tblTransactions[[#This Row],[date]]),MONTH(tblTransactions[[#This Row],[date]]),1)</f>
        <v>45748</v>
      </c>
      <c r="N2833" t="str">
        <f>IF(WEEKDAY(tblTransactions[[#This Row],[date]],2)&gt;5,"Weekend","Weekday")</f>
        <v>Weekday</v>
      </c>
      <c r="O2833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833" s="13" t="str">
        <f>_xlfn.XLOOKUP(tblTransactions[[#This Row],[tenant_id]],tblTenants[tenant_id],tblTenants[zone],"NOT FOUND")</f>
        <v>Food Court</v>
      </c>
      <c r="Q2833" s="13" t="str">
        <f>_xlfn.XLOOKUP(tblTransactions[[#This Row],[tenant_id]],tblTenants[tenant_id],tblTenants[category],"NOT FOUND")</f>
        <v>Quick Service</v>
      </c>
    </row>
    <row r="2834" spans="1:17">
      <c r="A2834" t="s">
        <v>2878</v>
      </c>
      <c r="B2834" s="2">
        <v>45761</v>
      </c>
      <c r="C2834">
        <v>17</v>
      </c>
      <c r="D2834" t="s">
        <v>57</v>
      </c>
      <c r="E2834" t="s">
        <v>51</v>
      </c>
      <c r="F2834" s="7">
        <v>1245.8699999999999</v>
      </c>
      <c r="G2834" s="10">
        <v>0</v>
      </c>
      <c r="H2834" s="7">
        <v>1245.8699999999999</v>
      </c>
      <c r="I2834">
        <v>6</v>
      </c>
      <c r="J2834" t="s">
        <v>16</v>
      </c>
      <c r="K2834" s="13">
        <f>ROUND(tblTransactions[[#This Row],[gross_sales_inr]]*(1-tblTransactions[[#This Row],[discount_pct]]),2)</f>
        <v>1245.8699999999999</v>
      </c>
      <c r="L2834" t="str">
        <f>IF(ABS(tblTransactions[[#This Row],[net_sales_inr]]-tblTransactions[[#This Row],[Recalc_Net_Sales]])&lt;0.02,"OK","CHECK")</f>
        <v>OK</v>
      </c>
      <c r="M2834" s="14">
        <f>DATE(YEAR(tblTransactions[[#This Row],[date]]),MONTH(tblTransactions[[#This Row],[date]]),1)</f>
        <v>45748</v>
      </c>
      <c r="N2834" t="str">
        <f>IF(WEEKDAY(tblTransactions[[#This Row],[date]],2)&gt;5,"Weekend","Weekday")</f>
        <v>Weekday</v>
      </c>
      <c r="O2834" s="13" t="str">
        <f>IF(tblTransactions[[#This Row],[discount_pct]]=0,"0%",IF(tblTransactions[[#This Row],[discount_pct]]&lt;=10%,"1–
10%",IF(tblTransactions[[#This Row],[discount_pct]]&lt;=20%,"11–20%","&gt;20%")))</f>
        <v>0%</v>
      </c>
      <c r="P2834" s="13" t="str">
        <f>_xlfn.XLOOKUP(tblTransactions[[#This Row],[tenant_id]],tblTenants[tenant_id],tblTenants[zone],"NOT FOUND")</f>
        <v>Food Court</v>
      </c>
      <c r="Q2834" s="13" t="str">
        <f>_xlfn.XLOOKUP(tblTransactions[[#This Row],[tenant_id]],tblTenants[tenant_id],tblTenants[category],"NOT FOUND")</f>
        <v>Casual Dining</v>
      </c>
    </row>
    <row r="2835" spans="1:17">
      <c r="A2835" t="s">
        <v>2879</v>
      </c>
      <c r="B2835" s="2">
        <v>45770</v>
      </c>
      <c r="C2835">
        <v>22</v>
      </c>
      <c r="D2835" t="s">
        <v>43</v>
      </c>
      <c r="E2835" t="s">
        <v>12</v>
      </c>
      <c r="F2835" s="7">
        <v>3120.35</v>
      </c>
      <c r="G2835" s="10">
        <v>0.1</v>
      </c>
      <c r="H2835" s="7">
        <v>2808.32</v>
      </c>
      <c r="I2835">
        <v>1</v>
      </c>
      <c r="J2835" t="s">
        <v>16</v>
      </c>
      <c r="K2835" s="13">
        <f>ROUND(tblTransactions[[#This Row],[gross_sales_inr]]*(1-tblTransactions[[#This Row],[discount_pct]]),2)</f>
        <v>2808.32</v>
      </c>
      <c r="L2835" t="str">
        <f>IF(ABS(tblTransactions[[#This Row],[net_sales_inr]]-tblTransactions[[#This Row],[Recalc_Net_Sales]])&lt;0.02,"OK","CHECK")</f>
        <v>OK</v>
      </c>
      <c r="M2835" s="14">
        <f>DATE(YEAR(tblTransactions[[#This Row],[date]]),MONTH(tblTransactions[[#This Row],[date]]),1)</f>
        <v>45748</v>
      </c>
      <c r="N2835" t="str">
        <f>IF(WEEKDAY(tblTransactions[[#This Row],[date]],2)&gt;5,"Weekend","Weekday")</f>
        <v>Weekday</v>
      </c>
      <c r="O283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35" s="13" t="str">
        <f>_xlfn.XLOOKUP(tblTransactions[[#This Row],[tenant_id]],tblTenants[tenant_id],tblTenants[zone],"NOT FOUND")</f>
        <v>Food Court</v>
      </c>
      <c r="Q2835" s="13" t="str">
        <f>_xlfn.XLOOKUP(tblTransactions[[#This Row],[tenant_id]],tblTenants[tenant_id],tblTenants[category],"NOT FOUND")</f>
        <v>Casual Dining</v>
      </c>
    </row>
    <row r="2836" spans="1:17">
      <c r="A2836" t="s">
        <v>2880</v>
      </c>
      <c r="B2836" s="2">
        <v>45660</v>
      </c>
      <c r="C2836">
        <v>22</v>
      </c>
      <c r="D2836" t="s">
        <v>72</v>
      </c>
      <c r="E2836" t="s">
        <v>12</v>
      </c>
      <c r="F2836" s="7">
        <v>494.16</v>
      </c>
      <c r="G2836" s="10">
        <v>0.1</v>
      </c>
      <c r="H2836" s="7">
        <v>444.74</v>
      </c>
      <c r="I2836">
        <v>1</v>
      </c>
      <c r="J2836" t="s">
        <v>16</v>
      </c>
      <c r="K2836" s="13">
        <f>ROUND(tblTransactions[[#This Row],[gross_sales_inr]]*(1-tblTransactions[[#This Row],[discount_pct]]),2)</f>
        <v>444.74</v>
      </c>
      <c r="L2836" t="str">
        <f>IF(ABS(tblTransactions[[#This Row],[net_sales_inr]]-tblTransactions[[#This Row],[Recalc_Net_Sales]])&lt;0.02,"OK","CHECK")</f>
        <v>OK</v>
      </c>
      <c r="M2836" s="14">
        <f>DATE(YEAR(tblTransactions[[#This Row],[date]]),MONTH(tblTransactions[[#This Row],[date]]),1)</f>
        <v>45658</v>
      </c>
      <c r="N2836" t="str">
        <f>IF(WEEKDAY(tblTransactions[[#This Row],[date]],2)&gt;5,"Weekend","Weekday")</f>
        <v>Weekday</v>
      </c>
      <c r="O283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36" s="13" t="str">
        <f>_xlfn.XLOOKUP(tblTransactions[[#This Row],[tenant_id]],tblTenants[tenant_id],tblTenants[zone],"NOT FOUND")</f>
        <v>Entertainment</v>
      </c>
      <c r="Q2836" s="13" t="str">
        <f>_xlfn.XLOOKUP(tblTransactions[[#This Row],[tenant_id]],tblTenants[tenant_id],tblTenants[category],"NOT FOUND")</f>
        <v>Arcade</v>
      </c>
    </row>
    <row r="2837" spans="1:17">
      <c r="A2837" t="s">
        <v>2881</v>
      </c>
      <c r="B2837" s="2">
        <v>45779</v>
      </c>
      <c r="C2837">
        <v>15</v>
      </c>
      <c r="D2837" t="s">
        <v>25</v>
      </c>
      <c r="E2837" t="s">
        <v>32</v>
      </c>
      <c r="F2837" s="7">
        <v>1140.5999999999999</v>
      </c>
      <c r="G2837" s="10">
        <v>0</v>
      </c>
      <c r="H2837" s="7">
        <v>1140.5999999999999</v>
      </c>
      <c r="I2837">
        <v>4</v>
      </c>
      <c r="J2837" t="s">
        <v>13</v>
      </c>
      <c r="K2837" s="13">
        <f>ROUND(tblTransactions[[#This Row],[gross_sales_inr]]*(1-tblTransactions[[#This Row],[discount_pct]]),2)</f>
        <v>1140.5999999999999</v>
      </c>
      <c r="L2837" t="str">
        <f>IF(ABS(tblTransactions[[#This Row],[net_sales_inr]]-tblTransactions[[#This Row],[Recalc_Net_Sales]])&lt;0.02,"OK","CHECK")</f>
        <v>OK</v>
      </c>
      <c r="M2837" s="14">
        <f>DATE(YEAR(tblTransactions[[#This Row],[date]]),MONTH(tblTransactions[[#This Row],[date]]),1)</f>
        <v>45778</v>
      </c>
      <c r="N2837" t="str">
        <f>IF(WEEKDAY(tblTransactions[[#This Row],[date]],2)&gt;5,"Weekend","Weekday")</f>
        <v>Weekday</v>
      </c>
      <c r="O2837" s="13" t="str">
        <f>IF(tblTransactions[[#This Row],[discount_pct]]=0,"0%",IF(tblTransactions[[#This Row],[discount_pct]]&lt;=10%,"1–
10%",IF(tblTransactions[[#This Row],[discount_pct]]&lt;=20%,"11–20%","&gt;20%")))</f>
        <v>0%</v>
      </c>
      <c r="P2837" s="13" t="str">
        <f>_xlfn.XLOOKUP(tblTransactions[[#This Row],[tenant_id]],tblTenants[tenant_id],tblTenants[zone],"NOT FOUND")</f>
        <v>Beauty &amp; Wellness</v>
      </c>
      <c r="Q2837" s="13" t="str">
        <f>_xlfn.XLOOKUP(tblTransactions[[#This Row],[tenant_id]],tblTenants[tenant_id],tblTenants[category],"NOT FOUND")</f>
        <v>Beauty</v>
      </c>
    </row>
    <row r="2838" spans="1:17">
      <c r="A2838" t="s">
        <v>2882</v>
      </c>
      <c r="B2838" s="2">
        <v>45728</v>
      </c>
      <c r="C2838">
        <v>21</v>
      </c>
      <c r="D2838" t="s">
        <v>36</v>
      </c>
      <c r="E2838" t="s">
        <v>32</v>
      </c>
      <c r="F2838" s="7">
        <v>658.15</v>
      </c>
      <c r="G2838" s="10">
        <v>0.1</v>
      </c>
      <c r="H2838" s="7">
        <v>592.34</v>
      </c>
      <c r="I2838">
        <v>1</v>
      </c>
      <c r="J2838" t="s">
        <v>13</v>
      </c>
      <c r="K2838" s="13">
        <f>ROUND(tblTransactions[[#This Row],[gross_sales_inr]]*(1-tblTransactions[[#This Row],[discount_pct]]),2)</f>
        <v>592.34</v>
      </c>
      <c r="L2838" t="str">
        <f>IF(ABS(tblTransactions[[#This Row],[net_sales_inr]]-tblTransactions[[#This Row],[Recalc_Net_Sales]])&lt;0.02,"OK","CHECK")</f>
        <v>OK</v>
      </c>
      <c r="M2838" s="14">
        <f>DATE(YEAR(tblTransactions[[#This Row],[date]]),MONTH(tblTransactions[[#This Row],[date]]),1)</f>
        <v>45717</v>
      </c>
      <c r="N2838" t="str">
        <f>IF(WEEKDAY(tblTransactions[[#This Row],[date]],2)&gt;5,"Weekend","Weekday")</f>
        <v>Weekday</v>
      </c>
      <c r="O283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38" s="13" t="str">
        <f>_xlfn.XLOOKUP(tblTransactions[[#This Row],[tenant_id]],tblTenants[tenant_id],tblTenants[zone],"NOT FOUND")</f>
        <v>Home &amp; Living</v>
      </c>
      <c r="Q2838" s="13" t="str">
        <f>_xlfn.XLOOKUP(tblTransactions[[#This Row],[tenant_id]],tblTenants[tenant_id],tblTenants[category],"NOT FOUND")</f>
        <v>Electronics</v>
      </c>
    </row>
    <row r="2839" spans="1:17">
      <c r="A2839" t="s">
        <v>2883</v>
      </c>
      <c r="B2839" s="2">
        <v>45749</v>
      </c>
      <c r="C2839">
        <v>18</v>
      </c>
      <c r="D2839" t="s">
        <v>31</v>
      </c>
      <c r="E2839" t="s">
        <v>32</v>
      </c>
      <c r="F2839" s="7">
        <v>590.02</v>
      </c>
      <c r="G2839" s="10">
        <v>0.2</v>
      </c>
      <c r="H2839" s="7">
        <v>472.02</v>
      </c>
      <c r="I2839">
        <v>1</v>
      </c>
      <c r="J2839" t="s">
        <v>16</v>
      </c>
      <c r="K2839" s="13">
        <f>ROUND(tblTransactions[[#This Row],[gross_sales_inr]]*(1-tblTransactions[[#This Row],[discount_pct]]),2)</f>
        <v>472.02</v>
      </c>
      <c r="L2839" t="str">
        <f>IF(ABS(tblTransactions[[#This Row],[net_sales_inr]]-tblTransactions[[#This Row],[Recalc_Net_Sales]])&lt;0.02,"OK","CHECK")</f>
        <v>OK</v>
      </c>
      <c r="M2839" s="14">
        <f>DATE(YEAR(tblTransactions[[#This Row],[date]]),MONTH(tblTransactions[[#This Row],[date]]),1)</f>
        <v>45748</v>
      </c>
      <c r="N2839" t="str">
        <f>IF(WEEKDAY(tblTransactions[[#This Row],[date]],2)&gt;5,"Weekend","Weekday")</f>
        <v>Weekday</v>
      </c>
      <c r="O283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39" s="13" t="str">
        <f>_xlfn.XLOOKUP(tblTransactions[[#This Row],[tenant_id]],tblTenants[tenant_id],tblTenants[zone],"NOT FOUND")</f>
        <v>Entertainment</v>
      </c>
      <c r="Q2839" s="13" t="str">
        <f>_xlfn.XLOOKUP(tblTransactions[[#This Row],[tenant_id]],tblTenants[tenant_id],tblTenants[category],"NOT FOUND")</f>
        <v>Arcade</v>
      </c>
    </row>
    <row r="2840" spans="1:17">
      <c r="A2840" t="s">
        <v>2884</v>
      </c>
      <c r="B2840" s="2">
        <v>45811</v>
      </c>
      <c r="C2840">
        <v>18</v>
      </c>
      <c r="D2840" t="s">
        <v>70</v>
      </c>
      <c r="E2840" t="s">
        <v>32</v>
      </c>
      <c r="F2840" s="7">
        <v>967.96</v>
      </c>
      <c r="G2840" s="10">
        <v>0.2</v>
      </c>
      <c r="H2840" s="7">
        <v>774.37</v>
      </c>
      <c r="I2840">
        <v>4</v>
      </c>
      <c r="J2840" t="s">
        <v>13</v>
      </c>
      <c r="K2840" s="13">
        <f>ROUND(tblTransactions[[#This Row],[gross_sales_inr]]*(1-tblTransactions[[#This Row],[discount_pct]]),2)</f>
        <v>774.37</v>
      </c>
      <c r="L2840" t="str">
        <f>IF(ABS(tblTransactions[[#This Row],[net_sales_inr]]-tblTransactions[[#This Row],[Recalc_Net_Sales]])&lt;0.02,"OK","CHECK")</f>
        <v>OK</v>
      </c>
      <c r="M2840" s="14">
        <f>DATE(YEAR(tblTransactions[[#This Row],[date]]),MONTH(tblTransactions[[#This Row],[date]]),1)</f>
        <v>45809</v>
      </c>
      <c r="N2840" t="str">
        <f>IF(WEEKDAY(tblTransactions[[#This Row],[date]],2)&gt;5,"Weekend","Weekday")</f>
        <v>Weekday</v>
      </c>
      <c r="O284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40" s="13" t="str">
        <f>_xlfn.XLOOKUP(tblTransactions[[#This Row],[tenant_id]],tblTenants[tenant_id],tblTenants[zone],"NOT FOUND")</f>
        <v>Food Court</v>
      </c>
      <c r="Q2840" s="13" t="str">
        <f>_xlfn.XLOOKUP(tblTransactions[[#This Row],[tenant_id]],tblTenants[tenant_id],tblTenants[category],"NOT FOUND")</f>
        <v>Quick Service</v>
      </c>
    </row>
    <row r="2841" spans="1:17">
      <c r="A2841" t="s">
        <v>2885</v>
      </c>
      <c r="B2841" s="2">
        <v>45727</v>
      </c>
      <c r="C2841">
        <v>14</v>
      </c>
      <c r="D2841" t="s">
        <v>23</v>
      </c>
      <c r="E2841" t="s">
        <v>32</v>
      </c>
      <c r="F2841" s="7">
        <v>1156.24</v>
      </c>
      <c r="G2841" s="10">
        <v>0.2</v>
      </c>
      <c r="H2841" s="7">
        <v>924.99</v>
      </c>
      <c r="I2841">
        <v>2</v>
      </c>
      <c r="J2841" t="s">
        <v>13</v>
      </c>
      <c r="K2841" s="13">
        <f>ROUND(tblTransactions[[#This Row],[gross_sales_inr]]*(1-tblTransactions[[#This Row],[discount_pct]]),2)</f>
        <v>924.99</v>
      </c>
      <c r="L2841" t="str">
        <f>IF(ABS(tblTransactions[[#This Row],[net_sales_inr]]-tblTransactions[[#This Row],[Recalc_Net_Sales]])&lt;0.02,"OK","CHECK")</f>
        <v>OK</v>
      </c>
      <c r="M2841" s="14">
        <f>DATE(YEAR(tblTransactions[[#This Row],[date]]),MONTH(tblTransactions[[#This Row],[date]]),1)</f>
        <v>45717</v>
      </c>
      <c r="N2841" t="str">
        <f>IF(WEEKDAY(tblTransactions[[#This Row],[date]],2)&gt;5,"Weekend","Weekday")</f>
        <v>Weekday</v>
      </c>
      <c r="O284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41" s="13" t="str">
        <f>_xlfn.XLOOKUP(tblTransactions[[#This Row],[tenant_id]],tblTenants[tenant_id],tblTenants[zone],"NOT FOUND")</f>
        <v>Entertainment</v>
      </c>
      <c r="Q2841" s="13" t="str">
        <f>_xlfn.XLOOKUP(tblTransactions[[#This Row],[tenant_id]],tblTenants[tenant_id],tblTenants[category],"NOT FOUND")</f>
        <v>Cinema</v>
      </c>
    </row>
    <row r="2842" spans="1:17">
      <c r="A2842" t="s">
        <v>2886</v>
      </c>
      <c r="B2842" s="2">
        <v>45796</v>
      </c>
      <c r="C2842">
        <v>11</v>
      </c>
      <c r="D2842" t="s">
        <v>43</v>
      </c>
      <c r="E2842" t="s">
        <v>21</v>
      </c>
      <c r="F2842" s="7">
        <v>1301.8900000000001</v>
      </c>
      <c r="G2842" s="10">
        <v>0</v>
      </c>
      <c r="H2842" s="7">
        <v>1301.8900000000001</v>
      </c>
      <c r="I2842">
        <v>2</v>
      </c>
      <c r="J2842" t="s">
        <v>13</v>
      </c>
      <c r="K2842" s="13">
        <f>ROUND(tblTransactions[[#This Row],[gross_sales_inr]]*(1-tblTransactions[[#This Row],[discount_pct]]),2)</f>
        <v>1301.8900000000001</v>
      </c>
      <c r="L2842" t="str">
        <f>IF(ABS(tblTransactions[[#This Row],[net_sales_inr]]-tblTransactions[[#This Row],[Recalc_Net_Sales]])&lt;0.02,"OK","CHECK")</f>
        <v>OK</v>
      </c>
      <c r="M2842" s="14">
        <f>DATE(YEAR(tblTransactions[[#This Row],[date]]),MONTH(tblTransactions[[#This Row],[date]]),1)</f>
        <v>45778</v>
      </c>
      <c r="N2842" t="str">
        <f>IF(WEEKDAY(tblTransactions[[#This Row],[date]],2)&gt;5,"Weekend","Weekday")</f>
        <v>Weekday</v>
      </c>
      <c r="O2842" s="13" t="str">
        <f>IF(tblTransactions[[#This Row],[discount_pct]]=0,"0%",IF(tblTransactions[[#This Row],[discount_pct]]&lt;=10%,"1–
10%",IF(tblTransactions[[#This Row],[discount_pct]]&lt;=20%,"11–20%","&gt;20%")))</f>
        <v>0%</v>
      </c>
      <c r="P2842" s="13" t="str">
        <f>_xlfn.XLOOKUP(tblTransactions[[#This Row],[tenant_id]],tblTenants[tenant_id],tblTenants[zone],"NOT FOUND")</f>
        <v>Food Court</v>
      </c>
      <c r="Q2842" s="13" t="str">
        <f>_xlfn.XLOOKUP(tblTransactions[[#This Row],[tenant_id]],tblTenants[tenant_id],tblTenants[category],"NOT FOUND")</f>
        <v>Casual Dining</v>
      </c>
    </row>
    <row r="2843" spans="1:17">
      <c r="A2843" t="s">
        <v>2887</v>
      </c>
      <c r="B2843" s="2">
        <v>45695</v>
      </c>
      <c r="C2843">
        <v>16</v>
      </c>
      <c r="D2843" t="s">
        <v>25</v>
      </c>
      <c r="E2843" t="s">
        <v>12</v>
      </c>
      <c r="F2843" s="7">
        <v>536.41999999999996</v>
      </c>
      <c r="G2843" s="10">
        <v>0</v>
      </c>
      <c r="H2843" s="7">
        <v>536.41999999999996</v>
      </c>
      <c r="I2843">
        <v>3</v>
      </c>
      <c r="J2843" t="s">
        <v>13</v>
      </c>
      <c r="K2843" s="13">
        <f>ROUND(tblTransactions[[#This Row],[gross_sales_inr]]*(1-tblTransactions[[#This Row],[discount_pct]]),2)</f>
        <v>536.41999999999996</v>
      </c>
      <c r="L2843" t="str">
        <f>IF(ABS(tblTransactions[[#This Row],[net_sales_inr]]-tblTransactions[[#This Row],[Recalc_Net_Sales]])&lt;0.02,"OK","CHECK")</f>
        <v>OK</v>
      </c>
      <c r="M2843" s="14">
        <f>DATE(YEAR(tblTransactions[[#This Row],[date]]),MONTH(tblTransactions[[#This Row],[date]]),1)</f>
        <v>45689</v>
      </c>
      <c r="N2843" t="str">
        <f>IF(WEEKDAY(tblTransactions[[#This Row],[date]],2)&gt;5,"Weekend","Weekday")</f>
        <v>Weekday</v>
      </c>
      <c r="O2843" s="13" t="str">
        <f>IF(tblTransactions[[#This Row],[discount_pct]]=0,"0%",IF(tblTransactions[[#This Row],[discount_pct]]&lt;=10%,"1–
10%",IF(tblTransactions[[#This Row],[discount_pct]]&lt;=20%,"11–20%","&gt;20%")))</f>
        <v>0%</v>
      </c>
      <c r="P2843" s="13" t="str">
        <f>_xlfn.XLOOKUP(tblTransactions[[#This Row],[tenant_id]],tblTenants[tenant_id],tblTenants[zone],"NOT FOUND")</f>
        <v>Beauty &amp; Wellness</v>
      </c>
      <c r="Q2843" s="13" t="str">
        <f>_xlfn.XLOOKUP(tblTransactions[[#This Row],[tenant_id]],tblTenants[tenant_id],tblTenants[category],"NOT FOUND")</f>
        <v>Beauty</v>
      </c>
    </row>
    <row r="2844" spans="1:17">
      <c r="A2844" t="s">
        <v>2888</v>
      </c>
      <c r="B2844" s="2">
        <v>45701</v>
      </c>
      <c r="C2844">
        <v>10</v>
      </c>
      <c r="D2844" t="s">
        <v>63</v>
      </c>
      <c r="E2844" t="s">
        <v>32</v>
      </c>
      <c r="F2844" s="7">
        <v>627.49</v>
      </c>
      <c r="G2844" s="10">
        <v>0.2</v>
      </c>
      <c r="H2844" s="7">
        <v>501.99</v>
      </c>
      <c r="I2844">
        <v>3</v>
      </c>
      <c r="J2844" t="s">
        <v>13</v>
      </c>
      <c r="K2844" s="13">
        <f>ROUND(tblTransactions[[#This Row],[gross_sales_inr]]*(1-tblTransactions[[#This Row],[discount_pct]]),2)</f>
        <v>501.99</v>
      </c>
      <c r="L2844" t="str">
        <f>IF(ABS(tblTransactions[[#This Row],[net_sales_inr]]-tblTransactions[[#This Row],[Recalc_Net_Sales]])&lt;0.02,"OK","CHECK")</f>
        <v>OK</v>
      </c>
      <c r="M2844" s="14">
        <f>DATE(YEAR(tblTransactions[[#This Row],[date]]),MONTH(tblTransactions[[#This Row],[date]]),1)</f>
        <v>45689</v>
      </c>
      <c r="N2844" t="str">
        <f>IF(WEEKDAY(tblTransactions[[#This Row],[date]],2)&gt;5,"Weekend","Weekday")</f>
        <v>Weekday</v>
      </c>
      <c r="O284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44" s="13" t="str">
        <f>_xlfn.XLOOKUP(tblTransactions[[#This Row],[tenant_id]],tblTenants[tenant_id],tblTenants[zone],"NOT FOUND")</f>
        <v>Entertainment</v>
      </c>
      <c r="Q2844" s="13" t="str">
        <f>_xlfn.XLOOKUP(tblTransactions[[#This Row],[tenant_id]],tblTenants[tenant_id],tblTenants[category],"NOT FOUND")</f>
        <v>Family Entertainment</v>
      </c>
    </row>
    <row r="2845" spans="1:17">
      <c r="A2845" t="s">
        <v>2889</v>
      </c>
      <c r="B2845" s="2">
        <v>45797</v>
      </c>
      <c r="C2845">
        <v>10</v>
      </c>
      <c r="D2845" t="s">
        <v>34</v>
      </c>
      <c r="E2845" t="s">
        <v>12</v>
      </c>
      <c r="F2845" s="7">
        <v>3435.93</v>
      </c>
      <c r="G2845" s="10">
        <v>0.1</v>
      </c>
      <c r="H2845" s="7">
        <v>3092.34</v>
      </c>
      <c r="I2845">
        <v>5</v>
      </c>
      <c r="J2845" t="s">
        <v>16</v>
      </c>
      <c r="K2845" s="13">
        <f>ROUND(tblTransactions[[#This Row],[gross_sales_inr]]*(1-tblTransactions[[#This Row],[discount_pct]]),2)</f>
        <v>3092.34</v>
      </c>
      <c r="L2845" t="str">
        <f>IF(ABS(tblTransactions[[#This Row],[net_sales_inr]]-tblTransactions[[#This Row],[Recalc_Net_Sales]])&lt;0.02,"OK","CHECK")</f>
        <v>OK</v>
      </c>
      <c r="M2845" s="14">
        <f>DATE(YEAR(tblTransactions[[#This Row],[date]]),MONTH(tblTransactions[[#This Row],[date]]),1)</f>
        <v>45778</v>
      </c>
      <c r="N2845" t="str">
        <f>IF(WEEKDAY(tblTransactions[[#This Row],[date]],2)&gt;5,"Weekend","Weekday")</f>
        <v>Weekday</v>
      </c>
      <c r="O284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45" s="13" t="str">
        <f>_xlfn.XLOOKUP(tblTransactions[[#This Row],[tenant_id]],tblTenants[tenant_id],tblTenants[zone],"NOT FOUND")</f>
        <v>Home &amp; Living</v>
      </c>
      <c r="Q2845" s="13" t="str">
        <f>_xlfn.XLOOKUP(tblTransactions[[#This Row],[tenant_id]],tblTenants[tenant_id],tblTenants[category],"NOT FOUND")</f>
        <v>Electronics</v>
      </c>
    </row>
    <row r="2846" spans="1:17">
      <c r="A2846" t="s">
        <v>2890</v>
      </c>
      <c r="B2846" s="2">
        <v>45756</v>
      </c>
      <c r="C2846">
        <v>16</v>
      </c>
      <c r="D2846" t="s">
        <v>63</v>
      </c>
      <c r="E2846" t="s">
        <v>21</v>
      </c>
      <c r="F2846" s="7">
        <v>399.47</v>
      </c>
      <c r="G2846" s="10">
        <v>0</v>
      </c>
      <c r="H2846" s="7">
        <v>399.47</v>
      </c>
      <c r="I2846">
        <v>3</v>
      </c>
      <c r="J2846" t="s">
        <v>13</v>
      </c>
      <c r="K2846" s="13">
        <f>ROUND(tblTransactions[[#This Row],[gross_sales_inr]]*(1-tblTransactions[[#This Row],[discount_pct]]),2)</f>
        <v>399.47</v>
      </c>
      <c r="L2846" t="str">
        <f>IF(ABS(tblTransactions[[#This Row],[net_sales_inr]]-tblTransactions[[#This Row],[Recalc_Net_Sales]])&lt;0.02,"OK","CHECK")</f>
        <v>OK</v>
      </c>
      <c r="M2846" s="14">
        <f>DATE(YEAR(tblTransactions[[#This Row],[date]]),MONTH(tblTransactions[[#This Row],[date]]),1)</f>
        <v>45748</v>
      </c>
      <c r="N2846" t="str">
        <f>IF(WEEKDAY(tblTransactions[[#This Row],[date]],2)&gt;5,"Weekend","Weekday")</f>
        <v>Weekday</v>
      </c>
      <c r="O2846" s="13" t="str">
        <f>IF(tblTransactions[[#This Row],[discount_pct]]=0,"0%",IF(tblTransactions[[#This Row],[discount_pct]]&lt;=10%,"1–
10%",IF(tblTransactions[[#This Row],[discount_pct]]&lt;=20%,"11–20%","&gt;20%")))</f>
        <v>0%</v>
      </c>
      <c r="P2846" s="13" t="str">
        <f>_xlfn.XLOOKUP(tblTransactions[[#This Row],[tenant_id]],tblTenants[tenant_id],tblTenants[zone],"NOT FOUND")</f>
        <v>Entertainment</v>
      </c>
      <c r="Q2846" s="13" t="str">
        <f>_xlfn.XLOOKUP(tblTransactions[[#This Row],[tenant_id]],tblTenants[tenant_id],tblTenants[category],"NOT FOUND")</f>
        <v>Family Entertainment</v>
      </c>
    </row>
    <row r="2847" spans="1:17">
      <c r="A2847" t="s">
        <v>2891</v>
      </c>
      <c r="B2847" s="2">
        <v>45822</v>
      </c>
      <c r="C2847">
        <v>18</v>
      </c>
      <c r="D2847" t="s">
        <v>41</v>
      </c>
      <c r="E2847" t="s">
        <v>12</v>
      </c>
      <c r="F2847" s="7">
        <v>1860.64</v>
      </c>
      <c r="G2847" s="10">
        <v>0</v>
      </c>
      <c r="H2847" s="7">
        <v>1860.64</v>
      </c>
      <c r="I2847">
        <v>2</v>
      </c>
      <c r="J2847" t="s">
        <v>13</v>
      </c>
      <c r="K2847" s="13">
        <f>ROUND(tblTransactions[[#This Row],[gross_sales_inr]]*(1-tblTransactions[[#This Row],[discount_pct]]),2)</f>
        <v>1860.64</v>
      </c>
      <c r="L2847" t="str">
        <f>IF(ABS(tblTransactions[[#This Row],[net_sales_inr]]-tblTransactions[[#This Row],[Recalc_Net_Sales]])&lt;0.02,"OK","CHECK")</f>
        <v>OK</v>
      </c>
      <c r="M2847" s="14">
        <f>DATE(YEAR(tblTransactions[[#This Row],[date]]),MONTH(tblTransactions[[#This Row],[date]]),1)</f>
        <v>45809</v>
      </c>
      <c r="N2847" t="str">
        <f>IF(WEEKDAY(tblTransactions[[#This Row],[date]],2)&gt;5,"Weekend","Weekday")</f>
        <v>Weekend</v>
      </c>
      <c r="O2847" s="13" t="str">
        <f>IF(tblTransactions[[#This Row],[discount_pct]]=0,"0%",IF(tblTransactions[[#This Row],[discount_pct]]&lt;=10%,"1–
10%",IF(tblTransactions[[#This Row],[discount_pct]]&lt;=20%,"11–20%","&gt;20%")))</f>
        <v>0%</v>
      </c>
      <c r="P2847" s="13" t="str">
        <f>_xlfn.XLOOKUP(tblTransactions[[#This Row],[tenant_id]],tblTenants[tenant_id],tblTenants[zone],"NOT FOUND")</f>
        <v>Fashion Avenue</v>
      </c>
      <c r="Q2847" s="13" t="str">
        <f>_xlfn.XLOOKUP(tblTransactions[[#This Row],[tenant_id]],tblTenants[tenant_id],tblTenants[category],"NOT FOUND")</f>
        <v>Clothing</v>
      </c>
    </row>
    <row r="2848" spans="1:17">
      <c r="A2848" t="s">
        <v>2892</v>
      </c>
      <c r="B2848" s="2">
        <v>45663</v>
      </c>
      <c r="C2848">
        <v>17</v>
      </c>
      <c r="D2848" t="s">
        <v>85</v>
      </c>
      <c r="E2848" t="s">
        <v>32</v>
      </c>
      <c r="F2848" s="7">
        <v>504.15</v>
      </c>
      <c r="G2848" s="10">
        <v>0</v>
      </c>
      <c r="H2848" s="7">
        <v>504.15</v>
      </c>
      <c r="I2848">
        <v>1</v>
      </c>
      <c r="J2848" t="s">
        <v>13</v>
      </c>
      <c r="K2848" s="13">
        <f>ROUND(tblTransactions[[#This Row],[gross_sales_inr]]*(1-tblTransactions[[#This Row],[discount_pct]]),2)</f>
        <v>504.15</v>
      </c>
      <c r="L2848" t="str">
        <f>IF(ABS(tblTransactions[[#This Row],[net_sales_inr]]-tblTransactions[[#This Row],[Recalc_Net_Sales]])&lt;0.02,"OK","CHECK")</f>
        <v>OK</v>
      </c>
      <c r="M2848" s="14">
        <f>DATE(YEAR(tblTransactions[[#This Row],[date]]),MONTH(tblTransactions[[#This Row],[date]]),1)</f>
        <v>45658</v>
      </c>
      <c r="N2848" t="str">
        <f>IF(WEEKDAY(tblTransactions[[#This Row],[date]],2)&gt;5,"Weekend","Weekday")</f>
        <v>Weekday</v>
      </c>
      <c r="O2848" s="13" t="str">
        <f>IF(tblTransactions[[#This Row],[discount_pct]]=0,"0%",IF(tblTransactions[[#This Row],[discount_pct]]&lt;=10%,"1–
10%",IF(tblTransactions[[#This Row],[discount_pct]]&lt;=20%,"11–20%","&gt;20%")))</f>
        <v>0%</v>
      </c>
      <c r="P2848" s="13" t="str">
        <f>_xlfn.XLOOKUP(tblTransactions[[#This Row],[tenant_id]],tblTenants[tenant_id],tblTenants[zone],"NOT FOUND")</f>
        <v>Home &amp; Living</v>
      </c>
      <c r="Q2848" s="13" t="str">
        <f>_xlfn.XLOOKUP(tblTransactions[[#This Row],[tenant_id]],tblTenants[tenant_id],tblTenants[category],"NOT FOUND")</f>
        <v>Electronics</v>
      </c>
    </row>
    <row r="2849" spans="1:17">
      <c r="A2849" t="s">
        <v>2893</v>
      </c>
      <c r="B2849" s="2">
        <v>45760</v>
      </c>
      <c r="C2849">
        <v>14</v>
      </c>
      <c r="D2849" t="s">
        <v>55</v>
      </c>
      <c r="E2849" t="s">
        <v>21</v>
      </c>
      <c r="F2849" s="7">
        <v>1957.23</v>
      </c>
      <c r="G2849" s="10">
        <v>0</v>
      </c>
      <c r="H2849" s="7">
        <v>1957.23</v>
      </c>
      <c r="I2849">
        <v>5</v>
      </c>
      <c r="J2849" t="s">
        <v>13</v>
      </c>
      <c r="K2849" s="13">
        <f>ROUND(tblTransactions[[#This Row],[gross_sales_inr]]*(1-tblTransactions[[#This Row],[discount_pct]]),2)</f>
        <v>1957.23</v>
      </c>
      <c r="L2849" t="str">
        <f>IF(ABS(tblTransactions[[#This Row],[net_sales_inr]]-tblTransactions[[#This Row],[Recalc_Net_Sales]])&lt;0.02,"OK","CHECK")</f>
        <v>OK</v>
      </c>
      <c r="M2849" s="14">
        <f>DATE(YEAR(tblTransactions[[#This Row],[date]]),MONTH(tblTransactions[[#This Row],[date]]),1)</f>
        <v>45748</v>
      </c>
      <c r="N2849" t="str">
        <f>IF(WEEKDAY(tblTransactions[[#This Row],[date]],2)&gt;5,"Weekend","Weekday")</f>
        <v>Weekend</v>
      </c>
      <c r="O2849" s="13" t="str">
        <f>IF(tblTransactions[[#This Row],[discount_pct]]=0,"0%",IF(tblTransactions[[#This Row],[discount_pct]]&lt;=10%,"1–
10%",IF(tblTransactions[[#This Row],[discount_pct]]&lt;=20%,"11–20%","&gt;20%")))</f>
        <v>0%</v>
      </c>
      <c r="P2849" s="13" t="str">
        <f>_xlfn.XLOOKUP(tblTransactions[[#This Row],[tenant_id]],tblTenants[tenant_id],tblTenants[zone],"NOT FOUND")</f>
        <v>Food Court</v>
      </c>
      <c r="Q2849" s="13" t="str">
        <f>_xlfn.XLOOKUP(tblTransactions[[#This Row],[tenant_id]],tblTenants[tenant_id],tblTenants[category],"NOT FOUND")</f>
        <v>Quick Service</v>
      </c>
    </row>
    <row r="2850" spans="1:17">
      <c r="A2850" t="s">
        <v>2894</v>
      </c>
      <c r="B2850" s="2">
        <v>45789</v>
      </c>
      <c r="C2850">
        <v>10</v>
      </c>
      <c r="D2850" t="s">
        <v>43</v>
      </c>
      <c r="E2850" t="s">
        <v>12</v>
      </c>
      <c r="F2850" s="7">
        <v>868.57</v>
      </c>
      <c r="G2850" s="10">
        <v>0.3</v>
      </c>
      <c r="H2850" s="7">
        <v>608</v>
      </c>
      <c r="I2850">
        <v>6</v>
      </c>
      <c r="J2850" t="s">
        <v>13</v>
      </c>
      <c r="K2850" s="13">
        <f>ROUND(tblTransactions[[#This Row],[gross_sales_inr]]*(1-tblTransactions[[#This Row],[discount_pct]]),2)</f>
        <v>608</v>
      </c>
      <c r="L2850" t="str">
        <f>IF(ABS(tblTransactions[[#This Row],[net_sales_inr]]-tblTransactions[[#This Row],[Recalc_Net_Sales]])&lt;0.02,"OK","CHECK")</f>
        <v>OK</v>
      </c>
      <c r="M2850" s="14">
        <f>DATE(YEAR(tblTransactions[[#This Row],[date]]),MONTH(tblTransactions[[#This Row],[date]]),1)</f>
        <v>45778</v>
      </c>
      <c r="N2850" t="str">
        <f>IF(WEEKDAY(tblTransactions[[#This Row],[date]],2)&gt;5,"Weekend","Weekday")</f>
        <v>Weekday</v>
      </c>
      <c r="O2850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850" s="13" t="str">
        <f>_xlfn.XLOOKUP(tblTransactions[[#This Row],[tenant_id]],tblTenants[tenant_id],tblTenants[zone],"NOT FOUND")</f>
        <v>Food Court</v>
      </c>
      <c r="Q2850" s="13" t="str">
        <f>_xlfn.XLOOKUP(tblTransactions[[#This Row],[tenant_id]],tblTenants[tenant_id],tblTenants[category],"NOT FOUND")</f>
        <v>Casual Dining</v>
      </c>
    </row>
    <row r="2851" spans="1:17">
      <c r="A2851" t="s">
        <v>2895</v>
      </c>
      <c r="B2851" s="2">
        <v>45671</v>
      </c>
      <c r="C2851">
        <v>19</v>
      </c>
      <c r="D2851" t="s">
        <v>57</v>
      </c>
      <c r="E2851" t="s">
        <v>21</v>
      </c>
      <c r="F2851" s="7">
        <v>1272.47</v>
      </c>
      <c r="G2851" s="10">
        <v>0.05</v>
      </c>
      <c r="H2851" s="7">
        <v>1208.8499999999999</v>
      </c>
      <c r="I2851">
        <v>2</v>
      </c>
      <c r="J2851" t="s">
        <v>16</v>
      </c>
      <c r="K2851" s="13">
        <f>ROUND(tblTransactions[[#This Row],[gross_sales_inr]]*(1-tblTransactions[[#This Row],[discount_pct]]),2)</f>
        <v>1208.8499999999999</v>
      </c>
      <c r="L2851" t="str">
        <f>IF(ABS(tblTransactions[[#This Row],[net_sales_inr]]-tblTransactions[[#This Row],[Recalc_Net_Sales]])&lt;0.02,"OK","CHECK")</f>
        <v>OK</v>
      </c>
      <c r="M2851" s="14">
        <f>DATE(YEAR(tblTransactions[[#This Row],[date]]),MONTH(tblTransactions[[#This Row],[date]]),1)</f>
        <v>45658</v>
      </c>
      <c r="N2851" t="str">
        <f>IF(WEEKDAY(tblTransactions[[#This Row],[date]],2)&gt;5,"Weekend","Weekday")</f>
        <v>Weekday</v>
      </c>
      <c r="O285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51" s="13" t="str">
        <f>_xlfn.XLOOKUP(tblTransactions[[#This Row],[tenant_id]],tblTenants[tenant_id],tblTenants[zone],"NOT FOUND")</f>
        <v>Food Court</v>
      </c>
      <c r="Q2851" s="13" t="str">
        <f>_xlfn.XLOOKUP(tblTransactions[[#This Row],[tenant_id]],tblTenants[tenant_id],tblTenants[category],"NOT FOUND")</f>
        <v>Casual Dining</v>
      </c>
    </row>
    <row r="2852" spans="1:17">
      <c r="A2852" t="s">
        <v>2896</v>
      </c>
      <c r="B2852" s="2">
        <v>45812</v>
      </c>
      <c r="C2852">
        <v>21</v>
      </c>
      <c r="D2852" t="s">
        <v>41</v>
      </c>
      <c r="E2852" t="s">
        <v>12</v>
      </c>
      <c r="F2852" s="7">
        <v>2024.05</v>
      </c>
      <c r="G2852" s="10">
        <v>0</v>
      </c>
      <c r="H2852" s="7">
        <v>2024.05</v>
      </c>
      <c r="I2852">
        <v>1</v>
      </c>
      <c r="J2852" t="s">
        <v>13</v>
      </c>
      <c r="K2852" s="13">
        <f>ROUND(tblTransactions[[#This Row],[gross_sales_inr]]*(1-tblTransactions[[#This Row],[discount_pct]]),2)</f>
        <v>2024.05</v>
      </c>
      <c r="L2852" t="str">
        <f>IF(ABS(tblTransactions[[#This Row],[net_sales_inr]]-tblTransactions[[#This Row],[Recalc_Net_Sales]])&lt;0.02,"OK","CHECK")</f>
        <v>OK</v>
      </c>
      <c r="M2852" s="14">
        <f>DATE(YEAR(tblTransactions[[#This Row],[date]]),MONTH(tblTransactions[[#This Row],[date]]),1)</f>
        <v>45809</v>
      </c>
      <c r="N2852" t="str">
        <f>IF(WEEKDAY(tblTransactions[[#This Row],[date]],2)&gt;5,"Weekend","Weekday")</f>
        <v>Weekday</v>
      </c>
      <c r="O2852" s="13" t="str">
        <f>IF(tblTransactions[[#This Row],[discount_pct]]=0,"0%",IF(tblTransactions[[#This Row],[discount_pct]]&lt;=10%,"1–
10%",IF(tblTransactions[[#This Row],[discount_pct]]&lt;=20%,"11–20%","&gt;20%")))</f>
        <v>0%</v>
      </c>
      <c r="P2852" s="13" t="str">
        <f>_xlfn.XLOOKUP(tblTransactions[[#This Row],[tenant_id]],tblTenants[tenant_id],tblTenants[zone],"NOT FOUND")</f>
        <v>Fashion Avenue</v>
      </c>
      <c r="Q2852" s="13" t="str">
        <f>_xlfn.XLOOKUP(tblTransactions[[#This Row],[tenant_id]],tblTenants[tenant_id],tblTenants[category],"NOT FOUND")</f>
        <v>Clothing</v>
      </c>
    </row>
    <row r="2853" spans="1:17">
      <c r="A2853" t="s">
        <v>2897</v>
      </c>
      <c r="B2853" s="2">
        <v>45813</v>
      </c>
      <c r="C2853">
        <v>22</v>
      </c>
      <c r="D2853" t="s">
        <v>57</v>
      </c>
      <c r="E2853" t="s">
        <v>12</v>
      </c>
      <c r="F2853" s="7">
        <v>1341.22</v>
      </c>
      <c r="G2853" s="10">
        <v>0.2</v>
      </c>
      <c r="H2853" s="7">
        <v>1072.98</v>
      </c>
      <c r="I2853">
        <v>2</v>
      </c>
      <c r="J2853" t="s">
        <v>16</v>
      </c>
      <c r="K2853" s="13">
        <f>ROUND(tblTransactions[[#This Row],[gross_sales_inr]]*(1-tblTransactions[[#This Row],[discount_pct]]),2)</f>
        <v>1072.98</v>
      </c>
      <c r="L2853" t="str">
        <f>IF(ABS(tblTransactions[[#This Row],[net_sales_inr]]-tblTransactions[[#This Row],[Recalc_Net_Sales]])&lt;0.02,"OK","CHECK")</f>
        <v>OK</v>
      </c>
      <c r="M2853" s="14">
        <f>DATE(YEAR(tblTransactions[[#This Row],[date]]),MONTH(tblTransactions[[#This Row],[date]]),1)</f>
        <v>45809</v>
      </c>
      <c r="N2853" t="str">
        <f>IF(WEEKDAY(tblTransactions[[#This Row],[date]],2)&gt;5,"Weekend","Weekday")</f>
        <v>Weekday</v>
      </c>
      <c r="O285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53" s="13" t="str">
        <f>_xlfn.XLOOKUP(tblTransactions[[#This Row],[tenant_id]],tblTenants[tenant_id],tblTenants[zone],"NOT FOUND")</f>
        <v>Food Court</v>
      </c>
      <c r="Q2853" s="13" t="str">
        <f>_xlfn.XLOOKUP(tblTransactions[[#This Row],[tenant_id]],tblTenants[tenant_id],tblTenants[category],"NOT FOUND")</f>
        <v>Casual Dining</v>
      </c>
    </row>
    <row r="2854" spans="1:17">
      <c r="A2854" t="s">
        <v>2898</v>
      </c>
      <c r="B2854" s="2">
        <v>45805</v>
      </c>
      <c r="C2854">
        <v>12</v>
      </c>
      <c r="D2854" t="s">
        <v>122</v>
      </c>
      <c r="E2854" t="s">
        <v>12</v>
      </c>
      <c r="F2854" s="7">
        <v>744.06</v>
      </c>
      <c r="G2854" s="10">
        <v>0.15</v>
      </c>
      <c r="H2854" s="7">
        <v>632.45000000000005</v>
      </c>
      <c r="I2854">
        <v>6</v>
      </c>
      <c r="J2854" t="s">
        <v>13</v>
      </c>
      <c r="K2854" s="13">
        <f>ROUND(tblTransactions[[#This Row],[gross_sales_inr]]*(1-tblTransactions[[#This Row],[discount_pct]]),2)</f>
        <v>632.45000000000005</v>
      </c>
      <c r="L2854" t="str">
        <f>IF(ABS(tblTransactions[[#This Row],[net_sales_inr]]-tblTransactions[[#This Row],[Recalc_Net_Sales]])&lt;0.02,"OK","CHECK")</f>
        <v>OK</v>
      </c>
      <c r="M2854" s="14">
        <f>DATE(YEAR(tblTransactions[[#This Row],[date]]),MONTH(tblTransactions[[#This Row],[date]]),1)</f>
        <v>45778</v>
      </c>
      <c r="N2854" t="str">
        <f>IF(WEEKDAY(tblTransactions[[#This Row],[date]],2)&gt;5,"Weekend","Weekday")</f>
        <v>Weekday</v>
      </c>
      <c r="O285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54" s="13" t="str">
        <f>_xlfn.XLOOKUP(tblTransactions[[#This Row],[tenant_id]],tblTenants[tenant_id],tblTenants[zone],"NOT FOUND")</f>
        <v>Beauty &amp; Wellness</v>
      </c>
      <c r="Q2854" s="13" t="str">
        <f>_xlfn.XLOOKUP(tblTransactions[[#This Row],[tenant_id]],tblTenants[tenant_id],tblTenants[category],"NOT FOUND")</f>
        <v>Wellness</v>
      </c>
    </row>
    <row r="2855" spans="1:17">
      <c r="A2855" t="s">
        <v>2899</v>
      </c>
      <c r="B2855" s="2">
        <v>45658</v>
      </c>
      <c r="C2855">
        <v>13</v>
      </c>
      <c r="D2855" t="s">
        <v>31</v>
      </c>
      <c r="E2855" t="s">
        <v>12</v>
      </c>
      <c r="F2855" s="7">
        <v>816.15</v>
      </c>
      <c r="G2855" s="10">
        <v>0</v>
      </c>
      <c r="H2855" s="7">
        <v>816.15</v>
      </c>
      <c r="I2855">
        <v>2</v>
      </c>
      <c r="J2855" t="s">
        <v>13</v>
      </c>
      <c r="K2855" s="13">
        <f>ROUND(tblTransactions[[#This Row],[gross_sales_inr]]*(1-tblTransactions[[#This Row],[discount_pct]]),2)</f>
        <v>816.15</v>
      </c>
      <c r="L2855" t="str">
        <f>IF(ABS(tblTransactions[[#This Row],[net_sales_inr]]-tblTransactions[[#This Row],[Recalc_Net_Sales]])&lt;0.02,"OK","CHECK")</f>
        <v>OK</v>
      </c>
      <c r="M2855" s="14">
        <f>DATE(YEAR(tblTransactions[[#This Row],[date]]),MONTH(tblTransactions[[#This Row],[date]]),1)</f>
        <v>45658</v>
      </c>
      <c r="N2855" t="str">
        <f>IF(WEEKDAY(tblTransactions[[#This Row],[date]],2)&gt;5,"Weekend","Weekday")</f>
        <v>Weekday</v>
      </c>
      <c r="O2855" s="13" t="str">
        <f>IF(tblTransactions[[#This Row],[discount_pct]]=0,"0%",IF(tblTransactions[[#This Row],[discount_pct]]&lt;=10%,"1–
10%",IF(tblTransactions[[#This Row],[discount_pct]]&lt;=20%,"11–20%","&gt;20%")))</f>
        <v>0%</v>
      </c>
      <c r="P2855" s="13" t="str">
        <f>_xlfn.XLOOKUP(tblTransactions[[#This Row],[tenant_id]],tblTenants[tenant_id],tblTenants[zone],"NOT FOUND")</f>
        <v>Entertainment</v>
      </c>
      <c r="Q2855" s="13" t="str">
        <f>_xlfn.XLOOKUP(tblTransactions[[#This Row],[tenant_id]],tblTenants[tenant_id],tblTenants[category],"NOT FOUND")</f>
        <v>Arcade</v>
      </c>
    </row>
    <row r="2856" spans="1:17">
      <c r="A2856" t="s">
        <v>2900</v>
      </c>
      <c r="B2856" s="2">
        <v>45781</v>
      </c>
      <c r="C2856">
        <v>15</v>
      </c>
      <c r="D2856" t="s">
        <v>34</v>
      </c>
      <c r="E2856" t="s">
        <v>12</v>
      </c>
      <c r="F2856" s="7">
        <v>1059.74</v>
      </c>
      <c r="G2856" s="10">
        <v>0</v>
      </c>
      <c r="H2856" s="7">
        <v>1059.74</v>
      </c>
      <c r="I2856">
        <v>4</v>
      </c>
      <c r="J2856" t="s">
        <v>13</v>
      </c>
      <c r="K2856" s="13">
        <f>ROUND(tblTransactions[[#This Row],[gross_sales_inr]]*(1-tblTransactions[[#This Row],[discount_pct]]),2)</f>
        <v>1059.74</v>
      </c>
      <c r="L2856" t="str">
        <f>IF(ABS(tblTransactions[[#This Row],[net_sales_inr]]-tblTransactions[[#This Row],[Recalc_Net_Sales]])&lt;0.02,"OK","CHECK")</f>
        <v>OK</v>
      </c>
      <c r="M2856" s="14">
        <f>DATE(YEAR(tblTransactions[[#This Row],[date]]),MONTH(tblTransactions[[#This Row],[date]]),1)</f>
        <v>45778</v>
      </c>
      <c r="N2856" t="str">
        <f>IF(WEEKDAY(tblTransactions[[#This Row],[date]],2)&gt;5,"Weekend","Weekday")</f>
        <v>Weekend</v>
      </c>
      <c r="O2856" s="13" t="str">
        <f>IF(tblTransactions[[#This Row],[discount_pct]]=0,"0%",IF(tblTransactions[[#This Row],[discount_pct]]&lt;=10%,"1–
10%",IF(tblTransactions[[#This Row],[discount_pct]]&lt;=20%,"11–20%","&gt;20%")))</f>
        <v>0%</v>
      </c>
      <c r="P2856" s="13" t="str">
        <f>_xlfn.XLOOKUP(tblTransactions[[#This Row],[tenant_id]],tblTenants[tenant_id],tblTenants[zone],"NOT FOUND")</f>
        <v>Home &amp; Living</v>
      </c>
      <c r="Q2856" s="13" t="str">
        <f>_xlfn.XLOOKUP(tblTransactions[[#This Row],[tenant_id]],tblTenants[tenant_id],tblTenants[category],"NOT FOUND")</f>
        <v>Electronics</v>
      </c>
    </row>
    <row r="2857" spans="1:17">
      <c r="A2857" t="s">
        <v>2901</v>
      </c>
      <c r="B2857" s="2">
        <v>45667</v>
      </c>
      <c r="C2857">
        <v>11</v>
      </c>
      <c r="D2857" t="s">
        <v>57</v>
      </c>
      <c r="E2857" t="s">
        <v>32</v>
      </c>
      <c r="F2857" s="7">
        <v>2457.02</v>
      </c>
      <c r="G2857" s="10">
        <v>0.1</v>
      </c>
      <c r="H2857" s="7">
        <v>2211.3200000000002</v>
      </c>
      <c r="I2857">
        <v>3</v>
      </c>
      <c r="J2857" t="s">
        <v>13</v>
      </c>
      <c r="K2857" s="13">
        <f>ROUND(tblTransactions[[#This Row],[gross_sales_inr]]*(1-tblTransactions[[#This Row],[discount_pct]]),2)</f>
        <v>2211.3200000000002</v>
      </c>
      <c r="L2857" t="str">
        <f>IF(ABS(tblTransactions[[#This Row],[net_sales_inr]]-tblTransactions[[#This Row],[Recalc_Net_Sales]])&lt;0.02,"OK","CHECK")</f>
        <v>OK</v>
      </c>
      <c r="M2857" s="14">
        <f>DATE(YEAR(tblTransactions[[#This Row],[date]]),MONTH(tblTransactions[[#This Row],[date]]),1)</f>
        <v>45658</v>
      </c>
      <c r="N2857" t="str">
        <f>IF(WEEKDAY(tblTransactions[[#This Row],[date]],2)&gt;5,"Weekend","Weekday")</f>
        <v>Weekday</v>
      </c>
      <c r="O285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57" s="13" t="str">
        <f>_xlfn.XLOOKUP(tblTransactions[[#This Row],[tenant_id]],tblTenants[tenant_id],tblTenants[zone],"NOT FOUND")</f>
        <v>Food Court</v>
      </c>
      <c r="Q2857" s="13" t="str">
        <f>_xlfn.XLOOKUP(tblTransactions[[#This Row],[tenant_id]],tblTenants[tenant_id],tblTenants[category],"NOT FOUND")</f>
        <v>Casual Dining</v>
      </c>
    </row>
    <row r="2858" spans="1:17">
      <c r="A2858" t="s">
        <v>2902</v>
      </c>
      <c r="B2858" s="2">
        <v>45836</v>
      </c>
      <c r="C2858">
        <v>12</v>
      </c>
      <c r="D2858" t="s">
        <v>23</v>
      </c>
      <c r="E2858" t="s">
        <v>12</v>
      </c>
      <c r="F2858" s="7">
        <v>983</v>
      </c>
      <c r="G2858" s="10">
        <v>0.05</v>
      </c>
      <c r="H2858" s="7">
        <v>933.85</v>
      </c>
      <c r="I2858">
        <v>3</v>
      </c>
      <c r="J2858" t="s">
        <v>16</v>
      </c>
      <c r="K2858" s="13">
        <f>ROUND(tblTransactions[[#This Row],[gross_sales_inr]]*(1-tblTransactions[[#This Row],[discount_pct]]),2)</f>
        <v>933.85</v>
      </c>
      <c r="L2858" t="str">
        <f>IF(ABS(tblTransactions[[#This Row],[net_sales_inr]]-tblTransactions[[#This Row],[Recalc_Net_Sales]])&lt;0.02,"OK","CHECK")</f>
        <v>OK</v>
      </c>
      <c r="M2858" s="14">
        <f>DATE(YEAR(tblTransactions[[#This Row],[date]]),MONTH(tblTransactions[[#This Row],[date]]),1)</f>
        <v>45809</v>
      </c>
      <c r="N2858" t="str">
        <f>IF(WEEKDAY(tblTransactions[[#This Row],[date]],2)&gt;5,"Weekend","Weekday")</f>
        <v>Weekend</v>
      </c>
      <c r="O285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58" s="13" t="str">
        <f>_xlfn.XLOOKUP(tblTransactions[[#This Row],[tenant_id]],tblTenants[tenant_id],tblTenants[zone],"NOT FOUND")</f>
        <v>Entertainment</v>
      </c>
      <c r="Q2858" s="13" t="str">
        <f>_xlfn.XLOOKUP(tblTransactions[[#This Row],[tenant_id]],tblTenants[tenant_id],tblTenants[category],"NOT FOUND")</f>
        <v>Cinema</v>
      </c>
    </row>
    <row r="2859" spans="1:17">
      <c r="A2859" t="s">
        <v>2903</v>
      </c>
      <c r="B2859" s="2">
        <v>45759</v>
      </c>
      <c r="C2859">
        <v>19</v>
      </c>
      <c r="D2859" t="s">
        <v>15</v>
      </c>
      <c r="E2859" t="s">
        <v>51</v>
      </c>
      <c r="F2859" s="7">
        <v>1450.04</v>
      </c>
      <c r="G2859" s="10">
        <v>0</v>
      </c>
      <c r="H2859" s="7">
        <v>1450.04</v>
      </c>
      <c r="I2859">
        <v>4</v>
      </c>
      <c r="J2859" t="s">
        <v>13</v>
      </c>
      <c r="K2859" s="13">
        <f>ROUND(tblTransactions[[#This Row],[gross_sales_inr]]*(1-tblTransactions[[#This Row],[discount_pct]]),2)</f>
        <v>1450.04</v>
      </c>
      <c r="L2859" t="str">
        <f>IF(ABS(tblTransactions[[#This Row],[net_sales_inr]]-tblTransactions[[#This Row],[Recalc_Net_Sales]])&lt;0.02,"OK","CHECK")</f>
        <v>OK</v>
      </c>
      <c r="M2859" s="14">
        <f>DATE(YEAR(tblTransactions[[#This Row],[date]]),MONTH(tblTransactions[[#This Row],[date]]),1)</f>
        <v>45748</v>
      </c>
      <c r="N2859" t="str">
        <f>IF(WEEKDAY(tblTransactions[[#This Row],[date]],2)&gt;5,"Weekend","Weekday")</f>
        <v>Weekend</v>
      </c>
      <c r="O2859" s="13" t="str">
        <f>IF(tblTransactions[[#This Row],[discount_pct]]=0,"0%",IF(tblTransactions[[#This Row],[discount_pct]]&lt;=10%,"1–
10%",IF(tblTransactions[[#This Row],[discount_pct]]&lt;=20%,"11–20%","&gt;20%")))</f>
        <v>0%</v>
      </c>
      <c r="P2859" s="13" t="str">
        <f>_xlfn.XLOOKUP(tblTransactions[[#This Row],[tenant_id]],tblTenants[tenant_id],tblTenants[zone],"NOT FOUND")</f>
        <v>Fashion Avenue</v>
      </c>
      <c r="Q2859" s="13" t="str">
        <f>_xlfn.XLOOKUP(tblTransactions[[#This Row],[tenant_id]],tblTenants[tenant_id],tblTenants[category],"NOT FOUND")</f>
        <v>Accessories</v>
      </c>
    </row>
    <row r="2860" spans="1:17">
      <c r="A2860" t="s">
        <v>2904</v>
      </c>
      <c r="B2860" s="2">
        <v>45661</v>
      </c>
      <c r="C2860">
        <v>22</v>
      </c>
      <c r="D2860" t="s">
        <v>53</v>
      </c>
      <c r="E2860" t="s">
        <v>32</v>
      </c>
      <c r="F2860" s="7">
        <v>568.80999999999995</v>
      </c>
      <c r="G2860" s="10">
        <v>0</v>
      </c>
      <c r="H2860" s="7">
        <v>568.80999999999995</v>
      </c>
      <c r="I2860">
        <v>3</v>
      </c>
      <c r="J2860" t="s">
        <v>13</v>
      </c>
      <c r="K2860" s="13">
        <f>ROUND(tblTransactions[[#This Row],[gross_sales_inr]]*(1-tblTransactions[[#This Row],[discount_pct]]),2)</f>
        <v>568.80999999999995</v>
      </c>
      <c r="L2860" t="str">
        <f>IF(ABS(tblTransactions[[#This Row],[net_sales_inr]]-tblTransactions[[#This Row],[Recalc_Net_Sales]])&lt;0.02,"OK","CHECK")</f>
        <v>OK</v>
      </c>
      <c r="M2860" s="14">
        <f>DATE(YEAR(tblTransactions[[#This Row],[date]]),MONTH(tblTransactions[[#This Row],[date]]),1)</f>
        <v>45658</v>
      </c>
      <c r="N2860" t="str">
        <f>IF(WEEKDAY(tblTransactions[[#This Row],[date]],2)&gt;5,"Weekend","Weekday")</f>
        <v>Weekend</v>
      </c>
      <c r="O2860" s="13" t="str">
        <f>IF(tblTransactions[[#This Row],[discount_pct]]=0,"0%",IF(tblTransactions[[#This Row],[discount_pct]]&lt;=10%,"1–
10%",IF(tblTransactions[[#This Row],[discount_pct]]&lt;=20%,"11–20%","&gt;20%")))</f>
        <v>0%</v>
      </c>
      <c r="P2860" s="13" t="str">
        <f>_xlfn.XLOOKUP(tblTransactions[[#This Row],[tenant_id]],tblTenants[tenant_id],tblTenants[zone],"NOT FOUND")</f>
        <v>Beauty &amp; Wellness</v>
      </c>
      <c r="Q2860" s="13" t="str">
        <f>_xlfn.XLOOKUP(tblTransactions[[#This Row],[tenant_id]],tblTenants[tenant_id],tblTenants[category],"NOT FOUND")</f>
        <v>Beauty</v>
      </c>
    </row>
    <row r="2861" spans="1:17">
      <c r="A2861" t="s">
        <v>2905</v>
      </c>
      <c r="B2861" s="2">
        <v>45764</v>
      </c>
      <c r="C2861">
        <v>16</v>
      </c>
      <c r="D2861" t="s">
        <v>31</v>
      </c>
      <c r="E2861" t="s">
        <v>32</v>
      </c>
      <c r="F2861" s="7">
        <v>398.16</v>
      </c>
      <c r="G2861" s="10">
        <v>0.05</v>
      </c>
      <c r="H2861" s="7">
        <v>378.25</v>
      </c>
      <c r="I2861">
        <v>2</v>
      </c>
      <c r="J2861" t="s">
        <v>16</v>
      </c>
      <c r="K2861" s="13">
        <f>ROUND(tblTransactions[[#This Row],[gross_sales_inr]]*(1-tblTransactions[[#This Row],[discount_pct]]),2)</f>
        <v>378.25</v>
      </c>
      <c r="L2861" t="str">
        <f>IF(ABS(tblTransactions[[#This Row],[net_sales_inr]]-tblTransactions[[#This Row],[Recalc_Net_Sales]])&lt;0.02,"OK","CHECK")</f>
        <v>OK</v>
      </c>
      <c r="M2861" s="14">
        <f>DATE(YEAR(tblTransactions[[#This Row],[date]]),MONTH(tblTransactions[[#This Row],[date]]),1)</f>
        <v>45748</v>
      </c>
      <c r="N2861" t="str">
        <f>IF(WEEKDAY(tblTransactions[[#This Row],[date]],2)&gt;5,"Weekend","Weekday")</f>
        <v>Weekday</v>
      </c>
      <c r="O286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61" s="13" t="str">
        <f>_xlfn.XLOOKUP(tblTransactions[[#This Row],[tenant_id]],tblTenants[tenant_id],tblTenants[zone],"NOT FOUND")</f>
        <v>Entertainment</v>
      </c>
      <c r="Q2861" s="13" t="str">
        <f>_xlfn.XLOOKUP(tblTransactions[[#This Row],[tenant_id]],tblTenants[tenant_id],tblTenants[category],"NOT FOUND")</f>
        <v>Arcade</v>
      </c>
    </row>
    <row r="2862" spans="1:17">
      <c r="A2862" t="s">
        <v>2906</v>
      </c>
      <c r="B2862" s="2">
        <v>45806</v>
      </c>
      <c r="C2862">
        <v>19</v>
      </c>
      <c r="D2862" t="s">
        <v>27</v>
      </c>
      <c r="E2862" t="s">
        <v>12</v>
      </c>
      <c r="F2862" s="7">
        <v>1815.05</v>
      </c>
      <c r="G2862" s="10">
        <v>0</v>
      </c>
      <c r="H2862" s="7">
        <v>1815.05</v>
      </c>
      <c r="I2862">
        <v>2</v>
      </c>
      <c r="J2862" t="s">
        <v>16</v>
      </c>
      <c r="K2862" s="13">
        <f>ROUND(tblTransactions[[#This Row],[gross_sales_inr]]*(1-tblTransactions[[#This Row],[discount_pct]]),2)</f>
        <v>1815.05</v>
      </c>
      <c r="L2862" t="str">
        <f>IF(ABS(tblTransactions[[#This Row],[net_sales_inr]]-tblTransactions[[#This Row],[Recalc_Net_Sales]])&lt;0.02,"OK","CHECK")</f>
        <v>OK</v>
      </c>
      <c r="M2862" s="14">
        <f>DATE(YEAR(tblTransactions[[#This Row],[date]]),MONTH(tblTransactions[[#This Row],[date]]),1)</f>
        <v>45778</v>
      </c>
      <c r="N2862" t="str">
        <f>IF(WEEKDAY(tblTransactions[[#This Row],[date]],2)&gt;5,"Weekend","Weekday")</f>
        <v>Weekday</v>
      </c>
      <c r="O2862" s="13" t="str">
        <f>IF(tblTransactions[[#This Row],[discount_pct]]=0,"0%",IF(tblTransactions[[#This Row],[discount_pct]]&lt;=10%,"1–
10%",IF(tblTransactions[[#This Row],[discount_pct]]&lt;=20%,"11–20%","&gt;20%")))</f>
        <v>0%</v>
      </c>
      <c r="P2862" s="13" t="str">
        <f>_xlfn.XLOOKUP(tblTransactions[[#This Row],[tenant_id]],tblTenants[tenant_id],tblTenants[zone],"NOT FOUND")</f>
        <v>Beauty &amp; Wellness</v>
      </c>
      <c r="Q2862" s="13" t="str">
        <f>_xlfn.XLOOKUP(tblTransactions[[#This Row],[tenant_id]],tblTenants[tenant_id],tblTenants[category],"NOT FOUND")</f>
        <v>Wellness</v>
      </c>
    </row>
    <row r="2863" spans="1:17">
      <c r="A2863" t="s">
        <v>2907</v>
      </c>
      <c r="B2863" s="2">
        <v>45725</v>
      </c>
      <c r="C2863">
        <v>11</v>
      </c>
      <c r="D2863" t="s">
        <v>80</v>
      </c>
      <c r="E2863" t="s">
        <v>12</v>
      </c>
      <c r="F2863" s="7">
        <v>2297.5700000000002</v>
      </c>
      <c r="G2863" s="10">
        <v>0</v>
      </c>
      <c r="H2863" s="7">
        <v>2297.5700000000002</v>
      </c>
      <c r="I2863">
        <v>3</v>
      </c>
      <c r="J2863" t="s">
        <v>16</v>
      </c>
      <c r="K2863" s="13">
        <f>ROUND(tblTransactions[[#This Row],[gross_sales_inr]]*(1-tblTransactions[[#This Row],[discount_pct]]),2)</f>
        <v>2297.5700000000002</v>
      </c>
      <c r="L2863" t="str">
        <f>IF(ABS(tblTransactions[[#This Row],[net_sales_inr]]-tblTransactions[[#This Row],[Recalc_Net_Sales]])&lt;0.02,"OK","CHECK")</f>
        <v>OK</v>
      </c>
      <c r="M2863" s="14">
        <f>DATE(YEAR(tblTransactions[[#This Row],[date]]),MONTH(tblTransactions[[#This Row],[date]]),1)</f>
        <v>45717</v>
      </c>
      <c r="N2863" t="str">
        <f>IF(WEEKDAY(tblTransactions[[#This Row],[date]],2)&gt;5,"Weekend","Weekday")</f>
        <v>Weekend</v>
      </c>
      <c r="O2863" s="13" t="str">
        <f>IF(tblTransactions[[#This Row],[discount_pct]]=0,"0%",IF(tblTransactions[[#This Row],[discount_pct]]&lt;=10%,"1–
10%",IF(tblTransactions[[#This Row],[discount_pct]]&lt;=20%,"11–20%","&gt;20%")))</f>
        <v>0%</v>
      </c>
      <c r="P2863" s="13" t="str">
        <f>_xlfn.XLOOKUP(tblTransactions[[#This Row],[tenant_id]],tblTenants[tenant_id],tblTenants[zone],"NOT FOUND")</f>
        <v>Food Court</v>
      </c>
      <c r="Q2863" s="13" t="str">
        <f>_xlfn.XLOOKUP(tblTransactions[[#This Row],[tenant_id]],tblTenants[tenant_id],tblTenants[category],"NOT FOUND")</f>
        <v>Casual Dining</v>
      </c>
    </row>
    <row r="2864" spans="1:17">
      <c r="A2864" t="s">
        <v>2908</v>
      </c>
      <c r="B2864" s="2">
        <v>45785</v>
      </c>
      <c r="C2864">
        <v>10</v>
      </c>
      <c r="D2864" t="s">
        <v>41</v>
      </c>
      <c r="E2864" t="s">
        <v>51</v>
      </c>
      <c r="F2864" s="7">
        <v>1478.33</v>
      </c>
      <c r="G2864" s="10">
        <v>0</v>
      </c>
      <c r="H2864" s="7">
        <v>1478.33</v>
      </c>
      <c r="I2864">
        <v>2</v>
      </c>
      <c r="J2864" t="s">
        <v>13</v>
      </c>
      <c r="K2864" s="13">
        <f>ROUND(tblTransactions[[#This Row],[gross_sales_inr]]*(1-tblTransactions[[#This Row],[discount_pct]]),2)</f>
        <v>1478.33</v>
      </c>
      <c r="L2864" t="str">
        <f>IF(ABS(tblTransactions[[#This Row],[net_sales_inr]]-tblTransactions[[#This Row],[Recalc_Net_Sales]])&lt;0.02,"OK","CHECK")</f>
        <v>OK</v>
      </c>
      <c r="M2864" s="14">
        <f>DATE(YEAR(tblTransactions[[#This Row],[date]]),MONTH(tblTransactions[[#This Row],[date]]),1)</f>
        <v>45778</v>
      </c>
      <c r="N2864" t="str">
        <f>IF(WEEKDAY(tblTransactions[[#This Row],[date]],2)&gt;5,"Weekend","Weekday")</f>
        <v>Weekday</v>
      </c>
      <c r="O2864" s="13" t="str">
        <f>IF(tblTransactions[[#This Row],[discount_pct]]=0,"0%",IF(tblTransactions[[#This Row],[discount_pct]]&lt;=10%,"1–
10%",IF(tblTransactions[[#This Row],[discount_pct]]&lt;=20%,"11–20%","&gt;20%")))</f>
        <v>0%</v>
      </c>
      <c r="P2864" s="13" t="str">
        <f>_xlfn.XLOOKUP(tblTransactions[[#This Row],[tenant_id]],tblTenants[tenant_id],tblTenants[zone],"NOT FOUND")</f>
        <v>Fashion Avenue</v>
      </c>
      <c r="Q2864" s="13" t="str">
        <f>_xlfn.XLOOKUP(tblTransactions[[#This Row],[tenant_id]],tblTenants[tenant_id],tblTenants[category],"NOT FOUND")</f>
        <v>Clothing</v>
      </c>
    </row>
    <row r="2865" spans="1:17">
      <c r="A2865" t="s">
        <v>2909</v>
      </c>
      <c r="B2865" s="2">
        <v>45756</v>
      </c>
      <c r="C2865">
        <v>21</v>
      </c>
      <c r="D2865" t="s">
        <v>122</v>
      </c>
      <c r="E2865" t="s">
        <v>32</v>
      </c>
      <c r="F2865" s="7">
        <v>4390.6000000000004</v>
      </c>
      <c r="G2865" s="10">
        <v>0.15</v>
      </c>
      <c r="H2865" s="7">
        <v>3732.01</v>
      </c>
      <c r="I2865">
        <v>3</v>
      </c>
      <c r="J2865" t="s">
        <v>13</v>
      </c>
      <c r="K2865" s="13">
        <f>ROUND(tblTransactions[[#This Row],[gross_sales_inr]]*(1-tblTransactions[[#This Row],[discount_pct]]),2)</f>
        <v>3732.01</v>
      </c>
      <c r="L2865" t="str">
        <f>IF(ABS(tblTransactions[[#This Row],[net_sales_inr]]-tblTransactions[[#This Row],[Recalc_Net_Sales]])&lt;0.02,"OK","CHECK")</f>
        <v>OK</v>
      </c>
      <c r="M2865" s="14">
        <f>DATE(YEAR(tblTransactions[[#This Row],[date]]),MONTH(tblTransactions[[#This Row],[date]]),1)</f>
        <v>45748</v>
      </c>
      <c r="N2865" t="str">
        <f>IF(WEEKDAY(tblTransactions[[#This Row],[date]],2)&gt;5,"Weekend","Weekday")</f>
        <v>Weekday</v>
      </c>
      <c r="O286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65" s="13" t="str">
        <f>_xlfn.XLOOKUP(tblTransactions[[#This Row],[tenant_id]],tblTenants[tenant_id],tblTenants[zone],"NOT FOUND")</f>
        <v>Beauty &amp; Wellness</v>
      </c>
      <c r="Q2865" s="13" t="str">
        <f>_xlfn.XLOOKUP(tblTransactions[[#This Row],[tenant_id]],tblTenants[tenant_id],tblTenants[category],"NOT FOUND")</f>
        <v>Wellness</v>
      </c>
    </row>
    <row r="2866" spans="1:17">
      <c r="A2866" t="s">
        <v>2910</v>
      </c>
      <c r="B2866" s="2">
        <v>45821</v>
      </c>
      <c r="C2866">
        <v>13</v>
      </c>
      <c r="D2866" t="s">
        <v>41</v>
      </c>
      <c r="E2866" t="s">
        <v>12</v>
      </c>
      <c r="F2866" s="7">
        <v>1181.8499999999999</v>
      </c>
      <c r="G2866" s="10">
        <v>0.05</v>
      </c>
      <c r="H2866" s="7">
        <v>1122.76</v>
      </c>
      <c r="I2866">
        <v>1</v>
      </c>
      <c r="J2866" t="s">
        <v>16</v>
      </c>
      <c r="K2866" s="13">
        <f>ROUND(tblTransactions[[#This Row],[gross_sales_inr]]*(1-tblTransactions[[#This Row],[discount_pct]]),2)</f>
        <v>1122.76</v>
      </c>
      <c r="L2866" t="str">
        <f>IF(ABS(tblTransactions[[#This Row],[net_sales_inr]]-tblTransactions[[#This Row],[Recalc_Net_Sales]])&lt;0.02,"OK","CHECK")</f>
        <v>OK</v>
      </c>
      <c r="M2866" s="14">
        <f>DATE(YEAR(tblTransactions[[#This Row],[date]]),MONTH(tblTransactions[[#This Row],[date]]),1)</f>
        <v>45809</v>
      </c>
      <c r="N2866" t="str">
        <f>IF(WEEKDAY(tblTransactions[[#This Row],[date]],2)&gt;5,"Weekend","Weekday")</f>
        <v>Weekday</v>
      </c>
      <c r="O286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66" s="13" t="str">
        <f>_xlfn.XLOOKUP(tblTransactions[[#This Row],[tenant_id]],tblTenants[tenant_id],tblTenants[zone],"NOT FOUND")</f>
        <v>Fashion Avenue</v>
      </c>
      <c r="Q2866" s="13" t="str">
        <f>_xlfn.XLOOKUP(tblTransactions[[#This Row],[tenant_id]],tblTenants[tenant_id],tblTenants[category],"NOT FOUND")</f>
        <v>Clothing</v>
      </c>
    </row>
    <row r="2867" spans="1:17">
      <c r="A2867" t="s">
        <v>2911</v>
      </c>
      <c r="B2867" s="2">
        <v>45767</v>
      </c>
      <c r="C2867">
        <v>22</v>
      </c>
      <c r="D2867" t="s">
        <v>87</v>
      </c>
      <c r="E2867" t="s">
        <v>12</v>
      </c>
      <c r="F2867" s="7">
        <v>424.14</v>
      </c>
      <c r="G2867" s="10">
        <v>0.2</v>
      </c>
      <c r="H2867" s="7">
        <v>339.31</v>
      </c>
      <c r="I2867">
        <v>1</v>
      </c>
      <c r="J2867" t="s">
        <v>16</v>
      </c>
      <c r="K2867" s="13">
        <f>ROUND(tblTransactions[[#This Row],[gross_sales_inr]]*(1-tblTransactions[[#This Row],[discount_pct]]),2)</f>
        <v>339.31</v>
      </c>
      <c r="L2867" t="str">
        <f>IF(ABS(tblTransactions[[#This Row],[net_sales_inr]]-tblTransactions[[#This Row],[Recalc_Net_Sales]])&lt;0.02,"OK","CHECK")</f>
        <v>OK</v>
      </c>
      <c r="M2867" s="14">
        <f>DATE(YEAR(tblTransactions[[#This Row],[date]]),MONTH(tblTransactions[[#This Row],[date]]),1)</f>
        <v>45748</v>
      </c>
      <c r="N2867" t="str">
        <f>IF(WEEKDAY(tblTransactions[[#This Row],[date]],2)&gt;5,"Weekend","Weekday")</f>
        <v>Weekend</v>
      </c>
      <c r="O286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67" s="13" t="str">
        <f>_xlfn.XLOOKUP(tblTransactions[[#This Row],[tenant_id]],tblTenants[tenant_id],tblTenants[zone],"NOT FOUND")</f>
        <v>Fashion Avenue</v>
      </c>
      <c r="Q2867" s="13" t="str">
        <f>_xlfn.XLOOKUP(tblTransactions[[#This Row],[tenant_id]],tblTenants[tenant_id],tblTenants[category],"NOT FOUND")</f>
        <v>Footwear</v>
      </c>
    </row>
    <row r="2868" spans="1:17">
      <c r="A2868" t="s">
        <v>2912</v>
      </c>
      <c r="B2868" s="2">
        <v>45733</v>
      </c>
      <c r="C2868">
        <v>21</v>
      </c>
      <c r="D2868" t="s">
        <v>43</v>
      </c>
      <c r="E2868" t="s">
        <v>32</v>
      </c>
      <c r="F2868" s="7">
        <v>3310.69</v>
      </c>
      <c r="G2868" s="10">
        <v>0.2</v>
      </c>
      <c r="H2868" s="7">
        <v>2648.55</v>
      </c>
      <c r="I2868">
        <v>2</v>
      </c>
      <c r="J2868" t="s">
        <v>13</v>
      </c>
      <c r="K2868" s="13">
        <f>ROUND(tblTransactions[[#This Row],[gross_sales_inr]]*(1-tblTransactions[[#This Row],[discount_pct]]),2)</f>
        <v>2648.55</v>
      </c>
      <c r="L2868" t="str">
        <f>IF(ABS(tblTransactions[[#This Row],[net_sales_inr]]-tblTransactions[[#This Row],[Recalc_Net_Sales]])&lt;0.02,"OK","CHECK")</f>
        <v>OK</v>
      </c>
      <c r="M2868" s="14">
        <f>DATE(YEAR(tblTransactions[[#This Row],[date]]),MONTH(tblTransactions[[#This Row],[date]]),1)</f>
        <v>45717</v>
      </c>
      <c r="N2868" t="str">
        <f>IF(WEEKDAY(tblTransactions[[#This Row],[date]],2)&gt;5,"Weekend","Weekday")</f>
        <v>Weekday</v>
      </c>
      <c r="O286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68" s="13" t="str">
        <f>_xlfn.XLOOKUP(tblTransactions[[#This Row],[tenant_id]],tblTenants[tenant_id],tblTenants[zone],"NOT FOUND")</f>
        <v>Food Court</v>
      </c>
      <c r="Q2868" s="13" t="str">
        <f>_xlfn.XLOOKUP(tblTransactions[[#This Row],[tenant_id]],tblTenants[tenant_id],tblTenants[category],"NOT FOUND")</f>
        <v>Casual Dining</v>
      </c>
    </row>
    <row r="2869" spans="1:17">
      <c r="A2869" t="s">
        <v>2913</v>
      </c>
      <c r="B2869" s="2">
        <v>45815</v>
      </c>
      <c r="C2869">
        <v>17</v>
      </c>
      <c r="D2869" t="s">
        <v>41</v>
      </c>
      <c r="E2869" t="s">
        <v>12</v>
      </c>
      <c r="F2869" s="7">
        <v>497.05</v>
      </c>
      <c r="G2869" s="10">
        <v>0.05</v>
      </c>
      <c r="H2869" s="7">
        <v>472.2</v>
      </c>
      <c r="I2869">
        <v>1</v>
      </c>
      <c r="J2869" t="s">
        <v>13</v>
      </c>
      <c r="K2869" s="13">
        <f>ROUND(tblTransactions[[#This Row],[gross_sales_inr]]*(1-tblTransactions[[#This Row],[discount_pct]]),2)</f>
        <v>472.2</v>
      </c>
      <c r="L2869" t="str">
        <f>IF(ABS(tblTransactions[[#This Row],[net_sales_inr]]-tblTransactions[[#This Row],[Recalc_Net_Sales]])&lt;0.02,"OK","CHECK")</f>
        <v>OK</v>
      </c>
      <c r="M2869" s="14">
        <f>DATE(YEAR(tblTransactions[[#This Row],[date]]),MONTH(tblTransactions[[#This Row],[date]]),1)</f>
        <v>45809</v>
      </c>
      <c r="N2869" t="str">
        <f>IF(WEEKDAY(tblTransactions[[#This Row],[date]],2)&gt;5,"Weekend","Weekday")</f>
        <v>Weekend</v>
      </c>
      <c r="O286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69" s="13" t="str">
        <f>_xlfn.XLOOKUP(tblTransactions[[#This Row],[tenant_id]],tblTenants[tenant_id],tblTenants[zone],"NOT FOUND")</f>
        <v>Fashion Avenue</v>
      </c>
      <c r="Q2869" s="13" t="str">
        <f>_xlfn.XLOOKUP(tblTransactions[[#This Row],[tenant_id]],tblTenants[tenant_id],tblTenants[category],"NOT FOUND")</f>
        <v>Clothing</v>
      </c>
    </row>
    <row r="2870" spans="1:17">
      <c r="A2870" t="s">
        <v>2914</v>
      </c>
      <c r="B2870" s="2">
        <v>45787</v>
      </c>
      <c r="C2870">
        <v>18</v>
      </c>
      <c r="D2870" t="s">
        <v>63</v>
      </c>
      <c r="E2870" t="s">
        <v>12</v>
      </c>
      <c r="F2870" s="7">
        <v>2086.04</v>
      </c>
      <c r="G2870" s="10">
        <v>0</v>
      </c>
      <c r="H2870" s="7">
        <v>2086.04</v>
      </c>
      <c r="I2870">
        <v>5</v>
      </c>
      <c r="J2870" t="s">
        <v>16</v>
      </c>
      <c r="K2870" s="13">
        <f>ROUND(tblTransactions[[#This Row],[gross_sales_inr]]*(1-tblTransactions[[#This Row],[discount_pct]]),2)</f>
        <v>2086.04</v>
      </c>
      <c r="L2870" t="str">
        <f>IF(ABS(tblTransactions[[#This Row],[net_sales_inr]]-tblTransactions[[#This Row],[Recalc_Net_Sales]])&lt;0.02,"OK","CHECK")</f>
        <v>OK</v>
      </c>
      <c r="M2870" s="14">
        <f>DATE(YEAR(tblTransactions[[#This Row],[date]]),MONTH(tblTransactions[[#This Row],[date]]),1)</f>
        <v>45778</v>
      </c>
      <c r="N2870" t="str">
        <f>IF(WEEKDAY(tblTransactions[[#This Row],[date]],2)&gt;5,"Weekend","Weekday")</f>
        <v>Weekend</v>
      </c>
      <c r="O2870" s="13" t="str">
        <f>IF(tblTransactions[[#This Row],[discount_pct]]=0,"0%",IF(tblTransactions[[#This Row],[discount_pct]]&lt;=10%,"1–
10%",IF(tblTransactions[[#This Row],[discount_pct]]&lt;=20%,"11–20%","&gt;20%")))</f>
        <v>0%</v>
      </c>
      <c r="P2870" s="13" t="str">
        <f>_xlfn.XLOOKUP(tblTransactions[[#This Row],[tenant_id]],tblTenants[tenant_id],tblTenants[zone],"NOT FOUND")</f>
        <v>Entertainment</v>
      </c>
      <c r="Q2870" s="13" t="str">
        <f>_xlfn.XLOOKUP(tblTransactions[[#This Row],[tenant_id]],tblTenants[tenant_id],tblTenants[category],"NOT FOUND")</f>
        <v>Family Entertainment</v>
      </c>
    </row>
    <row r="2871" spans="1:17">
      <c r="A2871" t="s">
        <v>2915</v>
      </c>
      <c r="B2871" s="2">
        <v>45754</v>
      </c>
      <c r="C2871">
        <v>19</v>
      </c>
      <c r="D2871" t="s">
        <v>80</v>
      </c>
      <c r="E2871" t="s">
        <v>12</v>
      </c>
      <c r="F2871" s="7">
        <v>576.44000000000005</v>
      </c>
      <c r="G2871" s="10">
        <v>0</v>
      </c>
      <c r="H2871" s="7">
        <v>576.44000000000005</v>
      </c>
      <c r="I2871">
        <v>2</v>
      </c>
      <c r="J2871" t="s">
        <v>13</v>
      </c>
      <c r="K2871" s="13">
        <f>ROUND(tblTransactions[[#This Row],[gross_sales_inr]]*(1-tblTransactions[[#This Row],[discount_pct]]),2)</f>
        <v>576.44000000000005</v>
      </c>
      <c r="L2871" t="str">
        <f>IF(ABS(tblTransactions[[#This Row],[net_sales_inr]]-tblTransactions[[#This Row],[Recalc_Net_Sales]])&lt;0.02,"OK","CHECK")</f>
        <v>OK</v>
      </c>
      <c r="M2871" s="14">
        <f>DATE(YEAR(tblTransactions[[#This Row],[date]]),MONTH(tblTransactions[[#This Row],[date]]),1)</f>
        <v>45748</v>
      </c>
      <c r="N2871" t="str">
        <f>IF(WEEKDAY(tblTransactions[[#This Row],[date]],2)&gt;5,"Weekend","Weekday")</f>
        <v>Weekday</v>
      </c>
      <c r="O2871" s="13" t="str">
        <f>IF(tblTransactions[[#This Row],[discount_pct]]=0,"0%",IF(tblTransactions[[#This Row],[discount_pct]]&lt;=10%,"1–
10%",IF(tblTransactions[[#This Row],[discount_pct]]&lt;=20%,"11–20%","&gt;20%")))</f>
        <v>0%</v>
      </c>
      <c r="P2871" s="13" t="str">
        <f>_xlfn.XLOOKUP(tblTransactions[[#This Row],[tenant_id]],tblTenants[tenant_id],tblTenants[zone],"NOT FOUND")</f>
        <v>Food Court</v>
      </c>
      <c r="Q2871" s="13" t="str">
        <f>_xlfn.XLOOKUP(tblTransactions[[#This Row],[tenant_id]],tblTenants[tenant_id],tblTenants[category],"NOT FOUND")</f>
        <v>Casual Dining</v>
      </c>
    </row>
    <row r="2872" spans="1:17">
      <c r="A2872" t="s">
        <v>2916</v>
      </c>
      <c r="B2872" s="2">
        <v>45689</v>
      </c>
      <c r="C2872">
        <v>20</v>
      </c>
      <c r="D2872" t="s">
        <v>53</v>
      </c>
      <c r="E2872" t="s">
        <v>12</v>
      </c>
      <c r="F2872" s="7">
        <v>3923.39</v>
      </c>
      <c r="G2872" s="10">
        <v>0.05</v>
      </c>
      <c r="H2872" s="7">
        <v>3727.22</v>
      </c>
      <c r="I2872">
        <v>4</v>
      </c>
      <c r="J2872" t="s">
        <v>13</v>
      </c>
      <c r="K2872" s="13">
        <f>ROUND(tblTransactions[[#This Row],[gross_sales_inr]]*(1-tblTransactions[[#This Row],[discount_pct]]),2)</f>
        <v>3727.22</v>
      </c>
      <c r="L2872" t="str">
        <f>IF(ABS(tblTransactions[[#This Row],[net_sales_inr]]-tblTransactions[[#This Row],[Recalc_Net_Sales]])&lt;0.02,"OK","CHECK")</f>
        <v>OK</v>
      </c>
      <c r="M2872" s="14">
        <f>DATE(YEAR(tblTransactions[[#This Row],[date]]),MONTH(tblTransactions[[#This Row],[date]]),1)</f>
        <v>45689</v>
      </c>
      <c r="N2872" t="str">
        <f>IF(WEEKDAY(tblTransactions[[#This Row],[date]],2)&gt;5,"Weekend","Weekday")</f>
        <v>Weekend</v>
      </c>
      <c r="O287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72" s="13" t="str">
        <f>_xlfn.XLOOKUP(tblTransactions[[#This Row],[tenant_id]],tblTenants[tenant_id],tblTenants[zone],"NOT FOUND")</f>
        <v>Beauty &amp; Wellness</v>
      </c>
      <c r="Q2872" s="13" t="str">
        <f>_xlfn.XLOOKUP(tblTransactions[[#This Row],[tenant_id]],tblTenants[tenant_id],tblTenants[category],"NOT FOUND")</f>
        <v>Beauty</v>
      </c>
    </row>
    <row r="2873" spans="1:17">
      <c r="A2873" t="s">
        <v>2917</v>
      </c>
      <c r="B2873" s="2">
        <v>45799</v>
      </c>
      <c r="C2873">
        <v>16</v>
      </c>
      <c r="D2873" t="s">
        <v>122</v>
      </c>
      <c r="E2873" t="s">
        <v>12</v>
      </c>
      <c r="F2873" s="7">
        <v>711.35</v>
      </c>
      <c r="G2873" s="10">
        <v>0</v>
      </c>
      <c r="H2873" s="7">
        <v>711.35</v>
      </c>
      <c r="I2873">
        <v>5</v>
      </c>
      <c r="J2873" t="s">
        <v>13</v>
      </c>
      <c r="K2873" s="13">
        <f>ROUND(tblTransactions[[#This Row],[gross_sales_inr]]*(1-tblTransactions[[#This Row],[discount_pct]]),2)</f>
        <v>711.35</v>
      </c>
      <c r="L2873" t="str">
        <f>IF(ABS(tblTransactions[[#This Row],[net_sales_inr]]-tblTransactions[[#This Row],[Recalc_Net_Sales]])&lt;0.02,"OK","CHECK")</f>
        <v>OK</v>
      </c>
      <c r="M2873" s="14">
        <f>DATE(YEAR(tblTransactions[[#This Row],[date]]),MONTH(tblTransactions[[#This Row],[date]]),1)</f>
        <v>45778</v>
      </c>
      <c r="N2873" t="str">
        <f>IF(WEEKDAY(tblTransactions[[#This Row],[date]],2)&gt;5,"Weekend","Weekday")</f>
        <v>Weekday</v>
      </c>
      <c r="O2873" s="13" t="str">
        <f>IF(tblTransactions[[#This Row],[discount_pct]]=0,"0%",IF(tblTransactions[[#This Row],[discount_pct]]&lt;=10%,"1–
10%",IF(tblTransactions[[#This Row],[discount_pct]]&lt;=20%,"11–20%","&gt;20%")))</f>
        <v>0%</v>
      </c>
      <c r="P2873" s="13" t="str">
        <f>_xlfn.XLOOKUP(tblTransactions[[#This Row],[tenant_id]],tblTenants[tenant_id],tblTenants[zone],"NOT FOUND")</f>
        <v>Beauty &amp; Wellness</v>
      </c>
      <c r="Q2873" s="13" t="str">
        <f>_xlfn.XLOOKUP(tblTransactions[[#This Row],[tenant_id]],tblTenants[tenant_id],tblTenants[category],"NOT FOUND")</f>
        <v>Wellness</v>
      </c>
    </row>
    <row r="2874" spans="1:17">
      <c r="A2874" t="s">
        <v>2918</v>
      </c>
      <c r="B2874" s="2">
        <v>45808</v>
      </c>
      <c r="C2874">
        <v>14</v>
      </c>
      <c r="D2874" t="s">
        <v>20</v>
      </c>
      <c r="E2874" t="s">
        <v>12</v>
      </c>
      <c r="F2874" s="7">
        <v>5588.43</v>
      </c>
      <c r="G2874" s="10">
        <v>0.15</v>
      </c>
      <c r="H2874" s="7">
        <v>4750.17</v>
      </c>
      <c r="I2874">
        <v>3</v>
      </c>
      <c r="J2874" t="s">
        <v>16</v>
      </c>
      <c r="K2874" s="13">
        <f>ROUND(tblTransactions[[#This Row],[gross_sales_inr]]*(1-tblTransactions[[#This Row],[discount_pct]]),2)</f>
        <v>4750.17</v>
      </c>
      <c r="L2874" t="str">
        <f>IF(ABS(tblTransactions[[#This Row],[net_sales_inr]]-tblTransactions[[#This Row],[Recalc_Net_Sales]])&lt;0.02,"OK","CHECK")</f>
        <v>OK</v>
      </c>
      <c r="M2874" s="14">
        <f>DATE(YEAR(tblTransactions[[#This Row],[date]]),MONTH(tblTransactions[[#This Row],[date]]),1)</f>
        <v>45778</v>
      </c>
      <c r="N2874" t="str">
        <f>IF(WEEKDAY(tblTransactions[[#This Row],[date]],2)&gt;5,"Weekend","Weekday")</f>
        <v>Weekend</v>
      </c>
      <c r="O287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74" s="13" t="str">
        <f>_xlfn.XLOOKUP(tblTransactions[[#This Row],[tenant_id]],tblTenants[tenant_id],tblTenants[zone],"NOT FOUND")</f>
        <v>Fashion Avenue</v>
      </c>
      <c r="Q2874" s="13" t="str">
        <f>_xlfn.XLOOKUP(tblTransactions[[#This Row],[tenant_id]],tblTenants[tenant_id],tblTenants[category],"NOT FOUND")</f>
        <v>Accessories</v>
      </c>
    </row>
    <row r="2875" spans="1:17">
      <c r="A2875" t="s">
        <v>2919</v>
      </c>
      <c r="B2875" s="2">
        <v>45716</v>
      </c>
      <c r="C2875">
        <v>14</v>
      </c>
      <c r="D2875" t="s">
        <v>25</v>
      </c>
      <c r="E2875" t="s">
        <v>51</v>
      </c>
      <c r="F2875" s="7">
        <v>1532.3</v>
      </c>
      <c r="G2875" s="10">
        <v>0</v>
      </c>
      <c r="H2875" s="7">
        <v>1532.3</v>
      </c>
      <c r="I2875">
        <v>4</v>
      </c>
      <c r="J2875" t="s">
        <v>13</v>
      </c>
      <c r="K2875" s="13">
        <f>ROUND(tblTransactions[[#This Row],[gross_sales_inr]]*(1-tblTransactions[[#This Row],[discount_pct]]),2)</f>
        <v>1532.3</v>
      </c>
      <c r="L2875" t="str">
        <f>IF(ABS(tblTransactions[[#This Row],[net_sales_inr]]-tblTransactions[[#This Row],[Recalc_Net_Sales]])&lt;0.02,"OK","CHECK")</f>
        <v>OK</v>
      </c>
      <c r="M2875" s="14">
        <f>DATE(YEAR(tblTransactions[[#This Row],[date]]),MONTH(tblTransactions[[#This Row],[date]]),1)</f>
        <v>45689</v>
      </c>
      <c r="N2875" t="str">
        <f>IF(WEEKDAY(tblTransactions[[#This Row],[date]],2)&gt;5,"Weekend","Weekday")</f>
        <v>Weekday</v>
      </c>
      <c r="O2875" s="13" t="str">
        <f>IF(tblTransactions[[#This Row],[discount_pct]]=0,"0%",IF(tblTransactions[[#This Row],[discount_pct]]&lt;=10%,"1–
10%",IF(tblTransactions[[#This Row],[discount_pct]]&lt;=20%,"11–20%","&gt;20%")))</f>
        <v>0%</v>
      </c>
      <c r="P2875" s="13" t="str">
        <f>_xlfn.XLOOKUP(tblTransactions[[#This Row],[tenant_id]],tblTenants[tenant_id],tblTenants[zone],"NOT FOUND")</f>
        <v>Beauty &amp; Wellness</v>
      </c>
      <c r="Q2875" s="13" t="str">
        <f>_xlfn.XLOOKUP(tblTransactions[[#This Row],[tenant_id]],tblTenants[tenant_id],tblTenants[category],"NOT FOUND")</f>
        <v>Beauty</v>
      </c>
    </row>
    <row r="2876" spans="1:17">
      <c r="A2876" t="s">
        <v>2920</v>
      </c>
      <c r="B2876" s="2">
        <v>45823</v>
      </c>
      <c r="C2876">
        <v>16</v>
      </c>
      <c r="D2876" t="s">
        <v>85</v>
      </c>
      <c r="E2876" t="s">
        <v>12</v>
      </c>
      <c r="F2876" s="7">
        <v>536.24</v>
      </c>
      <c r="G2876" s="10">
        <v>0</v>
      </c>
      <c r="H2876" s="7">
        <v>536.24</v>
      </c>
      <c r="I2876">
        <v>6</v>
      </c>
      <c r="J2876" t="s">
        <v>16</v>
      </c>
      <c r="K2876" s="13">
        <f>ROUND(tblTransactions[[#This Row],[gross_sales_inr]]*(1-tblTransactions[[#This Row],[discount_pct]]),2)</f>
        <v>536.24</v>
      </c>
      <c r="L2876" t="str">
        <f>IF(ABS(tblTransactions[[#This Row],[net_sales_inr]]-tblTransactions[[#This Row],[Recalc_Net_Sales]])&lt;0.02,"OK","CHECK")</f>
        <v>OK</v>
      </c>
      <c r="M2876" s="14">
        <f>DATE(YEAR(tblTransactions[[#This Row],[date]]),MONTH(tblTransactions[[#This Row],[date]]),1)</f>
        <v>45809</v>
      </c>
      <c r="N2876" t="str">
        <f>IF(WEEKDAY(tblTransactions[[#This Row],[date]],2)&gt;5,"Weekend","Weekday")</f>
        <v>Weekend</v>
      </c>
      <c r="O2876" s="13" t="str">
        <f>IF(tblTransactions[[#This Row],[discount_pct]]=0,"0%",IF(tblTransactions[[#This Row],[discount_pct]]&lt;=10%,"1–
10%",IF(tblTransactions[[#This Row],[discount_pct]]&lt;=20%,"11–20%","&gt;20%")))</f>
        <v>0%</v>
      </c>
      <c r="P2876" s="13" t="str">
        <f>_xlfn.XLOOKUP(tblTransactions[[#This Row],[tenant_id]],tblTenants[tenant_id],tblTenants[zone],"NOT FOUND")</f>
        <v>Home &amp; Living</v>
      </c>
      <c r="Q2876" s="13" t="str">
        <f>_xlfn.XLOOKUP(tblTransactions[[#This Row],[tenant_id]],tblTenants[tenant_id],tblTenants[category],"NOT FOUND")</f>
        <v>Electronics</v>
      </c>
    </row>
    <row r="2877" spans="1:17">
      <c r="A2877" t="s">
        <v>2921</v>
      </c>
      <c r="B2877" s="2">
        <v>45783</v>
      </c>
      <c r="C2877">
        <v>16</v>
      </c>
      <c r="D2877" t="s">
        <v>29</v>
      </c>
      <c r="E2877" t="s">
        <v>32</v>
      </c>
      <c r="F2877" s="7">
        <v>751.46</v>
      </c>
      <c r="G2877" s="10">
        <v>0.2</v>
      </c>
      <c r="H2877" s="7">
        <v>601.16999999999996</v>
      </c>
      <c r="I2877">
        <v>3</v>
      </c>
      <c r="J2877" t="s">
        <v>16</v>
      </c>
      <c r="K2877" s="13">
        <f>ROUND(tblTransactions[[#This Row],[gross_sales_inr]]*(1-tblTransactions[[#This Row],[discount_pct]]),2)</f>
        <v>601.16999999999996</v>
      </c>
      <c r="L2877" t="str">
        <f>IF(ABS(tblTransactions[[#This Row],[net_sales_inr]]-tblTransactions[[#This Row],[Recalc_Net_Sales]])&lt;0.02,"OK","CHECK")</f>
        <v>OK</v>
      </c>
      <c r="M2877" s="14">
        <f>DATE(YEAR(tblTransactions[[#This Row],[date]]),MONTH(tblTransactions[[#This Row],[date]]),1)</f>
        <v>45778</v>
      </c>
      <c r="N2877" t="str">
        <f>IF(WEEKDAY(tblTransactions[[#This Row],[date]],2)&gt;5,"Weekend","Weekday")</f>
        <v>Weekday</v>
      </c>
      <c r="O287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77" s="13" t="str">
        <f>_xlfn.XLOOKUP(tblTransactions[[#This Row],[tenant_id]],tblTenants[tenant_id],tblTenants[zone],"NOT FOUND")</f>
        <v>Entertainment</v>
      </c>
      <c r="Q2877" s="13" t="str">
        <f>_xlfn.XLOOKUP(tblTransactions[[#This Row],[tenant_id]],tblTenants[tenant_id],tblTenants[category],"NOT FOUND")</f>
        <v>Cinema</v>
      </c>
    </row>
    <row r="2878" spans="1:17">
      <c r="A2878" t="s">
        <v>2922</v>
      </c>
      <c r="B2878" s="2">
        <v>45814</v>
      </c>
      <c r="C2878">
        <v>21</v>
      </c>
      <c r="D2878" t="s">
        <v>29</v>
      </c>
      <c r="E2878" t="s">
        <v>51</v>
      </c>
      <c r="F2878" s="7">
        <v>724.43</v>
      </c>
      <c r="G2878" s="10">
        <v>0</v>
      </c>
      <c r="H2878" s="7">
        <v>724.43</v>
      </c>
      <c r="I2878">
        <v>2</v>
      </c>
      <c r="J2878" t="s">
        <v>13</v>
      </c>
      <c r="K2878" s="13">
        <f>ROUND(tblTransactions[[#This Row],[gross_sales_inr]]*(1-tblTransactions[[#This Row],[discount_pct]]),2)</f>
        <v>724.43</v>
      </c>
      <c r="L2878" t="str">
        <f>IF(ABS(tblTransactions[[#This Row],[net_sales_inr]]-tblTransactions[[#This Row],[Recalc_Net_Sales]])&lt;0.02,"OK","CHECK")</f>
        <v>OK</v>
      </c>
      <c r="M2878" s="14">
        <f>DATE(YEAR(tblTransactions[[#This Row],[date]]),MONTH(tblTransactions[[#This Row],[date]]),1)</f>
        <v>45809</v>
      </c>
      <c r="N2878" t="str">
        <f>IF(WEEKDAY(tblTransactions[[#This Row],[date]],2)&gt;5,"Weekend","Weekday")</f>
        <v>Weekday</v>
      </c>
      <c r="O2878" s="13" t="str">
        <f>IF(tblTransactions[[#This Row],[discount_pct]]=0,"0%",IF(tblTransactions[[#This Row],[discount_pct]]&lt;=10%,"1–
10%",IF(tblTransactions[[#This Row],[discount_pct]]&lt;=20%,"11–20%","&gt;20%")))</f>
        <v>0%</v>
      </c>
      <c r="P2878" s="13" t="str">
        <f>_xlfn.XLOOKUP(tblTransactions[[#This Row],[tenant_id]],tblTenants[tenant_id],tblTenants[zone],"NOT FOUND")</f>
        <v>Entertainment</v>
      </c>
      <c r="Q2878" s="13" t="str">
        <f>_xlfn.XLOOKUP(tblTransactions[[#This Row],[tenant_id]],tblTenants[tenant_id],tblTenants[category],"NOT FOUND")</f>
        <v>Cinema</v>
      </c>
    </row>
    <row r="2879" spans="1:17">
      <c r="A2879" t="s">
        <v>2923</v>
      </c>
      <c r="B2879" s="2">
        <v>45718</v>
      </c>
      <c r="C2879">
        <v>16</v>
      </c>
      <c r="D2879" t="s">
        <v>70</v>
      </c>
      <c r="E2879" t="s">
        <v>12</v>
      </c>
      <c r="F2879" s="7">
        <v>456.84</v>
      </c>
      <c r="G2879" s="10">
        <v>0</v>
      </c>
      <c r="H2879" s="7">
        <v>456.84</v>
      </c>
      <c r="I2879">
        <v>4</v>
      </c>
      <c r="J2879" t="s">
        <v>13</v>
      </c>
      <c r="K2879" s="13">
        <f>ROUND(tblTransactions[[#This Row],[gross_sales_inr]]*(1-tblTransactions[[#This Row],[discount_pct]]),2)</f>
        <v>456.84</v>
      </c>
      <c r="L2879" t="str">
        <f>IF(ABS(tblTransactions[[#This Row],[net_sales_inr]]-tblTransactions[[#This Row],[Recalc_Net_Sales]])&lt;0.02,"OK","CHECK")</f>
        <v>OK</v>
      </c>
      <c r="M2879" s="14">
        <f>DATE(YEAR(tblTransactions[[#This Row],[date]]),MONTH(tblTransactions[[#This Row],[date]]),1)</f>
        <v>45717</v>
      </c>
      <c r="N2879" t="str">
        <f>IF(WEEKDAY(tblTransactions[[#This Row],[date]],2)&gt;5,"Weekend","Weekday")</f>
        <v>Weekend</v>
      </c>
      <c r="O2879" s="13" t="str">
        <f>IF(tblTransactions[[#This Row],[discount_pct]]=0,"0%",IF(tblTransactions[[#This Row],[discount_pct]]&lt;=10%,"1–
10%",IF(tblTransactions[[#This Row],[discount_pct]]&lt;=20%,"11–20%","&gt;20%")))</f>
        <v>0%</v>
      </c>
      <c r="P2879" s="13" t="str">
        <f>_xlfn.XLOOKUP(tblTransactions[[#This Row],[tenant_id]],tblTenants[tenant_id],tblTenants[zone],"NOT FOUND")</f>
        <v>Food Court</v>
      </c>
      <c r="Q2879" s="13" t="str">
        <f>_xlfn.XLOOKUP(tblTransactions[[#This Row],[tenant_id]],tblTenants[tenant_id],tblTenants[category],"NOT FOUND")</f>
        <v>Quick Service</v>
      </c>
    </row>
    <row r="2880" spans="1:17">
      <c r="A2880" t="s">
        <v>2924</v>
      </c>
      <c r="B2880" s="2">
        <v>45691</v>
      </c>
      <c r="C2880">
        <v>19</v>
      </c>
      <c r="D2880" t="s">
        <v>57</v>
      </c>
      <c r="E2880" t="s">
        <v>32</v>
      </c>
      <c r="F2880" s="7">
        <v>1117.49</v>
      </c>
      <c r="G2880" s="10">
        <v>0</v>
      </c>
      <c r="H2880" s="7">
        <v>1117.49</v>
      </c>
      <c r="I2880">
        <v>5</v>
      </c>
      <c r="J2880" t="s">
        <v>13</v>
      </c>
      <c r="K2880" s="13">
        <f>ROUND(tblTransactions[[#This Row],[gross_sales_inr]]*(1-tblTransactions[[#This Row],[discount_pct]]),2)</f>
        <v>1117.49</v>
      </c>
      <c r="L2880" t="str">
        <f>IF(ABS(tblTransactions[[#This Row],[net_sales_inr]]-tblTransactions[[#This Row],[Recalc_Net_Sales]])&lt;0.02,"OK","CHECK")</f>
        <v>OK</v>
      </c>
      <c r="M2880" s="14">
        <f>DATE(YEAR(tblTransactions[[#This Row],[date]]),MONTH(tblTransactions[[#This Row],[date]]),1)</f>
        <v>45689</v>
      </c>
      <c r="N2880" t="str">
        <f>IF(WEEKDAY(tblTransactions[[#This Row],[date]],2)&gt;5,"Weekend","Weekday")</f>
        <v>Weekday</v>
      </c>
      <c r="O2880" s="13" t="str">
        <f>IF(tblTransactions[[#This Row],[discount_pct]]=0,"0%",IF(tblTransactions[[#This Row],[discount_pct]]&lt;=10%,"1–
10%",IF(tblTransactions[[#This Row],[discount_pct]]&lt;=20%,"11–20%","&gt;20%")))</f>
        <v>0%</v>
      </c>
      <c r="P2880" s="13" t="str">
        <f>_xlfn.XLOOKUP(tblTransactions[[#This Row],[tenant_id]],tblTenants[tenant_id],tblTenants[zone],"NOT FOUND")</f>
        <v>Food Court</v>
      </c>
      <c r="Q2880" s="13" t="str">
        <f>_xlfn.XLOOKUP(tblTransactions[[#This Row],[tenant_id]],tblTenants[tenant_id],tblTenants[category],"NOT FOUND")</f>
        <v>Casual Dining</v>
      </c>
    </row>
    <row r="2881" spans="1:17">
      <c r="A2881" t="s">
        <v>2925</v>
      </c>
      <c r="B2881" s="2">
        <v>45826</v>
      </c>
      <c r="C2881">
        <v>17</v>
      </c>
      <c r="D2881" t="s">
        <v>87</v>
      </c>
      <c r="E2881" t="s">
        <v>21</v>
      </c>
      <c r="F2881" s="7">
        <v>255.8</v>
      </c>
      <c r="G2881" s="10">
        <v>0.1</v>
      </c>
      <c r="H2881" s="7">
        <v>230.22</v>
      </c>
      <c r="I2881">
        <v>3</v>
      </c>
      <c r="J2881" t="s">
        <v>16</v>
      </c>
      <c r="K2881" s="13">
        <f>ROUND(tblTransactions[[#This Row],[gross_sales_inr]]*(1-tblTransactions[[#This Row],[discount_pct]]),2)</f>
        <v>230.22</v>
      </c>
      <c r="L2881" t="str">
        <f>IF(ABS(tblTransactions[[#This Row],[net_sales_inr]]-tblTransactions[[#This Row],[Recalc_Net_Sales]])&lt;0.02,"OK","CHECK")</f>
        <v>OK</v>
      </c>
      <c r="M2881" s="14">
        <f>DATE(YEAR(tblTransactions[[#This Row],[date]]),MONTH(tblTransactions[[#This Row],[date]]),1)</f>
        <v>45809</v>
      </c>
      <c r="N2881" t="str">
        <f>IF(WEEKDAY(tblTransactions[[#This Row],[date]],2)&gt;5,"Weekend","Weekday")</f>
        <v>Weekday</v>
      </c>
      <c r="O288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81" s="13" t="str">
        <f>_xlfn.XLOOKUP(tblTransactions[[#This Row],[tenant_id]],tblTenants[tenant_id],tblTenants[zone],"NOT FOUND")</f>
        <v>Fashion Avenue</v>
      </c>
      <c r="Q2881" s="13" t="str">
        <f>_xlfn.XLOOKUP(tblTransactions[[#This Row],[tenant_id]],tblTenants[tenant_id],tblTenants[category],"NOT FOUND")</f>
        <v>Footwear</v>
      </c>
    </row>
    <row r="2882" spans="1:17">
      <c r="A2882" t="s">
        <v>2926</v>
      </c>
      <c r="B2882" s="2">
        <v>45712</v>
      </c>
      <c r="C2882">
        <v>16</v>
      </c>
      <c r="D2882" t="s">
        <v>85</v>
      </c>
      <c r="E2882" t="s">
        <v>12</v>
      </c>
      <c r="F2882" s="7">
        <v>712.06</v>
      </c>
      <c r="G2882" s="10">
        <v>0.2</v>
      </c>
      <c r="H2882" s="7">
        <v>569.65</v>
      </c>
      <c r="I2882">
        <v>3</v>
      </c>
      <c r="J2882" t="s">
        <v>13</v>
      </c>
      <c r="K2882" s="13">
        <f>ROUND(tblTransactions[[#This Row],[gross_sales_inr]]*(1-tblTransactions[[#This Row],[discount_pct]]),2)</f>
        <v>569.65</v>
      </c>
      <c r="L2882" t="str">
        <f>IF(ABS(tblTransactions[[#This Row],[net_sales_inr]]-tblTransactions[[#This Row],[Recalc_Net_Sales]])&lt;0.02,"OK","CHECK")</f>
        <v>OK</v>
      </c>
      <c r="M2882" s="14">
        <f>DATE(YEAR(tblTransactions[[#This Row],[date]]),MONTH(tblTransactions[[#This Row],[date]]),1)</f>
        <v>45689</v>
      </c>
      <c r="N2882" t="str">
        <f>IF(WEEKDAY(tblTransactions[[#This Row],[date]],2)&gt;5,"Weekend","Weekday")</f>
        <v>Weekday</v>
      </c>
      <c r="O288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82" s="13" t="str">
        <f>_xlfn.XLOOKUP(tblTransactions[[#This Row],[tenant_id]],tblTenants[tenant_id],tblTenants[zone],"NOT FOUND")</f>
        <v>Home &amp; Living</v>
      </c>
      <c r="Q2882" s="13" t="str">
        <f>_xlfn.XLOOKUP(tblTransactions[[#This Row],[tenant_id]],tblTenants[tenant_id],tblTenants[category],"NOT FOUND")</f>
        <v>Electronics</v>
      </c>
    </row>
    <row r="2883" spans="1:17">
      <c r="A2883" t="s">
        <v>2927</v>
      </c>
      <c r="B2883" s="2">
        <v>45734</v>
      </c>
      <c r="C2883">
        <v>11</v>
      </c>
      <c r="D2883" t="s">
        <v>34</v>
      </c>
      <c r="E2883" t="s">
        <v>51</v>
      </c>
      <c r="F2883" s="7">
        <v>488.96</v>
      </c>
      <c r="G2883" s="10">
        <v>0.15</v>
      </c>
      <c r="H2883" s="7">
        <v>415.62</v>
      </c>
      <c r="I2883">
        <v>1</v>
      </c>
      <c r="J2883" t="s">
        <v>16</v>
      </c>
      <c r="K2883" s="13">
        <f>ROUND(tblTransactions[[#This Row],[gross_sales_inr]]*(1-tblTransactions[[#This Row],[discount_pct]]),2)</f>
        <v>415.62</v>
      </c>
      <c r="L2883" t="str">
        <f>IF(ABS(tblTransactions[[#This Row],[net_sales_inr]]-tblTransactions[[#This Row],[Recalc_Net_Sales]])&lt;0.02,"OK","CHECK")</f>
        <v>OK</v>
      </c>
      <c r="M2883" s="14">
        <f>DATE(YEAR(tblTransactions[[#This Row],[date]]),MONTH(tblTransactions[[#This Row],[date]]),1)</f>
        <v>45717</v>
      </c>
      <c r="N2883" t="str">
        <f>IF(WEEKDAY(tblTransactions[[#This Row],[date]],2)&gt;5,"Weekend","Weekday")</f>
        <v>Weekday</v>
      </c>
      <c r="O288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83" s="13" t="str">
        <f>_xlfn.XLOOKUP(tblTransactions[[#This Row],[tenant_id]],tblTenants[tenant_id],tblTenants[zone],"NOT FOUND")</f>
        <v>Home &amp; Living</v>
      </c>
      <c r="Q2883" s="13" t="str">
        <f>_xlfn.XLOOKUP(tblTransactions[[#This Row],[tenant_id]],tblTenants[tenant_id],tblTenants[category],"NOT FOUND")</f>
        <v>Electronics</v>
      </c>
    </row>
    <row r="2884" spans="1:17">
      <c r="A2884" t="s">
        <v>2928</v>
      </c>
      <c r="B2884" s="2">
        <v>45814</v>
      </c>
      <c r="C2884">
        <v>14</v>
      </c>
      <c r="D2884" t="s">
        <v>34</v>
      </c>
      <c r="E2884" t="s">
        <v>32</v>
      </c>
      <c r="F2884" s="7">
        <v>542.16</v>
      </c>
      <c r="G2884" s="10">
        <v>0</v>
      </c>
      <c r="H2884" s="7">
        <v>542.16</v>
      </c>
      <c r="I2884">
        <v>2</v>
      </c>
      <c r="J2884" t="s">
        <v>16</v>
      </c>
      <c r="K2884" s="13">
        <f>ROUND(tblTransactions[[#This Row],[gross_sales_inr]]*(1-tblTransactions[[#This Row],[discount_pct]]),2)</f>
        <v>542.16</v>
      </c>
      <c r="L2884" t="str">
        <f>IF(ABS(tblTransactions[[#This Row],[net_sales_inr]]-tblTransactions[[#This Row],[Recalc_Net_Sales]])&lt;0.02,"OK","CHECK")</f>
        <v>OK</v>
      </c>
      <c r="M2884" s="14">
        <f>DATE(YEAR(tblTransactions[[#This Row],[date]]),MONTH(tblTransactions[[#This Row],[date]]),1)</f>
        <v>45809</v>
      </c>
      <c r="N2884" t="str">
        <f>IF(WEEKDAY(tblTransactions[[#This Row],[date]],2)&gt;5,"Weekend","Weekday")</f>
        <v>Weekday</v>
      </c>
      <c r="O2884" s="13" t="str">
        <f>IF(tblTransactions[[#This Row],[discount_pct]]=0,"0%",IF(tblTransactions[[#This Row],[discount_pct]]&lt;=10%,"1–
10%",IF(tblTransactions[[#This Row],[discount_pct]]&lt;=20%,"11–20%","&gt;20%")))</f>
        <v>0%</v>
      </c>
      <c r="P2884" s="13" t="str">
        <f>_xlfn.XLOOKUP(tblTransactions[[#This Row],[tenant_id]],tblTenants[tenant_id],tblTenants[zone],"NOT FOUND")</f>
        <v>Home &amp; Living</v>
      </c>
      <c r="Q2884" s="13" t="str">
        <f>_xlfn.XLOOKUP(tblTransactions[[#This Row],[tenant_id]],tblTenants[tenant_id],tblTenants[category],"NOT FOUND")</f>
        <v>Electronics</v>
      </c>
    </row>
    <row r="2885" spans="1:17">
      <c r="A2885" t="s">
        <v>2929</v>
      </c>
      <c r="B2885" s="2">
        <v>45755</v>
      </c>
      <c r="C2885">
        <v>22</v>
      </c>
      <c r="D2885" t="s">
        <v>57</v>
      </c>
      <c r="E2885" t="s">
        <v>12</v>
      </c>
      <c r="F2885" s="7">
        <v>420.84</v>
      </c>
      <c r="G2885" s="10">
        <v>0.15</v>
      </c>
      <c r="H2885" s="7">
        <v>357.71</v>
      </c>
      <c r="I2885">
        <v>4</v>
      </c>
      <c r="J2885" t="s">
        <v>13</v>
      </c>
      <c r="K2885" s="13">
        <f>ROUND(tblTransactions[[#This Row],[gross_sales_inr]]*(1-tblTransactions[[#This Row],[discount_pct]]),2)</f>
        <v>357.71</v>
      </c>
      <c r="L2885" t="str">
        <f>IF(ABS(tblTransactions[[#This Row],[net_sales_inr]]-tblTransactions[[#This Row],[Recalc_Net_Sales]])&lt;0.02,"OK","CHECK")</f>
        <v>OK</v>
      </c>
      <c r="M2885" s="14">
        <f>DATE(YEAR(tblTransactions[[#This Row],[date]]),MONTH(tblTransactions[[#This Row],[date]]),1)</f>
        <v>45748</v>
      </c>
      <c r="N2885" t="str">
        <f>IF(WEEKDAY(tblTransactions[[#This Row],[date]],2)&gt;5,"Weekend","Weekday")</f>
        <v>Weekday</v>
      </c>
      <c r="O288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85" s="13" t="str">
        <f>_xlfn.XLOOKUP(tblTransactions[[#This Row],[tenant_id]],tblTenants[tenant_id],tblTenants[zone],"NOT FOUND")</f>
        <v>Food Court</v>
      </c>
      <c r="Q2885" s="13" t="str">
        <f>_xlfn.XLOOKUP(tblTransactions[[#This Row],[tenant_id]],tblTenants[tenant_id],tblTenants[category],"NOT FOUND")</f>
        <v>Casual Dining</v>
      </c>
    </row>
    <row r="2886" spans="1:17">
      <c r="A2886" t="s">
        <v>2930</v>
      </c>
      <c r="B2886" s="2">
        <v>45778</v>
      </c>
      <c r="C2886">
        <v>16</v>
      </c>
      <c r="D2886" t="s">
        <v>36</v>
      </c>
      <c r="E2886" t="s">
        <v>32</v>
      </c>
      <c r="F2886" s="7">
        <v>1044.6300000000001</v>
      </c>
      <c r="G2886" s="10">
        <v>0.1</v>
      </c>
      <c r="H2886" s="7">
        <v>940.17</v>
      </c>
      <c r="I2886">
        <v>1</v>
      </c>
      <c r="J2886" t="s">
        <v>13</v>
      </c>
      <c r="K2886" s="13">
        <f>ROUND(tblTransactions[[#This Row],[gross_sales_inr]]*(1-tblTransactions[[#This Row],[discount_pct]]),2)</f>
        <v>940.17</v>
      </c>
      <c r="L2886" t="str">
        <f>IF(ABS(tblTransactions[[#This Row],[net_sales_inr]]-tblTransactions[[#This Row],[Recalc_Net_Sales]])&lt;0.02,"OK","CHECK")</f>
        <v>OK</v>
      </c>
      <c r="M2886" s="14">
        <f>DATE(YEAR(tblTransactions[[#This Row],[date]]),MONTH(tblTransactions[[#This Row],[date]]),1)</f>
        <v>45778</v>
      </c>
      <c r="N2886" t="str">
        <f>IF(WEEKDAY(tblTransactions[[#This Row],[date]],2)&gt;5,"Weekend","Weekday")</f>
        <v>Weekday</v>
      </c>
      <c r="O288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86" s="13" t="str">
        <f>_xlfn.XLOOKUP(tblTransactions[[#This Row],[tenant_id]],tblTenants[tenant_id],tblTenants[zone],"NOT FOUND")</f>
        <v>Home &amp; Living</v>
      </c>
      <c r="Q2886" s="13" t="str">
        <f>_xlfn.XLOOKUP(tblTransactions[[#This Row],[tenant_id]],tblTenants[tenant_id],tblTenants[category],"NOT FOUND")</f>
        <v>Electronics</v>
      </c>
    </row>
    <row r="2887" spans="1:17">
      <c r="A2887" t="s">
        <v>2931</v>
      </c>
      <c r="B2887" s="2">
        <v>45737</v>
      </c>
      <c r="C2887">
        <v>22</v>
      </c>
      <c r="D2887" t="s">
        <v>11</v>
      </c>
      <c r="E2887" t="s">
        <v>12</v>
      </c>
      <c r="F2887" s="7">
        <v>1307.99</v>
      </c>
      <c r="G2887" s="10">
        <v>0</v>
      </c>
      <c r="H2887" s="7">
        <v>1307.99</v>
      </c>
      <c r="I2887">
        <v>6</v>
      </c>
      <c r="J2887" t="s">
        <v>16</v>
      </c>
      <c r="K2887" s="13">
        <f>ROUND(tblTransactions[[#This Row],[gross_sales_inr]]*(1-tblTransactions[[#This Row],[discount_pct]]),2)</f>
        <v>1307.99</v>
      </c>
      <c r="L2887" t="str">
        <f>IF(ABS(tblTransactions[[#This Row],[net_sales_inr]]-tblTransactions[[#This Row],[Recalc_Net_Sales]])&lt;0.02,"OK","CHECK")</f>
        <v>OK</v>
      </c>
      <c r="M2887" s="14">
        <f>DATE(YEAR(tblTransactions[[#This Row],[date]]),MONTH(tblTransactions[[#This Row],[date]]),1)</f>
        <v>45717</v>
      </c>
      <c r="N2887" t="str">
        <f>IF(WEEKDAY(tblTransactions[[#This Row],[date]],2)&gt;5,"Weekend","Weekday")</f>
        <v>Weekday</v>
      </c>
      <c r="O2887" s="13" t="str">
        <f>IF(tblTransactions[[#This Row],[discount_pct]]=0,"0%",IF(tblTransactions[[#This Row],[discount_pct]]&lt;=10%,"1–
10%",IF(tblTransactions[[#This Row],[discount_pct]]&lt;=20%,"11–20%","&gt;20%")))</f>
        <v>0%</v>
      </c>
      <c r="P2887" s="13" t="str">
        <f>_xlfn.XLOOKUP(tblTransactions[[#This Row],[tenant_id]],tblTenants[tenant_id],tblTenants[zone],"NOT FOUND")</f>
        <v>Home &amp; Living</v>
      </c>
      <c r="Q2887" s="13" t="str">
        <f>_xlfn.XLOOKUP(tblTransactions[[#This Row],[tenant_id]],tblTenants[tenant_id],tblTenants[category],"NOT FOUND")</f>
        <v>Home Decor</v>
      </c>
    </row>
    <row r="2888" spans="1:17">
      <c r="A2888" t="s">
        <v>2932</v>
      </c>
      <c r="B2888" s="2">
        <v>45767</v>
      </c>
      <c r="C2888">
        <v>22</v>
      </c>
      <c r="D2888" t="s">
        <v>98</v>
      </c>
      <c r="E2888" t="s">
        <v>51</v>
      </c>
      <c r="F2888" s="7">
        <v>2180.9499999999998</v>
      </c>
      <c r="G2888" s="10">
        <v>0.15</v>
      </c>
      <c r="H2888" s="7">
        <v>1853.81</v>
      </c>
      <c r="I2888">
        <v>1</v>
      </c>
      <c r="J2888" t="s">
        <v>13</v>
      </c>
      <c r="K2888" s="13">
        <f>ROUND(tblTransactions[[#This Row],[gross_sales_inr]]*(1-tblTransactions[[#This Row],[discount_pct]]),2)</f>
        <v>1853.81</v>
      </c>
      <c r="L2888" t="str">
        <f>IF(ABS(tblTransactions[[#This Row],[net_sales_inr]]-tblTransactions[[#This Row],[Recalc_Net_Sales]])&lt;0.02,"OK","CHECK")</f>
        <v>OK</v>
      </c>
      <c r="M2888" s="14">
        <f>DATE(YEAR(tblTransactions[[#This Row],[date]]),MONTH(tblTransactions[[#This Row],[date]]),1)</f>
        <v>45748</v>
      </c>
      <c r="N2888" t="str">
        <f>IF(WEEKDAY(tblTransactions[[#This Row],[date]],2)&gt;5,"Weekend","Weekday")</f>
        <v>Weekend</v>
      </c>
      <c r="O288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88" s="13" t="str">
        <f>_xlfn.XLOOKUP(tblTransactions[[#This Row],[tenant_id]],tblTenants[tenant_id],tblTenants[zone],"NOT FOUND")</f>
        <v>Fashion Avenue</v>
      </c>
      <c r="Q2888" s="13" t="str">
        <f>_xlfn.XLOOKUP(tblTransactions[[#This Row],[tenant_id]],tblTenants[tenant_id],tblTenants[category],"NOT FOUND")</f>
        <v>Accessories</v>
      </c>
    </row>
    <row r="2889" spans="1:17">
      <c r="A2889" t="s">
        <v>2933</v>
      </c>
      <c r="B2889" s="2">
        <v>45752</v>
      </c>
      <c r="C2889">
        <v>17</v>
      </c>
      <c r="D2889" t="s">
        <v>87</v>
      </c>
      <c r="E2889" t="s">
        <v>32</v>
      </c>
      <c r="F2889" s="7">
        <v>1636.84</v>
      </c>
      <c r="G2889" s="10">
        <v>0.2</v>
      </c>
      <c r="H2889" s="7">
        <v>1309.47</v>
      </c>
      <c r="I2889">
        <v>1</v>
      </c>
      <c r="J2889" t="s">
        <v>16</v>
      </c>
      <c r="K2889" s="13">
        <f>ROUND(tblTransactions[[#This Row],[gross_sales_inr]]*(1-tblTransactions[[#This Row],[discount_pct]]),2)</f>
        <v>1309.47</v>
      </c>
      <c r="L2889" t="str">
        <f>IF(ABS(tblTransactions[[#This Row],[net_sales_inr]]-tblTransactions[[#This Row],[Recalc_Net_Sales]])&lt;0.02,"OK","CHECK")</f>
        <v>OK</v>
      </c>
      <c r="M2889" s="14">
        <f>DATE(YEAR(tblTransactions[[#This Row],[date]]),MONTH(tblTransactions[[#This Row],[date]]),1)</f>
        <v>45748</v>
      </c>
      <c r="N2889" t="str">
        <f>IF(WEEKDAY(tblTransactions[[#This Row],[date]],2)&gt;5,"Weekend","Weekday")</f>
        <v>Weekend</v>
      </c>
      <c r="O288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89" s="13" t="str">
        <f>_xlfn.XLOOKUP(tblTransactions[[#This Row],[tenant_id]],tblTenants[tenant_id],tblTenants[zone],"NOT FOUND")</f>
        <v>Fashion Avenue</v>
      </c>
      <c r="Q2889" s="13" t="str">
        <f>_xlfn.XLOOKUP(tblTransactions[[#This Row],[tenant_id]],tblTenants[tenant_id],tblTenants[category],"NOT FOUND")</f>
        <v>Footwear</v>
      </c>
    </row>
    <row r="2890" spans="1:17">
      <c r="A2890" t="s">
        <v>2934</v>
      </c>
      <c r="B2890" s="2">
        <v>45753</v>
      </c>
      <c r="C2890">
        <v>19</v>
      </c>
      <c r="D2890" t="s">
        <v>204</v>
      </c>
      <c r="E2890" t="s">
        <v>12</v>
      </c>
      <c r="F2890" s="7">
        <v>887.48</v>
      </c>
      <c r="G2890" s="10">
        <v>0</v>
      </c>
      <c r="H2890" s="7">
        <v>887.48</v>
      </c>
      <c r="I2890">
        <v>6</v>
      </c>
      <c r="J2890" t="s">
        <v>13</v>
      </c>
      <c r="K2890" s="13">
        <f>ROUND(tblTransactions[[#This Row],[gross_sales_inr]]*(1-tblTransactions[[#This Row],[discount_pct]]),2)</f>
        <v>887.48</v>
      </c>
      <c r="L2890" t="str">
        <f>IF(ABS(tblTransactions[[#This Row],[net_sales_inr]]-tblTransactions[[#This Row],[Recalc_Net_Sales]])&lt;0.02,"OK","CHECK")</f>
        <v>OK</v>
      </c>
      <c r="M2890" s="14">
        <f>DATE(YEAR(tblTransactions[[#This Row],[date]]),MONTH(tblTransactions[[#This Row],[date]]),1)</f>
        <v>45748</v>
      </c>
      <c r="N2890" t="str">
        <f>IF(WEEKDAY(tblTransactions[[#This Row],[date]],2)&gt;5,"Weekend","Weekday")</f>
        <v>Weekend</v>
      </c>
      <c r="O2890" s="13" t="str">
        <f>IF(tblTransactions[[#This Row],[discount_pct]]=0,"0%",IF(tblTransactions[[#This Row],[discount_pct]]&lt;=10%,"1–
10%",IF(tblTransactions[[#This Row],[discount_pct]]&lt;=20%,"11–20%","&gt;20%")))</f>
        <v>0%</v>
      </c>
      <c r="P2890" s="13" t="str">
        <f>_xlfn.XLOOKUP(tblTransactions[[#This Row],[tenant_id]],tblTenants[tenant_id],tblTenants[zone],"NOT FOUND")</f>
        <v>Home &amp; Living</v>
      </c>
      <c r="Q2890" s="13" t="str">
        <f>_xlfn.XLOOKUP(tblTransactions[[#This Row],[tenant_id]],tblTenants[tenant_id],tblTenants[category],"NOT FOUND")</f>
        <v>Home Decor</v>
      </c>
    </row>
    <row r="2891" spans="1:17">
      <c r="A2891" t="s">
        <v>2935</v>
      </c>
      <c r="B2891" s="2">
        <v>45821</v>
      </c>
      <c r="C2891">
        <v>11</v>
      </c>
      <c r="D2891" t="s">
        <v>41</v>
      </c>
      <c r="E2891" t="s">
        <v>12</v>
      </c>
      <c r="F2891" s="7">
        <v>3290.91</v>
      </c>
      <c r="G2891" s="10">
        <v>0.15</v>
      </c>
      <c r="H2891" s="7">
        <v>2797.27</v>
      </c>
      <c r="I2891">
        <v>1</v>
      </c>
      <c r="J2891" t="s">
        <v>13</v>
      </c>
      <c r="K2891" s="13">
        <f>ROUND(tblTransactions[[#This Row],[gross_sales_inr]]*(1-tblTransactions[[#This Row],[discount_pct]]),2)</f>
        <v>2797.27</v>
      </c>
      <c r="L2891" t="str">
        <f>IF(ABS(tblTransactions[[#This Row],[net_sales_inr]]-tblTransactions[[#This Row],[Recalc_Net_Sales]])&lt;0.02,"OK","CHECK")</f>
        <v>OK</v>
      </c>
      <c r="M2891" s="14">
        <f>DATE(YEAR(tblTransactions[[#This Row],[date]]),MONTH(tblTransactions[[#This Row],[date]]),1)</f>
        <v>45809</v>
      </c>
      <c r="N2891" t="str">
        <f>IF(WEEKDAY(tblTransactions[[#This Row],[date]],2)&gt;5,"Weekend","Weekday")</f>
        <v>Weekday</v>
      </c>
      <c r="O289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91" s="13" t="str">
        <f>_xlfn.XLOOKUP(tblTransactions[[#This Row],[tenant_id]],tblTenants[tenant_id],tblTenants[zone],"NOT FOUND")</f>
        <v>Fashion Avenue</v>
      </c>
      <c r="Q2891" s="13" t="str">
        <f>_xlfn.XLOOKUP(tblTransactions[[#This Row],[tenant_id]],tblTenants[tenant_id],tblTenants[category],"NOT FOUND")</f>
        <v>Clothing</v>
      </c>
    </row>
    <row r="2892" spans="1:17">
      <c r="A2892" t="s">
        <v>2936</v>
      </c>
      <c r="B2892" s="2">
        <v>45755</v>
      </c>
      <c r="C2892">
        <v>21</v>
      </c>
      <c r="D2892" t="s">
        <v>72</v>
      </c>
      <c r="E2892" t="s">
        <v>32</v>
      </c>
      <c r="F2892" s="7">
        <v>1034.1600000000001</v>
      </c>
      <c r="G2892" s="10">
        <v>0.2</v>
      </c>
      <c r="H2892" s="7">
        <v>827.33</v>
      </c>
      <c r="I2892">
        <v>2</v>
      </c>
      <c r="J2892" t="s">
        <v>13</v>
      </c>
      <c r="K2892" s="13">
        <f>ROUND(tblTransactions[[#This Row],[gross_sales_inr]]*(1-tblTransactions[[#This Row],[discount_pct]]),2)</f>
        <v>827.33</v>
      </c>
      <c r="L2892" t="str">
        <f>IF(ABS(tblTransactions[[#This Row],[net_sales_inr]]-tblTransactions[[#This Row],[Recalc_Net_Sales]])&lt;0.02,"OK","CHECK")</f>
        <v>OK</v>
      </c>
      <c r="M2892" s="14">
        <f>DATE(YEAR(tblTransactions[[#This Row],[date]]),MONTH(tblTransactions[[#This Row],[date]]),1)</f>
        <v>45748</v>
      </c>
      <c r="N2892" t="str">
        <f>IF(WEEKDAY(tblTransactions[[#This Row],[date]],2)&gt;5,"Weekend","Weekday")</f>
        <v>Weekday</v>
      </c>
      <c r="O289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892" s="13" t="str">
        <f>_xlfn.XLOOKUP(tblTransactions[[#This Row],[tenant_id]],tblTenants[tenant_id],tblTenants[zone],"NOT FOUND")</f>
        <v>Entertainment</v>
      </c>
      <c r="Q2892" s="13" t="str">
        <f>_xlfn.XLOOKUP(tblTransactions[[#This Row],[tenant_id]],tblTenants[tenant_id],tblTenants[category],"NOT FOUND")</f>
        <v>Arcade</v>
      </c>
    </row>
    <row r="2893" spans="1:17">
      <c r="A2893" t="s">
        <v>2937</v>
      </c>
      <c r="B2893" s="2">
        <v>45758</v>
      </c>
      <c r="C2893">
        <v>18</v>
      </c>
      <c r="D2893" t="s">
        <v>48</v>
      </c>
      <c r="E2893" t="s">
        <v>12</v>
      </c>
      <c r="F2893" s="7">
        <v>1141.01</v>
      </c>
      <c r="G2893" s="10">
        <v>0.3</v>
      </c>
      <c r="H2893" s="7">
        <v>798.71</v>
      </c>
      <c r="I2893">
        <v>3</v>
      </c>
      <c r="J2893" t="s">
        <v>13</v>
      </c>
      <c r="K2893" s="13">
        <f>ROUND(tblTransactions[[#This Row],[gross_sales_inr]]*(1-tblTransactions[[#This Row],[discount_pct]]),2)</f>
        <v>798.71</v>
      </c>
      <c r="L2893" t="str">
        <f>IF(ABS(tblTransactions[[#This Row],[net_sales_inr]]-tblTransactions[[#This Row],[Recalc_Net_Sales]])&lt;0.02,"OK","CHECK")</f>
        <v>OK</v>
      </c>
      <c r="M2893" s="14">
        <f>DATE(YEAR(tblTransactions[[#This Row],[date]]),MONTH(tblTransactions[[#This Row],[date]]),1)</f>
        <v>45748</v>
      </c>
      <c r="N2893" t="str">
        <f>IF(WEEKDAY(tblTransactions[[#This Row],[date]],2)&gt;5,"Weekend","Weekday")</f>
        <v>Weekday</v>
      </c>
      <c r="O2893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893" s="13" t="str">
        <f>_xlfn.XLOOKUP(tblTransactions[[#This Row],[tenant_id]],tblTenants[tenant_id],tblTenants[zone],"NOT FOUND")</f>
        <v>Beauty &amp; Wellness</v>
      </c>
      <c r="Q2893" s="13" t="str">
        <f>_xlfn.XLOOKUP(tblTransactions[[#This Row],[tenant_id]],tblTenants[tenant_id],tblTenants[category],"NOT FOUND")</f>
        <v>Wellness</v>
      </c>
    </row>
    <row r="2894" spans="1:17">
      <c r="A2894" t="s">
        <v>2938</v>
      </c>
      <c r="B2894" s="2">
        <v>45786</v>
      </c>
      <c r="C2894">
        <v>17</v>
      </c>
      <c r="D2894" t="s">
        <v>31</v>
      </c>
      <c r="E2894" t="s">
        <v>32</v>
      </c>
      <c r="F2894" s="7">
        <v>1196.42</v>
      </c>
      <c r="G2894" s="10">
        <v>0.3</v>
      </c>
      <c r="H2894" s="7">
        <v>837.49</v>
      </c>
      <c r="I2894">
        <v>2</v>
      </c>
      <c r="J2894" t="s">
        <v>13</v>
      </c>
      <c r="K2894" s="13">
        <f>ROUND(tblTransactions[[#This Row],[gross_sales_inr]]*(1-tblTransactions[[#This Row],[discount_pct]]),2)</f>
        <v>837.49</v>
      </c>
      <c r="L2894" t="str">
        <f>IF(ABS(tblTransactions[[#This Row],[net_sales_inr]]-tblTransactions[[#This Row],[Recalc_Net_Sales]])&lt;0.02,"OK","CHECK")</f>
        <v>OK</v>
      </c>
      <c r="M2894" s="14">
        <f>DATE(YEAR(tblTransactions[[#This Row],[date]]),MONTH(tblTransactions[[#This Row],[date]]),1)</f>
        <v>45778</v>
      </c>
      <c r="N2894" t="str">
        <f>IF(WEEKDAY(tblTransactions[[#This Row],[date]],2)&gt;5,"Weekend","Weekday")</f>
        <v>Weekday</v>
      </c>
      <c r="O289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894" s="13" t="str">
        <f>_xlfn.XLOOKUP(tblTransactions[[#This Row],[tenant_id]],tblTenants[tenant_id],tblTenants[zone],"NOT FOUND")</f>
        <v>Entertainment</v>
      </c>
      <c r="Q2894" s="13" t="str">
        <f>_xlfn.XLOOKUP(tblTransactions[[#This Row],[tenant_id]],tblTenants[tenant_id],tblTenants[category],"NOT FOUND")</f>
        <v>Arcade</v>
      </c>
    </row>
    <row r="2895" spans="1:17">
      <c r="A2895" t="s">
        <v>2939</v>
      </c>
      <c r="B2895" s="2">
        <v>45728</v>
      </c>
      <c r="C2895">
        <v>19</v>
      </c>
      <c r="D2895" t="s">
        <v>45</v>
      </c>
      <c r="E2895" t="s">
        <v>32</v>
      </c>
      <c r="F2895" s="7">
        <v>581.6</v>
      </c>
      <c r="G2895" s="10">
        <v>0</v>
      </c>
      <c r="H2895" s="7">
        <v>581.6</v>
      </c>
      <c r="I2895">
        <v>1</v>
      </c>
      <c r="J2895" t="s">
        <v>13</v>
      </c>
      <c r="K2895" s="13">
        <f>ROUND(tblTransactions[[#This Row],[gross_sales_inr]]*(1-tblTransactions[[#This Row],[discount_pct]]),2)</f>
        <v>581.6</v>
      </c>
      <c r="L2895" t="str">
        <f>IF(ABS(tblTransactions[[#This Row],[net_sales_inr]]-tblTransactions[[#This Row],[Recalc_Net_Sales]])&lt;0.02,"OK","CHECK")</f>
        <v>OK</v>
      </c>
      <c r="M2895" s="14">
        <f>DATE(YEAR(tblTransactions[[#This Row],[date]]),MONTH(tblTransactions[[#This Row],[date]]),1)</f>
        <v>45717</v>
      </c>
      <c r="N2895" t="str">
        <f>IF(WEEKDAY(tblTransactions[[#This Row],[date]],2)&gt;5,"Weekend","Weekday")</f>
        <v>Weekday</v>
      </c>
      <c r="O2895" s="13" t="str">
        <f>IF(tblTransactions[[#This Row],[discount_pct]]=0,"0%",IF(tblTransactions[[#This Row],[discount_pct]]&lt;=10%,"1–
10%",IF(tblTransactions[[#This Row],[discount_pct]]&lt;=20%,"11–20%","&gt;20%")))</f>
        <v>0%</v>
      </c>
      <c r="P2895" s="13" t="str">
        <f>_xlfn.XLOOKUP(tblTransactions[[#This Row],[tenant_id]],tblTenants[tenant_id],tblTenants[zone],"NOT FOUND")</f>
        <v>Home &amp; Living</v>
      </c>
      <c r="Q2895" s="13" t="str">
        <f>_xlfn.XLOOKUP(tblTransactions[[#This Row],[tenant_id]],tblTenants[tenant_id],tblTenants[category],"NOT FOUND")</f>
        <v>Home Decor</v>
      </c>
    </row>
    <row r="2896" spans="1:17">
      <c r="A2896" t="s">
        <v>2940</v>
      </c>
      <c r="B2896" s="2">
        <v>45703</v>
      </c>
      <c r="C2896">
        <v>22</v>
      </c>
      <c r="D2896" t="s">
        <v>27</v>
      </c>
      <c r="E2896" t="s">
        <v>32</v>
      </c>
      <c r="F2896" s="7">
        <v>667.43</v>
      </c>
      <c r="G2896" s="10">
        <v>0.3</v>
      </c>
      <c r="H2896" s="7">
        <v>467.2</v>
      </c>
      <c r="I2896">
        <v>1</v>
      </c>
      <c r="J2896" t="s">
        <v>13</v>
      </c>
      <c r="K2896" s="13">
        <f>ROUND(tblTransactions[[#This Row],[gross_sales_inr]]*(1-tblTransactions[[#This Row],[discount_pct]]),2)</f>
        <v>467.2</v>
      </c>
      <c r="L2896" t="str">
        <f>IF(ABS(tblTransactions[[#This Row],[net_sales_inr]]-tblTransactions[[#This Row],[Recalc_Net_Sales]])&lt;0.02,"OK","CHECK")</f>
        <v>OK</v>
      </c>
      <c r="M2896" s="14">
        <f>DATE(YEAR(tblTransactions[[#This Row],[date]]),MONTH(tblTransactions[[#This Row],[date]]),1)</f>
        <v>45689</v>
      </c>
      <c r="N2896" t="str">
        <f>IF(WEEKDAY(tblTransactions[[#This Row],[date]],2)&gt;5,"Weekend","Weekday")</f>
        <v>Weekend</v>
      </c>
      <c r="O2896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896" s="13" t="str">
        <f>_xlfn.XLOOKUP(tblTransactions[[#This Row],[tenant_id]],tblTenants[tenant_id],tblTenants[zone],"NOT FOUND")</f>
        <v>Beauty &amp; Wellness</v>
      </c>
      <c r="Q2896" s="13" t="str">
        <f>_xlfn.XLOOKUP(tblTransactions[[#This Row],[tenant_id]],tblTenants[tenant_id],tblTenants[category],"NOT FOUND")</f>
        <v>Wellness</v>
      </c>
    </row>
    <row r="2897" spans="1:17">
      <c r="A2897" t="s">
        <v>2941</v>
      </c>
      <c r="B2897" s="2">
        <v>45825</v>
      </c>
      <c r="C2897">
        <v>18</v>
      </c>
      <c r="D2897" t="s">
        <v>72</v>
      </c>
      <c r="E2897" t="s">
        <v>12</v>
      </c>
      <c r="F2897" s="7">
        <v>378.76</v>
      </c>
      <c r="G2897" s="10">
        <v>0</v>
      </c>
      <c r="H2897" s="7">
        <v>378.76</v>
      </c>
      <c r="I2897">
        <v>3</v>
      </c>
      <c r="J2897" t="s">
        <v>13</v>
      </c>
      <c r="K2897" s="13">
        <f>ROUND(tblTransactions[[#This Row],[gross_sales_inr]]*(1-tblTransactions[[#This Row],[discount_pct]]),2)</f>
        <v>378.76</v>
      </c>
      <c r="L2897" t="str">
        <f>IF(ABS(tblTransactions[[#This Row],[net_sales_inr]]-tblTransactions[[#This Row],[Recalc_Net_Sales]])&lt;0.02,"OK","CHECK")</f>
        <v>OK</v>
      </c>
      <c r="M2897" s="14">
        <f>DATE(YEAR(tblTransactions[[#This Row],[date]]),MONTH(tblTransactions[[#This Row],[date]]),1)</f>
        <v>45809</v>
      </c>
      <c r="N2897" t="str">
        <f>IF(WEEKDAY(tblTransactions[[#This Row],[date]],2)&gt;5,"Weekend","Weekday")</f>
        <v>Weekday</v>
      </c>
      <c r="O2897" s="13" t="str">
        <f>IF(tblTransactions[[#This Row],[discount_pct]]=0,"0%",IF(tblTransactions[[#This Row],[discount_pct]]&lt;=10%,"1–
10%",IF(tblTransactions[[#This Row],[discount_pct]]&lt;=20%,"11–20%","&gt;20%")))</f>
        <v>0%</v>
      </c>
      <c r="P2897" s="13" t="str">
        <f>_xlfn.XLOOKUP(tblTransactions[[#This Row],[tenant_id]],tblTenants[tenant_id],tblTenants[zone],"NOT FOUND")</f>
        <v>Entertainment</v>
      </c>
      <c r="Q2897" s="13" t="str">
        <f>_xlfn.XLOOKUP(tblTransactions[[#This Row],[tenant_id]],tblTenants[tenant_id],tblTenants[category],"NOT FOUND")</f>
        <v>Arcade</v>
      </c>
    </row>
    <row r="2898" spans="1:17">
      <c r="A2898" t="s">
        <v>2942</v>
      </c>
      <c r="B2898" s="2">
        <v>45687</v>
      </c>
      <c r="C2898">
        <v>18</v>
      </c>
      <c r="D2898" t="s">
        <v>98</v>
      </c>
      <c r="E2898" t="s">
        <v>32</v>
      </c>
      <c r="F2898" s="7">
        <v>749.52</v>
      </c>
      <c r="G2898" s="10">
        <v>0.1</v>
      </c>
      <c r="H2898" s="7">
        <v>674.57</v>
      </c>
      <c r="I2898">
        <v>5</v>
      </c>
      <c r="J2898" t="s">
        <v>13</v>
      </c>
      <c r="K2898" s="13">
        <f>ROUND(tblTransactions[[#This Row],[gross_sales_inr]]*(1-tblTransactions[[#This Row],[discount_pct]]),2)</f>
        <v>674.57</v>
      </c>
      <c r="L2898" t="str">
        <f>IF(ABS(tblTransactions[[#This Row],[net_sales_inr]]-tblTransactions[[#This Row],[Recalc_Net_Sales]])&lt;0.02,"OK","CHECK")</f>
        <v>OK</v>
      </c>
      <c r="M2898" s="14">
        <f>DATE(YEAR(tblTransactions[[#This Row],[date]]),MONTH(tblTransactions[[#This Row],[date]]),1)</f>
        <v>45658</v>
      </c>
      <c r="N2898" t="str">
        <f>IF(WEEKDAY(tblTransactions[[#This Row],[date]],2)&gt;5,"Weekend","Weekday")</f>
        <v>Weekday</v>
      </c>
      <c r="O289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898" s="13" t="str">
        <f>_xlfn.XLOOKUP(tblTransactions[[#This Row],[tenant_id]],tblTenants[tenant_id],tblTenants[zone],"NOT FOUND")</f>
        <v>Fashion Avenue</v>
      </c>
      <c r="Q2898" s="13" t="str">
        <f>_xlfn.XLOOKUP(tblTransactions[[#This Row],[tenant_id]],tblTenants[tenant_id],tblTenants[category],"NOT FOUND")</f>
        <v>Accessories</v>
      </c>
    </row>
    <row r="2899" spans="1:17">
      <c r="A2899" t="s">
        <v>2943</v>
      </c>
      <c r="B2899" s="2">
        <v>45837</v>
      </c>
      <c r="C2899">
        <v>21</v>
      </c>
      <c r="D2899" t="s">
        <v>85</v>
      </c>
      <c r="E2899" t="s">
        <v>32</v>
      </c>
      <c r="F2899" s="7">
        <v>1189.7</v>
      </c>
      <c r="G2899" s="10">
        <v>0</v>
      </c>
      <c r="H2899" s="7">
        <v>1189.7</v>
      </c>
      <c r="I2899">
        <v>3</v>
      </c>
      <c r="J2899" t="s">
        <v>13</v>
      </c>
      <c r="K2899" s="13">
        <f>ROUND(tblTransactions[[#This Row],[gross_sales_inr]]*(1-tblTransactions[[#This Row],[discount_pct]]),2)</f>
        <v>1189.7</v>
      </c>
      <c r="L2899" t="str">
        <f>IF(ABS(tblTransactions[[#This Row],[net_sales_inr]]-tblTransactions[[#This Row],[Recalc_Net_Sales]])&lt;0.02,"OK","CHECK")</f>
        <v>OK</v>
      </c>
      <c r="M2899" s="14">
        <f>DATE(YEAR(tblTransactions[[#This Row],[date]]),MONTH(tblTransactions[[#This Row],[date]]),1)</f>
        <v>45809</v>
      </c>
      <c r="N2899" t="str">
        <f>IF(WEEKDAY(tblTransactions[[#This Row],[date]],2)&gt;5,"Weekend","Weekday")</f>
        <v>Weekend</v>
      </c>
      <c r="O2899" s="13" t="str">
        <f>IF(tblTransactions[[#This Row],[discount_pct]]=0,"0%",IF(tblTransactions[[#This Row],[discount_pct]]&lt;=10%,"1–
10%",IF(tblTransactions[[#This Row],[discount_pct]]&lt;=20%,"11–20%","&gt;20%")))</f>
        <v>0%</v>
      </c>
      <c r="P2899" s="13" t="str">
        <f>_xlfn.XLOOKUP(tblTransactions[[#This Row],[tenant_id]],tblTenants[tenant_id],tblTenants[zone],"NOT FOUND")</f>
        <v>Home &amp; Living</v>
      </c>
      <c r="Q2899" s="13" t="str">
        <f>_xlfn.XLOOKUP(tblTransactions[[#This Row],[tenant_id]],tblTenants[tenant_id],tblTenants[category],"NOT FOUND")</f>
        <v>Electronics</v>
      </c>
    </row>
    <row r="2900" spans="1:17">
      <c r="A2900" t="s">
        <v>2944</v>
      </c>
      <c r="B2900" s="2">
        <v>45810</v>
      </c>
      <c r="C2900">
        <v>16</v>
      </c>
      <c r="D2900" t="s">
        <v>36</v>
      </c>
      <c r="E2900" t="s">
        <v>51</v>
      </c>
      <c r="F2900" s="7">
        <v>655.02</v>
      </c>
      <c r="G2900" s="10">
        <v>0.15</v>
      </c>
      <c r="H2900" s="7">
        <v>556.77</v>
      </c>
      <c r="I2900">
        <v>2</v>
      </c>
      <c r="J2900" t="s">
        <v>16</v>
      </c>
      <c r="K2900" s="13">
        <f>ROUND(tblTransactions[[#This Row],[gross_sales_inr]]*(1-tblTransactions[[#This Row],[discount_pct]]),2)</f>
        <v>556.77</v>
      </c>
      <c r="L2900" t="str">
        <f>IF(ABS(tblTransactions[[#This Row],[net_sales_inr]]-tblTransactions[[#This Row],[Recalc_Net_Sales]])&lt;0.02,"OK","CHECK")</f>
        <v>OK</v>
      </c>
      <c r="M2900" s="14">
        <f>DATE(YEAR(tblTransactions[[#This Row],[date]]),MONTH(tblTransactions[[#This Row],[date]]),1)</f>
        <v>45809</v>
      </c>
      <c r="N2900" t="str">
        <f>IF(WEEKDAY(tblTransactions[[#This Row],[date]],2)&gt;5,"Weekend","Weekday")</f>
        <v>Weekday</v>
      </c>
      <c r="O290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00" s="13" t="str">
        <f>_xlfn.XLOOKUP(tblTransactions[[#This Row],[tenant_id]],tblTenants[tenant_id],tblTenants[zone],"NOT FOUND")</f>
        <v>Home &amp; Living</v>
      </c>
      <c r="Q2900" s="13" t="str">
        <f>_xlfn.XLOOKUP(tblTransactions[[#This Row],[tenant_id]],tblTenants[tenant_id],tblTenants[category],"NOT FOUND")</f>
        <v>Electronics</v>
      </c>
    </row>
    <row r="2901" spans="1:17">
      <c r="A2901" t="s">
        <v>2945</v>
      </c>
      <c r="B2901" s="2">
        <v>45723</v>
      </c>
      <c r="C2901">
        <v>12</v>
      </c>
      <c r="D2901" t="s">
        <v>27</v>
      </c>
      <c r="E2901" t="s">
        <v>32</v>
      </c>
      <c r="F2901" s="7">
        <v>2273.46</v>
      </c>
      <c r="G2901" s="10">
        <v>0</v>
      </c>
      <c r="H2901" s="7">
        <v>2273.46</v>
      </c>
      <c r="I2901">
        <v>4</v>
      </c>
      <c r="J2901" t="s">
        <v>13</v>
      </c>
      <c r="K2901" s="13">
        <f>ROUND(tblTransactions[[#This Row],[gross_sales_inr]]*(1-tblTransactions[[#This Row],[discount_pct]]),2)</f>
        <v>2273.46</v>
      </c>
      <c r="L2901" t="str">
        <f>IF(ABS(tblTransactions[[#This Row],[net_sales_inr]]-tblTransactions[[#This Row],[Recalc_Net_Sales]])&lt;0.02,"OK","CHECK")</f>
        <v>OK</v>
      </c>
      <c r="M2901" s="14">
        <f>DATE(YEAR(tblTransactions[[#This Row],[date]]),MONTH(tblTransactions[[#This Row],[date]]),1)</f>
        <v>45717</v>
      </c>
      <c r="N2901" t="str">
        <f>IF(WEEKDAY(tblTransactions[[#This Row],[date]],2)&gt;5,"Weekend","Weekday")</f>
        <v>Weekday</v>
      </c>
      <c r="O2901" s="13" t="str">
        <f>IF(tblTransactions[[#This Row],[discount_pct]]=0,"0%",IF(tblTransactions[[#This Row],[discount_pct]]&lt;=10%,"1–
10%",IF(tblTransactions[[#This Row],[discount_pct]]&lt;=20%,"11–20%","&gt;20%")))</f>
        <v>0%</v>
      </c>
      <c r="P2901" s="13" t="str">
        <f>_xlfn.XLOOKUP(tblTransactions[[#This Row],[tenant_id]],tblTenants[tenant_id],tblTenants[zone],"NOT FOUND")</f>
        <v>Beauty &amp; Wellness</v>
      </c>
      <c r="Q2901" s="13" t="str">
        <f>_xlfn.XLOOKUP(tblTransactions[[#This Row],[tenant_id]],tblTenants[tenant_id],tblTenants[category],"NOT FOUND")</f>
        <v>Wellness</v>
      </c>
    </row>
    <row r="2902" spans="1:17">
      <c r="A2902" t="s">
        <v>2946</v>
      </c>
      <c r="B2902" s="2">
        <v>45744</v>
      </c>
      <c r="C2902">
        <v>19</v>
      </c>
      <c r="D2902" t="s">
        <v>70</v>
      </c>
      <c r="E2902" t="s">
        <v>12</v>
      </c>
      <c r="F2902" s="7">
        <v>414.13</v>
      </c>
      <c r="G2902" s="10">
        <v>0</v>
      </c>
      <c r="H2902" s="7">
        <v>414.13</v>
      </c>
      <c r="I2902">
        <v>3</v>
      </c>
      <c r="J2902" t="s">
        <v>13</v>
      </c>
      <c r="K2902" s="13">
        <f>ROUND(tblTransactions[[#This Row],[gross_sales_inr]]*(1-tblTransactions[[#This Row],[discount_pct]]),2)</f>
        <v>414.13</v>
      </c>
      <c r="L2902" t="str">
        <f>IF(ABS(tblTransactions[[#This Row],[net_sales_inr]]-tblTransactions[[#This Row],[Recalc_Net_Sales]])&lt;0.02,"OK","CHECK")</f>
        <v>OK</v>
      </c>
      <c r="M2902" s="14">
        <f>DATE(YEAR(tblTransactions[[#This Row],[date]]),MONTH(tblTransactions[[#This Row],[date]]),1)</f>
        <v>45717</v>
      </c>
      <c r="N2902" t="str">
        <f>IF(WEEKDAY(tblTransactions[[#This Row],[date]],2)&gt;5,"Weekend","Weekday")</f>
        <v>Weekday</v>
      </c>
      <c r="O2902" s="13" t="str">
        <f>IF(tblTransactions[[#This Row],[discount_pct]]=0,"0%",IF(tblTransactions[[#This Row],[discount_pct]]&lt;=10%,"1–
10%",IF(tblTransactions[[#This Row],[discount_pct]]&lt;=20%,"11–20%","&gt;20%")))</f>
        <v>0%</v>
      </c>
      <c r="P2902" s="13" t="str">
        <f>_xlfn.XLOOKUP(tblTransactions[[#This Row],[tenant_id]],tblTenants[tenant_id],tblTenants[zone],"NOT FOUND")</f>
        <v>Food Court</v>
      </c>
      <c r="Q2902" s="13" t="str">
        <f>_xlfn.XLOOKUP(tblTransactions[[#This Row],[tenant_id]],tblTenants[tenant_id],tblTenants[category],"NOT FOUND")</f>
        <v>Quick Service</v>
      </c>
    </row>
    <row r="2903" spans="1:17">
      <c r="A2903" t="s">
        <v>2947</v>
      </c>
      <c r="B2903" s="2">
        <v>45674</v>
      </c>
      <c r="C2903">
        <v>18</v>
      </c>
      <c r="D2903" t="s">
        <v>27</v>
      </c>
      <c r="E2903" t="s">
        <v>12</v>
      </c>
      <c r="F2903" s="7">
        <v>1136.1300000000001</v>
      </c>
      <c r="G2903" s="10">
        <v>0.1</v>
      </c>
      <c r="H2903" s="7">
        <v>1022.52</v>
      </c>
      <c r="I2903">
        <v>1</v>
      </c>
      <c r="J2903" t="s">
        <v>16</v>
      </c>
      <c r="K2903" s="13">
        <f>ROUND(tblTransactions[[#This Row],[gross_sales_inr]]*(1-tblTransactions[[#This Row],[discount_pct]]),2)</f>
        <v>1022.52</v>
      </c>
      <c r="L2903" t="str">
        <f>IF(ABS(tblTransactions[[#This Row],[net_sales_inr]]-tblTransactions[[#This Row],[Recalc_Net_Sales]])&lt;0.02,"OK","CHECK")</f>
        <v>OK</v>
      </c>
      <c r="M2903" s="14">
        <f>DATE(YEAR(tblTransactions[[#This Row],[date]]),MONTH(tblTransactions[[#This Row],[date]]),1)</f>
        <v>45658</v>
      </c>
      <c r="N2903" t="str">
        <f>IF(WEEKDAY(tblTransactions[[#This Row],[date]],2)&gt;5,"Weekend","Weekday")</f>
        <v>Weekday</v>
      </c>
      <c r="O290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03" s="13" t="str">
        <f>_xlfn.XLOOKUP(tblTransactions[[#This Row],[tenant_id]],tblTenants[tenant_id],tblTenants[zone],"NOT FOUND")</f>
        <v>Beauty &amp; Wellness</v>
      </c>
      <c r="Q2903" s="13" t="str">
        <f>_xlfn.XLOOKUP(tblTransactions[[#This Row],[tenant_id]],tblTenants[tenant_id],tblTenants[category],"NOT FOUND")</f>
        <v>Wellness</v>
      </c>
    </row>
    <row r="2904" spans="1:17">
      <c r="A2904" t="s">
        <v>2948</v>
      </c>
      <c r="B2904" s="2">
        <v>45836</v>
      </c>
      <c r="C2904">
        <v>22</v>
      </c>
      <c r="D2904" t="s">
        <v>18</v>
      </c>
      <c r="E2904" t="s">
        <v>32</v>
      </c>
      <c r="F2904" s="7">
        <v>1505.95</v>
      </c>
      <c r="G2904" s="10">
        <v>0.1</v>
      </c>
      <c r="H2904" s="7">
        <v>1355.36</v>
      </c>
      <c r="I2904">
        <v>1</v>
      </c>
      <c r="J2904" t="s">
        <v>16</v>
      </c>
      <c r="K2904" s="13">
        <f>ROUND(tblTransactions[[#This Row],[gross_sales_inr]]*(1-tblTransactions[[#This Row],[discount_pct]]),2)</f>
        <v>1355.36</v>
      </c>
      <c r="L2904" t="str">
        <f>IF(ABS(tblTransactions[[#This Row],[net_sales_inr]]-tblTransactions[[#This Row],[Recalc_Net_Sales]])&lt;0.02,"OK","CHECK")</f>
        <v>OK</v>
      </c>
      <c r="M2904" s="14">
        <f>DATE(YEAR(tblTransactions[[#This Row],[date]]),MONTH(tblTransactions[[#This Row],[date]]),1)</f>
        <v>45809</v>
      </c>
      <c r="N2904" t="str">
        <f>IF(WEEKDAY(tblTransactions[[#This Row],[date]],2)&gt;5,"Weekend","Weekday")</f>
        <v>Weekend</v>
      </c>
      <c r="O290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04" s="13" t="str">
        <f>_xlfn.XLOOKUP(tblTransactions[[#This Row],[tenant_id]],tblTenants[tenant_id],tblTenants[zone],"NOT FOUND")</f>
        <v>Beauty &amp; Wellness</v>
      </c>
      <c r="Q2904" s="13" t="str">
        <f>_xlfn.XLOOKUP(tblTransactions[[#This Row],[tenant_id]],tblTenants[tenant_id],tblTenants[category],"NOT FOUND")</f>
        <v>Beauty</v>
      </c>
    </row>
    <row r="2905" spans="1:17">
      <c r="A2905" t="s">
        <v>2949</v>
      </c>
      <c r="B2905" s="2">
        <v>45778</v>
      </c>
      <c r="C2905">
        <v>11</v>
      </c>
      <c r="D2905" t="s">
        <v>80</v>
      </c>
      <c r="E2905" t="s">
        <v>32</v>
      </c>
      <c r="F2905" s="7">
        <v>338.27</v>
      </c>
      <c r="G2905" s="10">
        <v>0</v>
      </c>
      <c r="H2905" s="7">
        <v>338.27</v>
      </c>
      <c r="I2905">
        <v>1</v>
      </c>
      <c r="J2905" t="s">
        <v>16</v>
      </c>
      <c r="K2905" s="13">
        <f>ROUND(tblTransactions[[#This Row],[gross_sales_inr]]*(1-tblTransactions[[#This Row],[discount_pct]]),2)</f>
        <v>338.27</v>
      </c>
      <c r="L2905" t="str">
        <f>IF(ABS(tblTransactions[[#This Row],[net_sales_inr]]-tblTransactions[[#This Row],[Recalc_Net_Sales]])&lt;0.02,"OK","CHECK")</f>
        <v>OK</v>
      </c>
      <c r="M2905" s="14">
        <f>DATE(YEAR(tblTransactions[[#This Row],[date]]),MONTH(tblTransactions[[#This Row],[date]]),1)</f>
        <v>45778</v>
      </c>
      <c r="N2905" t="str">
        <f>IF(WEEKDAY(tblTransactions[[#This Row],[date]],2)&gt;5,"Weekend","Weekday")</f>
        <v>Weekday</v>
      </c>
      <c r="O2905" s="13" t="str">
        <f>IF(tblTransactions[[#This Row],[discount_pct]]=0,"0%",IF(tblTransactions[[#This Row],[discount_pct]]&lt;=10%,"1–
10%",IF(tblTransactions[[#This Row],[discount_pct]]&lt;=20%,"11–20%","&gt;20%")))</f>
        <v>0%</v>
      </c>
      <c r="P2905" s="13" t="str">
        <f>_xlfn.XLOOKUP(tblTransactions[[#This Row],[tenant_id]],tblTenants[tenant_id],tblTenants[zone],"NOT FOUND")</f>
        <v>Food Court</v>
      </c>
      <c r="Q2905" s="13" t="str">
        <f>_xlfn.XLOOKUP(tblTransactions[[#This Row],[tenant_id]],tblTenants[tenant_id],tblTenants[category],"NOT FOUND")</f>
        <v>Casual Dining</v>
      </c>
    </row>
    <row r="2906" spans="1:17">
      <c r="A2906" t="s">
        <v>2950</v>
      </c>
      <c r="B2906" s="2">
        <v>45747</v>
      </c>
      <c r="C2906">
        <v>18</v>
      </c>
      <c r="D2906" t="s">
        <v>204</v>
      </c>
      <c r="E2906" t="s">
        <v>12</v>
      </c>
      <c r="F2906" s="7">
        <v>794.88</v>
      </c>
      <c r="G2906" s="10">
        <v>0</v>
      </c>
      <c r="H2906" s="7">
        <v>794.88</v>
      </c>
      <c r="I2906">
        <v>6</v>
      </c>
      <c r="J2906" t="s">
        <v>16</v>
      </c>
      <c r="K2906" s="13">
        <f>ROUND(tblTransactions[[#This Row],[gross_sales_inr]]*(1-tblTransactions[[#This Row],[discount_pct]]),2)</f>
        <v>794.88</v>
      </c>
      <c r="L2906" t="str">
        <f>IF(ABS(tblTransactions[[#This Row],[net_sales_inr]]-tblTransactions[[#This Row],[Recalc_Net_Sales]])&lt;0.02,"OK","CHECK")</f>
        <v>OK</v>
      </c>
      <c r="M2906" s="14">
        <f>DATE(YEAR(tblTransactions[[#This Row],[date]]),MONTH(tblTransactions[[#This Row],[date]]),1)</f>
        <v>45717</v>
      </c>
      <c r="N2906" t="str">
        <f>IF(WEEKDAY(tblTransactions[[#This Row],[date]],2)&gt;5,"Weekend","Weekday")</f>
        <v>Weekday</v>
      </c>
      <c r="O2906" s="13" t="str">
        <f>IF(tblTransactions[[#This Row],[discount_pct]]=0,"0%",IF(tblTransactions[[#This Row],[discount_pct]]&lt;=10%,"1–
10%",IF(tblTransactions[[#This Row],[discount_pct]]&lt;=20%,"11–20%","&gt;20%")))</f>
        <v>0%</v>
      </c>
      <c r="P2906" s="13" t="str">
        <f>_xlfn.XLOOKUP(tblTransactions[[#This Row],[tenant_id]],tblTenants[tenant_id],tblTenants[zone],"NOT FOUND")</f>
        <v>Home &amp; Living</v>
      </c>
      <c r="Q2906" s="13" t="str">
        <f>_xlfn.XLOOKUP(tblTransactions[[#This Row],[tenant_id]],tblTenants[tenant_id],tblTenants[category],"NOT FOUND")</f>
        <v>Home Decor</v>
      </c>
    </row>
    <row r="2907" spans="1:17">
      <c r="A2907" t="s">
        <v>2951</v>
      </c>
      <c r="B2907" s="2">
        <v>45660</v>
      </c>
      <c r="C2907">
        <v>12</v>
      </c>
      <c r="D2907" t="s">
        <v>27</v>
      </c>
      <c r="E2907" t="s">
        <v>32</v>
      </c>
      <c r="F2907" s="7">
        <v>417.28</v>
      </c>
      <c r="G2907" s="10">
        <v>0</v>
      </c>
      <c r="H2907" s="7">
        <v>417.28</v>
      </c>
      <c r="I2907">
        <v>2</v>
      </c>
      <c r="J2907" t="s">
        <v>13</v>
      </c>
      <c r="K2907" s="13">
        <f>ROUND(tblTransactions[[#This Row],[gross_sales_inr]]*(1-tblTransactions[[#This Row],[discount_pct]]),2)</f>
        <v>417.28</v>
      </c>
      <c r="L2907" t="str">
        <f>IF(ABS(tblTransactions[[#This Row],[net_sales_inr]]-tblTransactions[[#This Row],[Recalc_Net_Sales]])&lt;0.02,"OK","CHECK")</f>
        <v>OK</v>
      </c>
      <c r="M2907" s="14">
        <f>DATE(YEAR(tblTransactions[[#This Row],[date]]),MONTH(tblTransactions[[#This Row],[date]]),1)</f>
        <v>45658</v>
      </c>
      <c r="N2907" t="str">
        <f>IF(WEEKDAY(tblTransactions[[#This Row],[date]],2)&gt;5,"Weekend","Weekday")</f>
        <v>Weekday</v>
      </c>
      <c r="O2907" s="13" t="str">
        <f>IF(tblTransactions[[#This Row],[discount_pct]]=0,"0%",IF(tblTransactions[[#This Row],[discount_pct]]&lt;=10%,"1–
10%",IF(tblTransactions[[#This Row],[discount_pct]]&lt;=20%,"11–20%","&gt;20%")))</f>
        <v>0%</v>
      </c>
      <c r="P2907" s="13" t="str">
        <f>_xlfn.XLOOKUP(tblTransactions[[#This Row],[tenant_id]],tblTenants[tenant_id],tblTenants[zone],"NOT FOUND")</f>
        <v>Beauty &amp; Wellness</v>
      </c>
      <c r="Q2907" s="13" t="str">
        <f>_xlfn.XLOOKUP(tblTransactions[[#This Row],[tenant_id]],tblTenants[tenant_id],tblTenants[category],"NOT FOUND")</f>
        <v>Wellness</v>
      </c>
    </row>
    <row r="2908" spans="1:17">
      <c r="A2908" t="s">
        <v>2952</v>
      </c>
      <c r="B2908" s="2">
        <v>45754</v>
      </c>
      <c r="C2908">
        <v>19</v>
      </c>
      <c r="D2908" t="s">
        <v>72</v>
      </c>
      <c r="E2908" t="s">
        <v>12</v>
      </c>
      <c r="F2908" s="7">
        <v>1260.72</v>
      </c>
      <c r="G2908" s="10">
        <v>0</v>
      </c>
      <c r="H2908" s="7">
        <v>1260.72</v>
      </c>
      <c r="I2908">
        <v>4</v>
      </c>
      <c r="J2908" t="s">
        <v>16</v>
      </c>
      <c r="K2908" s="13">
        <f>ROUND(tblTransactions[[#This Row],[gross_sales_inr]]*(1-tblTransactions[[#This Row],[discount_pct]]),2)</f>
        <v>1260.72</v>
      </c>
      <c r="L2908" t="str">
        <f>IF(ABS(tblTransactions[[#This Row],[net_sales_inr]]-tblTransactions[[#This Row],[Recalc_Net_Sales]])&lt;0.02,"OK","CHECK")</f>
        <v>OK</v>
      </c>
      <c r="M2908" s="14">
        <f>DATE(YEAR(tblTransactions[[#This Row],[date]]),MONTH(tblTransactions[[#This Row],[date]]),1)</f>
        <v>45748</v>
      </c>
      <c r="N2908" t="str">
        <f>IF(WEEKDAY(tblTransactions[[#This Row],[date]],2)&gt;5,"Weekend","Weekday")</f>
        <v>Weekday</v>
      </c>
      <c r="O2908" s="13" t="str">
        <f>IF(tblTransactions[[#This Row],[discount_pct]]=0,"0%",IF(tblTransactions[[#This Row],[discount_pct]]&lt;=10%,"1–
10%",IF(tblTransactions[[#This Row],[discount_pct]]&lt;=20%,"11–20%","&gt;20%")))</f>
        <v>0%</v>
      </c>
      <c r="P2908" s="13" t="str">
        <f>_xlfn.XLOOKUP(tblTransactions[[#This Row],[tenant_id]],tblTenants[tenant_id],tblTenants[zone],"NOT FOUND")</f>
        <v>Entertainment</v>
      </c>
      <c r="Q2908" s="13" t="str">
        <f>_xlfn.XLOOKUP(tblTransactions[[#This Row],[tenant_id]],tblTenants[tenant_id],tblTenants[category],"NOT FOUND")</f>
        <v>Arcade</v>
      </c>
    </row>
    <row r="2909" spans="1:17">
      <c r="A2909" t="s">
        <v>2953</v>
      </c>
      <c r="B2909" s="2">
        <v>45743</v>
      </c>
      <c r="C2909">
        <v>18</v>
      </c>
      <c r="D2909" t="s">
        <v>23</v>
      </c>
      <c r="E2909" t="s">
        <v>12</v>
      </c>
      <c r="F2909" s="7">
        <v>2200.94</v>
      </c>
      <c r="G2909" s="10">
        <v>0.05</v>
      </c>
      <c r="H2909" s="7">
        <v>2090.89</v>
      </c>
      <c r="I2909">
        <v>2</v>
      </c>
      <c r="J2909" t="s">
        <v>13</v>
      </c>
      <c r="K2909" s="13">
        <f>ROUND(tblTransactions[[#This Row],[gross_sales_inr]]*(1-tblTransactions[[#This Row],[discount_pct]]),2)</f>
        <v>2090.89</v>
      </c>
      <c r="L2909" t="str">
        <f>IF(ABS(tblTransactions[[#This Row],[net_sales_inr]]-tblTransactions[[#This Row],[Recalc_Net_Sales]])&lt;0.02,"OK","CHECK")</f>
        <v>OK</v>
      </c>
      <c r="M2909" s="14">
        <f>DATE(YEAR(tblTransactions[[#This Row],[date]]),MONTH(tblTransactions[[#This Row],[date]]),1)</f>
        <v>45717</v>
      </c>
      <c r="N2909" t="str">
        <f>IF(WEEKDAY(tblTransactions[[#This Row],[date]],2)&gt;5,"Weekend","Weekday")</f>
        <v>Weekday</v>
      </c>
      <c r="O290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09" s="13" t="str">
        <f>_xlfn.XLOOKUP(tblTransactions[[#This Row],[tenant_id]],tblTenants[tenant_id],tblTenants[zone],"NOT FOUND")</f>
        <v>Entertainment</v>
      </c>
      <c r="Q2909" s="13" t="str">
        <f>_xlfn.XLOOKUP(tblTransactions[[#This Row],[tenant_id]],tblTenants[tenant_id],tblTenants[category],"NOT FOUND")</f>
        <v>Cinema</v>
      </c>
    </row>
    <row r="2910" spans="1:17">
      <c r="A2910" t="s">
        <v>2954</v>
      </c>
      <c r="B2910" s="2">
        <v>45664</v>
      </c>
      <c r="C2910">
        <v>22</v>
      </c>
      <c r="D2910" t="s">
        <v>29</v>
      </c>
      <c r="E2910" t="s">
        <v>32</v>
      </c>
      <c r="F2910" s="7">
        <v>3367.87</v>
      </c>
      <c r="G2910" s="10">
        <v>0</v>
      </c>
      <c r="H2910" s="7">
        <v>3367.87</v>
      </c>
      <c r="I2910">
        <v>3</v>
      </c>
      <c r="J2910" t="s">
        <v>13</v>
      </c>
      <c r="K2910" s="13">
        <f>ROUND(tblTransactions[[#This Row],[gross_sales_inr]]*(1-tblTransactions[[#This Row],[discount_pct]]),2)</f>
        <v>3367.87</v>
      </c>
      <c r="L2910" t="str">
        <f>IF(ABS(tblTransactions[[#This Row],[net_sales_inr]]-tblTransactions[[#This Row],[Recalc_Net_Sales]])&lt;0.02,"OK","CHECK")</f>
        <v>OK</v>
      </c>
      <c r="M2910" s="14">
        <f>DATE(YEAR(tblTransactions[[#This Row],[date]]),MONTH(tblTransactions[[#This Row],[date]]),1)</f>
        <v>45658</v>
      </c>
      <c r="N2910" t="str">
        <f>IF(WEEKDAY(tblTransactions[[#This Row],[date]],2)&gt;5,"Weekend","Weekday")</f>
        <v>Weekday</v>
      </c>
      <c r="O2910" s="13" t="str">
        <f>IF(tblTransactions[[#This Row],[discount_pct]]=0,"0%",IF(tblTransactions[[#This Row],[discount_pct]]&lt;=10%,"1–
10%",IF(tblTransactions[[#This Row],[discount_pct]]&lt;=20%,"11–20%","&gt;20%")))</f>
        <v>0%</v>
      </c>
      <c r="P2910" s="13" t="str">
        <f>_xlfn.XLOOKUP(tblTransactions[[#This Row],[tenant_id]],tblTenants[tenant_id],tblTenants[zone],"NOT FOUND")</f>
        <v>Entertainment</v>
      </c>
      <c r="Q2910" s="13" t="str">
        <f>_xlfn.XLOOKUP(tblTransactions[[#This Row],[tenant_id]],tblTenants[tenant_id],tblTenants[category],"NOT FOUND")</f>
        <v>Cinema</v>
      </c>
    </row>
    <row r="2911" spans="1:17">
      <c r="A2911" t="s">
        <v>2955</v>
      </c>
      <c r="B2911" s="2">
        <v>45812</v>
      </c>
      <c r="C2911">
        <v>18</v>
      </c>
      <c r="D2911" t="s">
        <v>85</v>
      </c>
      <c r="E2911" t="s">
        <v>32</v>
      </c>
      <c r="F2911" s="7">
        <v>938.76</v>
      </c>
      <c r="G2911" s="10">
        <v>0</v>
      </c>
      <c r="H2911" s="7">
        <v>938.76</v>
      </c>
      <c r="I2911">
        <v>2</v>
      </c>
      <c r="J2911" t="s">
        <v>16</v>
      </c>
      <c r="K2911" s="13">
        <f>ROUND(tblTransactions[[#This Row],[gross_sales_inr]]*(1-tblTransactions[[#This Row],[discount_pct]]),2)</f>
        <v>938.76</v>
      </c>
      <c r="L2911" t="str">
        <f>IF(ABS(tblTransactions[[#This Row],[net_sales_inr]]-tblTransactions[[#This Row],[Recalc_Net_Sales]])&lt;0.02,"OK","CHECK")</f>
        <v>OK</v>
      </c>
      <c r="M2911" s="14">
        <f>DATE(YEAR(tblTransactions[[#This Row],[date]]),MONTH(tblTransactions[[#This Row],[date]]),1)</f>
        <v>45809</v>
      </c>
      <c r="N2911" t="str">
        <f>IF(WEEKDAY(tblTransactions[[#This Row],[date]],2)&gt;5,"Weekend","Weekday")</f>
        <v>Weekday</v>
      </c>
      <c r="O2911" s="13" t="str">
        <f>IF(tblTransactions[[#This Row],[discount_pct]]=0,"0%",IF(tblTransactions[[#This Row],[discount_pct]]&lt;=10%,"1–
10%",IF(tblTransactions[[#This Row],[discount_pct]]&lt;=20%,"11–20%","&gt;20%")))</f>
        <v>0%</v>
      </c>
      <c r="P2911" s="13" t="str">
        <f>_xlfn.XLOOKUP(tblTransactions[[#This Row],[tenant_id]],tblTenants[tenant_id],tblTenants[zone],"NOT FOUND")</f>
        <v>Home &amp; Living</v>
      </c>
      <c r="Q2911" s="13" t="str">
        <f>_xlfn.XLOOKUP(tblTransactions[[#This Row],[tenant_id]],tblTenants[tenant_id],tblTenants[category],"NOT FOUND")</f>
        <v>Electronics</v>
      </c>
    </row>
    <row r="2912" spans="1:17">
      <c r="A2912" t="s">
        <v>2956</v>
      </c>
      <c r="B2912" s="2">
        <v>45776</v>
      </c>
      <c r="C2912">
        <v>12</v>
      </c>
      <c r="D2912" t="s">
        <v>63</v>
      </c>
      <c r="E2912" t="s">
        <v>21</v>
      </c>
      <c r="F2912" s="7">
        <v>1586.66</v>
      </c>
      <c r="G2912" s="10">
        <v>0</v>
      </c>
      <c r="H2912" s="7">
        <v>1586.66</v>
      </c>
      <c r="I2912">
        <v>1</v>
      </c>
      <c r="J2912" t="s">
        <v>13</v>
      </c>
      <c r="K2912" s="13">
        <f>ROUND(tblTransactions[[#This Row],[gross_sales_inr]]*(1-tblTransactions[[#This Row],[discount_pct]]),2)</f>
        <v>1586.66</v>
      </c>
      <c r="L2912" t="str">
        <f>IF(ABS(tblTransactions[[#This Row],[net_sales_inr]]-tblTransactions[[#This Row],[Recalc_Net_Sales]])&lt;0.02,"OK","CHECK")</f>
        <v>OK</v>
      </c>
      <c r="M2912" s="14">
        <f>DATE(YEAR(tblTransactions[[#This Row],[date]]),MONTH(tblTransactions[[#This Row],[date]]),1)</f>
        <v>45748</v>
      </c>
      <c r="N2912" t="str">
        <f>IF(WEEKDAY(tblTransactions[[#This Row],[date]],2)&gt;5,"Weekend","Weekday")</f>
        <v>Weekday</v>
      </c>
      <c r="O2912" s="13" t="str">
        <f>IF(tblTransactions[[#This Row],[discount_pct]]=0,"0%",IF(tblTransactions[[#This Row],[discount_pct]]&lt;=10%,"1–
10%",IF(tblTransactions[[#This Row],[discount_pct]]&lt;=20%,"11–20%","&gt;20%")))</f>
        <v>0%</v>
      </c>
      <c r="P2912" s="13" t="str">
        <f>_xlfn.XLOOKUP(tblTransactions[[#This Row],[tenant_id]],tblTenants[tenant_id],tblTenants[zone],"NOT FOUND")</f>
        <v>Entertainment</v>
      </c>
      <c r="Q2912" s="13" t="str">
        <f>_xlfn.XLOOKUP(tblTransactions[[#This Row],[tenant_id]],tblTenants[tenant_id],tblTenants[category],"NOT FOUND")</f>
        <v>Family Entertainment</v>
      </c>
    </row>
    <row r="2913" spans="1:17">
      <c r="A2913" t="s">
        <v>2957</v>
      </c>
      <c r="B2913" s="2">
        <v>45802</v>
      </c>
      <c r="C2913">
        <v>10</v>
      </c>
      <c r="D2913" t="s">
        <v>98</v>
      </c>
      <c r="E2913" t="s">
        <v>32</v>
      </c>
      <c r="F2913" s="7">
        <v>641.14</v>
      </c>
      <c r="G2913" s="10">
        <v>0.05</v>
      </c>
      <c r="H2913" s="7">
        <v>609.08000000000004</v>
      </c>
      <c r="I2913">
        <v>2</v>
      </c>
      <c r="J2913" t="s">
        <v>16</v>
      </c>
      <c r="K2913" s="13">
        <f>ROUND(tblTransactions[[#This Row],[gross_sales_inr]]*(1-tblTransactions[[#This Row],[discount_pct]]),2)</f>
        <v>609.08000000000004</v>
      </c>
      <c r="L2913" t="str">
        <f>IF(ABS(tblTransactions[[#This Row],[net_sales_inr]]-tblTransactions[[#This Row],[Recalc_Net_Sales]])&lt;0.02,"OK","CHECK")</f>
        <v>OK</v>
      </c>
      <c r="M2913" s="14">
        <f>DATE(YEAR(tblTransactions[[#This Row],[date]]),MONTH(tblTransactions[[#This Row],[date]]),1)</f>
        <v>45778</v>
      </c>
      <c r="N2913" t="str">
        <f>IF(WEEKDAY(tblTransactions[[#This Row],[date]],2)&gt;5,"Weekend","Weekday")</f>
        <v>Weekend</v>
      </c>
      <c r="O291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13" s="13" t="str">
        <f>_xlfn.XLOOKUP(tblTransactions[[#This Row],[tenant_id]],tblTenants[tenant_id],tblTenants[zone],"NOT FOUND")</f>
        <v>Fashion Avenue</v>
      </c>
      <c r="Q2913" s="13" t="str">
        <f>_xlfn.XLOOKUP(tblTransactions[[#This Row],[tenant_id]],tblTenants[tenant_id],tblTenants[category],"NOT FOUND")</f>
        <v>Accessories</v>
      </c>
    </row>
    <row r="2914" spans="1:17">
      <c r="A2914" t="s">
        <v>2958</v>
      </c>
      <c r="B2914" s="2">
        <v>45781</v>
      </c>
      <c r="C2914">
        <v>17</v>
      </c>
      <c r="D2914" t="s">
        <v>87</v>
      </c>
      <c r="E2914" t="s">
        <v>32</v>
      </c>
      <c r="F2914" s="7">
        <v>939.1</v>
      </c>
      <c r="G2914" s="10">
        <v>0</v>
      </c>
      <c r="H2914" s="7">
        <v>939.1</v>
      </c>
      <c r="I2914">
        <v>1</v>
      </c>
      <c r="J2914" t="s">
        <v>13</v>
      </c>
      <c r="K2914" s="13">
        <f>ROUND(tblTransactions[[#This Row],[gross_sales_inr]]*(1-tblTransactions[[#This Row],[discount_pct]]),2)</f>
        <v>939.1</v>
      </c>
      <c r="L2914" t="str">
        <f>IF(ABS(tblTransactions[[#This Row],[net_sales_inr]]-tblTransactions[[#This Row],[Recalc_Net_Sales]])&lt;0.02,"OK","CHECK")</f>
        <v>OK</v>
      </c>
      <c r="M2914" s="14">
        <f>DATE(YEAR(tblTransactions[[#This Row],[date]]),MONTH(tblTransactions[[#This Row],[date]]),1)</f>
        <v>45778</v>
      </c>
      <c r="N2914" t="str">
        <f>IF(WEEKDAY(tblTransactions[[#This Row],[date]],2)&gt;5,"Weekend","Weekday")</f>
        <v>Weekend</v>
      </c>
      <c r="O2914" s="13" t="str">
        <f>IF(tblTransactions[[#This Row],[discount_pct]]=0,"0%",IF(tblTransactions[[#This Row],[discount_pct]]&lt;=10%,"1–
10%",IF(tblTransactions[[#This Row],[discount_pct]]&lt;=20%,"11–20%","&gt;20%")))</f>
        <v>0%</v>
      </c>
      <c r="P2914" s="13" t="str">
        <f>_xlfn.XLOOKUP(tblTransactions[[#This Row],[tenant_id]],tblTenants[tenant_id],tblTenants[zone],"NOT FOUND")</f>
        <v>Fashion Avenue</v>
      </c>
      <c r="Q2914" s="13" t="str">
        <f>_xlfn.XLOOKUP(tblTransactions[[#This Row],[tenant_id]],tblTenants[tenant_id],tblTenants[category],"NOT FOUND")</f>
        <v>Footwear</v>
      </c>
    </row>
    <row r="2915" spans="1:17">
      <c r="A2915" t="s">
        <v>2959</v>
      </c>
      <c r="B2915" s="2">
        <v>45732</v>
      </c>
      <c r="C2915">
        <v>14</v>
      </c>
      <c r="D2915" t="s">
        <v>20</v>
      </c>
      <c r="E2915" t="s">
        <v>12</v>
      </c>
      <c r="F2915" s="7">
        <v>1146.51</v>
      </c>
      <c r="G2915" s="10">
        <v>0.2</v>
      </c>
      <c r="H2915" s="7">
        <v>917.21</v>
      </c>
      <c r="I2915">
        <v>2</v>
      </c>
      <c r="J2915" t="s">
        <v>13</v>
      </c>
      <c r="K2915" s="13">
        <f>ROUND(tblTransactions[[#This Row],[gross_sales_inr]]*(1-tblTransactions[[#This Row],[discount_pct]]),2)</f>
        <v>917.21</v>
      </c>
      <c r="L2915" t="str">
        <f>IF(ABS(tblTransactions[[#This Row],[net_sales_inr]]-tblTransactions[[#This Row],[Recalc_Net_Sales]])&lt;0.02,"OK","CHECK")</f>
        <v>OK</v>
      </c>
      <c r="M2915" s="14">
        <f>DATE(YEAR(tblTransactions[[#This Row],[date]]),MONTH(tblTransactions[[#This Row],[date]]),1)</f>
        <v>45717</v>
      </c>
      <c r="N2915" t="str">
        <f>IF(WEEKDAY(tblTransactions[[#This Row],[date]],2)&gt;5,"Weekend","Weekday")</f>
        <v>Weekend</v>
      </c>
      <c r="O291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15" s="13" t="str">
        <f>_xlfn.XLOOKUP(tblTransactions[[#This Row],[tenant_id]],tblTenants[tenant_id],tblTenants[zone],"NOT FOUND")</f>
        <v>Fashion Avenue</v>
      </c>
      <c r="Q2915" s="13" t="str">
        <f>_xlfn.XLOOKUP(tblTransactions[[#This Row],[tenant_id]],tblTenants[tenant_id],tblTenants[category],"NOT FOUND")</f>
        <v>Accessories</v>
      </c>
    </row>
    <row r="2916" spans="1:17">
      <c r="A2916" t="s">
        <v>2960</v>
      </c>
      <c r="B2916" s="2">
        <v>45775</v>
      </c>
      <c r="C2916">
        <v>15</v>
      </c>
      <c r="D2916" t="s">
        <v>204</v>
      </c>
      <c r="E2916" t="s">
        <v>51</v>
      </c>
      <c r="F2916" s="7">
        <v>1274.8599999999999</v>
      </c>
      <c r="G2916" s="10">
        <v>0.2</v>
      </c>
      <c r="H2916" s="7">
        <v>1019.89</v>
      </c>
      <c r="I2916">
        <v>2</v>
      </c>
      <c r="J2916" t="s">
        <v>13</v>
      </c>
      <c r="K2916" s="13">
        <f>ROUND(tblTransactions[[#This Row],[gross_sales_inr]]*(1-tblTransactions[[#This Row],[discount_pct]]),2)</f>
        <v>1019.89</v>
      </c>
      <c r="L2916" t="str">
        <f>IF(ABS(tblTransactions[[#This Row],[net_sales_inr]]-tblTransactions[[#This Row],[Recalc_Net_Sales]])&lt;0.02,"OK","CHECK")</f>
        <v>OK</v>
      </c>
      <c r="M2916" s="14">
        <f>DATE(YEAR(tblTransactions[[#This Row],[date]]),MONTH(tblTransactions[[#This Row],[date]]),1)</f>
        <v>45748</v>
      </c>
      <c r="N2916" t="str">
        <f>IF(WEEKDAY(tblTransactions[[#This Row],[date]],2)&gt;5,"Weekend","Weekday")</f>
        <v>Weekday</v>
      </c>
      <c r="O291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16" s="13" t="str">
        <f>_xlfn.XLOOKUP(tblTransactions[[#This Row],[tenant_id]],tblTenants[tenant_id],tblTenants[zone],"NOT FOUND")</f>
        <v>Home &amp; Living</v>
      </c>
      <c r="Q2916" s="13" t="str">
        <f>_xlfn.XLOOKUP(tblTransactions[[#This Row],[tenant_id]],tblTenants[tenant_id],tblTenants[category],"NOT FOUND")</f>
        <v>Home Decor</v>
      </c>
    </row>
    <row r="2917" spans="1:17">
      <c r="A2917" t="s">
        <v>2961</v>
      </c>
      <c r="B2917" s="2">
        <v>45804</v>
      </c>
      <c r="C2917">
        <v>12</v>
      </c>
      <c r="D2917" t="s">
        <v>53</v>
      </c>
      <c r="E2917" t="s">
        <v>12</v>
      </c>
      <c r="F2917" s="7">
        <v>4829.1499999999996</v>
      </c>
      <c r="G2917" s="10">
        <v>0.1</v>
      </c>
      <c r="H2917" s="7">
        <v>4346.2299999999996</v>
      </c>
      <c r="I2917">
        <v>4</v>
      </c>
      <c r="J2917" t="s">
        <v>13</v>
      </c>
      <c r="K2917" s="13">
        <f>ROUND(tblTransactions[[#This Row],[gross_sales_inr]]*(1-tblTransactions[[#This Row],[discount_pct]]),2)</f>
        <v>4346.24</v>
      </c>
      <c r="L2917" t="str">
        <f>IF(ABS(tblTransactions[[#This Row],[net_sales_inr]]-tblTransactions[[#This Row],[Recalc_Net_Sales]])&lt;0.02,"OK","CHECK")</f>
        <v>OK</v>
      </c>
      <c r="M2917" s="14">
        <f>DATE(YEAR(tblTransactions[[#This Row],[date]]),MONTH(tblTransactions[[#This Row],[date]]),1)</f>
        <v>45778</v>
      </c>
      <c r="N2917" t="str">
        <f>IF(WEEKDAY(tblTransactions[[#This Row],[date]],2)&gt;5,"Weekend","Weekday")</f>
        <v>Weekday</v>
      </c>
      <c r="O291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17" s="13" t="str">
        <f>_xlfn.XLOOKUP(tblTransactions[[#This Row],[tenant_id]],tblTenants[tenant_id],tblTenants[zone],"NOT FOUND")</f>
        <v>Beauty &amp; Wellness</v>
      </c>
      <c r="Q2917" s="13" t="str">
        <f>_xlfn.XLOOKUP(tblTransactions[[#This Row],[tenant_id]],tblTenants[tenant_id],tblTenants[category],"NOT FOUND")</f>
        <v>Beauty</v>
      </c>
    </row>
    <row r="2918" spans="1:17">
      <c r="A2918" t="s">
        <v>2962</v>
      </c>
      <c r="B2918" s="2">
        <v>45727</v>
      </c>
      <c r="C2918">
        <v>16</v>
      </c>
      <c r="D2918" t="s">
        <v>85</v>
      </c>
      <c r="E2918" t="s">
        <v>32</v>
      </c>
      <c r="F2918" s="7">
        <v>816.6</v>
      </c>
      <c r="G2918" s="10">
        <v>0.2</v>
      </c>
      <c r="H2918" s="7">
        <v>653.28</v>
      </c>
      <c r="I2918">
        <v>3</v>
      </c>
      <c r="J2918" t="s">
        <v>16</v>
      </c>
      <c r="K2918" s="13">
        <f>ROUND(tblTransactions[[#This Row],[gross_sales_inr]]*(1-tblTransactions[[#This Row],[discount_pct]]),2)</f>
        <v>653.28</v>
      </c>
      <c r="L2918" t="str">
        <f>IF(ABS(tblTransactions[[#This Row],[net_sales_inr]]-tblTransactions[[#This Row],[Recalc_Net_Sales]])&lt;0.02,"OK","CHECK")</f>
        <v>OK</v>
      </c>
      <c r="M2918" s="14">
        <f>DATE(YEAR(tblTransactions[[#This Row],[date]]),MONTH(tblTransactions[[#This Row],[date]]),1)</f>
        <v>45717</v>
      </c>
      <c r="N2918" t="str">
        <f>IF(WEEKDAY(tblTransactions[[#This Row],[date]],2)&gt;5,"Weekend","Weekday")</f>
        <v>Weekday</v>
      </c>
      <c r="O291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18" s="13" t="str">
        <f>_xlfn.XLOOKUP(tblTransactions[[#This Row],[tenant_id]],tblTenants[tenant_id],tblTenants[zone],"NOT FOUND")</f>
        <v>Home &amp; Living</v>
      </c>
      <c r="Q2918" s="13" t="str">
        <f>_xlfn.XLOOKUP(tblTransactions[[#This Row],[tenant_id]],tblTenants[tenant_id],tblTenants[category],"NOT FOUND")</f>
        <v>Electronics</v>
      </c>
    </row>
    <row r="2919" spans="1:17">
      <c r="A2919" t="s">
        <v>2963</v>
      </c>
      <c r="B2919" s="2">
        <v>45756</v>
      </c>
      <c r="C2919">
        <v>10</v>
      </c>
      <c r="D2919" t="s">
        <v>55</v>
      </c>
      <c r="E2919" t="s">
        <v>51</v>
      </c>
      <c r="F2919" s="7">
        <v>369.38</v>
      </c>
      <c r="G2919" s="10">
        <v>0.2</v>
      </c>
      <c r="H2919" s="7">
        <v>295.5</v>
      </c>
      <c r="I2919">
        <v>1</v>
      </c>
      <c r="J2919" t="s">
        <v>16</v>
      </c>
      <c r="K2919" s="13">
        <f>ROUND(tblTransactions[[#This Row],[gross_sales_inr]]*(1-tblTransactions[[#This Row],[discount_pct]]),2)</f>
        <v>295.5</v>
      </c>
      <c r="L2919" t="str">
        <f>IF(ABS(tblTransactions[[#This Row],[net_sales_inr]]-tblTransactions[[#This Row],[Recalc_Net_Sales]])&lt;0.02,"OK","CHECK")</f>
        <v>OK</v>
      </c>
      <c r="M2919" s="14">
        <f>DATE(YEAR(tblTransactions[[#This Row],[date]]),MONTH(tblTransactions[[#This Row],[date]]),1)</f>
        <v>45748</v>
      </c>
      <c r="N2919" t="str">
        <f>IF(WEEKDAY(tblTransactions[[#This Row],[date]],2)&gt;5,"Weekend","Weekday")</f>
        <v>Weekday</v>
      </c>
      <c r="O291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19" s="13" t="str">
        <f>_xlfn.XLOOKUP(tblTransactions[[#This Row],[tenant_id]],tblTenants[tenant_id],tblTenants[zone],"NOT FOUND")</f>
        <v>Food Court</v>
      </c>
      <c r="Q2919" s="13" t="str">
        <f>_xlfn.XLOOKUP(tblTransactions[[#This Row],[tenant_id]],tblTenants[tenant_id],tblTenants[category],"NOT FOUND")</f>
        <v>Quick Service</v>
      </c>
    </row>
    <row r="2920" spans="1:17">
      <c r="A2920" t="s">
        <v>2964</v>
      </c>
      <c r="B2920" s="2">
        <v>45765</v>
      </c>
      <c r="C2920">
        <v>10</v>
      </c>
      <c r="D2920" t="s">
        <v>72</v>
      </c>
      <c r="E2920" t="s">
        <v>21</v>
      </c>
      <c r="F2920" s="7">
        <v>770.03</v>
      </c>
      <c r="G2920" s="10">
        <v>0.05</v>
      </c>
      <c r="H2920" s="7">
        <v>731.53</v>
      </c>
      <c r="I2920">
        <v>2</v>
      </c>
      <c r="J2920" t="s">
        <v>16</v>
      </c>
      <c r="K2920" s="13">
        <f>ROUND(tblTransactions[[#This Row],[gross_sales_inr]]*(1-tblTransactions[[#This Row],[discount_pct]]),2)</f>
        <v>731.53</v>
      </c>
      <c r="L2920" t="str">
        <f>IF(ABS(tblTransactions[[#This Row],[net_sales_inr]]-tblTransactions[[#This Row],[Recalc_Net_Sales]])&lt;0.02,"OK","CHECK")</f>
        <v>OK</v>
      </c>
      <c r="M2920" s="14">
        <f>DATE(YEAR(tblTransactions[[#This Row],[date]]),MONTH(tblTransactions[[#This Row],[date]]),1)</f>
        <v>45748</v>
      </c>
      <c r="N2920" t="str">
        <f>IF(WEEKDAY(tblTransactions[[#This Row],[date]],2)&gt;5,"Weekend","Weekday")</f>
        <v>Weekday</v>
      </c>
      <c r="O292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20" s="13" t="str">
        <f>_xlfn.XLOOKUP(tblTransactions[[#This Row],[tenant_id]],tblTenants[tenant_id],tblTenants[zone],"NOT FOUND")</f>
        <v>Entertainment</v>
      </c>
      <c r="Q2920" s="13" t="str">
        <f>_xlfn.XLOOKUP(tblTransactions[[#This Row],[tenant_id]],tblTenants[tenant_id],tblTenants[category],"NOT FOUND")</f>
        <v>Arcade</v>
      </c>
    </row>
    <row r="2921" spans="1:17">
      <c r="A2921" t="s">
        <v>2965</v>
      </c>
      <c r="B2921" s="2">
        <v>45719</v>
      </c>
      <c r="C2921">
        <v>16</v>
      </c>
      <c r="D2921" t="s">
        <v>31</v>
      </c>
      <c r="E2921" t="s">
        <v>32</v>
      </c>
      <c r="F2921" s="7">
        <v>434.35</v>
      </c>
      <c r="G2921" s="10">
        <v>0.15</v>
      </c>
      <c r="H2921" s="7">
        <v>369.2</v>
      </c>
      <c r="I2921">
        <v>3</v>
      </c>
      <c r="J2921" t="s">
        <v>13</v>
      </c>
      <c r="K2921" s="13">
        <f>ROUND(tblTransactions[[#This Row],[gross_sales_inr]]*(1-tblTransactions[[#This Row],[discount_pct]]),2)</f>
        <v>369.2</v>
      </c>
      <c r="L2921" t="str">
        <f>IF(ABS(tblTransactions[[#This Row],[net_sales_inr]]-tblTransactions[[#This Row],[Recalc_Net_Sales]])&lt;0.02,"OK","CHECK")</f>
        <v>OK</v>
      </c>
      <c r="M2921" s="14">
        <f>DATE(YEAR(tblTransactions[[#This Row],[date]]),MONTH(tblTransactions[[#This Row],[date]]),1)</f>
        <v>45717</v>
      </c>
      <c r="N2921" t="str">
        <f>IF(WEEKDAY(tblTransactions[[#This Row],[date]],2)&gt;5,"Weekend","Weekday")</f>
        <v>Weekday</v>
      </c>
      <c r="O292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21" s="13" t="str">
        <f>_xlfn.XLOOKUP(tblTransactions[[#This Row],[tenant_id]],tblTenants[tenant_id],tblTenants[zone],"NOT FOUND")</f>
        <v>Entertainment</v>
      </c>
      <c r="Q2921" s="13" t="str">
        <f>_xlfn.XLOOKUP(tblTransactions[[#This Row],[tenant_id]],tblTenants[tenant_id],tblTenants[category],"NOT FOUND")</f>
        <v>Arcade</v>
      </c>
    </row>
    <row r="2922" spans="1:17">
      <c r="A2922" t="s">
        <v>2966</v>
      </c>
      <c r="B2922" s="2">
        <v>45762</v>
      </c>
      <c r="C2922">
        <v>11</v>
      </c>
      <c r="D2922" t="s">
        <v>36</v>
      </c>
      <c r="E2922" t="s">
        <v>32</v>
      </c>
      <c r="F2922" s="7">
        <v>757.59</v>
      </c>
      <c r="G2922" s="10">
        <v>0.2</v>
      </c>
      <c r="H2922" s="7">
        <v>606.07000000000005</v>
      </c>
      <c r="I2922">
        <v>2</v>
      </c>
      <c r="J2922" t="s">
        <v>13</v>
      </c>
      <c r="K2922" s="13">
        <f>ROUND(tblTransactions[[#This Row],[gross_sales_inr]]*(1-tblTransactions[[#This Row],[discount_pct]]),2)</f>
        <v>606.07000000000005</v>
      </c>
      <c r="L2922" t="str">
        <f>IF(ABS(tblTransactions[[#This Row],[net_sales_inr]]-tblTransactions[[#This Row],[Recalc_Net_Sales]])&lt;0.02,"OK","CHECK")</f>
        <v>OK</v>
      </c>
      <c r="M2922" s="14">
        <f>DATE(YEAR(tblTransactions[[#This Row],[date]]),MONTH(tblTransactions[[#This Row],[date]]),1)</f>
        <v>45748</v>
      </c>
      <c r="N2922" t="str">
        <f>IF(WEEKDAY(tblTransactions[[#This Row],[date]],2)&gt;5,"Weekend","Weekday")</f>
        <v>Weekday</v>
      </c>
      <c r="O292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22" s="13" t="str">
        <f>_xlfn.XLOOKUP(tblTransactions[[#This Row],[tenant_id]],tblTenants[tenant_id],tblTenants[zone],"NOT FOUND")</f>
        <v>Home &amp; Living</v>
      </c>
      <c r="Q2922" s="13" t="str">
        <f>_xlfn.XLOOKUP(tblTransactions[[#This Row],[tenant_id]],tblTenants[tenant_id],tblTenants[category],"NOT FOUND")</f>
        <v>Electronics</v>
      </c>
    </row>
    <row r="2923" spans="1:17">
      <c r="A2923" t="s">
        <v>2967</v>
      </c>
      <c r="B2923" s="2">
        <v>45732</v>
      </c>
      <c r="C2923">
        <v>20</v>
      </c>
      <c r="D2923" t="s">
        <v>29</v>
      </c>
      <c r="E2923" t="s">
        <v>32</v>
      </c>
      <c r="F2923" s="7">
        <v>456.18</v>
      </c>
      <c r="G2923" s="10">
        <v>0.1</v>
      </c>
      <c r="H2923" s="7">
        <v>410.56</v>
      </c>
      <c r="I2923">
        <v>4</v>
      </c>
      <c r="J2923" t="s">
        <v>13</v>
      </c>
      <c r="K2923" s="13">
        <f>ROUND(tblTransactions[[#This Row],[gross_sales_inr]]*(1-tblTransactions[[#This Row],[discount_pct]]),2)</f>
        <v>410.56</v>
      </c>
      <c r="L2923" t="str">
        <f>IF(ABS(tblTransactions[[#This Row],[net_sales_inr]]-tblTransactions[[#This Row],[Recalc_Net_Sales]])&lt;0.02,"OK","CHECK")</f>
        <v>OK</v>
      </c>
      <c r="M2923" s="14">
        <f>DATE(YEAR(tblTransactions[[#This Row],[date]]),MONTH(tblTransactions[[#This Row],[date]]),1)</f>
        <v>45717</v>
      </c>
      <c r="N2923" t="str">
        <f>IF(WEEKDAY(tblTransactions[[#This Row],[date]],2)&gt;5,"Weekend","Weekday")</f>
        <v>Weekend</v>
      </c>
      <c r="O292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23" s="13" t="str">
        <f>_xlfn.XLOOKUP(tblTransactions[[#This Row],[tenant_id]],tblTenants[tenant_id],tblTenants[zone],"NOT FOUND")</f>
        <v>Entertainment</v>
      </c>
      <c r="Q2923" s="13" t="str">
        <f>_xlfn.XLOOKUP(tblTransactions[[#This Row],[tenant_id]],tblTenants[tenant_id],tblTenants[category],"NOT FOUND")</f>
        <v>Cinema</v>
      </c>
    </row>
    <row r="2924" spans="1:17">
      <c r="A2924" t="s">
        <v>2968</v>
      </c>
      <c r="B2924" s="2">
        <v>45672</v>
      </c>
      <c r="C2924">
        <v>15</v>
      </c>
      <c r="D2924" t="s">
        <v>63</v>
      </c>
      <c r="E2924" t="s">
        <v>32</v>
      </c>
      <c r="F2924" s="7">
        <v>292.12</v>
      </c>
      <c r="G2924" s="10">
        <v>0.05</v>
      </c>
      <c r="H2924" s="7">
        <v>277.51</v>
      </c>
      <c r="I2924">
        <v>3</v>
      </c>
      <c r="J2924" t="s">
        <v>16</v>
      </c>
      <c r="K2924" s="13">
        <f>ROUND(tblTransactions[[#This Row],[gross_sales_inr]]*(1-tblTransactions[[#This Row],[discount_pct]]),2)</f>
        <v>277.51</v>
      </c>
      <c r="L2924" t="str">
        <f>IF(ABS(tblTransactions[[#This Row],[net_sales_inr]]-tblTransactions[[#This Row],[Recalc_Net_Sales]])&lt;0.02,"OK","CHECK")</f>
        <v>OK</v>
      </c>
      <c r="M2924" s="14">
        <f>DATE(YEAR(tblTransactions[[#This Row],[date]]),MONTH(tblTransactions[[#This Row],[date]]),1)</f>
        <v>45658</v>
      </c>
      <c r="N2924" t="str">
        <f>IF(WEEKDAY(tblTransactions[[#This Row],[date]],2)&gt;5,"Weekend","Weekday")</f>
        <v>Weekday</v>
      </c>
      <c r="O292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24" s="13" t="str">
        <f>_xlfn.XLOOKUP(tblTransactions[[#This Row],[tenant_id]],tblTenants[tenant_id],tblTenants[zone],"NOT FOUND")</f>
        <v>Entertainment</v>
      </c>
      <c r="Q2924" s="13" t="str">
        <f>_xlfn.XLOOKUP(tblTransactions[[#This Row],[tenant_id]],tblTenants[tenant_id],tblTenants[category],"NOT FOUND")</f>
        <v>Family Entertainment</v>
      </c>
    </row>
    <row r="2925" spans="1:17">
      <c r="A2925" t="s">
        <v>2969</v>
      </c>
      <c r="B2925" s="2">
        <v>45725</v>
      </c>
      <c r="C2925">
        <v>16</v>
      </c>
      <c r="D2925" t="s">
        <v>43</v>
      </c>
      <c r="E2925" t="s">
        <v>21</v>
      </c>
      <c r="F2925" s="7">
        <v>2367.15</v>
      </c>
      <c r="G2925" s="10">
        <v>0</v>
      </c>
      <c r="H2925" s="7">
        <v>2367.15</v>
      </c>
      <c r="I2925">
        <v>1</v>
      </c>
      <c r="J2925" t="s">
        <v>13</v>
      </c>
      <c r="K2925" s="13">
        <f>ROUND(tblTransactions[[#This Row],[gross_sales_inr]]*(1-tblTransactions[[#This Row],[discount_pct]]),2)</f>
        <v>2367.15</v>
      </c>
      <c r="L2925" t="str">
        <f>IF(ABS(tblTransactions[[#This Row],[net_sales_inr]]-tblTransactions[[#This Row],[Recalc_Net_Sales]])&lt;0.02,"OK","CHECK")</f>
        <v>OK</v>
      </c>
      <c r="M2925" s="14">
        <f>DATE(YEAR(tblTransactions[[#This Row],[date]]),MONTH(tblTransactions[[#This Row],[date]]),1)</f>
        <v>45717</v>
      </c>
      <c r="N2925" t="str">
        <f>IF(WEEKDAY(tblTransactions[[#This Row],[date]],2)&gt;5,"Weekend","Weekday")</f>
        <v>Weekend</v>
      </c>
      <c r="O2925" s="13" t="str">
        <f>IF(tblTransactions[[#This Row],[discount_pct]]=0,"0%",IF(tblTransactions[[#This Row],[discount_pct]]&lt;=10%,"1–
10%",IF(tblTransactions[[#This Row],[discount_pct]]&lt;=20%,"11–20%","&gt;20%")))</f>
        <v>0%</v>
      </c>
      <c r="P2925" s="13" t="str">
        <f>_xlfn.XLOOKUP(tblTransactions[[#This Row],[tenant_id]],tblTenants[tenant_id],tblTenants[zone],"NOT FOUND")</f>
        <v>Food Court</v>
      </c>
      <c r="Q2925" s="13" t="str">
        <f>_xlfn.XLOOKUP(tblTransactions[[#This Row],[tenant_id]],tblTenants[tenant_id],tblTenants[category],"NOT FOUND")</f>
        <v>Casual Dining</v>
      </c>
    </row>
    <row r="2926" spans="1:17">
      <c r="A2926" t="s">
        <v>2970</v>
      </c>
      <c r="B2926" s="2">
        <v>45820</v>
      </c>
      <c r="C2926">
        <v>15</v>
      </c>
      <c r="D2926" t="s">
        <v>55</v>
      </c>
      <c r="E2926" t="s">
        <v>21</v>
      </c>
      <c r="F2926" s="7">
        <v>1132.6099999999999</v>
      </c>
      <c r="G2926" s="10">
        <v>0.2</v>
      </c>
      <c r="H2926" s="7">
        <v>906.09</v>
      </c>
      <c r="I2926">
        <v>1</v>
      </c>
      <c r="J2926" t="s">
        <v>16</v>
      </c>
      <c r="K2926" s="13">
        <f>ROUND(tblTransactions[[#This Row],[gross_sales_inr]]*(1-tblTransactions[[#This Row],[discount_pct]]),2)</f>
        <v>906.09</v>
      </c>
      <c r="L2926" t="str">
        <f>IF(ABS(tblTransactions[[#This Row],[net_sales_inr]]-tblTransactions[[#This Row],[Recalc_Net_Sales]])&lt;0.02,"OK","CHECK")</f>
        <v>OK</v>
      </c>
      <c r="M2926" s="14">
        <f>DATE(YEAR(tblTransactions[[#This Row],[date]]),MONTH(tblTransactions[[#This Row],[date]]),1)</f>
        <v>45809</v>
      </c>
      <c r="N2926" t="str">
        <f>IF(WEEKDAY(tblTransactions[[#This Row],[date]],2)&gt;5,"Weekend","Weekday")</f>
        <v>Weekday</v>
      </c>
      <c r="O292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26" s="13" t="str">
        <f>_xlfn.XLOOKUP(tblTransactions[[#This Row],[tenant_id]],tblTenants[tenant_id],tblTenants[zone],"NOT FOUND")</f>
        <v>Food Court</v>
      </c>
      <c r="Q2926" s="13" t="str">
        <f>_xlfn.XLOOKUP(tblTransactions[[#This Row],[tenant_id]],tblTenants[tenant_id],tblTenants[category],"NOT FOUND")</f>
        <v>Quick Service</v>
      </c>
    </row>
    <row r="2927" spans="1:17">
      <c r="A2927" t="s">
        <v>2971</v>
      </c>
      <c r="B2927" s="2">
        <v>45798</v>
      </c>
      <c r="C2927">
        <v>19</v>
      </c>
      <c r="D2927" t="s">
        <v>53</v>
      </c>
      <c r="E2927" t="s">
        <v>32</v>
      </c>
      <c r="F2927" s="7">
        <v>743.16</v>
      </c>
      <c r="G2927" s="10">
        <v>0.15</v>
      </c>
      <c r="H2927" s="7">
        <v>631.69000000000005</v>
      </c>
      <c r="I2927">
        <v>1</v>
      </c>
      <c r="J2927" t="s">
        <v>16</v>
      </c>
      <c r="K2927" s="13">
        <f>ROUND(tblTransactions[[#This Row],[gross_sales_inr]]*(1-tblTransactions[[#This Row],[discount_pct]]),2)</f>
        <v>631.69000000000005</v>
      </c>
      <c r="L2927" t="str">
        <f>IF(ABS(tblTransactions[[#This Row],[net_sales_inr]]-tblTransactions[[#This Row],[Recalc_Net_Sales]])&lt;0.02,"OK","CHECK")</f>
        <v>OK</v>
      </c>
      <c r="M2927" s="14">
        <f>DATE(YEAR(tblTransactions[[#This Row],[date]]),MONTH(tblTransactions[[#This Row],[date]]),1)</f>
        <v>45778</v>
      </c>
      <c r="N2927" t="str">
        <f>IF(WEEKDAY(tblTransactions[[#This Row],[date]],2)&gt;5,"Weekend","Weekday")</f>
        <v>Weekday</v>
      </c>
      <c r="O292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27" s="13" t="str">
        <f>_xlfn.XLOOKUP(tblTransactions[[#This Row],[tenant_id]],tblTenants[tenant_id],tblTenants[zone],"NOT FOUND")</f>
        <v>Beauty &amp; Wellness</v>
      </c>
      <c r="Q2927" s="13" t="str">
        <f>_xlfn.XLOOKUP(tblTransactions[[#This Row],[tenant_id]],tblTenants[tenant_id],tblTenants[category],"NOT FOUND")</f>
        <v>Beauty</v>
      </c>
    </row>
    <row r="2928" spans="1:17">
      <c r="A2928" t="s">
        <v>2972</v>
      </c>
      <c r="B2928" s="2">
        <v>45834</v>
      </c>
      <c r="C2928">
        <v>17</v>
      </c>
      <c r="D2928" t="s">
        <v>85</v>
      </c>
      <c r="E2928" t="s">
        <v>51</v>
      </c>
      <c r="F2928" s="7">
        <v>445.53</v>
      </c>
      <c r="G2928" s="10">
        <v>0.15</v>
      </c>
      <c r="H2928" s="7">
        <v>378.7</v>
      </c>
      <c r="I2928">
        <v>4</v>
      </c>
      <c r="J2928" t="s">
        <v>16</v>
      </c>
      <c r="K2928" s="13">
        <f>ROUND(tblTransactions[[#This Row],[gross_sales_inr]]*(1-tblTransactions[[#This Row],[discount_pct]]),2)</f>
        <v>378.7</v>
      </c>
      <c r="L2928" t="str">
        <f>IF(ABS(tblTransactions[[#This Row],[net_sales_inr]]-tblTransactions[[#This Row],[Recalc_Net_Sales]])&lt;0.02,"OK","CHECK")</f>
        <v>OK</v>
      </c>
      <c r="M2928" s="14">
        <f>DATE(YEAR(tblTransactions[[#This Row],[date]]),MONTH(tblTransactions[[#This Row],[date]]),1)</f>
        <v>45809</v>
      </c>
      <c r="N2928" t="str">
        <f>IF(WEEKDAY(tblTransactions[[#This Row],[date]],2)&gt;5,"Weekend","Weekday")</f>
        <v>Weekday</v>
      </c>
      <c r="O292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28" s="13" t="str">
        <f>_xlfn.XLOOKUP(tblTransactions[[#This Row],[tenant_id]],tblTenants[tenant_id],tblTenants[zone],"NOT FOUND")</f>
        <v>Home &amp; Living</v>
      </c>
      <c r="Q2928" s="13" t="str">
        <f>_xlfn.XLOOKUP(tblTransactions[[#This Row],[tenant_id]],tblTenants[tenant_id],tblTenants[category],"NOT FOUND")</f>
        <v>Electronics</v>
      </c>
    </row>
    <row r="2929" spans="1:17">
      <c r="A2929" t="s">
        <v>2973</v>
      </c>
      <c r="B2929" s="2">
        <v>45765</v>
      </c>
      <c r="C2929">
        <v>21</v>
      </c>
      <c r="D2929" t="s">
        <v>20</v>
      </c>
      <c r="E2929" t="s">
        <v>21</v>
      </c>
      <c r="F2929" s="7">
        <v>1437.88</v>
      </c>
      <c r="G2929" s="10">
        <v>0</v>
      </c>
      <c r="H2929" s="7">
        <v>1437.88</v>
      </c>
      <c r="I2929">
        <v>2</v>
      </c>
      <c r="J2929" t="s">
        <v>16</v>
      </c>
      <c r="K2929" s="13">
        <f>ROUND(tblTransactions[[#This Row],[gross_sales_inr]]*(1-tblTransactions[[#This Row],[discount_pct]]),2)</f>
        <v>1437.88</v>
      </c>
      <c r="L2929" t="str">
        <f>IF(ABS(tblTransactions[[#This Row],[net_sales_inr]]-tblTransactions[[#This Row],[Recalc_Net_Sales]])&lt;0.02,"OK","CHECK")</f>
        <v>OK</v>
      </c>
      <c r="M2929" s="14">
        <f>DATE(YEAR(tblTransactions[[#This Row],[date]]),MONTH(tblTransactions[[#This Row],[date]]),1)</f>
        <v>45748</v>
      </c>
      <c r="N2929" t="str">
        <f>IF(WEEKDAY(tblTransactions[[#This Row],[date]],2)&gt;5,"Weekend","Weekday")</f>
        <v>Weekday</v>
      </c>
      <c r="O2929" s="13" t="str">
        <f>IF(tblTransactions[[#This Row],[discount_pct]]=0,"0%",IF(tblTransactions[[#This Row],[discount_pct]]&lt;=10%,"1–
10%",IF(tblTransactions[[#This Row],[discount_pct]]&lt;=20%,"11–20%","&gt;20%")))</f>
        <v>0%</v>
      </c>
      <c r="P2929" s="13" t="str">
        <f>_xlfn.XLOOKUP(tblTransactions[[#This Row],[tenant_id]],tblTenants[tenant_id],tblTenants[zone],"NOT FOUND")</f>
        <v>Fashion Avenue</v>
      </c>
      <c r="Q2929" s="13" t="str">
        <f>_xlfn.XLOOKUP(tblTransactions[[#This Row],[tenant_id]],tblTenants[tenant_id],tblTenants[category],"NOT FOUND")</f>
        <v>Accessories</v>
      </c>
    </row>
    <row r="2930" spans="1:17">
      <c r="A2930" t="s">
        <v>2974</v>
      </c>
      <c r="B2930" s="2">
        <v>45730</v>
      </c>
      <c r="C2930">
        <v>16</v>
      </c>
      <c r="D2930" t="s">
        <v>15</v>
      </c>
      <c r="E2930" t="s">
        <v>12</v>
      </c>
      <c r="F2930" s="7">
        <v>228.35</v>
      </c>
      <c r="G2930" s="10">
        <v>0.1</v>
      </c>
      <c r="H2930" s="7">
        <v>205.51</v>
      </c>
      <c r="I2930">
        <v>3</v>
      </c>
      <c r="J2930" t="s">
        <v>13</v>
      </c>
      <c r="K2930" s="13">
        <f>ROUND(tblTransactions[[#This Row],[gross_sales_inr]]*(1-tblTransactions[[#This Row],[discount_pct]]),2)</f>
        <v>205.52</v>
      </c>
      <c r="L2930" t="str">
        <f>IF(ABS(tblTransactions[[#This Row],[net_sales_inr]]-tblTransactions[[#This Row],[Recalc_Net_Sales]])&lt;0.02,"OK","CHECK")</f>
        <v>OK</v>
      </c>
      <c r="M2930" s="14">
        <f>DATE(YEAR(tblTransactions[[#This Row],[date]]),MONTH(tblTransactions[[#This Row],[date]]),1)</f>
        <v>45717</v>
      </c>
      <c r="N2930" t="str">
        <f>IF(WEEKDAY(tblTransactions[[#This Row],[date]],2)&gt;5,"Weekend","Weekday")</f>
        <v>Weekday</v>
      </c>
      <c r="O293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30" s="13" t="str">
        <f>_xlfn.XLOOKUP(tblTransactions[[#This Row],[tenant_id]],tblTenants[tenant_id],tblTenants[zone],"NOT FOUND")</f>
        <v>Fashion Avenue</v>
      </c>
      <c r="Q2930" s="13" t="str">
        <f>_xlfn.XLOOKUP(tblTransactions[[#This Row],[tenant_id]],tblTenants[tenant_id],tblTenants[category],"NOT FOUND")</f>
        <v>Accessories</v>
      </c>
    </row>
    <row r="2931" spans="1:17">
      <c r="A2931" t="s">
        <v>2975</v>
      </c>
      <c r="B2931" s="2">
        <v>45752</v>
      </c>
      <c r="C2931">
        <v>20</v>
      </c>
      <c r="D2931" t="s">
        <v>43</v>
      </c>
      <c r="E2931" t="s">
        <v>21</v>
      </c>
      <c r="F2931" s="7">
        <v>287.41000000000003</v>
      </c>
      <c r="G2931" s="10">
        <v>0.3</v>
      </c>
      <c r="H2931" s="7">
        <v>201.19</v>
      </c>
      <c r="I2931">
        <v>1</v>
      </c>
      <c r="J2931" t="s">
        <v>13</v>
      </c>
      <c r="K2931" s="13">
        <f>ROUND(tblTransactions[[#This Row],[gross_sales_inr]]*(1-tblTransactions[[#This Row],[discount_pct]]),2)</f>
        <v>201.19</v>
      </c>
      <c r="L2931" t="str">
        <f>IF(ABS(tblTransactions[[#This Row],[net_sales_inr]]-tblTransactions[[#This Row],[Recalc_Net_Sales]])&lt;0.02,"OK","CHECK")</f>
        <v>OK</v>
      </c>
      <c r="M2931" s="14">
        <f>DATE(YEAR(tblTransactions[[#This Row],[date]]),MONTH(tblTransactions[[#This Row],[date]]),1)</f>
        <v>45748</v>
      </c>
      <c r="N2931" t="str">
        <f>IF(WEEKDAY(tblTransactions[[#This Row],[date]],2)&gt;5,"Weekend","Weekday")</f>
        <v>Weekend</v>
      </c>
      <c r="O2931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931" s="13" t="str">
        <f>_xlfn.XLOOKUP(tblTransactions[[#This Row],[tenant_id]],tblTenants[tenant_id],tblTenants[zone],"NOT FOUND")</f>
        <v>Food Court</v>
      </c>
      <c r="Q2931" s="13" t="str">
        <f>_xlfn.XLOOKUP(tblTransactions[[#This Row],[tenant_id]],tblTenants[tenant_id],tblTenants[category],"NOT FOUND")</f>
        <v>Casual Dining</v>
      </c>
    </row>
    <row r="2932" spans="1:17">
      <c r="A2932" t="s">
        <v>2976</v>
      </c>
      <c r="B2932" s="2">
        <v>45819</v>
      </c>
      <c r="C2932">
        <v>12</v>
      </c>
      <c r="D2932" t="s">
        <v>25</v>
      </c>
      <c r="E2932" t="s">
        <v>12</v>
      </c>
      <c r="F2932" s="7">
        <v>1815.62</v>
      </c>
      <c r="G2932" s="10">
        <v>0.1</v>
      </c>
      <c r="H2932" s="7">
        <v>1634.06</v>
      </c>
      <c r="I2932">
        <v>2</v>
      </c>
      <c r="J2932" t="s">
        <v>13</v>
      </c>
      <c r="K2932" s="13">
        <f>ROUND(tblTransactions[[#This Row],[gross_sales_inr]]*(1-tblTransactions[[#This Row],[discount_pct]]),2)</f>
        <v>1634.06</v>
      </c>
      <c r="L2932" t="str">
        <f>IF(ABS(tblTransactions[[#This Row],[net_sales_inr]]-tblTransactions[[#This Row],[Recalc_Net_Sales]])&lt;0.02,"OK","CHECK")</f>
        <v>OK</v>
      </c>
      <c r="M2932" s="14">
        <f>DATE(YEAR(tblTransactions[[#This Row],[date]]),MONTH(tblTransactions[[#This Row],[date]]),1)</f>
        <v>45809</v>
      </c>
      <c r="N2932" t="str">
        <f>IF(WEEKDAY(tblTransactions[[#This Row],[date]],2)&gt;5,"Weekend","Weekday")</f>
        <v>Weekday</v>
      </c>
      <c r="O293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32" s="13" t="str">
        <f>_xlfn.XLOOKUP(tblTransactions[[#This Row],[tenant_id]],tblTenants[tenant_id],tblTenants[zone],"NOT FOUND")</f>
        <v>Beauty &amp; Wellness</v>
      </c>
      <c r="Q2932" s="13" t="str">
        <f>_xlfn.XLOOKUP(tblTransactions[[#This Row],[tenant_id]],tblTenants[tenant_id],tblTenants[category],"NOT FOUND")</f>
        <v>Beauty</v>
      </c>
    </row>
    <row r="2933" spans="1:17">
      <c r="A2933" t="s">
        <v>2977</v>
      </c>
      <c r="B2933" s="2">
        <v>45793</v>
      </c>
      <c r="C2933">
        <v>15</v>
      </c>
      <c r="D2933" t="s">
        <v>11</v>
      </c>
      <c r="E2933" t="s">
        <v>32</v>
      </c>
      <c r="F2933" s="7">
        <v>950.78</v>
      </c>
      <c r="G2933" s="10">
        <v>0</v>
      </c>
      <c r="H2933" s="7">
        <v>950.78</v>
      </c>
      <c r="I2933">
        <v>4</v>
      </c>
      <c r="J2933" t="s">
        <v>13</v>
      </c>
      <c r="K2933" s="13">
        <f>ROUND(tblTransactions[[#This Row],[gross_sales_inr]]*(1-tblTransactions[[#This Row],[discount_pct]]),2)</f>
        <v>950.78</v>
      </c>
      <c r="L2933" t="str">
        <f>IF(ABS(tblTransactions[[#This Row],[net_sales_inr]]-tblTransactions[[#This Row],[Recalc_Net_Sales]])&lt;0.02,"OK","CHECK")</f>
        <v>OK</v>
      </c>
      <c r="M2933" s="14">
        <f>DATE(YEAR(tblTransactions[[#This Row],[date]]),MONTH(tblTransactions[[#This Row],[date]]),1)</f>
        <v>45778</v>
      </c>
      <c r="N2933" t="str">
        <f>IF(WEEKDAY(tblTransactions[[#This Row],[date]],2)&gt;5,"Weekend","Weekday")</f>
        <v>Weekday</v>
      </c>
      <c r="O2933" s="13" t="str">
        <f>IF(tblTransactions[[#This Row],[discount_pct]]=0,"0%",IF(tblTransactions[[#This Row],[discount_pct]]&lt;=10%,"1–
10%",IF(tblTransactions[[#This Row],[discount_pct]]&lt;=20%,"11–20%","&gt;20%")))</f>
        <v>0%</v>
      </c>
      <c r="P2933" s="13" t="str">
        <f>_xlfn.XLOOKUP(tblTransactions[[#This Row],[tenant_id]],tblTenants[tenant_id],tblTenants[zone],"NOT FOUND")</f>
        <v>Home &amp; Living</v>
      </c>
      <c r="Q2933" s="13" t="str">
        <f>_xlfn.XLOOKUP(tblTransactions[[#This Row],[tenant_id]],tblTenants[tenant_id],tblTenants[category],"NOT FOUND")</f>
        <v>Home Decor</v>
      </c>
    </row>
    <row r="2934" spans="1:17">
      <c r="A2934" t="s">
        <v>2978</v>
      </c>
      <c r="B2934" s="2">
        <v>45680</v>
      </c>
      <c r="C2934">
        <v>15</v>
      </c>
      <c r="D2934" t="s">
        <v>57</v>
      </c>
      <c r="E2934" t="s">
        <v>12</v>
      </c>
      <c r="F2934" s="7">
        <v>1007.25</v>
      </c>
      <c r="G2934" s="10">
        <v>0</v>
      </c>
      <c r="H2934" s="7">
        <v>1007.25</v>
      </c>
      <c r="I2934">
        <v>4</v>
      </c>
      <c r="J2934" t="s">
        <v>13</v>
      </c>
      <c r="K2934" s="13">
        <f>ROUND(tblTransactions[[#This Row],[gross_sales_inr]]*(1-tblTransactions[[#This Row],[discount_pct]]),2)</f>
        <v>1007.25</v>
      </c>
      <c r="L2934" t="str">
        <f>IF(ABS(tblTransactions[[#This Row],[net_sales_inr]]-tblTransactions[[#This Row],[Recalc_Net_Sales]])&lt;0.02,"OK","CHECK")</f>
        <v>OK</v>
      </c>
      <c r="M2934" s="14">
        <f>DATE(YEAR(tblTransactions[[#This Row],[date]]),MONTH(tblTransactions[[#This Row],[date]]),1)</f>
        <v>45658</v>
      </c>
      <c r="N2934" t="str">
        <f>IF(WEEKDAY(tblTransactions[[#This Row],[date]],2)&gt;5,"Weekend","Weekday")</f>
        <v>Weekday</v>
      </c>
      <c r="O2934" s="13" t="str">
        <f>IF(tblTransactions[[#This Row],[discount_pct]]=0,"0%",IF(tblTransactions[[#This Row],[discount_pct]]&lt;=10%,"1–
10%",IF(tblTransactions[[#This Row],[discount_pct]]&lt;=20%,"11–20%","&gt;20%")))</f>
        <v>0%</v>
      </c>
      <c r="P2934" s="13" t="str">
        <f>_xlfn.XLOOKUP(tblTransactions[[#This Row],[tenant_id]],tblTenants[tenant_id],tblTenants[zone],"NOT FOUND")</f>
        <v>Food Court</v>
      </c>
      <c r="Q2934" s="13" t="str">
        <f>_xlfn.XLOOKUP(tblTransactions[[#This Row],[tenant_id]],tblTenants[tenant_id],tblTenants[category],"NOT FOUND")</f>
        <v>Casual Dining</v>
      </c>
    </row>
    <row r="2935" spans="1:17">
      <c r="A2935" t="s">
        <v>2979</v>
      </c>
      <c r="B2935" s="2">
        <v>45753</v>
      </c>
      <c r="C2935">
        <v>10</v>
      </c>
      <c r="D2935" t="s">
        <v>55</v>
      </c>
      <c r="E2935" t="s">
        <v>12</v>
      </c>
      <c r="F2935" s="7">
        <v>368.29</v>
      </c>
      <c r="G2935" s="10">
        <v>0.2</v>
      </c>
      <c r="H2935" s="7">
        <v>294.63</v>
      </c>
      <c r="I2935">
        <v>3</v>
      </c>
      <c r="J2935" t="s">
        <v>16</v>
      </c>
      <c r="K2935" s="13">
        <f>ROUND(tblTransactions[[#This Row],[gross_sales_inr]]*(1-tblTransactions[[#This Row],[discount_pct]]),2)</f>
        <v>294.63</v>
      </c>
      <c r="L2935" t="str">
        <f>IF(ABS(tblTransactions[[#This Row],[net_sales_inr]]-tblTransactions[[#This Row],[Recalc_Net_Sales]])&lt;0.02,"OK","CHECK")</f>
        <v>OK</v>
      </c>
      <c r="M2935" s="14">
        <f>DATE(YEAR(tblTransactions[[#This Row],[date]]),MONTH(tblTransactions[[#This Row],[date]]),1)</f>
        <v>45748</v>
      </c>
      <c r="N2935" t="str">
        <f>IF(WEEKDAY(tblTransactions[[#This Row],[date]],2)&gt;5,"Weekend","Weekday")</f>
        <v>Weekend</v>
      </c>
      <c r="O293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35" s="13" t="str">
        <f>_xlfn.XLOOKUP(tblTransactions[[#This Row],[tenant_id]],tblTenants[tenant_id],tblTenants[zone],"NOT FOUND")</f>
        <v>Food Court</v>
      </c>
      <c r="Q2935" s="13" t="str">
        <f>_xlfn.XLOOKUP(tblTransactions[[#This Row],[tenant_id]],tblTenants[tenant_id],tblTenants[category],"NOT FOUND")</f>
        <v>Quick Service</v>
      </c>
    </row>
    <row r="2936" spans="1:17">
      <c r="A2936" t="s">
        <v>2980</v>
      </c>
      <c r="B2936" s="2">
        <v>45755</v>
      </c>
      <c r="C2936">
        <v>21</v>
      </c>
      <c r="D2936" t="s">
        <v>72</v>
      </c>
      <c r="E2936" t="s">
        <v>12</v>
      </c>
      <c r="F2936" s="7">
        <v>600.71</v>
      </c>
      <c r="G2936" s="10">
        <v>0.05</v>
      </c>
      <c r="H2936" s="7">
        <v>570.66999999999996</v>
      </c>
      <c r="I2936">
        <v>3</v>
      </c>
      <c r="J2936" t="s">
        <v>16</v>
      </c>
      <c r="K2936" s="13">
        <f>ROUND(tblTransactions[[#This Row],[gross_sales_inr]]*(1-tblTransactions[[#This Row],[discount_pct]]),2)</f>
        <v>570.66999999999996</v>
      </c>
      <c r="L2936" t="str">
        <f>IF(ABS(tblTransactions[[#This Row],[net_sales_inr]]-tblTransactions[[#This Row],[Recalc_Net_Sales]])&lt;0.02,"OK","CHECK")</f>
        <v>OK</v>
      </c>
      <c r="M2936" s="14">
        <f>DATE(YEAR(tblTransactions[[#This Row],[date]]),MONTH(tblTransactions[[#This Row],[date]]),1)</f>
        <v>45748</v>
      </c>
      <c r="N2936" t="str">
        <f>IF(WEEKDAY(tblTransactions[[#This Row],[date]],2)&gt;5,"Weekend","Weekday")</f>
        <v>Weekday</v>
      </c>
      <c r="O293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36" s="13" t="str">
        <f>_xlfn.XLOOKUP(tblTransactions[[#This Row],[tenant_id]],tblTenants[tenant_id],tblTenants[zone],"NOT FOUND")</f>
        <v>Entertainment</v>
      </c>
      <c r="Q2936" s="13" t="str">
        <f>_xlfn.XLOOKUP(tblTransactions[[#This Row],[tenant_id]],tblTenants[tenant_id],tblTenants[category],"NOT FOUND")</f>
        <v>Arcade</v>
      </c>
    </row>
    <row r="2937" spans="1:17">
      <c r="A2937" t="s">
        <v>2981</v>
      </c>
      <c r="B2937" s="2">
        <v>45760</v>
      </c>
      <c r="C2937">
        <v>12</v>
      </c>
      <c r="D2937" t="s">
        <v>18</v>
      </c>
      <c r="E2937" t="s">
        <v>21</v>
      </c>
      <c r="F2937" s="7">
        <v>1577.76</v>
      </c>
      <c r="G2937" s="10">
        <v>0.1</v>
      </c>
      <c r="H2937" s="7">
        <v>1419.98</v>
      </c>
      <c r="I2937">
        <v>1</v>
      </c>
      <c r="J2937" t="s">
        <v>13</v>
      </c>
      <c r="K2937" s="13">
        <f>ROUND(tblTransactions[[#This Row],[gross_sales_inr]]*(1-tblTransactions[[#This Row],[discount_pct]]),2)</f>
        <v>1419.98</v>
      </c>
      <c r="L2937" t="str">
        <f>IF(ABS(tblTransactions[[#This Row],[net_sales_inr]]-tblTransactions[[#This Row],[Recalc_Net_Sales]])&lt;0.02,"OK","CHECK")</f>
        <v>OK</v>
      </c>
      <c r="M2937" s="14">
        <f>DATE(YEAR(tblTransactions[[#This Row],[date]]),MONTH(tblTransactions[[#This Row],[date]]),1)</f>
        <v>45748</v>
      </c>
      <c r="N2937" t="str">
        <f>IF(WEEKDAY(tblTransactions[[#This Row],[date]],2)&gt;5,"Weekend","Weekday")</f>
        <v>Weekend</v>
      </c>
      <c r="O293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37" s="13" t="str">
        <f>_xlfn.XLOOKUP(tblTransactions[[#This Row],[tenant_id]],tblTenants[tenant_id],tblTenants[zone],"NOT FOUND")</f>
        <v>Beauty &amp; Wellness</v>
      </c>
      <c r="Q2937" s="13" t="str">
        <f>_xlfn.XLOOKUP(tblTransactions[[#This Row],[tenant_id]],tblTenants[tenant_id],tblTenants[category],"NOT FOUND")</f>
        <v>Beauty</v>
      </c>
    </row>
    <row r="2938" spans="1:17">
      <c r="A2938" t="s">
        <v>2982</v>
      </c>
      <c r="B2938" s="2">
        <v>45727</v>
      </c>
      <c r="C2938">
        <v>18</v>
      </c>
      <c r="D2938" t="s">
        <v>18</v>
      </c>
      <c r="E2938" t="s">
        <v>12</v>
      </c>
      <c r="F2938" s="7">
        <v>466.46</v>
      </c>
      <c r="G2938" s="10">
        <v>0</v>
      </c>
      <c r="H2938" s="7">
        <v>466.46</v>
      </c>
      <c r="I2938">
        <v>3</v>
      </c>
      <c r="J2938" t="s">
        <v>13</v>
      </c>
      <c r="K2938" s="13">
        <f>ROUND(tblTransactions[[#This Row],[gross_sales_inr]]*(1-tblTransactions[[#This Row],[discount_pct]]),2)</f>
        <v>466.46</v>
      </c>
      <c r="L2938" t="str">
        <f>IF(ABS(tblTransactions[[#This Row],[net_sales_inr]]-tblTransactions[[#This Row],[Recalc_Net_Sales]])&lt;0.02,"OK","CHECK")</f>
        <v>OK</v>
      </c>
      <c r="M2938" s="14">
        <f>DATE(YEAR(tblTransactions[[#This Row],[date]]),MONTH(tblTransactions[[#This Row],[date]]),1)</f>
        <v>45717</v>
      </c>
      <c r="N2938" t="str">
        <f>IF(WEEKDAY(tblTransactions[[#This Row],[date]],2)&gt;5,"Weekend","Weekday")</f>
        <v>Weekday</v>
      </c>
      <c r="O2938" s="13" t="str">
        <f>IF(tblTransactions[[#This Row],[discount_pct]]=0,"0%",IF(tblTransactions[[#This Row],[discount_pct]]&lt;=10%,"1–
10%",IF(tblTransactions[[#This Row],[discount_pct]]&lt;=20%,"11–20%","&gt;20%")))</f>
        <v>0%</v>
      </c>
      <c r="P2938" s="13" t="str">
        <f>_xlfn.XLOOKUP(tblTransactions[[#This Row],[tenant_id]],tblTenants[tenant_id],tblTenants[zone],"NOT FOUND")</f>
        <v>Beauty &amp; Wellness</v>
      </c>
      <c r="Q2938" s="13" t="str">
        <f>_xlfn.XLOOKUP(tblTransactions[[#This Row],[tenant_id]],tblTenants[tenant_id],tblTenants[category],"NOT FOUND")</f>
        <v>Beauty</v>
      </c>
    </row>
    <row r="2939" spans="1:17">
      <c r="A2939" t="s">
        <v>2983</v>
      </c>
      <c r="B2939" s="2">
        <v>45721</v>
      </c>
      <c r="C2939">
        <v>15</v>
      </c>
      <c r="D2939" t="s">
        <v>85</v>
      </c>
      <c r="E2939" t="s">
        <v>21</v>
      </c>
      <c r="F2939" s="7">
        <v>763.37</v>
      </c>
      <c r="G2939" s="10">
        <v>0</v>
      </c>
      <c r="H2939" s="7">
        <v>763.37</v>
      </c>
      <c r="I2939">
        <v>3</v>
      </c>
      <c r="J2939" t="s">
        <v>16</v>
      </c>
      <c r="K2939" s="13">
        <f>ROUND(tblTransactions[[#This Row],[gross_sales_inr]]*(1-tblTransactions[[#This Row],[discount_pct]]),2)</f>
        <v>763.37</v>
      </c>
      <c r="L2939" t="str">
        <f>IF(ABS(tblTransactions[[#This Row],[net_sales_inr]]-tblTransactions[[#This Row],[Recalc_Net_Sales]])&lt;0.02,"OK","CHECK")</f>
        <v>OK</v>
      </c>
      <c r="M2939" s="14">
        <f>DATE(YEAR(tblTransactions[[#This Row],[date]]),MONTH(tblTransactions[[#This Row],[date]]),1)</f>
        <v>45717</v>
      </c>
      <c r="N2939" t="str">
        <f>IF(WEEKDAY(tblTransactions[[#This Row],[date]],2)&gt;5,"Weekend","Weekday")</f>
        <v>Weekday</v>
      </c>
      <c r="O2939" s="13" t="str">
        <f>IF(tblTransactions[[#This Row],[discount_pct]]=0,"0%",IF(tblTransactions[[#This Row],[discount_pct]]&lt;=10%,"1–
10%",IF(tblTransactions[[#This Row],[discount_pct]]&lt;=20%,"11–20%","&gt;20%")))</f>
        <v>0%</v>
      </c>
      <c r="P2939" s="13" t="str">
        <f>_xlfn.XLOOKUP(tblTransactions[[#This Row],[tenant_id]],tblTenants[tenant_id],tblTenants[zone],"NOT FOUND")</f>
        <v>Home &amp; Living</v>
      </c>
      <c r="Q2939" s="13" t="str">
        <f>_xlfn.XLOOKUP(tblTransactions[[#This Row],[tenant_id]],tblTenants[tenant_id],tblTenants[category],"NOT FOUND")</f>
        <v>Electronics</v>
      </c>
    </row>
    <row r="2940" spans="1:17">
      <c r="A2940" t="s">
        <v>2984</v>
      </c>
      <c r="B2940" s="2">
        <v>45826</v>
      </c>
      <c r="C2940">
        <v>18</v>
      </c>
      <c r="D2940" t="s">
        <v>57</v>
      </c>
      <c r="E2940" t="s">
        <v>51</v>
      </c>
      <c r="F2940" s="7">
        <v>933.95</v>
      </c>
      <c r="G2940" s="10">
        <v>0</v>
      </c>
      <c r="H2940" s="7">
        <v>933.95</v>
      </c>
      <c r="I2940">
        <v>2</v>
      </c>
      <c r="J2940" t="s">
        <v>13</v>
      </c>
      <c r="K2940" s="13">
        <f>ROUND(tblTransactions[[#This Row],[gross_sales_inr]]*(1-tblTransactions[[#This Row],[discount_pct]]),2)</f>
        <v>933.95</v>
      </c>
      <c r="L2940" t="str">
        <f>IF(ABS(tblTransactions[[#This Row],[net_sales_inr]]-tblTransactions[[#This Row],[Recalc_Net_Sales]])&lt;0.02,"OK","CHECK")</f>
        <v>OK</v>
      </c>
      <c r="M2940" s="14">
        <f>DATE(YEAR(tblTransactions[[#This Row],[date]]),MONTH(tblTransactions[[#This Row],[date]]),1)</f>
        <v>45809</v>
      </c>
      <c r="N2940" t="str">
        <f>IF(WEEKDAY(tblTransactions[[#This Row],[date]],2)&gt;5,"Weekend","Weekday")</f>
        <v>Weekday</v>
      </c>
      <c r="O2940" s="13" t="str">
        <f>IF(tblTransactions[[#This Row],[discount_pct]]=0,"0%",IF(tblTransactions[[#This Row],[discount_pct]]&lt;=10%,"1–
10%",IF(tblTransactions[[#This Row],[discount_pct]]&lt;=20%,"11–20%","&gt;20%")))</f>
        <v>0%</v>
      </c>
      <c r="P2940" s="13" t="str">
        <f>_xlfn.XLOOKUP(tblTransactions[[#This Row],[tenant_id]],tblTenants[tenant_id],tblTenants[zone],"NOT FOUND")</f>
        <v>Food Court</v>
      </c>
      <c r="Q2940" s="13" t="str">
        <f>_xlfn.XLOOKUP(tblTransactions[[#This Row],[tenant_id]],tblTenants[tenant_id],tblTenants[category],"NOT FOUND")</f>
        <v>Casual Dining</v>
      </c>
    </row>
    <row r="2941" spans="1:17">
      <c r="A2941" t="s">
        <v>2985</v>
      </c>
      <c r="B2941" s="2">
        <v>45819</v>
      </c>
      <c r="C2941">
        <v>17</v>
      </c>
      <c r="D2941" t="s">
        <v>48</v>
      </c>
      <c r="E2941" t="s">
        <v>12</v>
      </c>
      <c r="F2941" s="7">
        <v>1874.75</v>
      </c>
      <c r="G2941" s="10">
        <v>0.3</v>
      </c>
      <c r="H2941" s="7">
        <v>1312.32</v>
      </c>
      <c r="I2941">
        <v>5</v>
      </c>
      <c r="J2941" t="s">
        <v>13</v>
      </c>
      <c r="K2941" s="13">
        <f>ROUND(tblTransactions[[#This Row],[gross_sales_inr]]*(1-tblTransactions[[#This Row],[discount_pct]]),2)</f>
        <v>1312.33</v>
      </c>
      <c r="L2941" t="str">
        <f>IF(ABS(tblTransactions[[#This Row],[net_sales_inr]]-tblTransactions[[#This Row],[Recalc_Net_Sales]])&lt;0.02,"OK","CHECK")</f>
        <v>OK</v>
      </c>
      <c r="M2941" s="14">
        <f>DATE(YEAR(tblTransactions[[#This Row],[date]]),MONTH(tblTransactions[[#This Row],[date]]),1)</f>
        <v>45809</v>
      </c>
      <c r="N2941" t="str">
        <f>IF(WEEKDAY(tblTransactions[[#This Row],[date]],2)&gt;5,"Weekend","Weekday")</f>
        <v>Weekday</v>
      </c>
      <c r="O2941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941" s="13" t="str">
        <f>_xlfn.XLOOKUP(tblTransactions[[#This Row],[tenant_id]],tblTenants[tenant_id],tblTenants[zone],"NOT FOUND")</f>
        <v>Beauty &amp; Wellness</v>
      </c>
      <c r="Q2941" s="13" t="str">
        <f>_xlfn.XLOOKUP(tblTransactions[[#This Row],[tenant_id]],tblTenants[tenant_id],tblTenants[category],"NOT FOUND")</f>
        <v>Wellness</v>
      </c>
    </row>
    <row r="2942" spans="1:17">
      <c r="A2942" t="s">
        <v>2986</v>
      </c>
      <c r="B2942" s="2">
        <v>45807</v>
      </c>
      <c r="C2942">
        <v>21</v>
      </c>
      <c r="D2942" t="s">
        <v>204</v>
      </c>
      <c r="E2942" t="s">
        <v>32</v>
      </c>
      <c r="F2942" s="7">
        <v>599.78</v>
      </c>
      <c r="G2942" s="10">
        <v>0</v>
      </c>
      <c r="H2942" s="7">
        <v>599.78</v>
      </c>
      <c r="I2942">
        <v>1</v>
      </c>
      <c r="J2942" t="s">
        <v>13</v>
      </c>
      <c r="K2942" s="13">
        <f>ROUND(tblTransactions[[#This Row],[gross_sales_inr]]*(1-tblTransactions[[#This Row],[discount_pct]]),2)</f>
        <v>599.78</v>
      </c>
      <c r="L2942" t="str">
        <f>IF(ABS(tblTransactions[[#This Row],[net_sales_inr]]-tblTransactions[[#This Row],[Recalc_Net_Sales]])&lt;0.02,"OK","CHECK")</f>
        <v>OK</v>
      </c>
      <c r="M2942" s="14">
        <f>DATE(YEAR(tblTransactions[[#This Row],[date]]),MONTH(tblTransactions[[#This Row],[date]]),1)</f>
        <v>45778</v>
      </c>
      <c r="N2942" t="str">
        <f>IF(WEEKDAY(tblTransactions[[#This Row],[date]],2)&gt;5,"Weekend","Weekday")</f>
        <v>Weekday</v>
      </c>
      <c r="O2942" s="13" t="str">
        <f>IF(tblTransactions[[#This Row],[discount_pct]]=0,"0%",IF(tblTransactions[[#This Row],[discount_pct]]&lt;=10%,"1–
10%",IF(tblTransactions[[#This Row],[discount_pct]]&lt;=20%,"11–20%","&gt;20%")))</f>
        <v>0%</v>
      </c>
      <c r="P2942" s="13" t="str">
        <f>_xlfn.XLOOKUP(tblTransactions[[#This Row],[tenant_id]],tblTenants[tenant_id],tblTenants[zone],"NOT FOUND")</f>
        <v>Home &amp; Living</v>
      </c>
      <c r="Q2942" s="13" t="str">
        <f>_xlfn.XLOOKUP(tblTransactions[[#This Row],[tenant_id]],tblTenants[tenant_id],tblTenants[category],"NOT FOUND")</f>
        <v>Home Decor</v>
      </c>
    </row>
    <row r="2943" spans="1:17">
      <c r="A2943" t="s">
        <v>2987</v>
      </c>
      <c r="B2943" s="2">
        <v>45688</v>
      </c>
      <c r="C2943">
        <v>15</v>
      </c>
      <c r="D2943" t="s">
        <v>55</v>
      </c>
      <c r="E2943" t="s">
        <v>32</v>
      </c>
      <c r="F2943" s="7">
        <v>795.7</v>
      </c>
      <c r="G2943" s="10">
        <v>0</v>
      </c>
      <c r="H2943" s="7">
        <v>795.7</v>
      </c>
      <c r="I2943">
        <v>2</v>
      </c>
      <c r="J2943" t="s">
        <v>13</v>
      </c>
      <c r="K2943" s="13">
        <f>ROUND(tblTransactions[[#This Row],[gross_sales_inr]]*(1-tblTransactions[[#This Row],[discount_pct]]),2)</f>
        <v>795.7</v>
      </c>
      <c r="L2943" t="str">
        <f>IF(ABS(tblTransactions[[#This Row],[net_sales_inr]]-tblTransactions[[#This Row],[Recalc_Net_Sales]])&lt;0.02,"OK","CHECK")</f>
        <v>OK</v>
      </c>
      <c r="M2943" s="14">
        <f>DATE(YEAR(tblTransactions[[#This Row],[date]]),MONTH(tblTransactions[[#This Row],[date]]),1)</f>
        <v>45658</v>
      </c>
      <c r="N2943" t="str">
        <f>IF(WEEKDAY(tblTransactions[[#This Row],[date]],2)&gt;5,"Weekend","Weekday")</f>
        <v>Weekday</v>
      </c>
      <c r="O2943" s="13" t="str">
        <f>IF(tblTransactions[[#This Row],[discount_pct]]=0,"0%",IF(tblTransactions[[#This Row],[discount_pct]]&lt;=10%,"1–
10%",IF(tblTransactions[[#This Row],[discount_pct]]&lt;=20%,"11–20%","&gt;20%")))</f>
        <v>0%</v>
      </c>
      <c r="P2943" s="13" t="str">
        <f>_xlfn.XLOOKUP(tblTransactions[[#This Row],[tenant_id]],tblTenants[tenant_id],tblTenants[zone],"NOT FOUND")</f>
        <v>Food Court</v>
      </c>
      <c r="Q2943" s="13" t="str">
        <f>_xlfn.XLOOKUP(tblTransactions[[#This Row],[tenant_id]],tblTenants[tenant_id],tblTenants[category],"NOT FOUND")</f>
        <v>Quick Service</v>
      </c>
    </row>
    <row r="2944" spans="1:17">
      <c r="A2944" t="s">
        <v>2988</v>
      </c>
      <c r="B2944" s="2">
        <v>45772</v>
      </c>
      <c r="C2944">
        <v>15</v>
      </c>
      <c r="D2944" t="s">
        <v>57</v>
      </c>
      <c r="E2944" t="s">
        <v>12</v>
      </c>
      <c r="F2944" s="7">
        <v>1667.04</v>
      </c>
      <c r="G2944" s="10">
        <v>0.05</v>
      </c>
      <c r="H2944" s="7">
        <v>1583.69</v>
      </c>
      <c r="I2944">
        <v>3</v>
      </c>
      <c r="J2944" t="s">
        <v>16</v>
      </c>
      <c r="K2944" s="13">
        <f>ROUND(tblTransactions[[#This Row],[gross_sales_inr]]*(1-tblTransactions[[#This Row],[discount_pct]]),2)</f>
        <v>1583.69</v>
      </c>
      <c r="L2944" t="str">
        <f>IF(ABS(tblTransactions[[#This Row],[net_sales_inr]]-tblTransactions[[#This Row],[Recalc_Net_Sales]])&lt;0.02,"OK","CHECK")</f>
        <v>OK</v>
      </c>
      <c r="M2944" s="14">
        <f>DATE(YEAR(tblTransactions[[#This Row],[date]]),MONTH(tblTransactions[[#This Row],[date]]),1)</f>
        <v>45748</v>
      </c>
      <c r="N2944" t="str">
        <f>IF(WEEKDAY(tblTransactions[[#This Row],[date]],2)&gt;5,"Weekend","Weekday")</f>
        <v>Weekday</v>
      </c>
      <c r="O294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44" s="13" t="str">
        <f>_xlfn.XLOOKUP(tblTransactions[[#This Row],[tenant_id]],tblTenants[tenant_id],tblTenants[zone],"NOT FOUND")</f>
        <v>Food Court</v>
      </c>
      <c r="Q2944" s="13" t="str">
        <f>_xlfn.XLOOKUP(tblTransactions[[#This Row],[tenant_id]],tblTenants[tenant_id],tblTenants[category],"NOT FOUND")</f>
        <v>Casual Dining</v>
      </c>
    </row>
    <row r="2945" spans="1:17">
      <c r="A2945" t="s">
        <v>2989</v>
      </c>
      <c r="B2945" s="2">
        <v>45713</v>
      </c>
      <c r="C2945">
        <v>13</v>
      </c>
      <c r="D2945" t="s">
        <v>31</v>
      </c>
      <c r="E2945" t="s">
        <v>51</v>
      </c>
      <c r="F2945" s="7">
        <v>783.18</v>
      </c>
      <c r="G2945" s="10">
        <v>0.05</v>
      </c>
      <c r="H2945" s="7">
        <v>744.02</v>
      </c>
      <c r="I2945">
        <v>4</v>
      </c>
      <c r="J2945" t="s">
        <v>13</v>
      </c>
      <c r="K2945" s="13">
        <f>ROUND(tblTransactions[[#This Row],[gross_sales_inr]]*(1-tblTransactions[[#This Row],[discount_pct]]),2)</f>
        <v>744.02</v>
      </c>
      <c r="L2945" t="str">
        <f>IF(ABS(tblTransactions[[#This Row],[net_sales_inr]]-tblTransactions[[#This Row],[Recalc_Net_Sales]])&lt;0.02,"OK","CHECK")</f>
        <v>OK</v>
      </c>
      <c r="M2945" s="14">
        <f>DATE(YEAR(tblTransactions[[#This Row],[date]]),MONTH(tblTransactions[[#This Row],[date]]),1)</f>
        <v>45689</v>
      </c>
      <c r="N2945" t="str">
        <f>IF(WEEKDAY(tblTransactions[[#This Row],[date]],2)&gt;5,"Weekend","Weekday")</f>
        <v>Weekday</v>
      </c>
      <c r="O294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45" s="13" t="str">
        <f>_xlfn.XLOOKUP(tblTransactions[[#This Row],[tenant_id]],tblTenants[tenant_id],tblTenants[zone],"NOT FOUND")</f>
        <v>Entertainment</v>
      </c>
      <c r="Q2945" s="13" t="str">
        <f>_xlfn.XLOOKUP(tblTransactions[[#This Row],[tenant_id]],tblTenants[tenant_id],tblTenants[category],"NOT FOUND")</f>
        <v>Arcade</v>
      </c>
    </row>
    <row r="2946" spans="1:17">
      <c r="A2946" t="s">
        <v>2990</v>
      </c>
      <c r="B2946" s="2">
        <v>45835</v>
      </c>
      <c r="C2946">
        <v>14</v>
      </c>
      <c r="D2946" t="s">
        <v>20</v>
      </c>
      <c r="E2946" t="s">
        <v>12</v>
      </c>
      <c r="F2946" s="7">
        <v>620.78</v>
      </c>
      <c r="G2946" s="10">
        <v>0</v>
      </c>
      <c r="H2946" s="7">
        <v>620.78</v>
      </c>
      <c r="I2946">
        <v>2</v>
      </c>
      <c r="J2946" t="s">
        <v>13</v>
      </c>
      <c r="K2946" s="13">
        <f>ROUND(tblTransactions[[#This Row],[gross_sales_inr]]*(1-tblTransactions[[#This Row],[discount_pct]]),2)</f>
        <v>620.78</v>
      </c>
      <c r="L2946" t="str">
        <f>IF(ABS(tblTransactions[[#This Row],[net_sales_inr]]-tblTransactions[[#This Row],[Recalc_Net_Sales]])&lt;0.02,"OK","CHECK")</f>
        <v>OK</v>
      </c>
      <c r="M2946" s="14">
        <f>DATE(YEAR(tblTransactions[[#This Row],[date]]),MONTH(tblTransactions[[#This Row],[date]]),1)</f>
        <v>45809</v>
      </c>
      <c r="N2946" t="str">
        <f>IF(WEEKDAY(tblTransactions[[#This Row],[date]],2)&gt;5,"Weekend","Weekday")</f>
        <v>Weekday</v>
      </c>
      <c r="O2946" s="13" t="str">
        <f>IF(tblTransactions[[#This Row],[discount_pct]]=0,"0%",IF(tblTransactions[[#This Row],[discount_pct]]&lt;=10%,"1–
10%",IF(tblTransactions[[#This Row],[discount_pct]]&lt;=20%,"11–20%","&gt;20%")))</f>
        <v>0%</v>
      </c>
      <c r="P2946" s="13" t="str">
        <f>_xlfn.XLOOKUP(tblTransactions[[#This Row],[tenant_id]],tblTenants[tenant_id],tblTenants[zone],"NOT FOUND")</f>
        <v>Fashion Avenue</v>
      </c>
      <c r="Q2946" s="13" t="str">
        <f>_xlfn.XLOOKUP(tblTransactions[[#This Row],[tenant_id]],tblTenants[tenant_id],tblTenants[category],"NOT FOUND")</f>
        <v>Accessories</v>
      </c>
    </row>
    <row r="2947" spans="1:17">
      <c r="A2947" t="s">
        <v>2991</v>
      </c>
      <c r="B2947" s="2">
        <v>45805</v>
      </c>
      <c r="C2947">
        <v>19</v>
      </c>
      <c r="D2947" t="s">
        <v>87</v>
      </c>
      <c r="E2947" t="s">
        <v>51</v>
      </c>
      <c r="F2947" s="7">
        <v>787.13</v>
      </c>
      <c r="G2947" s="10">
        <v>0</v>
      </c>
      <c r="H2947" s="7">
        <v>787.13</v>
      </c>
      <c r="I2947">
        <v>1</v>
      </c>
      <c r="J2947" t="s">
        <v>13</v>
      </c>
      <c r="K2947" s="13">
        <f>ROUND(tblTransactions[[#This Row],[gross_sales_inr]]*(1-tblTransactions[[#This Row],[discount_pct]]),2)</f>
        <v>787.13</v>
      </c>
      <c r="L2947" t="str">
        <f>IF(ABS(tblTransactions[[#This Row],[net_sales_inr]]-tblTransactions[[#This Row],[Recalc_Net_Sales]])&lt;0.02,"OK","CHECK")</f>
        <v>OK</v>
      </c>
      <c r="M2947" s="14">
        <f>DATE(YEAR(tblTransactions[[#This Row],[date]]),MONTH(tblTransactions[[#This Row],[date]]),1)</f>
        <v>45778</v>
      </c>
      <c r="N2947" t="str">
        <f>IF(WEEKDAY(tblTransactions[[#This Row],[date]],2)&gt;5,"Weekend","Weekday")</f>
        <v>Weekday</v>
      </c>
      <c r="O2947" s="13" t="str">
        <f>IF(tblTransactions[[#This Row],[discount_pct]]=0,"0%",IF(tblTransactions[[#This Row],[discount_pct]]&lt;=10%,"1–
10%",IF(tblTransactions[[#This Row],[discount_pct]]&lt;=20%,"11–20%","&gt;20%")))</f>
        <v>0%</v>
      </c>
      <c r="P2947" s="13" t="str">
        <f>_xlfn.XLOOKUP(tblTransactions[[#This Row],[tenant_id]],tblTenants[tenant_id],tblTenants[zone],"NOT FOUND")</f>
        <v>Fashion Avenue</v>
      </c>
      <c r="Q2947" s="13" t="str">
        <f>_xlfn.XLOOKUP(tblTransactions[[#This Row],[tenant_id]],tblTenants[tenant_id],tblTenants[category],"NOT FOUND")</f>
        <v>Footwear</v>
      </c>
    </row>
    <row r="2948" spans="1:17">
      <c r="A2948" t="s">
        <v>2992</v>
      </c>
      <c r="B2948" s="2">
        <v>45661</v>
      </c>
      <c r="C2948">
        <v>19</v>
      </c>
      <c r="D2948" t="s">
        <v>34</v>
      </c>
      <c r="E2948" t="s">
        <v>21</v>
      </c>
      <c r="F2948" s="7">
        <v>729.07</v>
      </c>
      <c r="G2948" s="10">
        <v>0.2</v>
      </c>
      <c r="H2948" s="7">
        <v>583.26</v>
      </c>
      <c r="I2948">
        <v>1</v>
      </c>
      <c r="J2948" t="s">
        <v>16</v>
      </c>
      <c r="K2948" s="13">
        <f>ROUND(tblTransactions[[#This Row],[gross_sales_inr]]*(1-tblTransactions[[#This Row],[discount_pct]]),2)</f>
        <v>583.26</v>
      </c>
      <c r="L2948" t="str">
        <f>IF(ABS(tblTransactions[[#This Row],[net_sales_inr]]-tblTransactions[[#This Row],[Recalc_Net_Sales]])&lt;0.02,"OK","CHECK")</f>
        <v>OK</v>
      </c>
      <c r="M2948" s="14">
        <f>DATE(YEAR(tblTransactions[[#This Row],[date]]),MONTH(tblTransactions[[#This Row],[date]]),1)</f>
        <v>45658</v>
      </c>
      <c r="N2948" t="str">
        <f>IF(WEEKDAY(tblTransactions[[#This Row],[date]],2)&gt;5,"Weekend","Weekday")</f>
        <v>Weekend</v>
      </c>
      <c r="O294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48" s="13" t="str">
        <f>_xlfn.XLOOKUP(tblTransactions[[#This Row],[tenant_id]],tblTenants[tenant_id],tblTenants[zone],"NOT FOUND")</f>
        <v>Home &amp; Living</v>
      </c>
      <c r="Q2948" s="13" t="str">
        <f>_xlfn.XLOOKUP(tblTransactions[[#This Row],[tenant_id]],tblTenants[tenant_id],tblTenants[category],"NOT FOUND")</f>
        <v>Electronics</v>
      </c>
    </row>
    <row r="2949" spans="1:17">
      <c r="A2949" t="s">
        <v>2993</v>
      </c>
      <c r="B2949" s="2">
        <v>45731</v>
      </c>
      <c r="C2949">
        <v>14</v>
      </c>
      <c r="D2949" t="s">
        <v>45</v>
      </c>
      <c r="E2949" t="s">
        <v>32</v>
      </c>
      <c r="F2949" s="7">
        <v>2041.58</v>
      </c>
      <c r="G2949" s="10">
        <v>0</v>
      </c>
      <c r="H2949" s="7">
        <v>2041.58</v>
      </c>
      <c r="I2949">
        <v>6</v>
      </c>
      <c r="J2949" t="s">
        <v>13</v>
      </c>
      <c r="K2949" s="13">
        <f>ROUND(tblTransactions[[#This Row],[gross_sales_inr]]*(1-tblTransactions[[#This Row],[discount_pct]]),2)</f>
        <v>2041.58</v>
      </c>
      <c r="L2949" t="str">
        <f>IF(ABS(tblTransactions[[#This Row],[net_sales_inr]]-tblTransactions[[#This Row],[Recalc_Net_Sales]])&lt;0.02,"OK","CHECK")</f>
        <v>OK</v>
      </c>
      <c r="M2949" s="14">
        <f>DATE(YEAR(tblTransactions[[#This Row],[date]]),MONTH(tblTransactions[[#This Row],[date]]),1)</f>
        <v>45717</v>
      </c>
      <c r="N2949" t="str">
        <f>IF(WEEKDAY(tblTransactions[[#This Row],[date]],2)&gt;5,"Weekend","Weekday")</f>
        <v>Weekend</v>
      </c>
      <c r="O2949" s="13" t="str">
        <f>IF(tblTransactions[[#This Row],[discount_pct]]=0,"0%",IF(tblTransactions[[#This Row],[discount_pct]]&lt;=10%,"1–
10%",IF(tblTransactions[[#This Row],[discount_pct]]&lt;=20%,"11–20%","&gt;20%")))</f>
        <v>0%</v>
      </c>
      <c r="P2949" s="13" t="str">
        <f>_xlfn.XLOOKUP(tblTransactions[[#This Row],[tenant_id]],tblTenants[tenant_id],tblTenants[zone],"NOT FOUND")</f>
        <v>Home &amp; Living</v>
      </c>
      <c r="Q2949" s="13" t="str">
        <f>_xlfn.XLOOKUP(tblTransactions[[#This Row],[tenant_id]],tblTenants[tenant_id],tblTenants[category],"NOT FOUND")</f>
        <v>Home Decor</v>
      </c>
    </row>
    <row r="2950" spans="1:17">
      <c r="A2950" t="s">
        <v>2994</v>
      </c>
      <c r="B2950" s="2">
        <v>45679</v>
      </c>
      <c r="C2950">
        <v>13</v>
      </c>
      <c r="D2950" t="s">
        <v>43</v>
      </c>
      <c r="E2950" t="s">
        <v>51</v>
      </c>
      <c r="F2950" s="7">
        <v>751.4</v>
      </c>
      <c r="G2950" s="10">
        <v>0</v>
      </c>
      <c r="H2950" s="7">
        <v>751.4</v>
      </c>
      <c r="I2950">
        <v>6</v>
      </c>
      <c r="J2950" t="s">
        <v>16</v>
      </c>
      <c r="K2950" s="13">
        <f>ROUND(tblTransactions[[#This Row],[gross_sales_inr]]*(1-tblTransactions[[#This Row],[discount_pct]]),2)</f>
        <v>751.4</v>
      </c>
      <c r="L2950" t="str">
        <f>IF(ABS(tblTransactions[[#This Row],[net_sales_inr]]-tblTransactions[[#This Row],[Recalc_Net_Sales]])&lt;0.02,"OK","CHECK")</f>
        <v>OK</v>
      </c>
      <c r="M2950" s="14">
        <f>DATE(YEAR(tblTransactions[[#This Row],[date]]),MONTH(tblTransactions[[#This Row],[date]]),1)</f>
        <v>45658</v>
      </c>
      <c r="N2950" t="str">
        <f>IF(WEEKDAY(tblTransactions[[#This Row],[date]],2)&gt;5,"Weekend","Weekday")</f>
        <v>Weekday</v>
      </c>
      <c r="O2950" s="13" t="str">
        <f>IF(tblTransactions[[#This Row],[discount_pct]]=0,"0%",IF(tblTransactions[[#This Row],[discount_pct]]&lt;=10%,"1–
10%",IF(tblTransactions[[#This Row],[discount_pct]]&lt;=20%,"11–20%","&gt;20%")))</f>
        <v>0%</v>
      </c>
      <c r="P2950" s="13" t="str">
        <f>_xlfn.XLOOKUP(tblTransactions[[#This Row],[tenant_id]],tblTenants[tenant_id],tblTenants[zone],"NOT FOUND")</f>
        <v>Food Court</v>
      </c>
      <c r="Q2950" s="13" t="str">
        <f>_xlfn.XLOOKUP(tblTransactions[[#This Row],[tenant_id]],tblTenants[tenant_id],tblTenants[category],"NOT FOUND")</f>
        <v>Casual Dining</v>
      </c>
    </row>
    <row r="2951" spans="1:17">
      <c r="A2951" t="s">
        <v>2995</v>
      </c>
      <c r="B2951" s="2">
        <v>45705</v>
      </c>
      <c r="C2951">
        <v>12</v>
      </c>
      <c r="D2951" t="s">
        <v>204</v>
      </c>
      <c r="E2951" t="s">
        <v>12</v>
      </c>
      <c r="F2951" s="7">
        <v>1043.49</v>
      </c>
      <c r="G2951" s="10">
        <v>0</v>
      </c>
      <c r="H2951" s="7">
        <v>1043.49</v>
      </c>
      <c r="I2951">
        <v>1</v>
      </c>
      <c r="J2951" t="s">
        <v>13</v>
      </c>
      <c r="K2951" s="13">
        <f>ROUND(tblTransactions[[#This Row],[gross_sales_inr]]*(1-tblTransactions[[#This Row],[discount_pct]]),2)</f>
        <v>1043.49</v>
      </c>
      <c r="L2951" t="str">
        <f>IF(ABS(tblTransactions[[#This Row],[net_sales_inr]]-tblTransactions[[#This Row],[Recalc_Net_Sales]])&lt;0.02,"OK","CHECK")</f>
        <v>OK</v>
      </c>
      <c r="M2951" s="14">
        <f>DATE(YEAR(tblTransactions[[#This Row],[date]]),MONTH(tblTransactions[[#This Row],[date]]),1)</f>
        <v>45689</v>
      </c>
      <c r="N2951" t="str">
        <f>IF(WEEKDAY(tblTransactions[[#This Row],[date]],2)&gt;5,"Weekend","Weekday")</f>
        <v>Weekday</v>
      </c>
      <c r="O2951" s="13" t="str">
        <f>IF(tblTransactions[[#This Row],[discount_pct]]=0,"0%",IF(tblTransactions[[#This Row],[discount_pct]]&lt;=10%,"1–
10%",IF(tblTransactions[[#This Row],[discount_pct]]&lt;=20%,"11–20%","&gt;20%")))</f>
        <v>0%</v>
      </c>
      <c r="P2951" s="13" t="str">
        <f>_xlfn.XLOOKUP(tblTransactions[[#This Row],[tenant_id]],tblTenants[tenant_id],tblTenants[zone],"NOT FOUND")</f>
        <v>Home &amp; Living</v>
      </c>
      <c r="Q2951" s="13" t="str">
        <f>_xlfn.XLOOKUP(tblTransactions[[#This Row],[tenant_id]],tblTenants[tenant_id],tblTenants[category],"NOT FOUND")</f>
        <v>Home Decor</v>
      </c>
    </row>
    <row r="2952" spans="1:17">
      <c r="A2952" t="s">
        <v>2996</v>
      </c>
      <c r="B2952" s="2">
        <v>45775</v>
      </c>
      <c r="C2952">
        <v>12</v>
      </c>
      <c r="D2952" t="s">
        <v>31</v>
      </c>
      <c r="E2952" t="s">
        <v>12</v>
      </c>
      <c r="F2952" s="7">
        <v>1342.23</v>
      </c>
      <c r="G2952" s="10">
        <v>0.15</v>
      </c>
      <c r="H2952" s="7">
        <v>1140.9000000000001</v>
      </c>
      <c r="I2952">
        <v>4</v>
      </c>
      <c r="J2952" t="s">
        <v>16</v>
      </c>
      <c r="K2952" s="13">
        <f>ROUND(tblTransactions[[#This Row],[gross_sales_inr]]*(1-tblTransactions[[#This Row],[discount_pct]]),2)</f>
        <v>1140.9000000000001</v>
      </c>
      <c r="L2952" t="str">
        <f>IF(ABS(tblTransactions[[#This Row],[net_sales_inr]]-tblTransactions[[#This Row],[Recalc_Net_Sales]])&lt;0.02,"OK","CHECK")</f>
        <v>OK</v>
      </c>
      <c r="M2952" s="14">
        <f>DATE(YEAR(tblTransactions[[#This Row],[date]]),MONTH(tblTransactions[[#This Row],[date]]),1)</f>
        <v>45748</v>
      </c>
      <c r="N2952" t="str">
        <f>IF(WEEKDAY(tblTransactions[[#This Row],[date]],2)&gt;5,"Weekend","Weekday")</f>
        <v>Weekday</v>
      </c>
      <c r="O295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52" s="13" t="str">
        <f>_xlfn.XLOOKUP(tblTransactions[[#This Row],[tenant_id]],tblTenants[tenant_id],tblTenants[zone],"NOT FOUND")</f>
        <v>Entertainment</v>
      </c>
      <c r="Q2952" s="13" t="str">
        <f>_xlfn.XLOOKUP(tblTransactions[[#This Row],[tenant_id]],tblTenants[tenant_id],tblTenants[category],"NOT FOUND")</f>
        <v>Arcade</v>
      </c>
    </row>
    <row r="2953" spans="1:17">
      <c r="A2953" t="s">
        <v>2997</v>
      </c>
      <c r="B2953" s="2">
        <v>45754</v>
      </c>
      <c r="C2953">
        <v>21</v>
      </c>
      <c r="D2953" t="s">
        <v>80</v>
      </c>
      <c r="E2953" t="s">
        <v>12</v>
      </c>
      <c r="F2953" s="7">
        <v>720.48</v>
      </c>
      <c r="G2953" s="10">
        <v>0.2</v>
      </c>
      <c r="H2953" s="7">
        <v>576.38</v>
      </c>
      <c r="I2953">
        <v>4</v>
      </c>
      <c r="J2953" t="s">
        <v>16</v>
      </c>
      <c r="K2953" s="13">
        <f>ROUND(tblTransactions[[#This Row],[gross_sales_inr]]*(1-tblTransactions[[#This Row],[discount_pct]]),2)</f>
        <v>576.38</v>
      </c>
      <c r="L2953" t="str">
        <f>IF(ABS(tblTransactions[[#This Row],[net_sales_inr]]-tblTransactions[[#This Row],[Recalc_Net_Sales]])&lt;0.02,"OK","CHECK")</f>
        <v>OK</v>
      </c>
      <c r="M2953" s="14">
        <f>DATE(YEAR(tblTransactions[[#This Row],[date]]),MONTH(tblTransactions[[#This Row],[date]]),1)</f>
        <v>45748</v>
      </c>
      <c r="N2953" t="str">
        <f>IF(WEEKDAY(tblTransactions[[#This Row],[date]],2)&gt;5,"Weekend","Weekday")</f>
        <v>Weekday</v>
      </c>
      <c r="O295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53" s="13" t="str">
        <f>_xlfn.XLOOKUP(tblTransactions[[#This Row],[tenant_id]],tblTenants[tenant_id],tblTenants[zone],"NOT FOUND")</f>
        <v>Food Court</v>
      </c>
      <c r="Q2953" s="13" t="str">
        <f>_xlfn.XLOOKUP(tblTransactions[[#This Row],[tenant_id]],tblTenants[tenant_id],tblTenants[category],"NOT FOUND")</f>
        <v>Casual Dining</v>
      </c>
    </row>
    <row r="2954" spans="1:17">
      <c r="A2954" t="s">
        <v>2998</v>
      </c>
      <c r="B2954" s="2">
        <v>45763</v>
      </c>
      <c r="C2954">
        <v>15</v>
      </c>
      <c r="D2954" t="s">
        <v>18</v>
      </c>
      <c r="E2954" t="s">
        <v>12</v>
      </c>
      <c r="F2954" s="7">
        <v>485.28</v>
      </c>
      <c r="G2954" s="10">
        <v>0</v>
      </c>
      <c r="H2954" s="7">
        <v>485.28</v>
      </c>
      <c r="I2954">
        <v>2</v>
      </c>
      <c r="J2954" t="s">
        <v>16</v>
      </c>
      <c r="K2954" s="13">
        <f>ROUND(tblTransactions[[#This Row],[gross_sales_inr]]*(1-tblTransactions[[#This Row],[discount_pct]]),2)</f>
        <v>485.28</v>
      </c>
      <c r="L2954" t="str">
        <f>IF(ABS(tblTransactions[[#This Row],[net_sales_inr]]-tblTransactions[[#This Row],[Recalc_Net_Sales]])&lt;0.02,"OK","CHECK")</f>
        <v>OK</v>
      </c>
      <c r="M2954" s="14">
        <f>DATE(YEAR(tblTransactions[[#This Row],[date]]),MONTH(tblTransactions[[#This Row],[date]]),1)</f>
        <v>45748</v>
      </c>
      <c r="N2954" t="str">
        <f>IF(WEEKDAY(tblTransactions[[#This Row],[date]],2)&gt;5,"Weekend","Weekday")</f>
        <v>Weekday</v>
      </c>
      <c r="O2954" s="13" t="str">
        <f>IF(tblTransactions[[#This Row],[discount_pct]]=0,"0%",IF(tblTransactions[[#This Row],[discount_pct]]&lt;=10%,"1–
10%",IF(tblTransactions[[#This Row],[discount_pct]]&lt;=20%,"11–20%","&gt;20%")))</f>
        <v>0%</v>
      </c>
      <c r="P2954" s="13" t="str">
        <f>_xlfn.XLOOKUP(tblTransactions[[#This Row],[tenant_id]],tblTenants[tenant_id],tblTenants[zone],"NOT FOUND")</f>
        <v>Beauty &amp; Wellness</v>
      </c>
      <c r="Q2954" s="13" t="str">
        <f>_xlfn.XLOOKUP(tblTransactions[[#This Row],[tenant_id]],tblTenants[tenant_id],tblTenants[category],"NOT FOUND")</f>
        <v>Beauty</v>
      </c>
    </row>
    <row r="2955" spans="1:17">
      <c r="A2955" t="s">
        <v>2999</v>
      </c>
      <c r="B2955" s="2">
        <v>45797</v>
      </c>
      <c r="C2955">
        <v>19</v>
      </c>
      <c r="D2955" t="s">
        <v>34</v>
      </c>
      <c r="E2955" t="s">
        <v>32</v>
      </c>
      <c r="F2955" s="7">
        <v>388.74</v>
      </c>
      <c r="G2955" s="10">
        <v>0.05</v>
      </c>
      <c r="H2955" s="7">
        <v>369.3</v>
      </c>
      <c r="I2955">
        <v>5</v>
      </c>
      <c r="J2955" t="s">
        <v>13</v>
      </c>
      <c r="K2955" s="13">
        <f>ROUND(tblTransactions[[#This Row],[gross_sales_inr]]*(1-tblTransactions[[#This Row],[discount_pct]]),2)</f>
        <v>369.3</v>
      </c>
      <c r="L2955" t="str">
        <f>IF(ABS(tblTransactions[[#This Row],[net_sales_inr]]-tblTransactions[[#This Row],[Recalc_Net_Sales]])&lt;0.02,"OK","CHECK")</f>
        <v>OK</v>
      </c>
      <c r="M2955" s="14">
        <f>DATE(YEAR(tblTransactions[[#This Row],[date]]),MONTH(tblTransactions[[#This Row],[date]]),1)</f>
        <v>45778</v>
      </c>
      <c r="N2955" t="str">
        <f>IF(WEEKDAY(tblTransactions[[#This Row],[date]],2)&gt;5,"Weekend","Weekday")</f>
        <v>Weekday</v>
      </c>
      <c r="O295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55" s="13" t="str">
        <f>_xlfn.XLOOKUP(tblTransactions[[#This Row],[tenant_id]],tblTenants[tenant_id],tblTenants[zone],"NOT FOUND")</f>
        <v>Home &amp; Living</v>
      </c>
      <c r="Q2955" s="13" t="str">
        <f>_xlfn.XLOOKUP(tblTransactions[[#This Row],[tenant_id]],tblTenants[tenant_id],tblTenants[category],"NOT FOUND")</f>
        <v>Electronics</v>
      </c>
    </row>
    <row r="2956" spans="1:17">
      <c r="A2956" t="s">
        <v>3000</v>
      </c>
      <c r="B2956" s="2">
        <v>45729</v>
      </c>
      <c r="C2956">
        <v>20</v>
      </c>
      <c r="D2956" t="s">
        <v>27</v>
      </c>
      <c r="E2956" t="s">
        <v>12</v>
      </c>
      <c r="F2956" s="7">
        <v>580.57000000000005</v>
      </c>
      <c r="G2956" s="10">
        <v>0</v>
      </c>
      <c r="H2956" s="7">
        <v>580.57000000000005</v>
      </c>
      <c r="I2956">
        <v>4</v>
      </c>
      <c r="J2956" t="s">
        <v>13</v>
      </c>
      <c r="K2956" s="13">
        <f>ROUND(tblTransactions[[#This Row],[gross_sales_inr]]*(1-tblTransactions[[#This Row],[discount_pct]]),2)</f>
        <v>580.57000000000005</v>
      </c>
      <c r="L2956" t="str">
        <f>IF(ABS(tblTransactions[[#This Row],[net_sales_inr]]-tblTransactions[[#This Row],[Recalc_Net_Sales]])&lt;0.02,"OK","CHECK")</f>
        <v>OK</v>
      </c>
      <c r="M2956" s="14">
        <f>DATE(YEAR(tblTransactions[[#This Row],[date]]),MONTH(tblTransactions[[#This Row],[date]]),1)</f>
        <v>45717</v>
      </c>
      <c r="N2956" t="str">
        <f>IF(WEEKDAY(tblTransactions[[#This Row],[date]],2)&gt;5,"Weekend","Weekday")</f>
        <v>Weekday</v>
      </c>
      <c r="O2956" s="13" t="str">
        <f>IF(tblTransactions[[#This Row],[discount_pct]]=0,"0%",IF(tblTransactions[[#This Row],[discount_pct]]&lt;=10%,"1–
10%",IF(tblTransactions[[#This Row],[discount_pct]]&lt;=20%,"11–20%","&gt;20%")))</f>
        <v>0%</v>
      </c>
      <c r="P2956" s="13" t="str">
        <f>_xlfn.XLOOKUP(tblTransactions[[#This Row],[tenant_id]],tblTenants[tenant_id],tblTenants[zone],"NOT FOUND")</f>
        <v>Beauty &amp; Wellness</v>
      </c>
      <c r="Q2956" s="13" t="str">
        <f>_xlfn.XLOOKUP(tblTransactions[[#This Row],[tenant_id]],tblTenants[tenant_id],tblTenants[category],"NOT FOUND")</f>
        <v>Wellness</v>
      </c>
    </row>
    <row r="2957" spans="1:17">
      <c r="A2957" t="s">
        <v>3001</v>
      </c>
      <c r="B2957" s="2">
        <v>45740</v>
      </c>
      <c r="C2957">
        <v>18</v>
      </c>
      <c r="D2957" t="s">
        <v>53</v>
      </c>
      <c r="E2957" t="s">
        <v>32</v>
      </c>
      <c r="F2957" s="7">
        <v>675.06</v>
      </c>
      <c r="G2957" s="10">
        <v>0</v>
      </c>
      <c r="H2957" s="7">
        <v>675.06</v>
      </c>
      <c r="I2957">
        <v>2</v>
      </c>
      <c r="J2957" t="s">
        <v>13</v>
      </c>
      <c r="K2957" s="13">
        <f>ROUND(tblTransactions[[#This Row],[gross_sales_inr]]*(1-tblTransactions[[#This Row],[discount_pct]]),2)</f>
        <v>675.06</v>
      </c>
      <c r="L2957" t="str">
        <f>IF(ABS(tblTransactions[[#This Row],[net_sales_inr]]-tblTransactions[[#This Row],[Recalc_Net_Sales]])&lt;0.02,"OK","CHECK")</f>
        <v>OK</v>
      </c>
      <c r="M2957" s="14">
        <f>DATE(YEAR(tblTransactions[[#This Row],[date]]),MONTH(tblTransactions[[#This Row],[date]]),1)</f>
        <v>45717</v>
      </c>
      <c r="N2957" t="str">
        <f>IF(WEEKDAY(tblTransactions[[#This Row],[date]],2)&gt;5,"Weekend","Weekday")</f>
        <v>Weekday</v>
      </c>
      <c r="O2957" s="13" t="str">
        <f>IF(tblTransactions[[#This Row],[discount_pct]]=0,"0%",IF(tblTransactions[[#This Row],[discount_pct]]&lt;=10%,"1–
10%",IF(tblTransactions[[#This Row],[discount_pct]]&lt;=20%,"11–20%","&gt;20%")))</f>
        <v>0%</v>
      </c>
      <c r="P2957" s="13" t="str">
        <f>_xlfn.XLOOKUP(tblTransactions[[#This Row],[tenant_id]],tblTenants[tenant_id],tblTenants[zone],"NOT FOUND")</f>
        <v>Beauty &amp; Wellness</v>
      </c>
      <c r="Q2957" s="13" t="str">
        <f>_xlfn.XLOOKUP(tblTransactions[[#This Row],[tenant_id]],tblTenants[tenant_id],tblTenants[category],"NOT FOUND")</f>
        <v>Beauty</v>
      </c>
    </row>
    <row r="2958" spans="1:17">
      <c r="A2958" t="s">
        <v>3002</v>
      </c>
      <c r="B2958" s="2">
        <v>45763</v>
      </c>
      <c r="C2958">
        <v>16</v>
      </c>
      <c r="D2958" t="s">
        <v>57</v>
      </c>
      <c r="E2958" t="s">
        <v>12</v>
      </c>
      <c r="F2958" s="7">
        <v>456.92</v>
      </c>
      <c r="G2958" s="10">
        <v>0.1</v>
      </c>
      <c r="H2958" s="7">
        <v>411.23</v>
      </c>
      <c r="I2958">
        <v>3</v>
      </c>
      <c r="J2958" t="s">
        <v>16</v>
      </c>
      <c r="K2958" s="13">
        <f>ROUND(tblTransactions[[#This Row],[gross_sales_inr]]*(1-tblTransactions[[#This Row],[discount_pct]]),2)</f>
        <v>411.23</v>
      </c>
      <c r="L2958" t="str">
        <f>IF(ABS(tblTransactions[[#This Row],[net_sales_inr]]-tblTransactions[[#This Row],[Recalc_Net_Sales]])&lt;0.02,"OK","CHECK")</f>
        <v>OK</v>
      </c>
      <c r="M2958" s="14">
        <f>DATE(YEAR(tblTransactions[[#This Row],[date]]),MONTH(tblTransactions[[#This Row],[date]]),1)</f>
        <v>45748</v>
      </c>
      <c r="N2958" t="str">
        <f>IF(WEEKDAY(tblTransactions[[#This Row],[date]],2)&gt;5,"Weekend","Weekday")</f>
        <v>Weekday</v>
      </c>
      <c r="O295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58" s="13" t="str">
        <f>_xlfn.XLOOKUP(tblTransactions[[#This Row],[tenant_id]],tblTenants[tenant_id],tblTenants[zone],"NOT FOUND")</f>
        <v>Food Court</v>
      </c>
      <c r="Q2958" s="13" t="str">
        <f>_xlfn.XLOOKUP(tblTransactions[[#This Row],[tenant_id]],tblTenants[tenant_id],tblTenants[category],"NOT FOUND")</f>
        <v>Casual Dining</v>
      </c>
    </row>
    <row r="2959" spans="1:17">
      <c r="A2959" t="s">
        <v>3003</v>
      </c>
      <c r="B2959" s="2">
        <v>45784</v>
      </c>
      <c r="C2959">
        <v>13</v>
      </c>
      <c r="D2959" t="s">
        <v>85</v>
      </c>
      <c r="E2959" t="s">
        <v>32</v>
      </c>
      <c r="F2959" s="7">
        <v>1022.11</v>
      </c>
      <c r="G2959" s="10">
        <v>0.1</v>
      </c>
      <c r="H2959" s="7">
        <v>919.9</v>
      </c>
      <c r="I2959">
        <v>1</v>
      </c>
      <c r="J2959" t="s">
        <v>13</v>
      </c>
      <c r="K2959" s="13">
        <f>ROUND(tblTransactions[[#This Row],[gross_sales_inr]]*(1-tblTransactions[[#This Row],[discount_pct]]),2)</f>
        <v>919.9</v>
      </c>
      <c r="L2959" t="str">
        <f>IF(ABS(tblTransactions[[#This Row],[net_sales_inr]]-tblTransactions[[#This Row],[Recalc_Net_Sales]])&lt;0.02,"OK","CHECK")</f>
        <v>OK</v>
      </c>
      <c r="M2959" s="14">
        <f>DATE(YEAR(tblTransactions[[#This Row],[date]]),MONTH(tblTransactions[[#This Row],[date]]),1)</f>
        <v>45778</v>
      </c>
      <c r="N2959" t="str">
        <f>IF(WEEKDAY(tblTransactions[[#This Row],[date]],2)&gt;5,"Weekend","Weekday")</f>
        <v>Weekday</v>
      </c>
      <c r="O295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59" s="13" t="str">
        <f>_xlfn.XLOOKUP(tblTransactions[[#This Row],[tenant_id]],tblTenants[tenant_id],tblTenants[zone],"NOT FOUND")</f>
        <v>Home &amp; Living</v>
      </c>
      <c r="Q2959" s="13" t="str">
        <f>_xlfn.XLOOKUP(tblTransactions[[#This Row],[tenant_id]],tblTenants[tenant_id],tblTenants[category],"NOT FOUND")</f>
        <v>Electronics</v>
      </c>
    </row>
    <row r="2960" spans="1:17">
      <c r="A2960" t="s">
        <v>3004</v>
      </c>
      <c r="B2960" s="2">
        <v>45748</v>
      </c>
      <c r="C2960">
        <v>14</v>
      </c>
      <c r="D2960" t="s">
        <v>63</v>
      </c>
      <c r="E2960" t="s">
        <v>12</v>
      </c>
      <c r="F2960" s="7">
        <v>810.25</v>
      </c>
      <c r="G2960" s="10">
        <v>0</v>
      </c>
      <c r="H2960" s="7">
        <v>810.25</v>
      </c>
      <c r="I2960">
        <v>5</v>
      </c>
      <c r="J2960" t="s">
        <v>13</v>
      </c>
      <c r="K2960" s="13">
        <f>ROUND(tblTransactions[[#This Row],[gross_sales_inr]]*(1-tblTransactions[[#This Row],[discount_pct]]),2)</f>
        <v>810.25</v>
      </c>
      <c r="L2960" t="str">
        <f>IF(ABS(tblTransactions[[#This Row],[net_sales_inr]]-tblTransactions[[#This Row],[Recalc_Net_Sales]])&lt;0.02,"OK","CHECK")</f>
        <v>OK</v>
      </c>
      <c r="M2960" s="14">
        <f>DATE(YEAR(tblTransactions[[#This Row],[date]]),MONTH(tblTransactions[[#This Row],[date]]),1)</f>
        <v>45748</v>
      </c>
      <c r="N2960" t="str">
        <f>IF(WEEKDAY(tblTransactions[[#This Row],[date]],2)&gt;5,"Weekend","Weekday")</f>
        <v>Weekday</v>
      </c>
      <c r="O2960" s="13" t="str">
        <f>IF(tblTransactions[[#This Row],[discount_pct]]=0,"0%",IF(tblTransactions[[#This Row],[discount_pct]]&lt;=10%,"1–
10%",IF(tblTransactions[[#This Row],[discount_pct]]&lt;=20%,"11–20%","&gt;20%")))</f>
        <v>0%</v>
      </c>
      <c r="P2960" s="13" t="str">
        <f>_xlfn.XLOOKUP(tblTransactions[[#This Row],[tenant_id]],tblTenants[tenant_id],tblTenants[zone],"NOT FOUND")</f>
        <v>Entertainment</v>
      </c>
      <c r="Q2960" s="13" t="str">
        <f>_xlfn.XLOOKUP(tblTransactions[[#This Row],[tenant_id]],tblTenants[tenant_id],tblTenants[category],"NOT FOUND")</f>
        <v>Family Entertainment</v>
      </c>
    </row>
    <row r="2961" spans="1:17">
      <c r="A2961" t="s">
        <v>3005</v>
      </c>
      <c r="B2961" s="2">
        <v>45708</v>
      </c>
      <c r="C2961">
        <v>11</v>
      </c>
      <c r="D2961" t="s">
        <v>57</v>
      </c>
      <c r="E2961" t="s">
        <v>12</v>
      </c>
      <c r="F2961" s="7">
        <v>913.74</v>
      </c>
      <c r="G2961" s="10">
        <v>0</v>
      </c>
      <c r="H2961" s="7">
        <v>913.74</v>
      </c>
      <c r="I2961">
        <v>2</v>
      </c>
      <c r="J2961" t="s">
        <v>16</v>
      </c>
      <c r="K2961" s="13">
        <f>ROUND(tblTransactions[[#This Row],[gross_sales_inr]]*(1-tblTransactions[[#This Row],[discount_pct]]),2)</f>
        <v>913.74</v>
      </c>
      <c r="L2961" t="str">
        <f>IF(ABS(tblTransactions[[#This Row],[net_sales_inr]]-tblTransactions[[#This Row],[Recalc_Net_Sales]])&lt;0.02,"OK","CHECK")</f>
        <v>OK</v>
      </c>
      <c r="M2961" s="14">
        <f>DATE(YEAR(tblTransactions[[#This Row],[date]]),MONTH(tblTransactions[[#This Row],[date]]),1)</f>
        <v>45689</v>
      </c>
      <c r="N2961" t="str">
        <f>IF(WEEKDAY(tblTransactions[[#This Row],[date]],2)&gt;5,"Weekend","Weekday")</f>
        <v>Weekday</v>
      </c>
      <c r="O2961" s="13" t="str">
        <f>IF(tblTransactions[[#This Row],[discount_pct]]=0,"0%",IF(tblTransactions[[#This Row],[discount_pct]]&lt;=10%,"1–
10%",IF(tblTransactions[[#This Row],[discount_pct]]&lt;=20%,"11–20%","&gt;20%")))</f>
        <v>0%</v>
      </c>
      <c r="P2961" s="13" t="str">
        <f>_xlfn.XLOOKUP(tblTransactions[[#This Row],[tenant_id]],tblTenants[tenant_id],tblTenants[zone],"NOT FOUND")</f>
        <v>Food Court</v>
      </c>
      <c r="Q2961" s="13" t="str">
        <f>_xlfn.XLOOKUP(tblTransactions[[#This Row],[tenant_id]],tblTenants[tenant_id],tblTenants[category],"NOT FOUND")</f>
        <v>Casual Dining</v>
      </c>
    </row>
    <row r="2962" spans="1:17">
      <c r="A2962" t="s">
        <v>3006</v>
      </c>
      <c r="B2962" s="2">
        <v>45816</v>
      </c>
      <c r="C2962">
        <v>16</v>
      </c>
      <c r="D2962" t="s">
        <v>43</v>
      </c>
      <c r="E2962" t="s">
        <v>32</v>
      </c>
      <c r="F2962" s="7">
        <v>515.91999999999996</v>
      </c>
      <c r="G2962" s="10">
        <v>0</v>
      </c>
      <c r="H2962" s="7">
        <v>515.91999999999996</v>
      </c>
      <c r="I2962">
        <v>2</v>
      </c>
      <c r="J2962" t="s">
        <v>13</v>
      </c>
      <c r="K2962" s="13">
        <f>ROUND(tblTransactions[[#This Row],[gross_sales_inr]]*(1-tblTransactions[[#This Row],[discount_pct]]),2)</f>
        <v>515.91999999999996</v>
      </c>
      <c r="L2962" t="str">
        <f>IF(ABS(tblTransactions[[#This Row],[net_sales_inr]]-tblTransactions[[#This Row],[Recalc_Net_Sales]])&lt;0.02,"OK","CHECK")</f>
        <v>OK</v>
      </c>
      <c r="M2962" s="14">
        <f>DATE(YEAR(tblTransactions[[#This Row],[date]]),MONTH(tblTransactions[[#This Row],[date]]),1)</f>
        <v>45809</v>
      </c>
      <c r="N2962" t="str">
        <f>IF(WEEKDAY(tblTransactions[[#This Row],[date]],2)&gt;5,"Weekend","Weekday")</f>
        <v>Weekend</v>
      </c>
      <c r="O2962" s="13" t="str">
        <f>IF(tblTransactions[[#This Row],[discount_pct]]=0,"0%",IF(tblTransactions[[#This Row],[discount_pct]]&lt;=10%,"1–
10%",IF(tblTransactions[[#This Row],[discount_pct]]&lt;=20%,"11–20%","&gt;20%")))</f>
        <v>0%</v>
      </c>
      <c r="P2962" s="13" t="str">
        <f>_xlfn.XLOOKUP(tblTransactions[[#This Row],[tenant_id]],tblTenants[tenant_id],tblTenants[zone],"NOT FOUND")</f>
        <v>Food Court</v>
      </c>
      <c r="Q2962" s="13" t="str">
        <f>_xlfn.XLOOKUP(tblTransactions[[#This Row],[tenant_id]],tblTenants[tenant_id],tblTenants[category],"NOT FOUND")</f>
        <v>Casual Dining</v>
      </c>
    </row>
    <row r="2963" spans="1:17">
      <c r="A2963" t="s">
        <v>3007</v>
      </c>
      <c r="B2963" s="2">
        <v>45742</v>
      </c>
      <c r="C2963">
        <v>15</v>
      </c>
      <c r="D2963" t="s">
        <v>57</v>
      </c>
      <c r="E2963" t="s">
        <v>32</v>
      </c>
      <c r="F2963" s="7">
        <v>1397.91</v>
      </c>
      <c r="G2963" s="10">
        <v>0</v>
      </c>
      <c r="H2963" s="7">
        <v>1397.91</v>
      </c>
      <c r="I2963">
        <v>1</v>
      </c>
      <c r="J2963" t="s">
        <v>16</v>
      </c>
      <c r="K2963" s="13">
        <f>ROUND(tblTransactions[[#This Row],[gross_sales_inr]]*(1-tblTransactions[[#This Row],[discount_pct]]),2)</f>
        <v>1397.91</v>
      </c>
      <c r="L2963" t="str">
        <f>IF(ABS(tblTransactions[[#This Row],[net_sales_inr]]-tblTransactions[[#This Row],[Recalc_Net_Sales]])&lt;0.02,"OK","CHECK")</f>
        <v>OK</v>
      </c>
      <c r="M2963" s="14">
        <f>DATE(YEAR(tblTransactions[[#This Row],[date]]),MONTH(tblTransactions[[#This Row],[date]]),1)</f>
        <v>45717</v>
      </c>
      <c r="N2963" t="str">
        <f>IF(WEEKDAY(tblTransactions[[#This Row],[date]],2)&gt;5,"Weekend","Weekday")</f>
        <v>Weekday</v>
      </c>
      <c r="O2963" s="13" t="str">
        <f>IF(tblTransactions[[#This Row],[discount_pct]]=0,"0%",IF(tblTransactions[[#This Row],[discount_pct]]&lt;=10%,"1–
10%",IF(tblTransactions[[#This Row],[discount_pct]]&lt;=20%,"11–20%","&gt;20%")))</f>
        <v>0%</v>
      </c>
      <c r="P2963" s="13" t="str">
        <f>_xlfn.XLOOKUP(tblTransactions[[#This Row],[tenant_id]],tblTenants[tenant_id],tblTenants[zone],"NOT FOUND")</f>
        <v>Food Court</v>
      </c>
      <c r="Q2963" s="13" t="str">
        <f>_xlfn.XLOOKUP(tblTransactions[[#This Row],[tenant_id]],tblTenants[tenant_id],tblTenants[category],"NOT FOUND")</f>
        <v>Casual Dining</v>
      </c>
    </row>
    <row r="2964" spans="1:17">
      <c r="A2964" t="s">
        <v>3008</v>
      </c>
      <c r="B2964" s="2">
        <v>45810</v>
      </c>
      <c r="C2964">
        <v>20</v>
      </c>
      <c r="D2964" t="s">
        <v>57</v>
      </c>
      <c r="E2964" t="s">
        <v>12</v>
      </c>
      <c r="F2964" s="7">
        <v>869.74</v>
      </c>
      <c r="G2964" s="10">
        <v>0.3</v>
      </c>
      <c r="H2964" s="7">
        <v>608.82000000000005</v>
      </c>
      <c r="I2964">
        <v>4</v>
      </c>
      <c r="J2964" t="s">
        <v>16</v>
      </c>
      <c r="K2964" s="13">
        <f>ROUND(tblTransactions[[#This Row],[gross_sales_inr]]*(1-tblTransactions[[#This Row],[discount_pct]]),2)</f>
        <v>608.82000000000005</v>
      </c>
      <c r="L2964" t="str">
        <f>IF(ABS(tblTransactions[[#This Row],[net_sales_inr]]-tblTransactions[[#This Row],[Recalc_Net_Sales]])&lt;0.02,"OK","CHECK")</f>
        <v>OK</v>
      </c>
      <c r="M2964" s="14">
        <f>DATE(YEAR(tblTransactions[[#This Row],[date]]),MONTH(tblTransactions[[#This Row],[date]]),1)</f>
        <v>45809</v>
      </c>
      <c r="N2964" t="str">
        <f>IF(WEEKDAY(tblTransactions[[#This Row],[date]],2)&gt;5,"Weekend","Weekday")</f>
        <v>Weekday</v>
      </c>
      <c r="O2964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964" s="13" t="str">
        <f>_xlfn.XLOOKUP(tblTransactions[[#This Row],[tenant_id]],tblTenants[tenant_id],tblTenants[zone],"NOT FOUND")</f>
        <v>Food Court</v>
      </c>
      <c r="Q2964" s="13" t="str">
        <f>_xlfn.XLOOKUP(tblTransactions[[#This Row],[tenant_id]],tblTenants[tenant_id],tblTenants[category],"NOT FOUND")</f>
        <v>Casual Dining</v>
      </c>
    </row>
    <row r="2965" spans="1:17">
      <c r="A2965" t="s">
        <v>3009</v>
      </c>
      <c r="B2965" s="2">
        <v>45746</v>
      </c>
      <c r="C2965">
        <v>16</v>
      </c>
      <c r="D2965" t="s">
        <v>63</v>
      </c>
      <c r="E2965" t="s">
        <v>32</v>
      </c>
      <c r="F2965" s="7">
        <v>527.67999999999995</v>
      </c>
      <c r="G2965" s="10">
        <v>0</v>
      </c>
      <c r="H2965" s="7">
        <v>527.67999999999995</v>
      </c>
      <c r="I2965">
        <v>1</v>
      </c>
      <c r="J2965" t="s">
        <v>16</v>
      </c>
      <c r="K2965" s="13">
        <f>ROUND(tblTransactions[[#This Row],[gross_sales_inr]]*(1-tblTransactions[[#This Row],[discount_pct]]),2)</f>
        <v>527.67999999999995</v>
      </c>
      <c r="L2965" t="str">
        <f>IF(ABS(tblTransactions[[#This Row],[net_sales_inr]]-tblTransactions[[#This Row],[Recalc_Net_Sales]])&lt;0.02,"OK","CHECK")</f>
        <v>OK</v>
      </c>
      <c r="M2965" s="14">
        <f>DATE(YEAR(tblTransactions[[#This Row],[date]]),MONTH(tblTransactions[[#This Row],[date]]),1)</f>
        <v>45717</v>
      </c>
      <c r="N2965" t="str">
        <f>IF(WEEKDAY(tblTransactions[[#This Row],[date]],2)&gt;5,"Weekend","Weekday")</f>
        <v>Weekend</v>
      </c>
      <c r="O2965" s="13" t="str">
        <f>IF(tblTransactions[[#This Row],[discount_pct]]=0,"0%",IF(tblTransactions[[#This Row],[discount_pct]]&lt;=10%,"1–
10%",IF(tblTransactions[[#This Row],[discount_pct]]&lt;=20%,"11–20%","&gt;20%")))</f>
        <v>0%</v>
      </c>
      <c r="P2965" s="13" t="str">
        <f>_xlfn.XLOOKUP(tblTransactions[[#This Row],[tenant_id]],tblTenants[tenant_id],tblTenants[zone],"NOT FOUND")</f>
        <v>Entertainment</v>
      </c>
      <c r="Q2965" s="13" t="str">
        <f>_xlfn.XLOOKUP(tblTransactions[[#This Row],[tenant_id]],tblTenants[tenant_id],tblTenants[category],"NOT FOUND")</f>
        <v>Family Entertainment</v>
      </c>
    </row>
    <row r="2966" spans="1:17">
      <c r="A2966" t="s">
        <v>3010</v>
      </c>
      <c r="B2966" s="2">
        <v>45733</v>
      </c>
      <c r="C2966">
        <v>12</v>
      </c>
      <c r="D2966" t="s">
        <v>53</v>
      </c>
      <c r="E2966" t="s">
        <v>12</v>
      </c>
      <c r="F2966" s="7">
        <v>624.35</v>
      </c>
      <c r="G2966" s="10">
        <v>0</v>
      </c>
      <c r="H2966" s="7">
        <v>624.35</v>
      </c>
      <c r="I2966">
        <v>1</v>
      </c>
      <c r="J2966" t="s">
        <v>16</v>
      </c>
      <c r="K2966" s="13">
        <f>ROUND(tblTransactions[[#This Row],[gross_sales_inr]]*(1-tblTransactions[[#This Row],[discount_pct]]),2)</f>
        <v>624.35</v>
      </c>
      <c r="L2966" t="str">
        <f>IF(ABS(tblTransactions[[#This Row],[net_sales_inr]]-tblTransactions[[#This Row],[Recalc_Net_Sales]])&lt;0.02,"OK","CHECK")</f>
        <v>OK</v>
      </c>
      <c r="M2966" s="14">
        <f>DATE(YEAR(tblTransactions[[#This Row],[date]]),MONTH(tblTransactions[[#This Row],[date]]),1)</f>
        <v>45717</v>
      </c>
      <c r="N2966" t="str">
        <f>IF(WEEKDAY(tblTransactions[[#This Row],[date]],2)&gt;5,"Weekend","Weekday")</f>
        <v>Weekday</v>
      </c>
      <c r="O2966" s="13" t="str">
        <f>IF(tblTransactions[[#This Row],[discount_pct]]=0,"0%",IF(tblTransactions[[#This Row],[discount_pct]]&lt;=10%,"1–
10%",IF(tblTransactions[[#This Row],[discount_pct]]&lt;=20%,"11–20%","&gt;20%")))</f>
        <v>0%</v>
      </c>
      <c r="P2966" s="13" t="str">
        <f>_xlfn.XLOOKUP(tblTransactions[[#This Row],[tenant_id]],tblTenants[tenant_id],tblTenants[zone],"NOT FOUND")</f>
        <v>Beauty &amp; Wellness</v>
      </c>
      <c r="Q2966" s="13" t="str">
        <f>_xlfn.XLOOKUP(tblTransactions[[#This Row],[tenant_id]],tblTenants[tenant_id],tblTenants[category],"NOT FOUND")</f>
        <v>Beauty</v>
      </c>
    </row>
    <row r="2967" spans="1:17">
      <c r="A2967" t="s">
        <v>3011</v>
      </c>
      <c r="B2967" s="2">
        <v>45748</v>
      </c>
      <c r="C2967">
        <v>16</v>
      </c>
      <c r="D2967" t="s">
        <v>72</v>
      </c>
      <c r="E2967" t="s">
        <v>12</v>
      </c>
      <c r="F2967" s="7">
        <v>736.19</v>
      </c>
      <c r="G2967" s="10">
        <v>0.15</v>
      </c>
      <c r="H2967" s="7">
        <v>625.76</v>
      </c>
      <c r="I2967">
        <v>5</v>
      </c>
      <c r="J2967" t="s">
        <v>16</v>
      </c>
      <c r="K2967" s="13">
        <f>ROUND(tblTransactions[[#This Row],[gross_sales_inr]]*(1-tblTransactions[[#This Row],[discount_pct]]),2)</f>
        <v>625.76</v>
      </c>
      <c r="L2967" t="str">
        <f>IF(ABS(tblTransactions[[#This Row],[net_sales_inr]]-tblTransactions[[#This Row],[Recalc_Net_Sales]])&lt;0.02,"OK","CHECK")</f>
        <v>OK</v>
      </c>
      <c r="M2967" s="14">
        <f>DATE(YEAR(tblTransactions[[#This Row],[date]]),MONTH(tblTransactions[[#This Row],[date]]),1)</f>
        <v>45748</v>
      </c>
      <c r="N2967" t="str">
        <f>IF(WEEKDAY(tblTransactions[[#This Row],[date]],2)&gt;5,"Weekend","Weekday")</f>
        <v>Weekday</v>
      </c>
      <c r="O296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67" s="13" t="str">
        <f>_xlfn.XLOOKUP(tblTransactions[[#This Row],[tenant_id]],tblTenants[tenant_id],tblTenants[zone],"NOT FOUND")</f>
        <v>Entertainment</v>
      </c>
      <c r="Q2967" s="13" t="str">
        <f>_xlfn.XLOOKUP(tblTransactions[[#This Row],[tenant_id]],tblTenants[tenant_id],tblTenants[category],"NOT FOUND")</f>
        <v>Arcade</v>
      </c>
    </row>
    <row r="2968" spans="1:17">
      <c r="A2968" t="s">
        <v>3012</v>
      </c>
      <c r="B2968" s="2">
        <v>45718</v>
      </c>
      <c r="C2968">
        <v>14</v>
      </c>
      <c r="D2968" t="s">
        <v>27</v>
      </c>
      <c r="E2968" t="s">
        <v>12</v>
      </c>
      <c r="F2968" s="7">
        <v>1519.78</v>
      </c>
      <c r="G2968" s="10">
        <v>0.15</v>
      </c>
      <c r="H2968" s="7">
        <v>1291.81</v>
      </c>
      <c r="I2968">
        <v>4</v>
      </c>
      <c r="J2968" t="s">
        <v>16</v>
      </c>
      <c r="K2968" s="13">
        <f>ROUND(tblTransactions[[#This Row],[gross_sales_inr]]*(1-tblTransactions[[#This Row],[discount_pct]]),2)</f>
        <v>1291.81</v>
      </c>
      <c r="L2968" t="str">
        <f>IF(ABS(tblTransactions[[#This Row],[net_sales_inr]]-tblTransactions[[#This Row],[Recalc_Net_Sales]])&lt;0.02,"OK","CHECK")</f>
        <v>OK</v>
      </c>
      <c r="M2968" s="14">
        <f>DATE(YEAR(tblTransactions[[#This Row],[date]]),MONTH(tblTransactions[[#This Row],[date]]),1)</f>
        <v>45717</v>
      </c>
      <c r="N2968" t="str">
        <f>IF(WEEKDAY(tblTransactions[[#This Row],[date]],2)&gt;5,"Weekend","Weekday")</f>
        <v>Weekend</v>
      </c>
      <c r="O296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68" s="13" t="str">
        <f>_xlfn.XLOOKUP(tblTransactions[[#This Row],[tenant_id]],tblTenants[tenant_id],tblTenants[zone],"NOT FOUND")</f>
        <v>Beauty &amp; Wellness</v>
      </c>
      <c r="Q2968" s="13" t="str">
        <f>_xlfn.XLOOKUP(tblTransactions[[#This Row],[tenant_id]],tblTenants[tenant_id],tblTenants[category],"NOT FOUND")</f>
        <v>Wellness</v>
      </c>
    </row>
    <row r="2969" spans="1:17">
      <c r="A2969" t="s">
        <v>3013</v>
      </c>
      <c r="B2969" s="2">
        <v>45715</v>
      </c>
      <c r="C2969">
        <v>13</v>
      </c>
      <c r="D2969" t="s">
        <v>70</v>
      </c>
      <c r="E2969" t="s">
        <v>32</v>
      </c>
      <c r="F2969" s="7">
        <v>817.87</v>
      </c>
      <c r="G2969" s="10">
        <v>0.15</v>
      </c>
      <c r="H2969" s="7">
        <v>695.19</v>
      </c>
      <c r="I2969">
        <v>2</v>
      </c>
      <c r="J2969" t="s">
        <v>13</v>
      </c>
      <c r="K2969" s="13">
        <f>ROUND(tblTransactions[[#This Row],[gross_sales_inr]]*(1-tblTransactions[[#This Row],[discount_pct]]),2)</f>
        <v>695.19</v>
      </c>
      <c r="L2969" t="str">
        <f>IF(ABS(tblTransactions[[#This Row],[net_sales_inr]]-tblTransactions[[#This Row],[Recalc_Net_Sales]])&lt;0.02,"OK","CHECK")</f>
        <v>OK</v>
      </c>
      <c r="M2969" s="14">
        <f>DATE(YEAR(tblTransactions[[#This Row],[date]]),MONTH(tblTransactions[[#This Row],[date]]),1)</f>
        <v>45689</v>
      </c>
      <c r="N2969" t="str">
        <f>IF(WEEKDAY(tblTransactions[[#This Row],[date]],2)&gt;5,"Weekend","Weekday")</f>
        <v>Weekday</v>
      </c>
      <c r="O296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69" s="13" t="str">
        <f>_xlfn.XLOOKUP(tblTransactions[[#This Row],[tenant_id]],tblTenants[tenant_id],tblTenants[zone],"NOT FOUND")</f>
        <v>Food Court</v>
      </c>
      <c r="Q2969" s="13" t="str">
        <f>_xlfn.XLOOKUP(tblTransactions[[#This Row],[tenant_id]],tblTenants[tenant_id],tblTenants[category],"NOT FOUND")</f>
        <v>Quick Service</v>
      </c>
    </row>
    <row r="2970" spans="1:17">
      <c r="A2970" t="s">
        <v>3014</v>
      </c>
      <c r="B2970" s="2">
        <v>45800</v>
      </c>
      <c r="C2970">
        <v>11</v>
      </c>
      <c r="D2970" t="s">
        <v>204</v>
      </c>
      <c r="E2970" t="s">
        <v>32</v>
      </c>
      <c r="F2970" s="7">
        <v>706.37</v>
      </c>
      <c r="G2970" s="10">
        <v>0</v>
      </c>
      <c r="H2970" s="7">
        <v>706.37</v>
      </c>
      <c r="I2970">
        <v>1</v>
      </c>
      <c r="J2970" t="s">
        <v>13</v>
      </c>
      <c r="K2970" s="13">
        <f>ROUND(tblTransactions[[#This Row],[gross_sales_inr]]*(1-tblTransactions[[#This Row],[discount_pct]]),2)</f>
        <v>706.37</v>
      </c>
      <c r="L2970" t="str">
        <f>IF(ABS(tblTransactions[[#This Row],[net_sales_inr]]-tblTransactions[[#This Row],[Recalc_Net_Sales]])&lt;0.02,"OK","CHECK")</f>
        <v>OK</v>
      </c>
      <c r="M2970" s="14">
        <f>DATE(YEAR(tblTransactions[[#This Row],[date]]),MONTH(tblTransactions[[#This Row],[date]]),1)</f>
        <v>45778</v>
      </c>
      <c r="N2970" t="str">
        <f>IF(WEEKDAY(tblTransactions[[#This Row],[date]],2)&gt;5,"Weekend","Weekday")</f>
        <v>Weekday</v>
      </c>
      <c r="O2970" s="13" t="str">
        <f>IF(tblTransactions[[#This Row],[discount_pct]]=0,"0%",IF(tblTransactions[[#This Row],[discount_pct]]&lt;=10%,"1–
10%",IF(tblTransactions[[#This Row],[discount_pct]]&lt;=20%,"11–20%","&gt;20%")))</f>
        <v>0%</v>
      </c>
      <c r="P2970" s="13" t="str">
        <f>_xlfn.XLOOKUP(tblTransactions[[#This Row],[tenant_id]],tblTenants[tenant_id],tblTenants[zone],"NOT FOUND")</f>
        <v>Home &amp; Living</v>
      </c>
      <c r="Q2970" s="13" t="str">
        <f>_xlfn.XLOOKUP(tblTransactions[[#This Row],[tenant_id]],tblTenants[tenant_id],tblTenants[category],"NOT FOUND")</f>
        <v>Home Decor</v>
      </c>
    </row>
    <row r="2971" spans="1:17">
      <c r="A2971" t="s">
        <v>3015</v>
      </c>
      <c r="B2971" s="2">
        <v>45789</v>
      </c>
      <c r="C2971">
        <v>21</v>
      </c>
      <c r="D2971" t="s">
        <v>122</v>
      </c>
      <c r="E2971" t="s">
        <v>12</v>
      </c>
      <c r="F2971" s="7">
        <v>337.5</v>
      </c>
      <c r="G2971" s="10">
        <v>0</v>
      </c>
      <c r="H2971" s="7">
        <v>337.5</v>
      </c>
      <c r="I2971">
        <v>3</v>
      </c>
      <c r="J2971" t="s">
        <v>13</v>
      </c>
      <c r="K2971" s="13">
        <f>ROUND(tblTransactions[[#This Row],[gross_sales_inr]]*(1-tblTransactions[[#This Row],[discount_pct]]),2)</f>
        <v>337.5</v>
      </c>
      <c r="L2971" t="str">
        <f>IF(ABS(tblTransactions[[#This Row],[net_sales_inr]]-tblTransactions[[#This Row],[Recalc_Net_Sales]])&lt;0.02,"OK","CHECK")</f>
        <v>OK</v>
      </c>
      <c r="M2971" s="14">
        <f>DATE(YEAR(tblTransactions[[#This Row],[date]]),MONTH(tblTransactions[[#This Row],[date]]),1)</f>
        <v>45778</v>
      </c>
      <c r="N2971" t="str">
        <f>IF(WEEKDAY(tblTransactions[[#This Row],[date]],2)&gt;5,"Weekend","Weekday")</f>
        <v>Weekday</v>
      </c>
      <c r="O2971" s="13" t="str">
        <f>IF(tblTransactions[[#This Row],[discount_pct]]=0,"0%",IF(tblTransactions[[#This Row],[discount_pct]]&lt;=10%,"1–
10%",IF(tblTransactions[[#This Row],[discount_pct]]&lt;=20%,"11–20%","&gt;20%")))</f>
        <v>0%</v>
      </c>
      <c r="P2971" s="13" t="str">
        <f>_xlfn.XLOOKUP(tblTransactions[[#This Row],[tenant_id]],tblTenants[tenant_id],tblTenants[zone],"NOT FOUND")</f>
        <v>Beauty &amp; Wellness</v>
      </c>
      <c r="Q2971" s="13" t="str">
        <f>_xlfn.XLOOKUP(tblTransactions[[#This Row],[tenant_id]],tblTenants[tenant_id],tblTenants[category],"NOT FOUND")</f>
        <v>Wellness</v>
      </c>
    </row>
    <row r="2972" spans="1:17">
      <c r="A2972" t="s">
        <v>3016</v>
      </c>
      <c r="B2972" s="2">
        <v>45711</v>
      </c>
      <c r="C2972">
        <v>14</v>
      </c>
      <c r="D2972" t="s">
        <v>104</v>
      </c>
      <c r="E2972" t="s">
        <v>12</v>
      </c>
      <c r="F2972" s="7">
        <v>813.59</v>
      </c>
      <c r="G2972" s="10">
        <v>0.1</v>
      </c>
      <c r="H2972" s="7">
        <v>732.23</v>
      </c>
      <c r="I2972">
        <v>2</v>
      </c>
      <c r="J2972" t="s">
        <v>13</v>
      </c>
      <c r="K2972" s="13">
        <f>ROUND(tblTransactions[[#This Row],[gross_sales_inr]]*(1-tblTransactions[[#This Row],[discount_pct]]),2)</f>
        <v>732.23</v>
      </c>
      <c r="L2972" t="str">
        <f>IF(ABS(tblTransactions[[#This Row],[net_sales_inr]]-tblTransactions[[#This Row],[Recalc_Net_Sales]])&lt;0.02,"OK","CHECK")</f>
        <v>OK</v>
      </c>
      <c r="M2972" s="14">
        <f>DATE(YEAR(tblTransactions[[#This Row],[date]]),MONTH(tblTransactions[[#This Row],[date]]),1)</f>
        <v>45689</v>
      </c>
      <c r="N2972" t="str">
        <f>IF(WEEKDAY(tblTransactions[[#This Row],[date]],2)&gt;5,"Weekend","Weekday")</f>
        <v>Weekend</v>
      </c>
      <c r="O297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72" s="13" t="str">
        <f>_xlfn.XLOOKUP(tblTransactions[[#This Row],[tenant_id]],tblTenants[tenant_id],tblTenants[zone],"NOT FOUND")</f>
        <v>Entertainment</v>
      </c>
      <c r="Q2972" s="13" t="str">
        <f>_xlfn.XLOOKUP(tblTransactions[[#This Row],[tenant_id]],tblTenants[tenant_id],tblTenants[category],"NOT FOUND")</f>
        <v>Family Entertainment</v>
      </c>
    </row>
    <row r="2973" spans="1:17">
      <c r="A2973" t="s">
        <v>3017</v>
      </c>
      <c r="B2973" s="2">
        <v>45712</v>
      </c>
      <c r="C2973">
        <v>22</v>
      </c>
      <c r="D2973" t="s">
        <v>11</v>
      </c>
      <c r="E2973" t="s">
        <v>21</v>
      </c>
      <c r="F2973" s="7">
        <v>333.94</v>
      </c>
      <c r="G2973" s="10">
        <v>0</v>
      </c>
      <c r="H2973" s="7">
        <v>333.94</v>
      </c>
      <c r="I2973">
        <v>1</v>
      </c>
      <c r="J2973" t="s">
        <v>13</v>
      </c>
      <c r="K2973" s="13">
        <f>ROUND(tblTransactions[[#This Row],[gross_sales_inr]]*(1-tblTransactions[[#This Row],[discount_pct]]),2)</f>
        <v>333.94</v>
      </c>
      <c r="L2973" t="str">
        <f>IF(ABS(tblTransactions[[#This Row],[net_sales_inr]]-tblTransactions[[#This Row],[Recalc_Net_Sales]])&lt;0.02,"OK","CHECK")</f>
        <v>OK</v>
      </c>
      <c r="M2973" s="14">
        <f>DATE(YEAR(tblTransactions[[#This Row],[date]]),MONTH(tblTransactions[[#This Row],[date]]),1)</f>
        <v>45689</v>
      </c>
      <c r="N2973" t="str">
        <f>IF(WEEKDAY(tblTransactions[[#This Row],[date]],2)&gt;5,"Weekend","Weekday")</f>
        <v>Weekday</v>
      </c>
      <c r="O2973" s="13" t="str">
        <f>IF(tblTransactions[[#This Row],[discount_pct]]=0,"0%",IF(tblTransactions[[#This Row],[discount_pct]]&lt;=10%,"1–
10%",IF(tblTransactions[[#This Row],[discount_pct]]&lt;=20%,"11–20%","&gt;20%")))</f>
        <v>0%</v>
      </c>
      <c r="P2973" s="13" t="str">
        <f>_xlfn.XLOOKUP(tblTransactions[[#This Row],[tenant_id]],tblTenants[tenant_id],tblTenants[zone],"NOT FOUND")</f>
        <v>Home &amp; Living</v>
      </c>
      <c r="Q2973" s="13" t="str">
        <f>_xlfn.XLOOKUP(tblTransactions[[#This Row],[tenant_id]],tblTenants[tenant_id],tblTenants[category],"NOT FOUND")</f>
        <v>Home Decor</v>
      </c>
    </row>
    <row r="2974" spans="1:17">
      <c r="A2974" t="s">
        <v>3018</v>
      </c>
      <c r="B2974" s="2">
        <v>45721</v>
      </c>
      <c r="C2974">
        <v>19</v>
      </c>
      <c r="D2974" t="s">
        <v>27</v>
      </c>
      <c r="E2974" t="s">
        <v>12</v>
      </c>
      <c r="F2974" s="7">
        <v>1439.66</v>
      </c>
      <c r="G2974" s="10">
        <v>0.2</v>
      </c>
      <c r="H2974" s="7">
        <v>1151.73</v>
      </c>
      <c r="I2974">
        <v>4</v>
      </c>
      <c r="J2974" t="s">
        <v>13</v>
      </c>
      <c r="K2974" s="13">
        <f>ROUND(tblTransactions[[#This Row],[gross_sales_inr]]*(1-tblTransactions[[#This Row],[discount_pct]]),2)</f>
        <v>1151.73</v>
      </c>
      <c r="L2974" t="str">
        <f>IF(ABS(tblTransactions[[#This Row],[net_sales_inr]]-tblTransactions[[#This Row],[Recalc_Net_Sales]])&lt;0.02,"OK","CHECK")</f>
        <v>OK</v>
      </c>
      <c r="M2974" s="14">
        <f>DATE(YEAR(tblTransactions[[#This Row],[date]]),MONTH(tblTransactions[[#This Row],[date]]),1)</f>
        <v>45717</v>
      </c>
      <c r="N2974" t="str">
        <f>IF(WEEKDAY(tblTransactions[[#This Row],[date]],2)&gt;5,"Weekend","Weekday")</f>
        <v>Weekday</v>
      </c>
      <c r="O297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74" s="13" t="str">
        <f>_xlfn.XLOOKUP(tblTransactions[[#This Row],[tenant_id]],tblTenants[tenant_id],tblTenants[zone],"NOT FOUND")</f>
        <v>Beauty &amp; Wellness</v>
      </c>
      <c r="Q2974" s="13" t="str">
        <f>_xlfn.XLOOKUP(tblTransactions[[#This Row],[tenant_id]],tblTenants[tenant_id],tblTenants[category],"NOT FOUND")</f>
        <v>Wellness</v>
      </c>
    </row>
    <row r="2975" spans="1:17">
      <c r="A2975" t="s">
        <v>3019</v>
      </c>
      <c r="B2975" s="2">
        <v>45813</v>
      </c>
      <c r="C2975">
        <v>14</v>
      </c>
      <c r="D2975" t="s">
        <v>31</v>
      </c>
      <c r="E2975" t="s">
        <v>51</v>
      </c>
      <c r="F2975" s="7">
        <v>302.20999999999998</v>
      </c>
      <c r="G2975" s="10">
        <v>0.1</v>
      </c>
      <c r="H2975" s="7">
        <v>271.99</v>
      </c>
      <c r="I2975">
        <v>4</v>
      </c>
      <c r="J2975" t="s">
        <v>13</v>
      </c>
      <c r="K2975" s="13">
        <f>ROUND(tblTransactions[[#This Row],[gross_sales_inr]]*(1-tblTransactions[[#This Row],[discount_pct]]),2)</f>
        <v>271.99</v>
      </c>
      <c r="L2975" t="str">
        <f>IF(ABS(tblTransactions[[#This Row],[net_sales_inr]]-tblTransactions[[#This Row],[Recalc_Net_Sales]])&lt;0.02,"OK","CHECK")</f>
        <v>OK</v>
      </c>
      <c r="M2975" s="14">
        <f>DATE(YEAR(tblTransactions[[#This Row],[date]]),MONTH(tblTransactions[[#This Row],[date]]),1)</f>
        <v>45809</v>
      </c>
      <c r="N2975" t="str">
        <f>IF(WEEKDAY(tblTransactions[[#This Row],[date]],2)&gt;5,"Weekend","Weekday")</f>
        <v>Weekday</v>
      </c>
      <c r="O297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75" s="13" t="str">
        <f>_xlfn.XLOOKUP(tblTransactions[[#This Row],[tenant_id]],tblTenants[tenant_id],tblTenants[zone],"NOT FOUND")</f>
        <v>Entertainment</v>
      </c>
      <c r="Q2975" s="13" t="str">
        <f>_xlfn.XLOOKUP(tblTransactions[[#This Row],[tenant_id]],tblTenants[tenant_id],tblTenants[category],"NOT FOUND")</f>
        <v>Arcade</v>
      </c>
    </row>
    <row r="2976" spans="1:17">
      <c r="A2976" t="s">
        <v>3020</v>
      </c>
      <c r="B2976" s="2">
        <v>45711</v>
      </c>
      <c r="C2976">
        <v>20</v>
      </c>
      <c r="D2976" t="s">
        <v>25</v>
      </c>
      <c r="E2976" t="s">
        <v>32</v>
      </c>
      <c r="F2976" s="7">
        <v>621.97</v>
      </c>
      <c r="G2976" s="10">
        <v>0</v>
      </c>
      <c r="H2976" s="7">
        <v>621.97</v>
      </c>
      <c r="I2976">
        <v>4</v>
      </c>
      <c r="J2976" t="s">
        <v>13</v>
      </c>
      <c r="K2976" s="13">
        <f>ROUND(tblTransactions[[#This Row],[gross_sales_inr]]*(1-tblTransactions[[#This Row],[discount_pct]]),2)</f>
        <v>621.97</v>
      </c>
      <c r="L2976" t="str">
        <f>IF(ABS(tblTransactions[[#This Row],[net_sales_inr]]-tblTransactions[[#This Row],[Recalc_Net_Sales]])&lt;0.02,"OK","CHECK")</f>
        <v>OK</v>
      </c>
      <c r="M2976" s="14">
        <f>DATE(YEAR(tblTransactions[[#This Row],[date]]),MONTH(tblTransactions[[#This Row],[date]]),1)</f>
        <v>45689</v>
      </c>
      <c r="N2976" t="str">
        <f>IF(WEEKDAY(tblTransactions[[#This Row],[date]],2)&gt;5,"Weekend","Weekday")</f>
        <v>Weekend</v>
      </c>
      <c r="O2976" s="13" t="str">
        <f>IF(tblTransactions[[#This Row],[discount_pct]]=0,"0%",IF(tblTransactions[[#This Row],[discount_pct]]&lt;=10%,"1–
10%",IF(tblTransactions[[#This Row],[discount_pct]]&lt;=20%,"11–20%","&gt;20%")))</f>
        <v>0%</v>
      </c>
      <c r="P2976" s="13" t="str">
        <f>_xlfn.XLOOKUP(tblTransactions[[#This Row],[tenant_id]],tblTenants[tenant_id],tblTenants[zone],"NOT FOUND")</f>
        <v>Beauty &amp; Wellness</v>
      </c>
      <c r="Q2976" s="13" t="str">
        <f>_xlfn.XLOOKUP(tblTransactions[[#This Row],[tenant_id]],tblTenants[tenant_id],tblTenants[category],"NOT FOUND")</f>
        <v>Beauty</v>
      </c>
    </row>
    <row r="2977" spans="1:17">
      <c r="A2977" t="s">
        <v>3021</v>
      </c>
      <c r="B2977" s="2">
        <v>45800</v>
      </c>
      <c r="C2977">
        <v>14</v>
      </c>
      <c r="D2977" t="s">
        <v>23</v>
      </c>
      <c r="E2977" t="s">
        <v>51</v>
      </c>
      <c r="F2977" s="7">
        <v>1124.3</v>
      </c>
      <c r="G2977" s="10">
        <v>0.3</v>
      </c>
      <c r="H2977" s="7">
        <v>787.01</v>
      </c>
      <c r="I2977">
        <v>4</v>
      </c>
      <c r="J2977" t="s">
        <v>13</v>
      </c>
      <c r="K2977" s="13">
        <f>ROUND(tblTransactions[[#This Row],[gross_sales_inr]]*(1-tblTransactions[[#This Row],[discount_pct]]),2)</f>
        <v>787.01</v>
      </c>
      <c r="L2977" t="str">
        <f>IF(ABS(tblTransactions[[#This Row],[net_sales_inr]]-tblTransactions[[#This Row],[Recalc_Net_Sales]])&lt;0.02,"OK","CHECK")</f>
        <v>OK</v>
      </c>
      <c r="M2977" s="14">
        <f>DATE(YEAR(tblTransactions[[#This Row],[date]]),MONTH(tblTransactions[[#This Row],[date]]),1)</f>
        <v>45778</v>
      </c>
      <c r="N2977" t="str">
        <f>IF(WEEKDAY(tblTransactions[[#This Row],[date]],2)&gt;5,"Weekend","Weekday")</f>
        <v>Weekday</v>
      </c>
      <c r="O297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977" s="13" t="str">
        <f>_xlfn.XLOOKUP(tblTransactions[[#This Row],[tenant_id]],tblTenants[tenant_id],tblTenants[zone],"NOT FOUND")</f>
        <v>Entertainment</v>
      </c>
      <c r="Q2977" s="13" t="str">
        <f>_xlfn.XLOOKUP(tblTransactions[[#This Row],[tenant_id]],tblTenants[tenant_id],tblTenants[category],"NOT FOUND")</f>
        <v>Cinema</v>
      </c>
    </row>
    <row r="2978" spans="1:17">
      <c r="A2978" t="s">
        <v>3022</v>
      </c>
      <c r="B2978" s="2">
        <v>45833</v>
      </c>
      <c r="C2978">
        <v>13</v>
      </c>
      <c r="D2978" t="s">
        <v>20</v>
      </c>
      <c r="E2978" t="s">
        <v>21</v>
      </c>
      <c r="F2978" s="7">
        <v>568.38</v>
      </c>
      <c r="G2978" s="10">
        <v>0.15</v>
      </c>
      <c r="H2978" s="7">
        <v>483.12</v>
      </c>
      <c r="I2978">
        <v>1</v>
      </c>
      <c r="J2978" t="s">
        <v>13</v>
      </c>
      <c r="K2978" s="13">
        <f>ROUND(tblTransactions[[#This Row],[gross_sales_inr]]*(1-tblTransactions[[#This Row],[discount_pct]]),2)</f>
        <v>483.12</v>
      </c>
      <c r="L2978" t="str">
        <f>IF(ABS(tblTransactions[[#This Row],[net_sales_inr]]-tblTransactions[[#This Row],[Recalc_Net_Sales]])&lt;0.02,"OK","CHECK")</f>
        <v>OK</v>
      </c>
      <c r="M2978" s="14">
        <f>DATE(YEAR(tblTransactions[[#This Row],[date]]),MONTH(tblTransactions[[#This Row],[date]]),1)</f>
        <v>45809</v>
      </c>
      <c r="N2978" t="str">
        <f>IF(WEEKDAY(tblTransactions[[#This Row],[date]],2)&gt;5,"Weekend","Weekday")</f>
        <v>Weekday</v>
      </c>
      <c r="O297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78" s="13" t="str">
        <f>_xlfn.XLOOKUP(tblTransactions[[#This Row],[tenant_id]],tblTenants[tenant_id],tblTenants[zone],"NOT FOUND")</f>
        <v>Fashion Avenue</v>
      </c>
      <c r="Q2978" s="13" t="str">
        <f>_xlfn.XLOOKUP(tblTransactions[[#This Row],[tenant_id]],tblTenants[tenant_id],tblTenants[category],"NOT FOUND")</f>
        <v>Accessories</v>
      </c>
    </row>
    <row r="2979" spans="1:17">
      <c r="A2979" t="s">
        <v>3023</v>
      </c>
      <c r="B2979" s="2">
        <v>45708</v>
      </c>
      <c r="C2979">
        <v>17</v>
      </c>
      <c r="D2979" t="s">
        <v>27</v>
      </c>
      <c r="E2979" t="s">
        <v>32</v>
      </c>
      <c r="F2979" s="7">
        <v>1427.99</v>
      </c>
      <c r="G2979" s="10">
        <v>0.05</v>
      </c>
      <c r="H2979" s="7">
        <v>1356.59</v>
      </c>
      <c r="I2979">
        <v>5</v>
      </c>
      <c r="J2979" t="s">
        <v>13</v>
      </c>
      <c r="K2979" s="13">
        <f>ROUND(tblTransactions[[#This Row],[gross_sales_inr]]*(1-tblTransactions[[#This Row],[discount_pct]]),2)</f>
        <v>1356.59</v>
      </c>
      <c r="L2979" t="str">
        <f>IF(ABS(tblTransactions[[#This Row],[net_sales_inr]]-tblTransactions[[#This Row],[Recalc_Net_Sales]])&lt;0.02,"OK","CHECK")</f>
        <v>OK</v>
      </c>
      <c r="M2979" s="14">
        <f>DATE(YEAR(tblTransactions[[#This Row],[date]]),MONTH(tblTransactions[[#This Row],[date]]),1)</f>
        <v>45689</v>
      </c>
      <c r="N2979" t="str">
        <f>IF(WEEKDAY(tblTransactions[[#This Row],[date]],2)&gt;5,"Weekend","Weekday")</f>
        <v>Weekday</v>
      </c>
      <c r="O297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79" s="13" t="str">
        <f>_xlfn.XLOOKUP(tblTransactions[[#This Row],[tenant_id]],tblTenants[tenant_id],tblTenants[zone],"NOT FOUND")</f>
        <v>Beauty &amp; Wellness</v>
      </c>
      <c r="Q2979" s="13" t="str">
        <f>_xlfn.XLOOKUP(tblTransactions[[#This Row],[tenant_id]],tblTenants[tenant_id],tblTenants[category],"NOT FOUND")</f>
        <v>Wellness</v>
      </c>
    </row>
    <row r="2980" spans="1:17">
      <c r="A2980" t="s">
        <v>3024</v>
      </c>
      <c r="B2980" s="2">
        <v>45727</v>
      </c>
      <c r="C2980">
        <v>22</v>
      </c>
      <c r="D2980" t="s">
        <v>43</v>
      </c>
      <c r="E2980" t="s">
        <v>32</v>
      </c>
      <c r="F2980" s="7">
        <v>2852.93</v>
      </c>
      <c r="G2980" s="10">
        <v>0.1</v>
      </c>
      <c r="H2980" s="7">
        <v>2567.64</v>
      </c>
      <c r="I2980">
        <v>1</v>
      </c>
      <c r="J2980" t="s">
        <v>16</v>
      </c>
      <c r="K2980" s="13">
        <f>ROUND(tblTransactions[[#This Row],[gross_sales_inr]]*(1-tblTransactions[[#This Row],[discount_pct]]),2)</f>
        <v>2567.64</v>
      </c>
      <c r="L2980" t="str">
        <f>IF(ABS(tblTransactions[[#This Row],[net_sales_inr]]-tblTransactions[[#This Row],[Recalc_Net_Sales]])&lt;0.02,"OK","CHECK")</f>
        <v>OK</v>
      </c>
      <c r="M2980" s="14">
        <f>DATE(YEAR(tblTransactions[[#This Row],[date]]),MONTH(tblTransactions[[#This Row],[date]]),1)</f>
        <v>45717</v>
      </c>
      <c r="N2980" t="str">
        <f>IF(WEEKDAY(tblTransactions[[#This Row],[date]],2)&gt;5,"Weekend","Weekday")</f>
        <v>Weekday</v>
      </c>
      <c r="O298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80" s="13" t="str">
        <f>_xlfn.XLOOKUP(tblTransactions[[#This Row],[tenant_id]],tblTenants[tenant_id],tblTenants[zone],"NOT FOUND")</f>
        <v>Food Court</v>
      </c>
      <c r="Q2980" s="13" t="str">
        <f>_xlfn.XLOOKUP(tblTransactions[[#This Row],[tenant_id]],tblTenants[tenant_id],tblTenants[category],"NOT FOUND")</f>
        <v>Casual Dining</v>
      </c>
    </row>
    <row r="2981" spans="1:17">
      <c r="A2981" t="s">
        <v>3025</v>
      </c>
      <c r="B2981" s="2">
        <v>45767</v>
      </c>
      <c r="C2981">
        <v>21</v>
      </c>
      <c r="D2981" t="s">
        <v>104</v>
      </c>
      <c r="E2981" t="s">
        <v>12</v>
      </c>
      <c r="F2981" s="7">
        <v>2052.6</v>
      </c>
      <c r="G2981" s="10">
        <v>0</v>
      </c>
      <c r="H2981" s="7">
        <v>2052.6</v>
      </c>
      <c r="I2981">
        <v>1</v>
      </c>
      <c r="J2981" t="s">
        <v>13</v>
      </c>
      <c r="K2981" s="13">
        <f>ROUND(tblTransactions[[#This Row],[gross_sales_inr]]*(1-tblTransactions[[#This Row],[discount_pct]]),2)</f>
        <v>2052.6</v>
      </c>
      <c r="L2981" t="str">
        <f>IF(ABS(tblTransactions[[#This Row],[net_sales_inr]]-tblTransactions[[#This Row],[Recalc_Net_Sales]])&lt;0.02,"OK","CHECK")</f>
        <v>OK</v>
      </c>
      <c r="M2981" s="14">
        <f>DATE(YEAR(tblTransactions[[#This Row],[date]]),MONTH(tblTransactions[[#This Row],[date]]),1)</f>
        <v>45748</v>
      </c>
      <c r="N2981" t="str">
        <f>IF(WEEKDAY(tblTransactions[[#This Row],[date]],2)&gt;5,"Weekend","Weekday")</f>
        <v>Weekend</v>
      </c>
      <c r="O2981" s="13" t="str">
        <f>IF(tblTransactions[[#This Row],[discount_pct]]=0,"0%",IF(tblTransactions[[#This Row],[discount_pct]]&lt;=10%,"1–
10%",IF(tblTransactions[[#This Row],[discount_pct]]&lt;=20%,"11–20%","&gt;20%")))</f>
        <v>0%</v>
      </c>
      <c r="P2981" s="13" t="str">
        <f>_xlfn.XLOOKUP(tblTransactions[[#This Row],[tenant_id]],tblTenants[tenant_id],tblTenants[zone],"NOT FOUND")</f>
        <v>Entertainment</v>
      </c>
      <c r="Q2981" s="13" t="str">
        <f>_xlfn.XLOOKUP(tblTransactions[[#This Row],[tenant_id]],tblTenants[tenant_id],tblTenants[category],"NOT FOUND")</f>
        <v>Family Entertainment</v>
      </c>
    </row>
    <row r="2982" spans="1:17">
      <c r="A2982" t="s">
        <v>3026</v>
      </c>
      <c r="B2982" s="2">
        <v>45721</v>
      </c>
      <c r="C2982">
        <v>14</v>
      </c>
      <c r="D2982" t="s">
        <v>80</v>
      </c>
      <c r="E2982" t="s">
        <v>12</v>
      </c>
      <c r="F2982" s="7">
        <v>815.24</v>
      </c>
      <c r="G2982" s="10">
        <v>0.1</v>
      </c>
      <c r="H2982" s="7">
        <v>733.72</v>
      </c>
      <c r="I2982">
        <v>2</v>
      </c>
      <c r="J2982" t="s">
        <v>13</v>
      </c>
      <c r="K2982" s="13">
        <f>ROUND(tblTransactions[[#This Row],[gross_sales_inr]]*(1-tblTransactions[[#This Row],[discount_pct]]),2)</f>
        <v>733.72</v>
      </c>
      <c r="L2982" t="str">
        <f>IF(ABS(tblTransactions[[#This Row],[net_sales_inr]]-tblTransactions[[#This Row],[Recalc_Net_Sales]])&lt;0.02,"OK","CHECK")</f>
        <v>OK</v>
      </c>
      <c r="M2982" s="14">
        <f>DATE(YEAR(tblTransactions[[#This Row],[date]]),MONTH(tblTransactions[[#This Row],[date]]),1)</f>
        <v>45717</v>
      </c>
      <c r="N2982" t="str">
        <f>IF(WEEKDAY(tblTransactions[[#This Row],[date]],2)&gt;5,"Weekend","Weekday")</f>
        <v>Weekday</v>
      </c>
      <c r="O298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82" s="13" t="str">
        <f>_xlfn.XLOOKUP(tblTransactions[[#This Row],[tenant_id]],tblTenants[tenant_id],tblTenants[zone],"NOT FOUND")</f>
        <v>Food Court</v>
      </c>
      <c r="Q2982" s="13" t="str">
        <f>_xlfn.XLOOKUP(tblTransactions[[#This Row],[tenant_id]],tblTenants[tenant_id],tblTenants[category],"NOT FOUND")</f>
        <v>Casual Dining</v>
      </c>
    </row>
    <row r="2983" spans="1:17">
      <c r="A2983" t="s">
        <v>3027</v>
      </c>
      <c r="B2983" s="2">
        <v>45812</v>
      </c>
      <c r="C2983">
        <v>22</v>
      </c>
      <c r="D2983" t="s">
        <v>29</v>
      </c>
      <c r="E2983" t="s">
        <v>21</v>
      </c>
      <c r="F2983" s="7">
        <v>1301.58</v>
      </c>
      <c r="G2983" s="10">
        <v>0.05</v>
      </c>
      <c r="H2983" s="7">
        <v>1236.5</v>
      </c>
      <c r="I2983">
        <v>1</v>
      </c>
      <c r="J2983" t="s">
        <v>13</v>
      </c>
      <c r="K2983" s="13">
        <f>ROUND(tblTransactions[[#This Row],[gross_sales_inr]]*(1-tblTransactions[[#This Row],[discount_pct]]),2)</f>
        <v>1236.5</v>
      </c>
      <c r="L2983" t="str">
        <f>IF(ABS(tblTransactions[[#This Row],[net_sales_inr]]-tblTransactions[[#This Row],[Recalc_Net_Sales]])&lt;0.02,"OK","CHECK")</f>
        <v>OK</v>
      </c>
      <c r="M2983" s="14">
        <f>DATE(YEAR(tblTransactions[[#This Row],[date]]),MONTH(tblTransactions[[#This Row],[date]]),1)</f>
        <v>45809</v>
      </c>
      <c r="N2983" t="str">
        <f>IF(WEEKDAY(tblTransactions[[#This Row],[date]],2)&gt;5,"Weekend","Weekday")</f>
        <v>Weekday</v>
      </c>
      <c r="O298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83" s="13" t="str">
        <f>_xlfn.XLOOKUP(tblTransactions[[#This Row],[tenant_id]],tblTenants[tenant_id],tblTenants[zone],"NOT FOUND")</f>
        <v>Entertainment</v>
      </c>
      <c r="Q2983" s="13" t="str">
        <f>_xlfn.XLOOKUP(tblTransactions[[#This Row],[tenant_id]],tblTenants[tenant_id],tblTenants[category],"NOT FOUND")</f>
        <v>Cinema</v>
      </c>
    </row>
    <row r="2984" spans="1:17">
      <c r="A2984" t="s">
        <v>3028</v>
      </c>
      <c r="B2984" s="2">
        <v>45744</v>
      </c>
      <c r="C2984">
        <v>22</v>
      </c>
      <c r="D2984" t="s">
        <v>25</v>
      </c>
      <c r="E2984" t="s">
        <v>21</v>
      </c>
      <c r="F2984" s="7">
        <v>1702.07</v>
      </c>
      <c r="G2984" s="10">
        <v>0</v>
      </c>
      <c r="H2984" s="7">
        <v>1702.07</v>
      </c>
      <c r="I2984">
        <v>3</v>
      </c>
      <c r="J2984" t="s">
        <v>13</v>
      </c>
      <c r="K2984" s="13">
        <f>ROUND(tblTransactions[[#This Row],[gross_sales_inr]]*(1-tblTransactions[[#This Row],[discount_pct]]),2)</f>
        <v>1702.07</v>
      </c>
      <c r="L2984" t="str">
        <f>IF(ABS(tblTransactions[[#This Row],[net_sales_inr]]-tblTransactions[[#This Row],[Recalc_Net_Sales]])&lt;0.02,"OK","CHECK")</f>
        <v>OK</v>
      </c>
      <c r="M2984" s="14">
        <f>DATE(YEAR(tblTransactions[[#This Row],[date]]),MONTH(tblTransactions[[#This Row],[date]]),1)</f>
        <v>45717</v>
      </c>
      <c r="N2984" t="str">
        <f>IF(WEEKDAY(tblTransactions[[#This Row],[date]],2)&gt;5,"Weekend","Weekday")</f>
        <v>Weekday</v>
      </c>
      <c r="O2984" s="13" t="str">
        <f>IF(tblTransactions[[#This Row],[discount_pct]]=0,"0%",IF(tblTransactions[[#This Row],[discount_pct]]&lt;=10%,"1–
10%",IF(tblTransactions[[#This Row],[discount_pct]]&lt;=20%,"11–20%","&gt;20%")))</f>
        <v>0%</v>
      </c>
      <c r="P2984" s="13" t="str">
        <f>_xlfn.XLOOKUP(tblTransactions[[#This Row],[tenant_id]],tblTenants[tenant_id],tblTenants[zone],"NOT FOUND")</f>
        <v>Beauty &amp; Wellness</v>
      </c>
      <c r="Q2984" s="13" t="str">
        <f>_xlfn.XLOOKUP(tblTransactions[[#This Row],[tenant_id]],tblTenants[tenant_id],tblTenants[category],"NOT FOUND")</f>
        <v>Beauty</v>
      </c>
    </row>
    <row r="2985" spans="1:17">
      <c r="A2985" t="s">
        <v>3029</v>
      </c>
      <c r="B2985" s="2">
        <v>45739</v>
      </c>
      <c r="C2985">
        <v>13</v>
      </c>
      <c r="D2985" t="s">
        <v>15</v>
      </c>
      <c r="E2985" t="s">
        <v>12</v>
      </c>
      <c r="F2985" s="7">
        <v>1517.09</v>
      </c>
      <c r="G2985" s="10">
        <v>0</v>
      </c>
      <c r="H2985" s="7">
        <v>1517.09</v>
      </c>
      <c r="I2985">
        <v>4</v>
      </c>
      <c r="J2985" t="s">
        <v>13</v>
      </c>
      <c r="K2985" s="13">
        <f>ROUND(tblTransactions[[#This Row],[gross_sales_inr]]*(1-tblTransactions[[#This Row],[discount_pct]]),2)</f>
        <v>1517.09</v>
      </c>
      <c r="L2985" t="str">
        <f>IF(ABS(tblTransactions[[#This Row],[net_sales_inr]]-tblTransactions[[#This Row],[Recalc_Net_Sales]])&lt;0.02,"OK","CHECK")</f>
        <v>OK</v>
      </c>
      <c r="M2985" s="14">
        <f>DATE(YEAR(tblTransactions[[#This Row],[date]]),MONTH(tblTransactions[[#This Row],[date]]),1)</f>
        <v>45717</v>
      </c>
      <c r="N2985" t="str">
        <f>IF(WEEKDAY(tblTransactions[[#This Row],[date]],2)&gt;5,"Weekend","Weekday")</f>
        <v>Weekend</v>
      </c>
      <c r="O2985" s="13" t="str">
        <f>IF(tblTransactions[[#This Row],[discount_pct]]=0,"0%",IF(tblTransactions[[#This Row],[discount_pct]]&lt;=10%,"1–
10%",IF(tblTransactions[[#This Row],[discount_pct]]&lt;=20%,"11–20%","&gt;20%")))</f>
        <v>0%</v>
      </c>
      <c r="P2985" s="13" t="str">
        <f>_xlfn.XLOOKUP(tblTransactions[[#This Row],[tenant_id]],tblTenants[tenant_id],tblTenants[zone],"NOT FOUND")</f>
        <v>Fashion Avenue</v>
      </c>
      <c r="Q2985" s="13" t="str">
        <f>_xlfn.XLOOKUP(tblTransactions[[#This Row],[tenant_id]],tblTenants[tenant_id],tblTenants[category],"NOT FOUND")</f>
        <v>Accessories</v>
      </c>
    </row>
    <row r="2986" spans="1:17">
      <c r="A2986" t="s">
        <v>3030</v>
      </c>
      <c r="B2986" s="2">
        <v>45816</v>
      </c>
      <c r="C2986">
        <v>19</v>
      </c>
      <c r="D2986" t="s">
        <v>87</v>
      </c>
      <c r="E2986" t="s">
        <v>12</v>
      </c>
      <c r="F2986" s="7">
        <v>1605.2</v>
      </c>
      <c r="G2986" s="10">
        <v>0</v>
      </c>
      <c r="H2986" s="7">
        <v>1605.2</v>
      </c>
      <c r="I2986">
        <v>1</v>
      </c>
      <c r="J2986" t="s">
        <v>13</v>
      </c>
      <c r="K2986" s="13">
        <f>ROUND(tblTransactions[[#This Row],[gross_sales_inr]]*(1-tblTransactions[[#This Row],[discount_pct]]),2)</f>
        <v>1605.2</v>
      </c>
      <c r="L2986" t="str">
        <f>IF(ABS(tblTransactions[[#This Row],[net_sales_inr]]-tblTransactions[[#This Row],[Recalc_Net_Sales]])&lt;0.02,"OK","CHECK")</f>
        <v>OK</v>
      </c>
      <c r="M2986" s="14">
        <f>DATE(YEAR(tblTransactions[[#This Row],[date]]),MONTH(tblTransactions[[#This Row],[date]]),1)</f>
        <v>45809</v>
      </c>
      <c r="N2986" t="str">
        <f>IF(WEEKDAY(tblTransactions[[#This Row],[date]],2)&gt;5,"Weekend","Weekday")</f>
        <v>Weekend</v>
      </c>
      <c r="O2986" s="13" t="str">
        <f>IF(tblTransactions[[#This Row],[discount_pct]]=0,"0%",IF(tblTransactions[[#This Row],[discount_pct]]&lt;=10%,"1–
10%",IF(tblTransactions[[#This Row],[discount_pct]]&lt;=20%,"11–20%","&gt;20%")))</f>
        <v>0%</v>
      </c>
      <c r="P2986" s="13" t="str">
        <f>_xlfn.XLOOKUP(tblTransactions[[#This Row],[tenant_id]],tblTenants[tenant_id],tblTenants[zone],"NOT FOUND")</f>
        <v>Fashion Avenue</v>
      </c>
      <c r="Q2986" s="13" t="str">
        <f>_xlfn.XLOOKUP(tblTransactions[[#This Row],[tenant_id]],tblTenants[tenant_id],tblTenants[category],"NOT FOUND")</f>
        <v>Footwear</v>
      </c>
    </row>
    <row r="2987" spans="1:17">
      <c r="A2987" t="s">
        <v>3031</v>
      </c>
      <c r="B2987" s="2">
        <v>45796</v>
      </c>
      <c r="C2987">
        <v>12</v>
      </c>
      <c r="D2987" t="s">
        <v>20</v>
      </c>
      <c r="E2987" t="s">
        <v>21</v>
      </c>
      <c r="F2987" s="7">
        <v>1944.4</v>
      </c>
      <c r="G2987" s="10">
        <v>0</v>
      </c>
      <c r="H2987" s="7">
        <v>1944.4</v>
      </c>
      <c r="I2987">
        <v>1</v>
      </c>
      <c r="J2987" t="s">
        <v>13</v>
      </c>
      <c r="K2987" s="13">
        <f>ROUND(tblTransactions[[#This Row],[gross_sales_inr]]*(1-tblTransactions[[#This Row],[discount_pct]]),2)</f>
        <v>1944.4</v>
      </c>
      <c r="L2987" t="str">
        <f>IF(ABS(tblTransactions[[#This Row],[net_sales_inr]]-tblTransactions[[#This Row],[Recalc_Net_Sales]])&lt;0.02,"OK","CHECK")</f>
        <v>OK</v>
      </c>
      <c r="M2987" s="14">
        <f>DATE(YEAR(tblTransactions[[#This Row],[date]]),MONTH(tblTransactions[[#This Row],[date]]),1)</f>
        <v>45778</v>
      </c>
      <c r="N2987" t="str">
        <f>IF(WEEKDAY(tblTransactions[[#This Row],[date]],2)&gt;5,"Weekend","Weekday")</f>
        <v>Weekday</v>
      </c>
      <c r="O2987" s="13" t="str">
        <f>IF(tblTransactions[[#This Row],[discount_pct]]=0,"0%",IF(tblTransactions[[#This Row],[discount_pct]]&lt;=10%,"1–
10%",IF(tblTransactions[[#This Row],[discount_pct]]&lt;=20%,"11–20%","&gt;20%")))</f>
        <v>0%</v>
      </c>
      <c r="P2987" s="13" t="str">
        <f>_xlfn.XLOOKUP(tblTransactions[[#This Row],[tenant_id]],tblTenants[tenant_id],tblTenants[zone],"NOT FOUND")</f>
        <v>Fashion Avenue</v>
      </c>
      <c r="Q2987" s="13" t="str">
        <f>_xlfn.XLOOKUP(tblTransactions[[#This Row],[tenant_id]],tblTenants[tenant_id],tblTenants[category],"NOT FOUND")</f>
        <v>Accessories</v>
      </c>
    </row>
    <row r="2988" spans="1:17">
      <c r="A2988" t="s">
        <v>3032</v>
      </c>
      <c r="B2988" s="2">
        <v>45825</v>
      </c>
      <c r="C2988">
        <v>21</v>
      </c>
      <c r="D2988" t="s">
        <v>57</v>
      </c>
      <c r="E2988" t="s">
        <v>12</v>
      </c>
      <c r="F2988" s="7">
        <v>798.52</v>
      </c>
      <c r="G2988" s="10">
        <v>0.05</v>
      </c>
      <c r="H2988" s="7">
        <v>758.59</v>
      </c>
      <c r="I2988">
        <v>2</v>
      </c>
      <c r="J2988" t="s">
        <v>13</v>
      </c>
      <c r="K2988" s="13">
        <f>ROUND(tblTransactions[[#This Row],[gross_sales_inr]]*(1-tblTransactions[[#This Row],[discount_pct]]),2)</f>
        <v>758.59</v>
      </c>
      <c r="L2988" t="str">
        <f>IF(ABS(tblTransactions[[#This Row],[net_sales_inr]]-tblTransactions[[#This Row],[Recalc_Net_Sales]])&lt;0.02,"OK","CHECK")</f>
        <v>OK</v>
      </c>
      <c r="M2988" s="14">
        <f>DATE(YEAR(tblTransactions[[#This Row],[date]]),MONTH(tblTransactions[[#This Row],[date]]),1)</f>
        <v>45809</v>
      </c>
      <c r="N2988" t="str">
        <f>IF(WEEKDAY(tblTransactions[[#This Row],[date]],2)&gt;5,"Weekend","Weekday")</f>
        <v>Weekday</v>
      </c>
      <c r="O298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88" s="13" t="str">
        <f>_xlfn.XLOOKUP(tblTransactions[[#This Row],[tenant_id]],tblTenants[tenant_id],tblTenants[zone],"NOT FOUND")</f>
        <v>Food Court</v>
      </c>
      <c r="Q2988" s="13" t="str">
        <f>_xlfn.XLOOKUP(tblTransactions[[#This Row],[tenant_id]],tblTenants[tenant_id],tblTenants[category],"NOT FOUND")</f>
        <v>Casual Dining</v>
      </c>
    </row>
    <row r="2989" spans="1:17">
      <c r="A2989" t="s">
        <v>3033</v>
      </c>
      <c r="B2989" s="2">
        <v>45661</v>
      </c>
      <c r="C2989">
        <v>15</v>
      </c>
      <c r="D2989" t="s">
        <v>18</v>
      </c>
      <c r="E2989" t="s">
        <v>32</v>
      </c>
      <c r="F2989" s="7">
        <v>609.14</v>
      </c>
      <c r="G2989" s="10">
        <v>0.3</v>
      </c>
      <c r="H2989" s="7">
        <v>426.4</v>
      </c>
      <c r="I2989">
        <v>4</v>
      </c>
      <c r="J2989" t="s">
        <v>13</v>
      </c>
      <c r="K2989" s="13">
        <f>ROUND(tblTransactions[[#This Row],[gross_sales_inr]]*(1-tblTransactions[[#This Row],[discount_pct]]),2)</f>
        <v>426.4</v>
      </c>
      <c r="L2989" t="str">
        <f>IF(ABS(tblTransactions[[#This Row],[net_sales_inr]]-tblTransactions[[#This Row],[Recalc_Net_Sales]])&lt;0.02,"OK","CHECK")</f>
        <v>OK</v>
      </c>
      <c r="M2989" s="14">
        <f>DATE(YEAR(tblTransactions[[#This Row],[date]]),MONTH(tblTransactions[[#This Row],[date]]),1)</f>
        <v>45658</v>
      </c>
      <c r="N2989" t="str">
        <f>IF(WEEKDAY(tblTransactions[[#This Row],[date]],2)&gt;5,"Weekend","Weekday")</f>
        <v>Weekend</v>
      </c>
      <c r="O2989" s="13" t="str">
        <f>IF(tblTransactions[[#This Row],[discount_pct]]=0,"0%",IF(tblTransactions[[#This Row],[discount_pct]]&lt;=10%,"1–
10%",IF(tblTransactions[[#This Row],[discount_pct]]&lt;=20%,"11–20%","&gt;20%")))</f>
        <v>&gt;20%</v>
      </c>
      <c r="P2989" s="13" t="str">
        <f>_xlfn.XLOOKUP(tblTransactions[[#This Row],[tenant_id]],tblTenants[tenant_id],tblTenants[zone],"NOT FOUND")</f>
        <v>Beauty &amp; Wellness</v>
      </c>
      <c r="Q2989" s="13" t="str">
        <f>_xlfn.XLOOKUP(tblTransactions[[#This Row],[tenant_id]],tblTenants[tenant_id],tblTenants[category],"NOT FOUND")</f>
        <v>Beauty</v>
      </c>
    </row>
    <row r="2990" spans="1:17">
      <c r="A2990" t="s">
        <v>3034</v>
      </c>
      <c r="B2990" s="2">
        <v>45685</v>
      </c>
      <c r="C2990">
        <v>15</v>
      </c>
      <c r="D2990" t="s">
        <v>70</v>
      </c>
      <c r="E2990" t="s">
        <v>12</v>
      </c>
      <c r="F2990" s="7">
        <v>1985.31</v>
      </c>
      <c r="G2990" s="10">
        <v>0.1</v>
      </c>
      <c r="H2990" s="7">
        <v>1786.78</v>
      </c>
      <c r="I2990">
        <v>5</v>
      </c>
      <c r="J2990" t="s">
        <v>13</v>
      </c>
      <c r="K2990" s="13">
        <f>ROUND(tblTransactions[[#This Row],[gross_sales_inr]]*(1-tblTransactions[[#This Row],[discount_pct]]),2)</f>
        <v>1786.78</v>
      </c>
      <c r="L2990" t="str">
        <f>IF(ABS(tblTransactions[[#This Row],[net_sales_inr]]-tblTransactions[[#This Row],[Recalc_Net_Sales]])&lt;0.02,"OK","CHECK")</f>
        <v>OK</v>
      </c>
      <c r="M2990" s="14">
        <f>DATE(YEAR(tblTransactions[[#This Row],[date]]),MONTH(tblTransactions[[#This Row],[date]]),1)</f>
        <v>45658</v>
      </c>
      <c r="N2990" t="str">
        <f>IF(WEEKDAY(tblTransactions[[#This Row],[date]],2)&gt;5,"Weekend","Weekday")</f>
        <v>Weekday</v>
      </c>
      <c r="O299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90" s="13" t="str">
        <f>_xlfn.XLOOKUP(tblTransactions[[#This Row],[tenant_id]],tblTenants[tenant_id],tblTenants[zone],"NOT FOUND")</f>
        <v>Food Court</v>
      </c>
      <c r="Q2990" s="13" t="str">
        <f>_xlfn.XLOOKUP(tblTransactions[[#This Row],[tenant_id]],tblTenants[tenant_id],tblTenants[category],"NOT FOUND")</f>
        <v>Quick Service</v>
      </c>
    </row>
    <row r="2991" spans="1:17">
      <c r="A2991" t="s">
        <v>3035</v>
      </c>
      <c r="B2991" s="2">
        <v>45799</v>
      </c>
      <c r="C2991">
        <v>17</v>
      </c>
      <c r="D2991" t="s">
        <v>72</v>
      </c>
      <c r="E2991" t="s">
        <v>12</v>
      </c>
      <c r="F2991" s="7">
        <v>2455.6799999999998</v>
      </c>
      <c r="G2991" s="10">
        <v>0.15</v>
      </c>
      <c r="H2991" s="7">
        <v>2087.33</v>
      </c>
      <c r="I2991">
        <v>2</v>
      </c>
      <c r="J2991" t="s">
        <v>16</v>
      </c>
      <c r="K2991" s="13">
        <f>ROUND(tblTransactions[[#This Row],[gross_sales_inr]]*(1-tblTransactions[[#This Row],[discount_pct]]),2)</f>
        <v>2087.33</v>
      </c>
      <c r="L2991" t="str">
        <f>IF(ABS(tblTransactions[[#This Row],[net_sales_inr]]-tblTransactions[[#This Row],[Recalc_Net_Sales]])&lt;0.02,"OK","CHECK")</f>
        <v>OK</v>
      </c>
      <c r="M2991" s="14">
        <f>DATE(YEAR(tblTransactions[[#This Row],[date]]),MONTH(tblTransactions[[#This Row],[date]]),1)</f>
        <v>45778</v>
      </c>
      <c r="N2991" t="str">
        <f>IF(WEEKDAY(tblTransactions[[#This Row],[date]],2)&gt;5,"Weekend","Weekday")</f>
        <v>Weekday</v>
      </c>
      <c r="O299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91" s="13" t="str">
        <f>_xlfn.XLOOKUP(tblTransactions[[#This Row],[tenant_id]],tblTenants[tenant_id],tblTenants[zone],"NOT FOUND")</f>
        <v>Entertainment</v>
      </c>
      <c r="Q2991" s="13" t="str">
        <f>_xlfn.XLOOKUP(tblTransactions[[#This Row],[tenant_id]],tblTenants[tenant_id],tblTenants[category],"NOT FOUND")</f>
        <v>Arcade</v>
      </c>
    </row>
    <row r="2992" spans="1:17">
      <c r="A2992" t="s">
        <v>3036</v>
      </c>
      <c r="B2992" s="2">
        <v>45693</v>
      </c>
      <c r="C2992">
        <v>15</v>
      </c>
      <c r="D2992" t="s">
        <v>18</v>
      </c>
      <c r="E2992" t="s">
        <v>21</v>
      </c>
      <c r="F2992" s="7">
        <v>357.02</v>
      </c>
      <c r="G2992" s="10">
        <v>0</v>
      </c>
      <c r="H2992" s="7">
        <v>357.02</v>
      </c>
      <c r="I2992">
        <v>1</v>
      </c>
      <c r="J2992" t="s">
        <v>16</v>
      </c>
      <c r="K2992" s="13">
        <f>ROUND(tblTransactions[[#This Row],[gross_sales_inr]]*(1-tblTransactions[[#This Row],[discount_pct]]),2)</f>
        <v>357.02</v>
      </c>
      <c r="L2992" t="str">
        <f>IF(ABS(tblTransactions[[#This Row],[net_sales_inr]]-tblTransactions[[#This Row],[Recalc_Net_Sales]])&lt;0.02,"OK","CHECK")</f>
        <v>OK</v>
      </c>
      <c r="M2992" s="14">
        <f>DATE(YEAR(tblTransactions[[#This Row],[date]]),MONTH(tblTransactions[[#This Row],[date]]),1)</f>
        <v>45689</v>
      </c>
      <c r="N2992" t="str">
        <f>IF(WEEKDAY(tblTransactions[[#This Row],[date]],2)&gt;5,"Weekend","Weekday")</f>
        <v>Weekday</v>
      </c>
      <c r="O2992" s="13" t="str">
        <f>IF(tblTransactions[[#This Row],[discount_pct]]=0,"0%",IF(tblTransactions[[#This Row],[discount_pct]]&lt;=10%,"1–
10%",IF(tblTransactions[[#This Row],[discount_pct]]&lt;=20%,"11–20%","&gt;20%")))</f>
        <v>0%</v>
      </c>
      <c r="P2992" s="13" t="str">
        <f>_xlfn.XLOOKUP(tblTransactions[[#This Row],[tenant_id]],tblTenants[tenant_id],tblTenants[zone],"NOT FOUND")</f>
        <v>Beauty &amp; Wellness</v>
      </c>
      <c r="Q2992" s="13" t="str">
        <f>_xlfn.XLOOKUP(tblTransactions[[#This Row],[tenant_id]],tblTenants[tenant_id],tblTenants[category],"NOT FOUND")</f>
        <v>Beauty</v>
      </c>
    </row>
    <row r="2993" spans="1:17">
      <c r="A2993" t="s">
        <v>3037</v>
      </c>
      <c r="B2993" s="2">
        <v>45789</v>
      </c>
      <c r="C2993">
        <v>15</v>
      </c>
      <c r="D2993" t="s">
        <v>25</v>
      </c>
      <c r="E2993" t="s">
        <v>12</v>
      </c>
      <c r="F2993" s="7">
        <v>466.4</v>
      </c>
      <c r="G2993" s="10">
        <v>0.05</v>
      </c>
      <c r="H2993" s="7">
        <v>443.08</v>
      </c>
      <c r="I2993">
        <v>1</v>
      </c>
      <c r="J2993" t="s">
        <v>13</v>
      </c>
      <c r="K2993" s="13">
        <f>ROUND(tblTransactions[[#This Row],[gross_sales_inr]]*(1-tblTransactions[[#This Row],[discount_pct]]),2)</f>
        <v>443.08</v>
      </c>
      <c r="L2993" t="str">
        <f>IF(ABS(tblTransactions[[#This Row],[net_sales_inr]]-tblTransactions[[#This Row],[Recalc_Net_Sales]])&lt;0.02,"OK","CHECK")</f>
        <v>OK</v>
      </c>
      <c r="M2993" s="14">
        <f>DATE(YEAR(tblTransactions[[#This Row],[date]]),MONTH(tblTransactions[[#This Row],[date]]),1)</f>
        <v>45778</v>
      </c>
      <c r="N2993" t="str">
        <f>IF(WEEKDAY(tblTransactions[[#This Row],[date]],2)&gt;5,"Weekend","Weekday")</f>
        <v>Weekday</v>
      </c>
      <c r="O299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93" s="13" t="str">
        <f>_xlfn.XLOOKUP(tblTransactions[[#This Row],[tenant_id]],tblTenants[tenant_id],tblTenants[zone],"NOT FOUND")</f>
        <v>Beauty &amp; Wellness</v>
      </c>
      <c r="Q2993" s="13" t="str">
        <f>_xlfn.XLOOKUP(tblTransactions[[#This Row],[tenant_id]],tblTenants[tenant_id],tblTenants[category],"NOT FOUND")</f>
        <v>Beauty</v>
      </c>
    </row>
    <row r="2994" spans="1:17">
      <c r="A2994" t="s">
        <v>3038</v>
      </c>
      <c r="B2994" s="2">
        <v>45682</v>
      </c>
      <c r="C2994">
        <v>10</v>
      </c>
      <c r="D2994" t="s">
        <v>61</v>
      </c>
      <c r="E2994" t="s">
        <v>32</v>
      </c>
      <c r="F2994" s="7">
        <v>1044.7</v>
      </c>
      <c r="G2994" s="10">
        <v>0</v>
      </c>
      <c r="H2994" s="7">
        <v>1044.7</v>
      </c>
      <c r="I2994">
        <v>4</v>
      </c>
      <c r="J2994" t="s">
        <v>16</v>
      </c>
      <c r="K2994" s="13">
        <f>ROUND(tblTransactions[[#This Row],[gross_sales_inr]]*(1-tblTransactions[[#This Row],[discount_pct]]),2)</f>
        <v>1044.7</v>
      </c>
      <c r="L2994" t="str">
        <f>IF(ABS(tblTransactions[[#This Row],[net_sales_inr]]-tblTransactions[[#This Row],[Recalc_Net_Sales]])&lt;0.02,"OK","CHECK")</f>
        <v>OK</v>
      </c>
      <c r="M2994" s="14">
        <f>DATE(YEAR(tblTransactions[[#This Row],[date]]),MONTH(tblTransactions[[#This Row],[date]]),1)</f>
        <v>45658</v>
      </c>
      <c r="N2994" t="str">
        <f>IF(WEEKDAY(tblTransactions[[#This Row],[date]],2)&gt;5,"Weekend","Weekday")</f>
        <v>Weekend</v>
      </c>
      <c r="O2994" s="13" t="str">
        <f>IF(tblTransactions[[#This Row],[discount_pct]]=0,"0%",IF(tblTransactions[[#This Row],[discount_pct]]&lt;=10%,"1–
10%",IF(tblTransactions[[#This Row],[discount_pct]]&lt;=20%,"11–20%","&gt;20%")))</f>
        <v>0%</v>
      </c>
      <c r="P2994" s="13" t="str">
        <f>_xlfn.XLOOKUP(tblTransactions[[#This Row],[tenant_id]],tblTenants[tenant_id],tblTenants[zone],"NOT FOUND")</f>
        <v>Food Court</v>
      </c>
      <c r="Q2994" s="13" t="str">
        <f>_xlfn.XLOOKUP(tblTransactions[[#This Row],[tenant_id]],tblTenants[tenant_id],tblTenants[category],"NOT FOUND")</f>
        <v>Quick Service</v>
      </c>
    </row>
    <row r="2995" spans="1:17">
      <c r="A2995" t="s">
        <v>3039</v>
      </c>
      <c r="B2995" s="2">
        <v>45798</v>
      </c>
      <c r="C2995">
        <v>17</v>
      </c>
      <c r="D2995" t="s">
        <v>204</v>
      </c>
      <c r="E2995" t="s">
        <v>12</v>
      </c>
      <c r="F2995" s="7">
        <v>810.39</v>
      </c>
      <c r="G2995" s="10">
        <v>0.05</v>
      </c>
      <c r="H2995" s="7">
        <v>769.87</v>
      </c>
      <c r="I2995">
        <v>1</v>
      </c>
      <c r="J2995" t="s">
        <v>13</v>
      </c>
      <c r="K2995" s="13">
        <f>ROUND(tblTransactions[[#This Row],[gross_sales_inr]]*(1-tblTransactions[[#This Row],[discount_pct]]),2)</f>
        <v>769.87</v>
      </c>
      <c r="L2995" t="str">
        <f>IF(ABS(tblTransactions[[#This Row],[net_sales_inr]]-tblTransactions[[#This Row],[Recalc_Net_Sales]])&lt;0.02,"OK","CHECK")</f>
        <v>OK</v>
      </c>
      <c r="M2995" s="14">
        <f>DATE(YEAR(tblTransactions[[#This Row],[date]]),MONTH(tblTransactions[[#This Row],[date]]),1)</f>
        <v>45778</v>
      </c>
      <c r="N2995" t="str">
        <f>IF(WEEKDAY(tblTransactions[[#This Row],[date]],2)&gt;5,"Weekend","Weekday")</f>
        <v>Weekday</v>
      </c>
      <c r="O299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2995" s="13" t="str">
        <f>_xlfn.XLOOKUP(tblTransactions[[#This Row],[tenant_id]],tblTenants[tenant_id],tblTenants[zone],"NOT FOUND")</f>
        <v>Home &amp; Living</v>
      </c>
      <c r="Q2995" s="13" t="str">
        <f>_xlfn.XLOOKUP(tblTransactions[[#This Row],[tenant_id]],tblTenants[tenant_id],tblTenants[category],"NOT FOUND")</f>
        <v>Home Decor</v>
      </c>
    </row>
    <row r="2996" spans="1:17">
      <c r="A2996" t="s">
        <v>3040</v>
      </c>
      <c r="B2996" s="2">
        <v>45797</v>
      </c>
      <c r="C2996">
        <v>18</v>
      </c>
      <c r="D2996" t="s">
        <v>122</v>
      </c>
      <c r="E2996" t="s">
        <v>51</v>
      </c>
      <c r="F2996" s="7">
        <v>678.85</v>
      </c>
      <c r="G2996" s="10">
        <v>0.15</v>
      </c>
      <c r="H2996" s="7">
        <v>577.02</v>
      </c>
      <c r="I2996">
        <v>3</v>
      </c>
      <c r="J2996" t="s">
        <v>16</v>
      </c>
      <c r="K2996" s="13">
        <f>ROUND(tblTransactions[[#This Row],[gross_sales_inr]]*(1-tblTransactions[[#This Row],[discount_pct]]),2)</f>
        <v>577.02</v>
      </c>
      <c r="L2996" t="str">
        <f>IF(ABS(tblTransactions[[#This Row],[net_sales_inr]]-tblTransactions[[#This Row],[Recalc_Net_Sales]])&lt;0.02,"OK","CHECK")</f>
        <v>OK</v>
      </c>
      <c r="M2996" s="14">
        <f>DATE(YEAR(tblTransactions[[#This Row],[date]]),MONTH(tblTransactions[[#This Row],[date]]),1)</f>
        <v>45778</v>
      </c>
      <c r="N2996" t="str">
        <f>IF(WEEKDAY(tblTransactions[[#This Row],[date]],2)&gt;5,"Weekend","Weekday")</f>
        <v>Weekday</v>
      </c>
      <c r="O299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96" s="13" t="str">
        <f>_xlfn.XLOOKUP(tblTransactions[[#This Row],[tenant_id]],tblTenants[tenant_id],tblTenants[zone],"NOT FOUND")</f>
        <v>Beauty &amp; Wellness</v>
      </c>
      <c r="Q2996" s="13" t="str">
        <f>_xlfn.XLOOKUP(tblTransactions[[#This Row],[tenant_id]],tblTenants[tenant_id],tblTenants[category],"NOT FOUND")</f>
        <v>Wellness</v>
      </c>
    </row>
    <row r="2997" spans="1:17">
      <c r="A2997" t="s">
        <v>3041</v>
      </c>
      <c r="B2997" s="2">
        <v>45788</v>
      </c>
      <c r="C2997">
        <v>11</v>
      </c>
      <c r="D2997" t="s">
        <v>45</v>
      </c>
      <c r="E2997" t="s">
        <v>51</v>
      </c>
      <c r="F2997" s="7">
        <v>1361.71</v>
      </c>
      <c r="G2997" s="10">
        <v>0</v>
      </c>
      <c r="H2997" s="7">
        <v>1361.71</v>
      </c>
      <c r="I2997">
        <v>1</v>
      </c>
      <c r="J2997" t="s">
        <v>16</v>
      </c>
      <c r="K2997" s="13">
        <f>ROUND(tblTransactions[[#This Row],[gross_sales_inr]]*(1-tblTransactions[[#This Row],[discount_pct]]),2)</f>
        <v>1361.71</v>
      </c>
      <c r="L2997" t="str">
        <f>IF(ABS(tblTransactions[[#This Row],[net_sales_inr]]-tblTransactions[[#This Row],[Recalc_Net_Sales]])&lt;0.02,"OK","CHECK")</f>
        <v>OK</v>
      </c>
      <c r="M2997" s="14">
        <f>DATE(YEAR(tblTransactions[[#This Row],[date]]),MONTH(tblTransactions[[#This Row],[date]]),1)</f>
        <v>45778</v>
      </c>
      <c r="N2997" t="str">
        <f>IF(WEEKDAY(tblTransactions[[#This Row],[date]],2)&gt;5,"Weekend","Weekday")</f>
        <v>Weekend</v>
      </c>
      <c r="O2997" s="13" t="str">
        <f>IF(tblTransactions[[#This Row],[discount_pct]]=0,"0%",IF(tblTransactions[[#This Row],[discount_pct]]&lt;=10%,"1–
10%",IF(tblTransactions[[#This Row],[discount_pct]]&lt;=20%,"11–20%","&gt;20%")))</f>
        <v>0%</v>
      </c>
      <c r="P2997" s="13" t="str">
        <f>_xlfn.XLOOKUP(tblTransactions[[#This Row],[tenant_id]],tblTenants[tenant_id],tblTenants[zone],"NOT FOUND")</f>
        <v>Home &amp; Living</v>
      </c>
      <c r="Q2997" s="13" t="str">
        <f>_xlfn.XLOOKUP(tblTransactions[[#This Row],[tenant_id]],tblTenants[tenant_id],tblTenants[category],"NOT FOUND")</f>
        <v>Home Decor</v>
      </c>
    </row>
    <row r="2998" spans="1:17">
      <c r="A2998" t="s">
        <v>3042</v>
      </c>
      <c r="B2998" s="2">
        <v>45813</v>
      </c>
      <c r="C2998">
        <v>10</v>
      </c>
      <c r="D2998" t="s">
        <v>45</v>
      </c>
      <c r="E2998" t="s">
        <v>12</v>
      </c>
      <c r="F2998" s="7">
        <v>184.12</v>
      </c>
      <c r="G2998" s="10">
        <v>0.2</v>
      </c>
      <c r="H2998" s="7">
        <v>147.30000000000001</v>
      </c>
      <c r="I2998">
        <v>3</v>
      </c>
      <c r="J2998" t="s">
        <v>13</v>
      </c>
      <c r="K2998" s="13">
        <f>ROUND(tblTransactions[[#This Row],[gross_sales_inr]]*(1-tblTransactions[[#This Row],[discount_pct]]),2)</f>
        <v>147.30000000000001</v>
      </c>
      <c r="L2998" t="str">
        <f>IF(ABS(tblTransactions[[#This Row],[net_sales_inr]]-tblTransactions[[#This Row],[Recalc_Net_Sales]])&lt;0.02,"OK","CHECK")</f>
        <v>OK</v>
      </c>
      <c r="M2998" s="14">
        <f>DATE(YEAR(tblTransactions[[#This Row],[date]]),MONTH(tblTransactions[[#This Row],[date]]),1)</f>
        <v>45809</v>
      </c>
      <c r="N2998" t="str">
        <f>IF(WEEKDAY(tblTransactions[[#This Row],[date]],2)&gt;5,"Weekend","Weekday")</f>
        <v>Weekday</v>
      </c>
      <c r="O299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2998" s="13" t="str">
        <f>_xlfn.XLOOKUP(tblTransactions[[#This Row],[tenant_id]],tblTenants[tenant_id],tblTenants[zone],"NOT FOUND")</f>
        <v>Home &amp; Living</v>
      </c>
      <c r="Q2998" s="13" t="str">
        <f>_xlfn.XLOOKUP(tblTransactions[[#This Row],[tenant_id]],tblTenants[tenant_id],tblTenants[category],"NOT FOUND")</f>
        <v>Home Decor</v>
      </c>
    </row>
    <row r="2999" spans="1:17">
      <c r="A2999" t="s">
        <v>3043</v>
      </c>
      <c r="B2999" s="2">
        <v>45675</v>
      </c>
      <c r="C2999">
        <v>13</v>
      </c>
      <c r="D2999" t="s">
        <v>29</v>
      </c>
      <c r="E2999" t="s">
        <v>32</v>
      </c>
      <c r="F2999" s="7">
        <v>1721.09</v>
      </c>
      <c r="G2999" s="10">
        <v>0</v>
      </c>
      <c r="H2999" s="7">
        <v>1721.09</v>
      </c>
      <c r="I2999">
        <v>1</v>
      </c>
      <c r="J2999" t="s">
        <v>13</v>
      </c>
      <c r="K2999" s="13">
        <f>ROUND(tblTransactions[[#This Row],[gross_sales_inr]]*(1-tblTransactions[[#This Row],[discount_pct]]),2)</f>
        <v>1721.09</v>
      </c>
      <c r="L2999" t="str">
        <f>IF(ABS(tblTransactions[[#This Row],[net_sales_inr]]-tblTransactions[[#This Row],[Recalc_Net_Sales]])&lt;0.02,"OK","CHECK")</f>
        <v>OK</v>
      </c>
      <c r="M2999" s="14">
        <f>DATE(YEAR(tblTransactions[[#This Row],[date]]),MONTH(tblTransactions[[#This Row],[date]]),1)</f>
        <v>45658</v>
      </c>
      <c r="N2999" t="str">
        <f>IF(WEEKDAY(tblTransactions[[#This Row],[date]],2)&gt;5,"Weekend","Weekday")</f>
        <v>Weekend</v>
      </c>
      <c r="O2999" s="13" t="str">
        <f>IF(tblTransactions[[#This Row],[discount_pct]]=0,"0%",IF(tblTransactions[[#This Row],[discount_pct]]&lt;=10%,"1–
10%",IF(tblTransactions[[#This Row],[discount_pct]]&lt;=20%,"11–20%","&gt;20%")))</f>
        <v>0%</v>
      </c>
      <c r="P2999" s="13" t="str">
        <f>_xlfn.XLOOKUP(tblTransactions[[#This Row],[tenant_id]],tblTenants[tenant_id],tblTenants[zone],"NOT FOUND")</f>
        <v>Entertainment</v>
      </c>
      <c r="Q2999" s="13" t="str">
        <f>_xlfn.XLOOKUP(tblTransactions[[#This Row],[tenant_id]],tblTenants[tenant_id],tblTenants[category],"NOT FOUND")</f>
        <v>Cinema</v>
      </c>
    </row>
    <row r="3000" spans="1:17">
      <c r="A3000" t="s">
        <v>3044</v>
      </c>
      <c r="B3000" s="2">
        <v>45776</v>
      </c>
      <c r="C3000">
        <v>18</v>
      </c>
      <c r="D3000" t="s">
        <v>23</v>
      </c>
      <c r="E3000" t="s">
        <v>12</v>
      </c>
      <c r="F3000" s="7">
        <v>1377.2</v>
      </c>
      <c r="G3000" s="10">
        <v>0.15</v>
      </c>
      <c r="H3000" s="7">
        <v>1170.6199999999999</v>
      </c>
      <c r="I3000">
        <v>3</v>
      </c>
      <c r="J3000" t="s">
        <v>13</v>
      </c>
      <c r="K3000" s="13">
        <f>ROUND(tblTransactions[[#This Row],[gross_sales_inr]]*(1-tblTransactions[[#This Row],[discount_pct]]),2)</f>
        <v>1170.6199999999999</v>
      </c>
      <c r="L3000" t="str">
        <f>IF(ABS(tblTransactions[[#This Row],[net_sales_inr]]-tblTransactions[[#This Row],[Recalc_Net_Sales]])&lt;0.02,"OK","CHECK")</f>
        <v>OK</v>
      </c>
      <c r="M3000" s="14">
        <f>DATE(YEAR(tblTransactions[[#This Row],[date]]),MONTH(tblTransactions[[#This Row],[date]]),1)</f>
        <v>45748</v>
      </c>
      <c r="N3000" t="str">
        <f>IF(WEEKDAY(tblTransactions[[#This Row],[date]],2)&gt;5,"Weekend","Weekday")</f>
        <v>Weekday</v>
      </c>
      <c r="O300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00" s="13" t="str">
        <f>_xlfn.XLOOKUP(tblTransactions[[#This Row],[tenant_id]],tblTenants[tenant_id],tblTenants[zone],"NOT FOUND")</f>
        <v>Entertainment</v>
      </c>
      <c r="Q3000" s="13" t="str">
        <f>_xlfn.XLOOKUP(tblTransactions[[#This Row],[tenant_id]],tblTenants[tenant_id],tblTenants[category],"NOT FOUND")</f>
        <v>Cinema</v>
      </c>
    </row>
    <row r="3001" spans="1:17">
      <c r="A3001" t="s">
        <v>3045</v>
      </c>
      <c r="B3001" s="2">
        <v>45704</v>
      </c>
      <c r="C3001">
        <v>19</v>
      </c>
      <c r="D3001" t="s">
        <v>57</v>
      </c>
      <c r="E3001" t="s">
        <v>51</v>
      </c>
      <c r="F3001" s="7">
        <v>2148.4899999999998</v>
      </c>
      <c r="G3001" s="10">
        <v>0</v>
      </c>
      <c r="H3001" s="7">
        <v>2148.4899999999998</v>
      </c>
      <c r="I3001">
        <v>1</v>
      </c>
      <c r="J3001" t="s">
        <v>13</v>
      </c>
      <c r="K3001" s="13">
        <f>ROUND(tblTransactions[[#This Row],[gross_sales_inr]]*(1-tblTransactions[[#This Row],[discount_pct]]),2)</f>
        <v>2148.4899999999998</v>
      </c>
      <c r="L3001" t="str">
        <f>IF(ABS(tblTransactions[[#This Row],[net_sales_inr]]-tblTransactions[[#This Row],[Recalc_Net_Sales]])&lt;0.02,"OK","CHECK")</f>
        <v>OK</v>
      </c>
      <c r="M3001" s="14">
        <f>DATE(YEAR(tblTransactions[[#This Row],[date]]),MONTH(tblTransactions[[#This Row],[date]]),1)</f>
        <v>45689</v>
      </c>
      <c r="N3001" t="str">
        <f>IF(WEEKDAY(tblTransactions[[#This Row],[date]],2)&gt;5,"Weekend","Weekday")</f>
        <v>Weekend</v>
      </c>
      <c r="O3001" s="13" t="str">
        <f>IF(tblTransactions[[#This Row],[discount_pct]]=0,"0%",IF(tblTransactions[[#This Row],[discount_pct]]&lt;=10%,"1–
10%",IF(tblTransactions[[#This Row],[discount_pct]]&lt;=20%,"11–20%","&gt;20%")))</f>
        <v>0%</v>
      </c>
      <c r="P3001" s="13" t="str">
        <f>_xlfn.XLOOKUP(tblTransactions[[#This Row],[tenant_id]],tblTenants[tenant_id],tblTenants[zone],"NOT FOUND")</f>
        <v>Food Court</v>
      </c>
      <c r="Q3001" s="13" t="str">
        <f>_xlfn.XLOOKUP(tblTransactions[[#This Row],[tenant_id]],tblTenants[tenant_id],tblTenants[category],"NOT FOUND")</f>
        <v>Casual Dining</v>
      </c>
    </row>
    <row r="3002" spans="1:17">
      <c r="A3002" t="s">
        <v>3046</v>
      </c>
      <c r="B3002" s="2">
        <v>45666</v>
      </c>
      <c r="C3002">
        <v>21</v>
      </c>
      <c r="D3002" t="s">
        <v>72</v>
      </c>
      <c r="E3002" t="s">
        <v>32</v>
      </c>
      <c r="F3002" s="7">
        <v>697.98</v>
      </c>
      <c r="G3002" s="10">
        <v>0</v>
      </c>
      <c r="H3002" s="7">
        <v>697.98</v>
      </c>
      <c r="I3002">
        <v>2</v>
      </c>
      <c r="J3002" t="s">
        <v>13</v>
      </c>
      <c r="K3002" s="13">
        <f>ROUND(tblTransactions[[#This Row],[gross_sales_inr]]*(1-tblTransactions[[#This Row],[discount_pct]]),2)</f>
        <v>697.98</v>
      </c>
      <c r="L3002" t="str">
        <f>IF(ABS(tblTransactions[[#This Row],[net_sales_inr]]-tblTransactions[[#This Row],[Recalc_Net_Sales]])&lt;0.02,"OK","CHECK")</f>
        <v>OK</v>
      </c>
      <c r="M3002" s="14">
        <f>DATE(YEAR(tblTransactions[[#This Row],[date]]),MONTH(tblTransactions[[#This Row],[date]]),1)</f>
        <v>45658</v>
      </c>
      <c r="N3002" t="str">
        <f>IF(WEEKDAY(tblTransactions[[#This Row],[date]],2)&gt;5,"Weekend","Weekday")</f>
        <v>Weekday</v>
      </c>
      <c r="O3002" s="13" t="str">
        <f>IF(tblTransactions[[#This Row],[discount_pct]]=0,"0%",IF(tblTransactions[[#This Row],[discount_pct]]&lt;=10%,"1–
10%",IF(tblTransactions[[#This Row],[discount_pct]]&lt;=20%,"11–20%","&gt;20%")))</f>
        <v>0%</v>
      </c>
      <c r="P3002" s="13" t="str">
        <f>_xlfn.XLOOKUP(tblTransactions[[#This Row],[tenant_id]],tblTenants[tenant_id],tblTenants[zone],"NOT FOUND")</f>
        <v>Entertainment</v>
      </c>
      <c r="Q3002" s="13" t="str">
        <f>_xlfn.XLOOKUP(tblTransactions[[#This Row],[tenant_id]],tblTenants[tenant_id],tblTenants[category],"NOT FOUND")</f>
        <v>Arcade</v>
      </c>
    </row>
    <row r="3003" spans="1:17">
      <c r="A3003" t="s">
        <v>3047</v>
      </c>
      <c r="B3003" s="2">
        <v>45700</v>
      </c>
      <c r="C3003">
        <v>16</v>
      </c>
      <c r="D3003" t="s">
        <v>80</v>
      </c>
      <c r="E3003" t="s">
        <v>32</v>
      </c>
      <c r="F3003" s="7">
        <v>807.17</v>
      </c>
      <c r="G3003" s="10">
        <v>0</v>
      </c>
      <c r="H3003" s="7">
        <v>807.17</v>
      </c>
      <c r="I3003">
        <v>4</v>
      </c>
      <c r="J3003" t="s">
        <v>16</v>
      </c>
      <c r="K3003" s="13">
        <f>ROUND(tblTransactions[[#This Row],[gross_sales_inr]]*(1-tblTransactions[[#This Row],[discount_pct]]),2)</f>
        <v>807.17</v>
      </c>
      <c r="L3003" t="str">
        <f>IF(ABS(tblTransactions[[#This Row],[net_sales_inr]]-tblTransactions[[#This Row],[Recalc_Net_Sales]])&lt;0.02,"OK","CHECK")</f>
        <v>OK</v>
      </c>
      <c r="M3003" s="14">
        <f>DATE(YEAR(tblTransactions[[#This Row],[date]]),MONTH(tblTransactions[[#This Row],[date]]),1)</f>
        <v>45689</v>
      </c>
      <c r="N3003" t="str">
        <f>IF(WEEKDAY(tblTransactions[[#This Row],[date]],2)&gt;5,"Weekend","Weekday")</f>
        <v>Weekday</v>
      </c>
      <c r="O3003" s="13" t="str">
        <f>IF(tblTransactions[[#This Row],[discount_pct]]=0,"0%",IF(tblTransactions[[#This Row],[discount_pct]]&lt;=10%,"1–
10%",IF(tblTransactions[[#This Row],[discount_pct]]&lt;=20%,"11–20%","&gt;20%")))</f>
        <v>0%</v>
      </c>
      <c r="P3003" s="13" t="str">
        <f>_xlfn.XLOOKUP(tblTransactions[[#This Row],[tenant_id]],tblTenants[tenant_id],tblTenants[zone],"NOT FOUND")</f>
        <v>Food Court</v>
      </c>
      <c r="Q3003" s="13" t="str">
        <f>_xlfn.XLOOKUP(tblTransactions[[#This Row],[tenant_id]],tblTenants[tenant_id],tblTenants[category],"NOT FOUND")</f>
        <v>Casual Dining</v>
      </c>
    </row>
    <row r="3004" spans="1:17">
      <c r="A3004" t="s">
        <v>3048</v>
      </c>
      <c r="B3004" s="2">
        <v>45677</v>
      </c>
      <c r="C3004">
        <v>13</v>
      </c>
      <c r="D3004" t="s">
        <v>204</v>
      </c>
      <c r="E3004" t="s">
        <v>21</v>
      </c>
      <c r="F3004" s="7">
        <v>4298.41</v>
      </c>
      <c r="G3004" s="10">
        <v>0.1</v>
      </c>
      <c r="H3004" s="7">
        <v>3868.57</v>
      </c>
      <c r="I3004">
        <v>6</v>
      </c>
      <c r="J3004" t="s">
        <v>13</v>
      </c>
      <c r="K3004" s="13">
        <f>ROUND(tblTransactions[[#This Row],[gross_sales_inr]]*(1-tblTransactions[[#This Row],[discount_pct]]),2)</f>
        <v>3868.57</v>
      </c>
      <c r="L3004" t="str">
        <f>IF(ABS(tblTransactions[[#This Row],[net_sales_inr]]-tblTransactions[[#This Row],[Recalc_Net_Sales]])&lt;0.02,"OK","CHECK")</f>
        <v>OK</v>
      </c>
      <c r="M3004" s="14">
        <f>DATE(YEAR(tblTransactions[[#This Row],[date]]),MONTH(tblTransactions[[#This Row],[date]]),1)</f>
        <v>45658</v>
      </c>
      <c r="N3004" t="str">
        <f>IF(WEEKDAY(tblTransactions[[#This Row],[date]],2)&gt;5,"Weekend","Weekday")</f>
        <v>Weekday</v>
      </c>
      <c r="O300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04" s="13" t="str">
        <f>_xlfn.XLOOKUP(tblTransactions[[#This Row],[tenant_id]],tblTenants[tenant_id],tblTenants[zone],"NOT FOUND")</f>
        <v>Home &amp; Living</v>
      </c>
      <c r="Q3004" s="13" t="str">
        <f>_xlfn.XLOOKUP(tblTransactions[[#This Row],[tenant_id]],tblTenants[tenant_id],tblTenants[category],"NOT FOUND")</f>
        <v>Home Decor</v>
      </c>
    </row>
    <row r="3005" spans="1:17">
      <c r="A3005" t="s">
        <v>3049</v>
      </c>
      <c r="B3005" s="2">
        <v>45794</v>
      </c>
      <c r="C3005">
        <v>21</v>
      </c>
      <c r="D3005" t="s">
        <v>41</v>
      </c>
      <c r="E3005" t="s">
        <v>32</v>
      </c>
      <c r="F3005" s="7">
        <v>965.06</v>
      </c>
      <c r="G3005" s="10">
        <v>0.1</v>
      </c>
      <c r="H3005" s="7">
        <v>868.55</v>
      </c>
      <c r="I3005">
        <v>3</v>
      </c>
      <c r="J3005" t="s">
        <v>13</v>
      </c>
      <c r="K3005" s="13">
        <f>ROUND(tblTransactions[[#This Row],[gross_sales_inr]]*(1-tblTransactions[[#This Row],[discount_pct]]),2)</f>
        <v>868.55</v>
      </c>
      <c r="L3005" t="str">
        <f>IF(ABS(tblTransactions[[#This Row],[net_sales_inr]]-tblTransactions[[#This Row],[Recalc_Net_Sales]])&lt;0.02,"OK","CHECK")</f>
        <v>OK</v>
      </c>
      <c r="M3005" s="14">
        <f>DATE(YEAR(tblTransactions[[#This Row],[date]]),MONTH(tblTransactions[[#This Row],[date]]),1)</f>
        <v>45778</v>
      </c>
      <c r="N3005" t="str">
        <f>IF(WEEKDAY(tblTransactions[[#This Row],[date]],2)&gt;5,"Weekend","Weekday")</f>
        <v>Weekend</v>
      </c>
      <c r="O300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05" s="13" t="str">
        <f>_xlfn.XLOOKUP(tblTransactions[[#This Row],[tenant_id]],tblTenants[tenant_id],tblTenants[zone],"NOT FOUND")</f>
        <v>Fashion Avenue</v>
      </c>
      <c r="Q3005" s="13" t="str">
        <f>_xlfn.XLOOKUP(tblTransactions[[#This Row],[tenant_id]],tblTenants[tenant_id],tblTenants[category],"NOT FOUND")</f>
        <v>Clothing</v>
      </c>
    </row>
    <row r="3006" spans="1:17">
      <c r="A3006" t="s">
        <v>3050</v>
      </c>
      <c r="B3006" s="2">
        <v>45683</v>
      </c>
      <c r="C3006">
        <v>20</v>
      </c>
      <c r="D3006" t="s">
        <v>36</v>
      </c>
      <c r="E3006" t="s">
        <v>12</v>
      </c>
      <c r="F3006" s="7">
        <v>981.58</v>
      </c>
      <c r="G3006" s="10">
        <v>0.2</v>
      </c>
      <c r="H3006" s="7">
        <v>785.26</v>
      </c>
      <c r="I3006">
        <v>6</v>
      </c>
      <c r="J3006" t="s">
        <v>13</v>
      </c>
      <c r="K3006" s="13">
        <f>ROUND(tblTransactions[[#This Row],[gross_sales_inr]]*(1-tblTransactions[[#This Row],[discount_pct]]),2)</f>
        <v>785.26</v>
      </c>
      <c r="L3006" t="str">
        <f>IF(ABS(tblTransactions[[#This Row],[net_sales_inr]]-tblTransactions[[#This Row],[Recalc_Net_Sales]])&lt;0.02,"OK","CHECK")</f>
        <v>OK</v>
      </c>
      <c r="M3006" s="14">
        <f>DATE(YEAR(tblTransactions[[#This Row],[date]]),MONTH(tblTransactions[[#This Row],[date]]),1)</f>
        <v>45658</v>
      </c>
      <c r="N3006" t="str">
        <f>IF(WEEKDAY(tblTransactions[[#This Row],[date]],2)&gt;5,"Weekend","Weekday")</f>
        <v>Weekend</v>
      </c>
      <c r="O300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06" s="13" t="str">
        <f>_xlfn.XLOOKUP(tblTransactions[[#This Row],[tenant_id]],tblTenants[tenant_id],tblTenants[zone],"NOT FOUND")</f>
        <v>Home &amp; Living</v>
      </c>
      <c r="Q3006" s="13" t="str">
        <f>_xlfn.XLOOKUP(tblTransactions[[#This Row],[tenant_id]],tblTenants[tenant_id],tblTenants[category],"NOT FOUND")</f>
        <v>Electronics</v>
      </c>
    </row>
    <row r="3007" spans="1:17">
      <c r="A3007" t="s">
        <v>3051</v>
      </c>
      <c r="B3007" s="2">
        <v>45828</v>
      </c>
      <c r="C3007">
        <v>18</v>
      </c>
      <c r="D3007" t="s">
        <v>45</v>
      </c>
      <c r="E3007" t="s">
        <v>32</v>
      </c>
      <c r="F3007" s="7">
        <v>468.59</v>
      </c>
      <c r="G3007" s="10">
        <v>0.15</v>
      </c>
      <c r="H3007" s="7">
        <v>398.3</v>
      </c>
      <c r="I3007">
        <v>2</v>
      </c>
      <c r="J3007" t="s">
        <v>13</v>
      </c>
      <c r="K3007" s="13">
        <f>ROUND(tblTransactions[[#This Row],[gross_sales_inr]]*(1-tblTransactions[[#This Row],[discount_pct]]),2)</f>
        <v>398.3</v>
      </c>
      <c r="L3007" t="str">
        <f>IF(ABS(tblTransactions[[#This Row],[net_sales_inr]]-tblTransactions[[#This Row],[Recalc_Net_Sales]])&lt;0.02,"OK","CHECK")</f>
        <v>OK</v>
      </c>
      <c r="M3007" s="14">
        <f>DATE(YEAR(tblTransactions[[#This Row],[date]]),MONTH(tblTransactions[[#This Row],[date]]),1)</f>
        <v>45809</v>
      </c>
      <c r="N3007" t="str">
        <f>IF(WEEKDAY(tblTransactions[[#This Row],[date]],2)&gt;5,"Weekend","Weekday")</f>
        <v>Weekday</v>
      </c>
      <c r="O300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07" s="13" t="str">
        <f>_xlfn.XLOOKUP(tblTransactions[[#This Row],[tenant_id]],tblTenants[tenant_id],tblTenants[zone],"NOT FOUND")</f>
        <v>Home &amp; Living</v>
      </c>
      <c r="Q3007" s="13" t="str">
        <f>_xlfn.XLOOKUP(tblTransactions[[#This Row],[tenant_id]],tblTenants[tenant_id],tblTenants[category],"NOT FOUND")</f>
        <v>Home Decor</v>
      </c>
    </row>
    <row r="3008" spans="1:17">
      <c r="A3008" t="s">
        <v>3052</v>
      </c>
      <c r="B3008" s="2">
        <v>45809</v>
      </c>
      <c r="C3008">
        <v>22</v>
      </c>
      <c r="D3008" t="s">
        <v>31</v>
      </c>
      <c r="E3008" t="s">
        <v>12</v>
      </c>
      <c r="F3008" s="7">
        <v>1036.56</v>
      </c>
      <c r="G3008" s="10">
        <v>0</v>
      </c>
      <c r="H3008" s="7">
        <v>1036.56</v>
      </c>
      <c r="I3008">
        <v>2</v>
      </c>
      <c r="J3008" t="s">
        <v>16</v>
      </c>
      <c r="K3008" s="13">
        <f>ROUND(tblTransactions[[#This Row],[gross_sales_inr]]*(1-tblTransactions[[#This Row],[discount_pct]]),2)</f>
        <v>1036.56</v>
      </c>
      <c r="L3008" t="str">
        <f>IF(ABS(tblTransactions[[#This Row],[net_sales_inr]]-tblTransactions[[#This Row],[Recalc_Net_Sales]])&lt;0.02,"OK","CHECK")</f>
        <v>OK</v>
      </c>
      <c r="M3008" s="14">
        <f>DATE(YEAR(tblTransactions[[#This Row],[date]]),MONTH(tblTransactions[[#This Row],[date]]),1)</f>
        <v>45809</v>
      </c>
      <c r="N3008" t="str">
        <f>IF(WEEKDAY(tblTransactions[[#This Row],[date]],2)&gt;5,"Weekend","Weekday")</f>
        <v>Weekend</v>
      </c>
      <c r="O3008" s="13" t="str">
        <f>IF(tblTransactions[[#This Row],[discount_pct]]=0,"0%",IF(tblTransactions[[#This Row],[discount_pct]]&lt;=10%,"1–
10%",IF(tblTransactions[[#This Row],[discount_pct]]&lt;=20%,"11–20%","&gt;20%")))</f>
        <v>0%</v>
      </c>
      <c r="P3008" s="13" t="str">
        <f>_xlfn.XLOOKUP(tblTransactions[[#This Row],[tenant_id]],tblTenants[tenant_id],tblTenants[zone],"NOT FOUND")</f>
        <v>Entertainment</v>
      </c>
      <c r="Q3008" s="13" t="str">
        <f>_xlfn.XLOOKUP(tblTransactions[[#This Row],[tenant_id]],tblTenants[tenant_id],tblTenants[category],"NOT FOUND")</f>
        <v>Arcade</v>
      </c>
    </row>
    <row r="3009" spans="1:17">
      <c r="A3009" t="s">
        <v>3053</v>
      </c>
      <c r="B3009" s="2">
        <v>45740</v>
      </c>
      <c r="C3009">
        <v>10</v>
      </c>
      <c r="D3009" t="s">
        <v>36</v>
      </c>
      <c r="E3009" t="s">
        <v>12</v>
      </c>
      <c r="F3009" s="7">
        <v>713.86</v>
      </c>
      <c r="G3009" s="10">
        <v>0.1</v>
      </c>
      <c r="H3009" s="7">
        <v>642.47</v>
      </c>
      <c r="I3009">
        <v>1</v>
      </c>
      <c r="J3009" t="s">
        <v>16</v>
      </c>
      <c r="K3009" s="13">
        <f>ROUND(tblTransactions[[#This Row],[gross_sales_inr]]*(1-tblTransactions[[#This Row],[discount_pct]]),2)</f>
        <v>642.47</v>
      </c>
      <c r="L3009" t="str">
        <f>IF(ABS(tblTransactions[[#This Row],[net_sales_inr]]-tblTransactions[[#This Row],[Recalc_Net_Sales]])&lt;0.02,"OK","CHECK")</f>
        <v>OK</v>
      </c>
      <c r="M3009" s="14">
        <f>DATE(YEAR(tblTransactions[[#This Row],[date]]),MONTH(tblTransactions[[#This Row],[date]]),1)</f>
        <v>45717</v>
      </c>
      <c r="N3009" t="str">
        <f>IF(WEEKDAY(tblTransactions[[#This Row],[date]],2)&gt;5,"Weekend","Weekday")</f>
        <v>Weekday</v>
      </c>
      <c r="O300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09" s="13" t="str">
        <f>_xlfn.XLOOKUP(tblTransactions[[#This Row],[tenant_id]],tblTenants[tenant_id],tblTenants[zone],"NOT FOUND")</f>
        <v>Home &amp; Living</v>
      </c>
      <c r="Q3009" s="13" t="str">
        <f>_xlfn.XLOOKUP(tblTransactions[[#This Row],[tenant_id]],tblTenants[tenant_id],tblTenants[category],"NOT FOUND")</f>
        <v>Electronics</v>
      </c>
    </row>
    <row r="3010" spans="1:17">
      <c r="A3010" t="s">
        <v>3054</v>
      </c>
      <c r="B3010" s="2">
        <v>45667</v>
      </c>
      <c r="C3010">
        <v>17</v>
      </c>
      <c r="D3010" t="s">
        <v>98</v>
      </c>
      <c r="E3010" t="s">
        <v>12</v>
      </c>
      <c r="F3010" s="7">
        <v>584.55999999999995</v>
      </c>
      <c r="G3010" s="10">
        <v>0.2</v>
      </c>
      <c r="H3010" s="7">
        <v>467.65</v>
      </c>
      <c r="I3010">
        <v>2</v>
      </c>
      <c r="J3010" t="s">
        <v>16</v>
      </c>
      <c r="K3010" s="13">
        <f>ROUND(tblTransactions[[#This Row],[gross_sales_inr]]*(1-tblTransactions[[#This Row],[discount_pct]]),2)</f>
        <v>467.65</v>
      </c>
      <c r="L3010" t="str">
        <f>IF(ABS(tblTransactions[[#This Row],[net_sales_inr]]-tblTransactions[[#This Row],[Recalc_Net_Sales]])&lt;0.02,"OK","CHECK")</f>
        <v>OK</v>
      </c>
      <c r="M3010" s="14">
        <f>DATE(YEAR(tblTransactions[[#This Row],[date]]),MONTH(tblTransactions[[#This Row],[date]]),1)</f>
        <v>45658</v>
      </c>
      <c r="N3010" t="str">
        <f>IF(WEEKDAY(tblTransactions[[#This Row],[date]],2)&gt;5,"Weekend","Weekday")</f>
        <v>Weekday</v>
      </c>
      <c r="O301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10" s="13" t="str">
        <f>_xlfn.XLOOKUP(tblTransactions[[#This Row],[tenant_id]],tblTenants[tenant_id],tblTenants[zone],"NOT FOUND")</f>
        <v>Fashion Avenue</v>
      </c>
      <c r="Q3010" s="13" t="str">
        <f>_xlfn.XLOOKUP(tblTransactions[[#This Row],[tenant_id]],tblTenants[tenant_id],tblTenants[category],"NOT FOUND")</f>
        <v>Accessories</v>
      </c>
    </row>
    <row r="3011" spans="1:17">
      <c r="A3011" t="s">
        <v>3055</v>
      </c>
      <c r="B3011" s="2">
        <v>45760</v>
      </c>
      <c r="C3011">
        <v>19</v>
      </c>
      <c r="D3011" t="s">
        <v>53</v>
      </c>
      <c r="E3011" t="s">
        <v>12</v>
      </c>
      <c r="F3011" s="7">
        <v>1423.18</v>
      </c>
      <c r="G3011" s="10">
        <v>0</v>
      </c>
      <c r="H3011" s="7">
        <v>1423.18</v>
      </c>
      <c r="I3011">
        <v>3</v>
      </c>
      <c r="J3011" t="s">
        <v>16</v>
      </c>
      <c r="K3011" s="13">
        <f>ROUND(tblTransactions[[#This Row],[gross_sales_inr]]*(1-tblTransactions[[#This Row],[discount_pct]]),2)</f>
        <v>1423.18</v>
      </c>
      <c r="L3011" t="str">
        <f>IF(ABS(tblTransactions[[#This Row],[net_sales_inr]]-tblTransactions[[#This Row],[Recalc_Net_Sales]])&lt;0.02,"OK","CHECK")</f>
        <v>OK</v>
      </c>
      <c r="M3011" s="14">
        <f>DATE(YEAR(tblTransactions[[#This Row],[date]]),MONTH(tblTransactions[[#This Row],[date]]),1)</f>
        <v>45748</v>
      </c>
      <c r="N3011" t="str">
        <f>IF(WEEKDAY(tblTransactions[[#This Row],[date]],2)&gt;5,"Weekend","Weekday")</f>
        <v>Weekend</v>
      </c>
      <c r="O3011" s="13" t="str">
        <f>IF(tblTransactions[[#This Row],[discount_pct]]=0,"0%",IF(tblTransactions[[#This Row],[discount_pct]]&lt;=10%,"1–
10%",IF(tblTransactions[[#This Row],[discount_pct]]&lt;=20%,"11–20%","&gt;20%")))</f>
        <v>0%</v>
      </c>
      <c r="P3011" s="13" t="str">
        <f>_xlfn.XLOOKUP(tblTransactions[[#This Row],[tenant_id]],tblTenants[tenant_id],tblTenants[zone],"NOT FOUND")</f>
        <v>Beauty &amp; Wellness</v>
      </c>
      <c r="Q3011" s="13" t="str">
        <f>_xlfn.XLOOKUP(tblTransactions[[#This Row],[tenant_id]],tblTenants[tenant_id],tblTenants[category],"NOT FOUND")</f>
        <v>Beauty</v>
      </c>
    </row>
    <row r="3012" spans="1:17">
      <c r="A3012" t="s">
        <v>3056</v>
      </c>
      <c r="B3012" s="2">
        <v>45676</v>
      </c>
      <c r="C3012">
        <v>17</v>
      </c>
      <c r="D3012" t="s">
        <v>204</v>
      </c>
      <c r="E3012" t="s">
        <v>21</v>
      </c>
      <c r="F3012" s="7">
        <v>1919.18</v>
      </c>
      <c r="G3012" s="10">
        <v>0.1</v>
      </c>
      <c r="H3012" s="7">
        <v>1727.26</v>
      </c>
      <c r="I3012">
        <v>1</v>
      </c>
      <c r="J3012" t="s">
        <v>16</v>
      </c>
      <c r="K3012" s="13">
        <f>ROUND(tblTransactions[[#This Row],[gross_sales_inr]]*(1-tblTransactions[[#This Row],[discount_pct]]),2)</f>
        <v>1727.26</v>
      </c>
      <c r="L3012" t="str">
        <f>IF(ABS(tblTransactions[[#This Row],[net_sales_inr]]-tblTransactions[[#This Row],[Recalc_Net_Sales]])&lt;0.02,"OK","CHECK")</f>
        <v>OK</v>
      </c>
      <c r="M3012" s="14">
        <f>DATE(YEAR(tblTransactions[[#This Row],[date]]),MONTH(tblTransactions[[#This Row],[date]]),1)</f>
        <v>45658</v>
      </c>
      <c r="N3012" t="str">
        <f>IF(WEEKDAY(tblTransactions[[#This Row],[date]],2)&gt;5,"Weekend","Weekday")</f>
        <v>Weekend</v>
      </c>
      <c r="O301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12" s="13" t="str">
        <f>_xlfn.XLOOKUP(tblTransactions[[#This Row],[tenant_id]],tblTenants[tenant_id],tblTenants[zone],"NOT FOUND")</f>
        <v>Home &amp; Living</v>
      </c>
      <c r="Q3012" s="13" t="str">
        <f>_xlfn.XLOOKUP(tblTransactions[[#This Row],[tenant_id]],tblTenants[tenant_id],tblTenants[category],"NOT FOUND")</f>
        <v>Home Decor</v>
      </c>
    </row>
    <row r="3013" spans="1:17">
      <c r="A3013" t="s">
        <v>3057</v>
      </c>
      <c r="B3013" s="2">
        <v>45697</v>
      </c>
      <c r="C3013">
        <v>19</v>
      </c>
      <c r="D3013" t="s">
        <v>43</v>
      </c>
      <c r="E3013" t="s">
        <v>32</v>
      </c>
      <c r="F3013" s="7">
        <v>708.57</v>
      </c>
      <c r="G3013" s="10">
        <v>0.1</v>
      </c>
      <c r="H3013" s="7">
        <v>637.71</v>
      </c>
      <c r="I3013">
        <v>3</v>
      </c>
      <c r="J3013" t="s">
        <v>13</v>
      </c>
      <c r="K3013" s="13">
        <f>ROUND(tblTransactions[[#This Row],[gross_sales_inr]]*(1-tblTransactions[[#This Row],[discount_pct]]),2)</f>
        <v>637.71</v>
      </c>
      <c r="L3013" t="str">
        <f>IF(ABS(tblTransactions[[#This Row],[net_sales_inr]]-tblTransactions[[#This Row],[Recalc_Net_Sales]])&lt;0.02,"OK","CHECK")</f>
        <v>OK</v>
      </c>
      <c r="M3013" s="14">
        <f>DATE(YEAR(tblTransactions[[#This Row],[date]]),MONTH(tblTransactions[[#This Row],[date]]),1)</f>
        <v>45689</v>
      </c>
      <c r="N3013" t="str">
        <f>IF(WEEKDAY(tblTransactions[[#This Row],[date]],2)&gt;5,"Weekend","Weekday")</f>
        <v>Weekend</v>
      </c>
      <c r="O301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13" s="13" t="str">
        <f>_xlfn.XLOOKUP(tblTransactions[[#This Row],[tenant_id]],tblTenants[tenant_id],tblTenants[zone],"NOT FOUND")</f>
        <v>Food Court</v>
      </c>
      <c r="Q3013" s="13" t="str">
        <f>_xlfn.XLOOKUP(tblTransactions[[#This Row],[tenant_id]],tblTenants[tenant_id],tblTenants[category],"NOT FOUND")</f>
        <v>Casual Dining</v>
      </c>
    </row>
    <row r="3014" spans="1:17">
      <c r="A3014" t="s">
        <v>3058</v>
      </c>
      <c r="B3014" s="2">
        <v>45810</v>
      </c>
      <c r="C3014">
        <v>18</v>
      </c>
      <c r="D3014" t="s">
        <v>29</v>
      </c>
      <c r="E3014" t="s">
        <v>32</v>
      </c>
      <c r="F3014" s="7">
        <v>896.71</v>
      </c>
      <c r="G3014" s="10">
        <v>0.15</v>
      </c>
      <c r="H3014" s="7">
        <v>762.2</v>
      </c>
      <c r="I3014">
        <v>1</v>
      </c>
      <c r="J3014" t="s">
        <v>13</v>
      </c>
      <c r="K3014" s="13">
        <f>ROUND(tblTransactions[[#This Row],[gross_sales_inr]]*(1-tblTransactions[[#This Row],[discount_pct]]),2)</f>
        <v>762.2</v>
      </c>
      <c r="L3014" t="str">
        <f>IF(ABS(tblTransactions[[#This Row],[net_sales_inr]]-tblTransactions[[#This Row],[Recalc_Net_Sales]])&lt;0.02,"OK","CHECK")</f>
        <v>OK</v>
      </c>
      <c r="M3014" s="14">
        <f>DATE(YEAR(tblTransactions[[#This Row],[date]]),MONTH(tblTransactions[[#This Row],[date]]),1)</f>
        <v>45809</v>
      </c>
      <c r="N3014" t="str">
        <f>IF(WEEKDAY(tblTransactions[[#This Row],[date]],2)&gt;5,"Weekend","Weekday")</f>
        <v>Weekday</v>
      </c>
      <c r="O301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14" s="13" t="str">
        <f>_xlfn.XLOOKUP(tblTransactions[[#This Row],[tenant_id]],tblTenants[tenant_id],tblTenants[zone],"NOT FOUND")</f>
        <v>Entertainment</v>
      </c>
      <c r="Q3014" s="13" t="str">
        <f>_xlfn.XLOOKUP(tblTransactions[[#This Row],[tenant_id]],tblTenants[tenant_id],tblTenants[category],"NOT FOUND")</f>
        <v>Cinema</v>
      </c>
    </row>
    <row r="3015" spans="1:17">
      <c r="A3015" t="s">
        <v>3059</v>
      </c>
      <c r="B3015" s="2">
        <v>45704</v>
      </c>
      <c r="C3015">
        <v>19</v>
      </c>
      <c r="D3015" t="s">
        <v>31</v>
      </c>
      <c r="E3015" t="s">
        <v>12</v>
      </c>
      <c r="F3015" s="7">
        <v>1120.27</v>
      </c>
      <c r="G3015" s="10">
        <v>0</v>
      </c>
      <c r="H3015" s="7">
        <v>1120.27</v>
      </c>
      <c r="I3015">
        <v>4</v>
      </c>
      <c r="J3015" t="s">
        <v>13</v>
      </c>
      <c r="K3015" s="13">
        <f>ROUND(tblTransactions[[#This Row],[gross_sales_inr]]*(1-tblTransactions[[#This Row],[discount_pct]]),2)</f>
        <v>1120.27</v>
      </c>
      <c r="L3015" t="str">
        <f>IF(ABS(tblTransactions[[#This Row],[net_sales_inr]]-tblTransactions[[#This Row],[Recalc_Net_Sales]])&lt;0.02,"OK","CHECK")</f>
        <v>OK</v>
      </c>
      <c r="M3015" s="14">
        <f>DATE(YEAR(tblTransactions[[#This Row],[date]]),MONTH(tblTransactions[[#This Row],[date]]),1)</f>
        <v>45689</v>
      </c>
      <c r="N3015" t="str">
        <f>IF(WEEKDAY(tblTransactions[[#This Row],[date]],2)&gt;5,"Weekend","Weekday")</f>
        <v>Weekend</v>
      </c>
      <c r="O3015" s="13" t="str">
        <f>IF(tblTransactions[[#This Row],[discount_pct]]=0,"0%",IF(tblTransactions[[#This Row],[discount_pct]]&lt;=10%,"1–
10%",IF(tblTransactions[[#This Row],[discount_pct]]&lt;=20%,"11–20%","&gt;20%")))</f>
        <v>0%</v>
      </c>
      <c r="P3015" s="13" t="str">
        <f>_xlfn.XLOOKUP(tblTransactions[[#This Row],[tenant_id]],tblTenants[tenant_id],tblTenants[zone],"NOT FOUND")</f>
        <v>Entertainment</v>
      </c>
      <c r="Q3015" s="13" t="str">
        <f>_xlfn.XLOOKUP(tblTransactions[[#This Row],[tenant_id]],tblTenants[tenant_id],tblTenants[category],"NOT FOUND")</f>
        <v>Arcade</v>
      </c>
    </row>
    <row r="3016" spans="1:17">
      <c r="A3016" t="s">
        <v>3060</v>
      </c>
      <c r="B3016" s="2">
        <v>45727</v>
      </c>
      <c r="C3016">
        <v>15</v>
      </c>
      <c r="D3016" t="s">
        <v>122</v>
      </c>
      <c r="E3016" t="s">
        <v>12</v>
      </c>
      <c r="F3016" s="7">
        <v>2485.1999999999998</v>
      </c>
      <c r="G3016" s="10">
        <v>0</v>
      </c>
      <c r="H3016" s="7">
        <v>2485.1999999999998</v>
      </c>
      <c r="I3016">
        <v>4</v>
      </c>
      <c r="J3016" t="s">
        <v>13</v>
      </c>
      <c r="K3016" s="13">
        <f>ROUND(tblTransactions[[#This Row],[gross_sales_inr]]*(1-tblTransactions[[#This Row],[discount_pct]]),2)</f>
        <v>2485.1999999999998</v>
      </c>
      <c r="L3016" t="str">
        <f>IF(ABS(tblTransactions[[#This Row],[net_sales_inr]]-tblTransactions[[#This Row],[Recalc_Net_Sales]])&lt;0.02,"OK","CHECK")</f>
        <v>OK</v>
      </c>
      <c r="M3016" s="14">
        <f>DATE(YEAR(tblTransactions[[#This Row],[date]]),MONTH(tblTransactions[[#This Row],[date]]),1)</f>
        <v>45717</v>
      </c>
      <c r="N3016" t="str">
        <f>IF(WEEKDAY(tblTransactions[[#This Row],[date]],2)&gt;5,"Weekend","Weekday")</f>
        <v>Weekday</v>
      </c>
      <c r="O3016" s="13" t="str">
        <f>IF(tblTransactions[[#This Row],[discount_pct]]=0,"0%",IF(tblTransactions[[#This Row],[discount_pct]]&lt;=10%,"1–
10%",IF(tblTransactions[[#This Row],[discount_pct]]&lt;=20%,"11–20%","&gt;20%")))</f>
        <v>0%</v>
      </c>
      <c r="P3016" s="13" t="str">
        <f>_xlfn.XLOOKUP(tblTransactions[[#This Row],[tenant_id]],tblTenants[tenant_id],tblTenants[zone],"NOT FOUND")</f>
        <v>Beauty &amp; Wellness</v>
      </c>
      <c r="Q3016" s="13" t="str">
        <f>_xlfn.XLOOKUP(tblTransactions[[#This Row],[tenant_id]],tblTenants[tenant_id],tblTenants[category],"NOT FOUND")</f>
        <v>Wellness</v>
      </c>
    </row>
    <row r="3017" spans="1:17">
      <c r="A3017" t="s">
        <v>3061</v>
      </c>
      <c r="B3017" s="2">
        <v>45746</v>
      </c>
      <c r="C3017">
        <v>15</v>
      </c>
      <c r="D3017" t="s">
        <v>59</v>
      </c>
      <c r="E3017" t="s">
        <v>32</v>
      </c>
      <c r="F3017" s="7">
        <v>893.43</v>
      </c>
      <c r="G3017" s="10">
        <v>0</v>
      </c>
      <c r="H3017" s="7">
        <v>893.43</v>
      </c>
      <c r="I3017">
        <v>2</v>
      </c>
      <c r="J3017" t="s">
        <v>16</v>
      </c>
      <c r="K3017" s="13">
        <f>ROUND(tblTransactions[[#This Row],[gross_sales_inr]]*(1-tblTransactions[[#This Row],[discount_pct]]),2)</f>
        <v>893.43</v>
      </c>
      <c r="L3017" t="str">
        <f>IF(ABS(tblTransactions[[#This Row],[net_sales_inr]]-tblTransactions[[#This Row],[Recalc_Net_Sales]])&lt;0.02,"OK","CHECK")</f>
        <v>OK</v>
      </c>
      <c r="M3017" s="14">
        <f>DATE(YEAR(tblTransactions[[#This Row],[date]]),MONTH(tblTransactions[[#This Row],[date]]),1)</f>
        <v>45717</v>
      </c>
      <c r="N3017" t="str">
        <f>IF(WEEKDAY(tblTransactions[[#This Row],[date]],2)&gt;5,"Weekend","Weekday")</f>
        <v>Weekend</v>
      </c>
      <c r="O3017" s="13" t="str">
        <f>IF(tblTransactions[[#This Row],[discount_pct]]=0,"0%",IF(tblTransactions[[#This Row],[discount_pct]]&lt;=10%,"1–
10%",IF(tblTransactions[[#This Row],[discount_pct]]&lt;=20%,"11–20%","&gt;20%")))</f>
        <v>0%</v>
      </c>
      <c r="P3017" s="13" t="str">
        <f>_xlfn.XLOOKUP(tblTransactions[[#This Row],[tenant_id]],tblTenants[tenant_id],tblTenants[zone],"NOT FOUND")</f>
        <v>Fashion Avenue</v>
      </c>
      <c r="Q3017" s="13" t="str">
        <f>_xlfn.XLOOKUP(tblTransactions[[#This Row],[tenant_id]],tblTenants[tenant_id],tblTenants[category],"NOT FOUND")</f>
        <v>Footwear</v>
      </c>
    </row>
    <row r="3018" spans="1:17">
      <c r="A3018" t="s">
        <v>3062</v>
      </c>
      <c r="B3018" s="2">
        <v>45721</v>
      </c>
      <c r="C3018">
        <v>10</v>
      </c>
      <c r="D3018" t="s">
        <v>25</v>
      </c>
      <c r="E3018" t="s">
        <v>12</v>
      </c>
      <c r="F3018" s="7">
        <v>802.84</v>
      </c>
      <c r="G3018" s="10">
        <v>0.1</v>
      </c>
      <c r="H3018" s="7">
        <v>722.56</v>
      </c>
      <c r="I3018">
        <v>2</v>
      </c>
      <c r="J3018" t="s">
        <v>13</v>
      </c>
      <c r="K3018" s="13">
        <f>ROUND(tblTransactions[[#This Row],[gross_sales_inr]]*(1-tblTransactions[[#This Row],[discount_pct]]),2)</f>
        <v>722.56</v>
      </c>
      <c r="L3018" t="str">
        <f>IF(ABS(tblTransactions[[#This Row],[net_sales_inr]]-tblTransactions[[#This Row],[Recalc_Net_Sales]])&lt;0.02,"OK","CHECK")</f>
        <v>OK</v>
      </c>
      <c r="M3018" s="14">
        <f>DATE(YEAR(tblTransactions[[#This Row],[date]]),MONTH(tblTransactions[[#This Row],[date]]),1)</f>
        <v>45717</v>
      </c>
      <c r="N3018" t="str">
        <f>IF(WEEKDAY(tblTransactions[[#This Row],[date]],2)&gt;5,"Weekend","Weekday")</f>
        <v>Weekday</v>
      </c>
      <c r="O301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18" s="13" t="str">
        <f>_xlfn.XLOOKUP(tblTransactions[[#This Row],[tenant_id]],tblTenants[tenant_id],tblTenants[zone],"NOT FOUND")</f>
        <v>Beauty &amp; Wellness</v>
      </c>
      <c r="Q3018" s="13" t="str">
        <f>_xlfn.XLOOKUP(tblTransactions[[#This Row],[tenant_id]],tblTenants[tenant_id],tblTenants[category],"NOT FOUND")</f>
        <v>Beauty</v>
      </c>
    </row>
    <row r="3019" spans="1:17">
      <c r="A3019" t="s">
        <v>3063</v>
      </c>
      <c r="B3019" s="2">
        <v>45817</v>
      </c>
      <c r="C3019">
        <v>14</v>
      </c>
      <c r="D3019" t="s">
        <v>36</v>
      </c>
      <c r="E3019" t="s">
        <v>32</v>
      </c>
      <c r="F3019" s="7">
        <v>1272.19</v>
      </c>
      <c r="G3019" s="10">
        <v>0.15</v>
      </c>
      <c r="H3019" s="7">
        <v>1081.3599999999999</v>
      </c>
      <c r="I3019">
        <v>5</v>
      </c>
      <c r="J3019" t="s">
        <v>13</v>
      </c>
      <c r="K3019" s="13">
        <f>ROUND(tblTransactions[[#This Row],[gross_sales_inr]]*(1-tblTransactions[[#This Row],[discount_pct]]),2)</f>
        <v>1081.3599999999999</v>
      </c>
      <c r="L3019" t="str">
        <f>IF(ABS(tblTransactions[[#This Row],[net_sales_inr]]-tblTransactions[[#This Row],[Recalc_Net_Sales]])&lt;0.02,"OK","CHECK")</f>
        <v>OK</v>
      </c>
      <c r="M3019" s="14">
        <f>DATE(YEAR(tblTransactions[[#This Row],[date]]),MONTH(tblTransactions[[#This Row],[date]]),1)</f>
        <v>45809</v>
      </c>
      <c r="N3019" t="str">
        <f>IF(WEEKDAY(tblTransactions[[#This Row],[date]],2)&gt;5,"Weekend","Weekday")</f>
        <v>Weekday</v>
      </c>
      <c r="O301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19" s="13" t="str">
        <f>_xlfn.XLOOKUP(tblTransactions[[#This Row],[tenant_id]],tblTenants[tenant_id],tblTenants[zone],"NOT FOUND")</f>
        <v>Home &amp; Living</v>
      </c>
      <c r="Q3019" s="13" t="str">
        <f>_xlfn.XLOOKUP(tblTransactions[[#This Row],[tenant_id]],tblTenants[tenant_id],tblTenants[category],"NOT FOUND")</f>
        <v>Electronics</v>
      </c>
    </row>
    <row r="3020" spans="1:17">
      <c r="A3020" t="s">
        <v>3064</v>
      </c>
      <c r="B3020" s="2">
        <v>45822</v>
      </c>
      <c r="C3020">
        <v>13</v>
      </c>
      <c r="D3020" t="s">
        <v>122</v>
      </c>
      <c r="E3020" t="s">
        <v>12</v>
      </c>
      <c r="F3020" s="7">
        <v>1745.98</v>
      </c>
      <c r="G3020" s="10">
        <v>0</v>
      </c>
      <c r="H3020" s="7">
        <v>1745.98</v>
      </c>
      <c r="I3020">
        <v>2</v>
      </c>
      <c r="J3020" t="s">
        <v>16</v>
      </c>
      <c r="K3020" s="13">
        <f>ROUND(tblTransactions[[#This Row],[gross_sales_inr]]*(1-tblTransactions[[#This Row],[discount_pct]]),2)</f>
        <v>1745.98</v>
      </c>
      <c r="L3020" t="str">
        <f>IF(ABS(tblTransactions[[#This Row],[net_sales_inr]]-tblTransactions[[#This Row],[Recalc_Net_Sales]])&lt;0.02,"OK","CHECK")</f>
        <v>OK</v>
      </c>
      <c r="M3020" s="14">
        <f>DATE(YEAR(tblTransactions[[#This Row],[date]]),MONTH(tblTransactions[[#This Row],[date]]),1)</f>
        <v>45809</v>
      </c>
      <c r="N3020" t="str">
        <f>IF(WEEKDAY(tblTransactions[[#This Row],[date]],2)&gt;5,"Weekend","Weekday")</f>
        <v>Weekend</v>
      </c>
      <c r="O3020" s="13" t="str">
        <f>IF(tblTransactions[[#This Row],[discount_pct]]=0,"0%",IF(tblTransactions[[#This Row],[discount_pct]]&lt;=10%,"1–
10%",IF(tblTransactions[[#This Row],[discount_pct]]&lt;=20%,"11–20%","&gt;20%")))</f>
        <v>0%</v>
      </c>
      <c r="P3020" s="13" t="str">
        <f>_xlfn.XLOOKUP(tblTransactions[[#This Row],[tenant_id]],tblTenants[tenant_id],tblTenants[zone],"NOT FOUND")</f>
        <v>Beauty &amp; Wellness</v>
      </c>
      <c r="Q3020" s="13" t="str">
        <f>_xlfn.XLOOKUP(tblTransactions[[#This Row],[tenant_id]],tblTenants[tenant_id],tblTenants[category],"NOT FOUND")</f>
        <v>Wellness</v>
      </c>
    </row>
    <row r="3021" spans="1:17">
      <c r="A3021" t="s">
        <v>3065</v>
      </c>
      <c r="B3021" s="2">
        <v>45755</v>
      </c>
      <c r="C3021">
        <v>10</v>
      </c>
      <c r="D3021" t="s">
        <v>80</v>
      </c>
      <c r="E3021" t="s">
        <v>12</v>
      </c>
      <c r="F3021" s="7">
        <v>1584.54</v>
      </c>
      <c r="G3021" s="10">
        <v>0.1</v>
      </c>
      <c r="H3021" s="7">
        <v>1426.09</v>
      </c>
      <c r="I3021">
        <v>4</v>
      </c>
      <c r="J3021" t="s">
        <v>16</v>
      </c>
      <c r="K3021" s="13">
        <f>ROUND(tblTransactions[[#This Row],[gross_sales_inr]]*(1-tblTransactions[[#This Row],[discount_pct]]),2)</f>
        <v>1426.09</v>
      </c>
      <c r="L3021" t="str">
        <f>IF(ABS(tblTransactions[[#This Row],[net_sales_inr]]-tblTransactions[[#This Row],[Recalc_Net_Sales]])&lt;0.02,"OK","CHECK")</f>
        <v>OK</v>
      </c>
      <c r="M3021" s="14">
        <f>DATE(YEAR(tblTransactions[[#This Row],[date]]),MONTH(tblTransactions[[#This Row],[date]]),1)</f>
        <v>45748</v>
      </c>
      <c r="N3021" t="str">
        <f>IF(WEEKDAY(tblTransactions[[#This Row],[date]],2)&gt;5,"Weekend","Weekday")</f>
        <v>Weekday</v>
      </c>
      <c r="O302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21" s="13" t="str">
        <f>_xlfn.XLOOKUP(tblTransactions[[#This Row],[tenant_id]],tblTenants[tenant_id],tblTenants[zone],"NOT FOUND")</f>
        <v>Food Court</v>
      </c>
      <c r="Q3021" s="13" t="str">
        <f>_xlfn.XLOOKUP(tblTransactions[[#This Row],[tenant_id]],tblTenants[tenant_id],tblTenants[category],"NOT FOUND")</f>
        <v>Casual Dining</v>
      </c>
    </row>
    <row r="3022" spans="1:17">
      <c r="A3022" t="s">
        <v>3066</v>
      </c>
      <c r="B3022" s="2">
        <v>45663</v>
      </c>
      <c r="C3022">
        <v>19</v>
      </c>
      <c r="D3022" t="s">
        <v>23</v>
      </c>
      <c r="E3022" t="s">
        <v>12</v>
      </c>
      <c r="F3022" s="7">
        <v>335.9</v>
      </c>
      <c r="G3022" s="10">
        <v>0.2</v>
      </c>
      <c r="H3022" s="7">
        <v>268.72000000000003</v>
      </c>
      <c r="I3022">
        <v>4</v>
      </c>
      <c r="J3022" t="s">
        <v>13</v>
      </c>
      <c r="K3022" s="13">
        <f>ROUND(tblTransactions[[#This Row],[gross_sales_inr]]*(1-tblTransactions[[#This Row],[discount_pct]]),2)</f>
        <v>268.72000000000003</v>
      </c>
      <c r="L3022" t="str">
        <f>IF(ABS(tblTransactions[[#This Row],[net_sales_inr]]-tblTransactions[[#This Row],[Recalc_Net_Sales]])&lt;0.02,"OK","CHECK")</f>
        <v>OK</v>
      </c>
      <c r="M3022" s="14">
        <f>DATE(YEAR(tblTransactions[[#This Row],[date]]),MONTH(tblTransactions[[#This Row],[date]]),1)</f>
        <v>45658</v>
      </c>
      <c r="N3022" t="str">
        <f>IF(WEEKDAY(tblTransactions[[#This Row],[date]],2)&gt;5,"Weekend","Weekday")</f>
        <v>Weekday</v>
      </c>
      <c r="O302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22" s="13" t="str">
        <f>_xlfn.XLOOKUP(tblTransactions[[#This Row],[tenant_id]],tblTenants[tenant_id],tblTenants[zone],"NOT FOUND")</f>
        <v>Entertainment</v>
      </c>
      <c r="Q3022" s="13" t="str">
        <f>_xlfn.XLOOKUP(tblTransactions[[#This Row],[tenant_id]],tblTenants[tenant_id],tblTenants[category],"NOT FOUND")</f>
        <v>Cinema</v>
      </c>
    </row>
    <row r="3023" spans="1:17">
      <c r="A3023" t="s">
        <v>3067</v>
      </c>
      <c r="B3023" s="2">
        <v>45731</v>
      </c>
      <c r="C3023">
        <v>11</v>
      </c>
      <c r="D3023" t="s">
        <v>20</v>
      </c>
      <c r="E3023" t="s">
        <v>32</v>
      </c>
      <c r="F3023" s="7">
        <v>577.51</v>
      </c>
      <c r="G3023" s="10">
        <v>0</v>
      </c>
      <c r="H3023" s="7">
        <v>577.51</v>
      </c>
      <c r="I3023">
        <v>3</v>
      </c>
      <c r="J3023" t="s">
        <v>16</v>
      </c>
      <c r="K3023" s="13">
        <f>ROUND(tblTransactions[[#This Row],[gross_sales_inr]]*(1-tblTransactions[[#This Row],[discount_pct]]),2)</f>
        <v>577.51</v>
      </c>
      <c r="L3023" t="str">
        <f>IF(ABS(tblTransactions[[#This Row],[net_sales_inr]]-tblTransactions[[#This Row],[Recalc_Net_Sales]])&lt;0.02,"OK","CHECK")</f>
        <v>OK</v>
      </c>
      <c r="M3023" s="14">
        <f>DATE(YEAR(tblTransactions[[#This Row],[date]]),MONTH(tblTransactions[[#This Row],[date]]),1)</f>
        <v>45717</v>
      </c>
      <c r="N3023" t="str">
        <f>IF(WEEKDAY(tblTransactions[[#This Row],[date]],2)&gt;5,"Weekend","Weekday")</f>
        <v>Weekend</v>
      </c>
      <c r="O3023" s="13" t="str">
        <f>IF(tblTransactions[[#This Row],[discount_pct]]=0,"0%",IF(tblTransactions[[#This Row],[discount_pct]]&lt;=10%,"1–
10%",IF(tblTransactions[[#This Row],[discount_pct]]&lt;=20%,"11–20%","&gt;20%")))</f>
        <v>0%</v>
      </c>
      <c r="P3023" s="13" t="str">
        <f>_xlfn.XLOOKUP(tblTransactions[[#This Row],[tenant_id]],tblTenants[tenant_id],tblTenants[zone],"NOT FOUND")</f>
        <v>Fashion Avenue</v>
      </c>
      <c r="Q3023" s="13" t="str">
        <f>_xlfn.XLOOKUP(tblTransactions[[#This Row],[tenant_id]],tblTenants[tenant_id],tblTenants[category],"NOT FOUND")</f>
        <v>Accessories</v>
      </c>
    </row>
    <row r="3024" spans="1:17">
      <c r="A3024" t="s">
        <v>3068</v>
      </c>
      <c r="B3024" s="2">
        <v>45690</v>
      </c>
      <c r="C3024">
        <v>12</v>
      </c>
      <c r="D3024" t="s">
        <v>48</v>
      </c>
      <c r="E3024" t="s">
        <v>32</v>
      </c>
      <c r="F3024" s="7">
        <v>2044.76</v>
      </c>
      <c r="G3024" s="10">
        <v>0.15</v>
      </c>
      <c r="H3024" s="7">
        <v>1738.05</v>
      </c>
      <c r="I3024">
        <v>4</v>
      </c>
      <c r="J3024" t="s">
        <v>16</v>
      </c>
      <c r="K3024" s="13">
        <f>ROUND(tblTransactions[[#This Row],[gross_sales_inr]]*(1-tblTransactions[[#This Row],[discount_pct]]),2)</f>
        <v>1738.05</v>
      </c>
      <c r="L3024" t="str">
        <f>IF(ABS(tblTransactions[[#This Row],[net_sales_inr]]-tblTransactions[[#This Row],[Recalc_Net_Sales]])&lt;0.02,"OK","CHECK")</f>
        <v>OK</v>
      </c>
      <c r="M3024" s="14">
        <f>DATE(YEAR(tblTransactions[[#This Row],[date]]),MONTH(tblTransactions[[#This Row],[date]]),1)</f>
        <v>45689</v>
      </c>
      <c r="N3024" t="str">
        <f>IF(WEEKDAY(tblTransactions[[#This Row],[date]],2)&gt;5,"Weekend","Weekday")</f>
        <v>Weekend</v>
      </c>
      <c r="O302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24" s="13" t="str">
        <f>_xlfn.XLOOKUP(tblTransactions[[#This Row],[tenant_id]],tblTenants[tenant_id],tblTenants[zone],"NOT FOUND")</f>
        <v>Beauty &amp; Wellness</v>
      </c>
      <c r="Q3024" s="13" t="str">
        <f>_xlfn.XLOOKUP(tblTransactions[[#This Row],[tenant_id]],tblTenants[tenant_id],tblTenants[category],"NOT FOUND")</f>
        <v>Wellness</v>
      </c>
    </row>
    <row r="3025" spans="1:17">
      <c r="A3025" t="s">
        <v>3069</v>
      </c>
      <c r="B3025" s="2">
        <v>45817</v>
      </c>
      <c r="C3025">
        <v>17</v>
      </c>
      <c r="D3025" t="s">
        <v>59</v>
      </c>
      <c r="E3025" t="s">
        <v>32</v>
      </c>
      <c r="F3025" s="7">
        <v>616.29999999999995</v>
      </c>
      <c r="G3025" s="10">
        <v>0</v>
      </c>
      <c r="H3025" s="7">
        <v>616.29999999999995</v>
      </c>
      <c r="I3025">
        <v>4</v>
      </c>
      <c r="J3025" t="s">
        <v>16</v>
      </c>
      <c r="K3025" s="13">
        <f>ROUND(tblTransactions[[#This Row],[gross_sales_inr]]*(1-tblTransactions[[#This Row],[discount_pct]]),2)</f>
        <v>616.29999999999995</v>
      </c>
      <c r="L3025" t="str">
        <f>IF(ABS(tblTransactions[[#This Row],[net_sales_inr]]-tblTransactions[[#This Row],[Recalc_Net_Sales]])&lt;0.02,"OK","CHECK")</f>
        <v>OK</v>
      </c>
      <c r="M3025" s="14">
        <f>DATE(YEAR(tblTransactions[[#This Row],[date]]),MONTH(tblTransactions[[#This Row],[date]]),1)</f>
        <v>45809</v>
      </c>
      <c r="N3025" t="str">
        <f>IF(WEEKDAY(tblTransactions[[#This Row],[date]],2)&gt;5,"Weekend","Weekday")</f>
        <v>Weekday</v>
      </c>
      <c r="O3025" s="13" t="str">
        <f>IF(tblTransactions[[#This Row],[discount_pct]]=0,"0%",IF(tblTransactions[[#This Row],[discount_pct]]&lt;=10%,"1–
10%",IF(tblTransactions[[#This Row],[discount_pct]]&lt;=20%,"11–20%","&gt;20%")))</f>
        <v>0%</v>
      </c>
      <c r="P3025" s="13" t="str">
        <f>_xlfn.XLOOKUP(tblTransactions[[#This Row],[tenant_id]],tblTenants[tenant_id],tblTenants[zone],"NOT FOUND")</f>
        <v>Fashion Avenue</v>
      </c>
      <c r="Q3025" s="13" t="str">
        <f>_xlfn.XLOOKUP(tblTransactions[[#This Row],[tenant_id]],tblTenants[tenant_id],tblTenants[category],"NOT FOUND")</f>
        <v>Footwear</v>
      </c>
    </row>
    <row r="3026" spans="1:17">
      <c r="A3026" t="s">
        <v>3070</v>
      </c>
      <c r="B3026" s="2">
        <v>45805</v>
      </c>
      <c r="C3026">
        <v>21</v>
      </c>
      <c r="D3026" t="s">
        <v>122</v>
      </c>
      <c r="E3026" t="s">
        <v>12</v>
      </c>
      <c r="F3026" s="7">
        <v>509.46</v>
      </c>
      <c r="G3026" s="10">
        <v>0.15</v>
      </c>
      <c r="H3026" s="7">
        <v>433.04</v>
      </c>
      <c r="I3026">
        <v>4</v>
      </c>
      <c r="J3026" t="s">
        <v>16</v>
      </c>
      <c r="K3026" s="13">
        <f>ROUND(tblTransactions[[#This Row],[gross_sales_inr]]*(1-tblTransactions[[#This Row],[discount_pct]]),2)</f>
        <v>433.04</v>
      </c>
      <c r="L3026" t="str">
        <f>IF(ABS(tblTransactions[[#This Row],[net_sales_inr]]-tblTransactions[[#This Row],[Recalc_Net_Sales]])&lt;0.02,"OK","CHECK")</f>
        <v>OK</v>
      </c>
      <c r="M3026" s="14">
        <f>DATE(YEAR(tblTransactions[[#This Row],[date]]),MONTH(tblTransactions[[#This Row],[date]]),1)</f>
        <v>45778</v>
      </c>
      <c r="N3026" t="str">
        <f>IF(WEEKDAY(tblTransactions[[#This Row],[date]],2)&gt;5,"Weekend","Weekday")</f>
        <v>Weekday</v>
      </c>
      <c r="O302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26" s="13" t="str">
        <f>_xlfn.XLOOKUP(tblTransactions[[#This Row],[tenant_id]],tblTenants[tenant_id],tblTenants[zone],"NOT FOUND")</f>
        <v>Beauty &amp; Wellness</v>
      </c>
      <c r="Q3026" s="13" t="str">
        <f>_xlfn.XLOOKUP(tblTransactions[[#This Row],[tenant_id]],tblTenants[tenant_id],tblTenants[category],"NOT FOUND")</f>
        <v>Wellness</v>
      </c>
    </row>
    <row r="3027" spans="1:17">
      <c r="A3027" t="s">
        <v>3071</v>
      </c>
      <c r="B3027" s="2">
        <v>45746</v>
      </c>
      <c r="C3027">
        <v>13</v>
      </c>
      <c r="D3027" t="s">
        <v>61</v>
      </c>
      <c r="E3027" t="s">
        <v>12</v>
      </c>
      <c r="F3027" s="7">
        <v>1079.99</v>
      </c>
      <c r="G3027" s="10">
        <v>0.15</v>
      </c>
      <c r="H3027" s="7">
        <v>917.99</v>
      </c>
      <c r="I3027">
        <v>6</v>
      </c>
      <c r="J3027" t="s">
        <v>13</v>
      </c>
      <c r="K3027" s="13">
        <f>ROUND(tblTransactions[[#This Row],[gross_sales_inr]]*(1-tblTransactions[[#This Row],[discount_pct]]),2)</f>
        <v>917.99</v>
      </c>
      <c r="L3027" t="str">
        <f>IF(ABS(tblTransactions[[#This Row],[net_sales_inr]]-tblTransactions[[#This Row],[Recalc_Net_Sales]])&lt;0.02,"OK","CHECK")</f>
        <v>OK</v>
      </c>
      <c r="M3027" s="14">
        <f>DATE(YEAR(tblTransactions[[#This Row],[date]]),MONTH(tblTransactions[[#This Row],[date]]),1)</f>
        <v>45717</v>
      </c>
      <c r="N3027" t="str">
        <f>IF(WEEKDAY(tblTransactions[[#This Row],[date]],2)&gt;5,"Weekend","Weekday")</f>
        <v>Weekend</v>
      </c>
      <c r="O302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27" s="13" t="str">
        <f>_xlfn.XLOOKUP(tblTransactions[[#This Row],[tenant_id]],tblTenants[tenant_id],tblTenants[zone],"NOT FOUND")</f>
        <v>Food Court</v>
      </c>
      <c r="Q3027" s="13" t="str">
        <f>_xlfn.XLOOKUP(tblTransactions[[#This Row],[tenant_id]],tblTenants[tenant_id],tblTenants[category],"NOT FOUND")</f>
        <v>Quick Service</v>
      </c>
    </row>
    <row r="3028" spans="1:17">
      <c r="A3028" t="s">
        <v>3072</v>
      </c>
      <c r="B3028" s="2">
        <v>45816</v>
      </c>
      <c r="C3028">
        <v>18</v>
      </c>
      <c r="D3028" t="s">
        <v>11</v>
      </c>
      <c r="E3028" t="s">
        <v>32</v>
      </c>
      <c r="F3028" s="7">
        <v>1457.79</v>
      </c>
      <c r="G3028" s="10">
        <v>0</v>
      </c>
      <c r="H3028" s="7">
        <v>1457.79</v>
      </c>
      <c r="I3028">
        <v>1</v>
      </c>
      <c r="J3028" t="s">
        <v>13</v>
      </c>
      <c r="K3028" s="13">
        <f>ROUND(tblTransactions[[#This Row],[gross_sales_inr]]*(1-tblTransactions[[#This Row],[discount_pct]]),2)</f>
        <v>1457.79</v>
      </c>
      <c r="L3028" t="str">
        <f>IF(ABS(tblTransactions[[#This Row],[net_sales_inr]]-tblTransactions[[#This Row],[Recalc_Net_Sales]])&lt;0.02,"OK","CHECK")</f>
        <v>OK</v>
      </c>
      <c r="M3028" s="14">
        <f>DATE(YEAR(tblTransactions[[#This Row],[date]]),MONTH(tblTransactions[[#This Row],[date]]),1)</f>
        <v>45809</v>
      </c>
      <c r="N3028" t="str">
        <f>IF(WEEKDAY(tblTransactions[[#This Row],[date]],2)&gt;5,"Weekend","Weekday")</f>
        <v>Weekend</v>
      </c>
      <c r="O3028" s="13" t="str">
        <f>IF(tblTransactions[[#This Row],[discount_pct]]=0,"0%",IF(tblTransactions[[#This Row],[discount_pct]]&lt;=10%,"1–
10%",IF(tblTransactions[[#This Row],[discount_pct]]&lt;=20%,"11–20%","&gt;20%")))</f>
        <v>0%</v>
      </c>
      <c r="P3028" s="13" t="str">
        <f>_xlfn.XLOOKUP(tblTransactions[[#This Row],[tenant_id]],tblTenants[tenant_id],tblTenants[zone],"NOT FOUND")</f>
        <v>Home &amp; Living</v>
      </c>
      <c r="Q3028" s="13" t="str">
        <f>_xlfn.XLOOKUP(tblTransactions[[#This Row],[tenant_id]],tblTenants[tenant_id],tblTenants[category],"NOT FOUND")</f>
        <v>Home Decor</v>
      </c>
    </row>
    <row r="3029" spans="1:17">
      <c r="A3029" t="s">
        <v>3073</v>
      </c>
      <c r="B3029" s="2">
        <v>45761</v>
      </c>
      <c r="C3029">
        <v>14</v>
      </c>
      <c r="D3029" t="s">
        <v>48</v>
      </c>
      <c r="E3029" t="s">
        <v>12</v>
      </c>
      <c r="F3029" s="7">
        <v>1610.12</v>
      </c>
      <c r="G3029" s="10">
        <v>0</v>
      </c>
      <c r="H3029" s="7">
        <v>1610.12</v>
      </c>
      <c r="I3029">
        <v>2</v>
      </c>
      <c r="J3029" t="s">
        <v>13</v>
      </c>
      <c r="K3029" s="13">
        <f>ROUND(tblTransactions[[#This Row],[gross_sales_inr]]*(1-tblTransactions[[#This Row],[discount_pct]]),2)</f>
        <v>1610.12</v>
      </c>
      <c r="L3029" t="str">
        <f>IF(ABS(tblTransactions[[#This Row],[net_sales_inr]]-tblTransactions[[#This Row],[Recalc_Net_Sales]])&lt;0.02,"OK","CHECK")</f>
        <v>OK</v>
      </c>
      <c r="M3029" s="14">
        <f>DATE(YEAR(tblTransactions[[#This Row],[date]]),MONTH(tblTransactions[[#This Row],[date]]),1)</f>
        <v>45748</v>
      </c>
      <c r="N3029" t="str">
        <f>IF(WEEKDAY(tblTransactions[[#This Row],[date]],2)&gt;5,"Weekend","Weekday")</f>
        <v>Weekday</v>
      </c>
      <c r="O3029" s="13" t="str">
        <f>IF(tblTransactions[[#This Row],[discount_pct]]=0,"0%",IF(tblTransactions[[#This Row],[discount_pct]]&lt;=10%,"1–
10%",IF(tblTransactions[[#This Row],[discount_pct]]&lt;=20%,"11–20%","&gt;20%")))</f>
        <v>0%</v>
      </c>
      <c r="P3029" s="13" t="str">
        <f>_xlfn.XLOOKUP(tblTransactions[[#This Row],[tenant_id]],tblTenants[tenant_id],tblTenants[zone],"NOT FOUND")</f>
        <v>Beauty &amp; Wellness</v>
      </c>
      <c r="Q3029" s="13" t="str">
        <f>_xlfn.XLOOKUP(tblTransactions[[#This Row],[tenant_id]],tblTenants[tenant_id],tblTenants[category],"NOT FOUND")</f>
        <v>Wellness</v>
      </c>
    </row>
    <row r="3030" spans="1:17">
      <c r="A3030" t="s">
        <v>3074</v>
      </c>
      <c r="B3030" s="2">
        <v>45835</v>
      </c>
      <c r="C3030">
        <v>13</v>
      </c>
      <c r="D3030" t="s">
        <v>18</v>
      </c>
      <c r="E3030" t="s">
        <v>12</v>
      </c>
      <c r="F3030" s="7">
        <v>1883.62</v>
      </c>
      <c r="G3030" s="10">
        <v>0</v>
      </c>
      <c r="H3030" s="7">
        <v>1883.62</v>
      </c>
      <c r="I3030">
        <v>4</v>
      </c>
      <c r="J3030" t="s">
        <v>13</v>
      </c>
      <c r="K3030" s="13">
        <f>ROUND(tblTransactions[[#This Row],[gross_sales_inr]]*(1-tblTransactions[[#This Row],[discount_pct]]),2)</f>
        <v>1883.62</v>
      </c>
      <c r="L3030" t="str">
        <f>IF(ABS(tblTransactions[[#This Row],[net_sales_inr]]-tblTransactions[[#This Row],[Recalc_Net_Sales]])&lt;0.02,"OK","CHECK")</f>
        <v>OK</v>
      </c>
      <c r="M3030" s="14">
        <f>DATE(YEAR(tblTransactions[[#This Row],[date]]),MONTH(tblTransactions[[#This Row],[date]]),1)</f>
        <v>45809</v>
      </c>
      <c r="N3030" t="str">
        <f>IF(WEEKDAY(tblTransactions[[#This Row],[date]],2)&gt;5,"Weekend","Weekday")</f>
        <v>Weekday</v>
      </c>
      <c r="O3030" s="13" t="str">
        <f>IF(tblTransactions[[#This Row],[discount_pct]]=0,"0%",IF(tblTransactions[[#This Row],[discount_pct]]&lt;=10%,"1–
10%",IF(tblTransactions[[#This Row],[discount_pct]]&lt;=20%,"11–20%","&gt;20%")))</f>
        <v>0%</v>
      </c>
      <c r="P3030" s="13" t="str">
        <f>_xlfn.XLOOKUP(tblTransactions[[#This Row],[tenant_id]],tblTenants[tenant_id],tblTenants[zone],"NOT FOUND")</f>
        <v>Beauty &amp; Wellness</v>
      </c>
      <c r="Q3030" s="13" t="str">
        <f>_xlfn.XLOOKUP(tblTransactions[[#This Row],[tenant_id]],tblTenants[tenant_id],tblTenants[category],"NOT FOUND")</f>
        <v>Beauty</v>
      </c>
    </row>
    <row r="3031" spans="1:17">
      <c r="A3031" t="s">
        <v>3075</v>
      </c>
      <c r="B3031" s="2">
        <v>45746</v>
      </c>
      <c r="C3031">
        <v>21</v>
      </c>
      <c r="D3031" t="s">
        <v>36</v>
      </c>
      <c r="E3031" t="s">
        <v>32</v>
      </c>
      <c r="F3031" s="7">
        <v>3502.2</v>
      </c>
      <c r="G3031" s="10">
        <v>0.3</v>
      </c>
      <c r="H3031" s="7">
        <v>2451.54</v>
      </c>
      <c r="I3031">
        <v>3</v>
      </c>
      <c r="J3031" t="s">
        <v>13</v>
      </c>
      <c r="K3031" s="13">
        <f>ROUND(tblTransactions[[#This Row],[gross_sales_inr]]*(1-tblTransactions[[#This Row],[discount_pct]]),2)</f>
        <v>2451.54</v>
      </c>
      <c r="L3031" t="str">
        <f>IF(ABS(tblTransactions[[#This Row],[net_sales_inr]]-tblTransactions[[#This Row],[Recalc_Net_Sales]])&lt;0.02,"OK","CHECK")</f>
        <v>OK</v>
      </c>
      <c r="M3031" s="14">
        <f>DATE(YEAR(tblTransactions[[#This Row],[date]]),MONTH(tblTransactions[[#This Row],[date]]),1)</f>
        <v>45717</v>
      </c>
      <c r="N3031" t="str">
        <f>IF(WEEKDAY(tblTransactions[[#This Row],[date]],2)&gt;5,"Weekend","Weekday")</f>
        <v>Weekend</v>
      </c>
      <c r="O3031" s="13" t="str">
        <f>IF(tblTransactions[[#This Row],[discount_pct]]=0,"0%",IF(tblTransactions[[#This Row],[discount_pct]]&lt;=10%,"1–
10%",IF(tblTransactions[[#This Row],[discount_pct]]&lt;=20%,"11–20%","&gt;20%")))</f>
        <v>&gt;20%</v>
      </c>
      <c r="P3031" s="13" t="str">
        <f>_xlfn.XLOOKUP(tblTransactions[[#This Row],[tenant_id]],tblTenants[tenant_id],tblTenants[zone],"NOT FOUND")</f>
        <v>Home &amp; Living</v>
      </c>
      <c r="Q3031" s="13" t="str">
        <f>_xlfn.XLOOKUP(tblTransactions[[#This Row],[tenant_id]],tblTenants[tenant_id],tblTenants[category],"NOT FOUND")</f>
        <v>Electronics</v>
      </c>
    </row>
    <row r="3032" spans="1:17">
      <c r="A3032" t="s">
        <v>3076</v>
      </c>
      <c r="B3032" s="2">
        <v>45745</v>
      </c>
      <c r="C3032">
        <v>12</v>
      </c>
      <c r="D3032" t="s">
        <v>122</v>
      </c>
      <c r="E3032" t="s">
        <v>21</v>
      </c>
      <c r="F3032" s="7">
        <v>1268.01</v>
      </c>
      <c r="G3032" s="10">
        <v>0.05</v>
      </c>
      <c r="H3032" s="7">
        <v>1204.6099999999999</v>
      </c>
      <c r="I3032">
        <v>2</v>
      </c>
      <c r="J3032" t="s">
        <v>13</v>
      </c>
      <c r="K3032" s="13">
        <f>ROUND(tblTransactions[[#This Row],[gross_sales_inr]]*(1-tblTransactions[[#This Row],[discount_pct]]),2)</f>
        <v>1204.6099999999999</v>
      </c>
      <c r="L3032" t="str">
        <f>IF(ABS(tblTransactions[[#This Row],[net_sales_inr]]-tblTransactions[[#This Row],[Recalc_Net_Sales]])&lt;0.02,"OK","CHECK")</f>
        <v>OK</v>
      </c>
      <c r="M3032" s="14">
        <f>DATE(YEAR(tblTransactions[[#This Row],[date]]),MONTH(tblTransactions[[#This Row],[date]]),1)</f>
        <v>45717</v>
      </c>
      <c r="N3032" t="str">
        <f>IF(WEEKDAY(tblTransactions[[#This Row],[date]],2)&gt;5,"Weekend","Weekday")</f>
        <v>Weekend</v>
      </c>
      <c r="O303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32" s="13" t="str">
        <f>_xlfn.XLOOKUP(tblTransactions[[#This Row],[tenant_id]],tblTenants[tenant_id],tblTenants[zone],"NOT FOUND")</f>
        <v>Beauty &amp; Wellness</v>
      </c>
      <c r="Q3032" s="13" t="str">
        <f>_xlfn.XLOOKUP(tblTransactions[[#This Row],[tenant_id]],tblTenants[tenant_id],tblTenants[category],"NOT FOUND")</f>
        <v>Wellness</v>
      </c>
    </row>
    <row r="3033" spans="1:17">
      <c r="A3033" t="s">
        <v>3077</v>
      </c>
      <c r="B3033" s="2">
        <v>45804</v>
      </c>
      <c r="C3033">
        <v>13</v>
      </c>
      <c r="D3033" t="s">
        <v>98</v>
      </c>
      <c r="E3033" t="s">
        <v>12</v>
      </c>
      <c r="F3033" s="7">
        <v>1848.94</v>
      </c>
      <c r="G3033" s="10">
        <v>0.1</v>
      </c>
      <c r="H3033" s="7">
        <v>1664.05</v>
      </c>
      <c r="I3033">
        <v>1</v>
      </c>
      <c r="J3033" t="s">
        <v>13</v>
      </c>
      <c r="K3033" s="13">
        <f>ROUND(tblTransactions[[#This Row],[gross_sales_inr]]*(1-tblTransactions[[#This Row],[discount_pct]]),2)</f>
        <v>1664.05</v>
      </c>
      <c r="L3033" t="str">
        <f>IF(ABS(tblTransactions[[#This Row],[net_sales_inr]]-tblTransactions[[#This Row],[Recalc_Net_Sales]])&lt;0.02,"OK","CHECK")</f>
        <v>OK</v>
      </c>
      <c r="M3033" s="14">
        <f>DATE(YEAR(tblTransactions[[#This Row],[date]]),MONTH(tblTransactions[[#This Row],[date]]),1)</f>
        <v>45778</v>
      </c>
      <c r="N3033" t="str">
        <f>IF(WEEKDAY(tblTransactions[[#This Row],[date]],2)&gt;5,"Weekend","Weekday")</f>
        <v>Weekday</v>
      </c>
      <c r="O303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33" s="13" t="str">
        <f>_xlfn.XLOOKUP(tblTransactions[[#This Row],[tenant_id]],tblTenants[tenant_id],tblTenants[zone],"NOT FOUND")</f>
        <v>Fashion Avenue</v>
      </c>
      <c r="Q3033" s="13" t="str">
        <f>_xlfn.XLOOKUP(tblTransactions[[#This Row],[tenant_id]],tblTenants[tenant_id],tblTenants[category],"NOT FOUND")</f>
        <v>Accessories</v>
      </c>
    </row>
    <row r="3034" spans="1:17">
      <c r="A3034" t="s">
        <v>3078</v>
      </c>
      <c r="B3034" s="2">
        <v>45771</v>
      </c>
      <c r="C3034">
        <v>16</v>
      </c>
      <c r="D3034" t="s">
        <v>20</v>
      </c>
      <c r="E3034" t="s">
        <v>32</v>
      </c>
      <c r="F3034" s="7">
        <v>892.31</v>
      </c>
      <c r="G3034" s="10">
        <v>0</v>
      </c>
      <c r="H3034" s="7">
        <v>892.31</v>
      </c>
      <c r="I3034">
        <v>4</v>
      </c>
      <c r="J3034" t="s">
        <v>16</v>
      </c>
      <c r="K3034" s="13">
        <f>ROUND(tblTransactions[[#This Row],[gross_sales_inr]]*(1-tblTransactions[[#This Row],[discount_pct]]),2)</f>
        <v>892.31</v>
      </c>
      <c r="L3034" t="str">
        <f>IF(ABS(tblTransactions[[#This Row],[net_sales_inr]]-tblTransactions[[#This Row],[Recalc_Net_Sales]])&lt;0.02,"OK","CHECK")</f>
        <v>OK</v>
      </c>
      <c r="M3034" s="14">
        <f>DATE(YEAR(tblTransactions[[#This Row],[date]]),MONTH(tblTransactions[[#This Row],[date]]),1)</f>
        <v>45748</v>
      </c>
      <c r="N3034" t="str">
        <f>IF(WEEKDAY(tblTransactions[[#This Row],[date]],2)&gt;5,"Weekend","Weekday")</f>
        <v>Weekday</v>
      </c>
      <c r="O3034" s="13" t="str">
        <f>IF(tblTransactions[[#This Row],[discount_pct]]=0,"0%",IF(tblTransactions[[#This Row],[discount_pct]]&lt;=10%,"1–
10%",IF(tblTransactions[[#This Row],[discount_pct]]&lt;=20%,"11–20%","&gt;20%")))</f>
        <v>0%</v>
      </c>
      <c r="P3034" s="13" t="str">
        <f>_xlfn.XLOOKUP(tblTransactions[[#This Row],[tenant_id]],tblTenants[tenant_id],tblTenants[zone],"NOT FOUND")</f>
        <v>Fashion Avenue</v>
      </c>
      <c r="Q3034" s="13" t="str">
        <f>_xlfn.XLOOKUP(tblTransactions[[#This Row],[tenant_id]],tblTenants[tenant_id],tblTenants[category],"NOT FOUND")</f>
        <v>Accessories</v>
      </c>
    </row>
    <row r="3035" spans="1:17">
      <c r="A3035" t="s">
        <v>3079</v>
      </c>
      <c r="B3035" s="2">
        <v>45701</v>
      </c>
      <c r="C3035">
        <v>20</v>
      </c>
      <c r="D3035" t="s">
        <v>29</v>
      </c>
      <c r="E3035" t="s">
        <v>32</v>
      </c>
      <c r="F3035" s="7">
        <v>738.47</v>
      </c>
      <c r="G3035" s="10">
        <v>0.15</v>
      </c>
      <c r="H3035" s="7">
        <v>627.70000000000005</v>
      </c>
      <c r="I3035">
        <v>2</v>
      </c>
      <c r="J3035" t="s">
        <v>13</v>
      </c>
      <c r="K3035" s="13">
        <f>ROUND(tblTransactions[[#This Row],[gross_sales_inr]]*(1-tblTransactions[[#This Row],[discount_pct]]),2)</f>
        <v>627.70000000000005</v>
      </c>
      <c r="L3035" t="str">
        <f>IF(ABS(tblTransactions[[#This Row],[net_sales_inr]]-tblTransactions[[#This Row],[Recalc_Net_Sales]])&lt;0.02,"OK","CHECK")</f>
        <v>OK</v>
      </c>
      <c r="M3035" s="14">
        <f>DATE(YEAR(tblTransactions[[#This Row],[date]]),MONTH(tblTransactions[[#This Row],[date]]),1)</f>
        <v>45689</v>
      </c>
      <c r="N3035" t="str">
        <f>IF(WEEKDAY(tblTransactions[[#This Row],[date]],2)&gt;5,"Weekend","Weekday")</f>
        <v>Weekday</v>
      </c>
      <c r="O303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35" s="13" t="str">
        <f>_xlfn.XLOOKUP(tblTransactions[[#This Row],[tenant_id]],tblTenants[tenant_id],tblTenants[zone],"NOT FOUND")</f>
        <v>Entertainment</v>
      </c>
      <c r="Q3035" s="13" t="str">
        <f>_xlfn.XLOOKUP(tblTransactions[[#This Row],[tenant_id]],tblTenants[tenant_id],tblTenants[category],"NOT FOUND")</f>
        <v>Cinema</v>
      </c>
    </row>
    <row r="3036" spans="1:17">
      <c r="A3036" t="s">
        <v>3080</v>
      </c>
      <c r="B3036" s="2">
        <v>45751</v>
      </c>
      <c r="C3036">
        <v>11</v>
      </c>
      <c r="D3036" t="s">
        <v>122</v>
      </c>
      <c r="E3036" t="s">
        <v>32</v>
      </c>
      <c r="F3036" s="7">
        <v>1159.45</v>
      </c>
      <c r="G3036" s="10">
        <v>0</v>
      </c>
      <c r="H3036" s="7">
        <v>1159.45</v>
      </c>
      <c r="I3036">
        <v>5</v>
      </c>
      <c r="J3036" t="s">
        <v>13</v>
      </c>
      <c r="K3036" s="13">
        <f>ROUND(tblTransactions[[#This Row],[gross_sales_inr]]*(1-tblTransactions[[#This Row],[discount_pct]]),2)</f>
        <v>1159.45</v>
      </c>
      <c r="L3036" t="str">
        <f>IF(ABS(tblTransactions[[#This Row],[net_sales_inr]]-tblTransactions[[#This Row],[Recalc_Net_Sales]])&lt;0.02,"OK","CHECK")</f>
        <v>OK</v>
      </c>
      <c r="M3036" s="14">
        <f>DATE(YEAR(tblTransactions[[#This Row],[date]]),MONTH(tblTransactions[[#This Row],[date]]),1)</f>
        <v>45748</v>
      </c>
      <c r="N3036" t="str">
        <f>IF(WEEKDAY(tblTransactions[[#This Row],[date]],2)&gt;5,"Weekend","Weekday")</f>
        <v>Weekday</v>
      </c>
      <c r="O3036" s="13" t="str">
        <f>IF(tblTransactions[[#This Row],[discount_pct]]=0,"0%",IF(tblTransactions[[#This Row],[discount_pct]]&lt;=10%,"1–
10%",IF(tblTransactions[[#This Row],[discount_pct]]&lt;=20%,"11–20%","&gt;20%")))</f>
        <v>0%</v>
      </c>
      <c r="P3036" s="13" t="str">
        <f>_xlfn.XLOOKUP(tblTransactions[[#This Row],[tenant_id]],tblTenants[tenant_id],tblTenants[zone],"NOT FOUND")</f>
        <v>Beauty &amp; Wellness</v>
      </c>
      <c r="Q3036" s="13" t="str">
        <f>_xlfn.XLOOKUP(tblTransactions[[#This Row],[tenant_id]],tblTenants[tenant_id],tblTenants[category],"NOT FOUND")</f>
        <v>Wellness</v>
      </c>
    </row>
    <row r="3037" spans="1:17">
      <c r="A3037" t="s">
        <v>3081</v>
      </c>
      <c r="B3037" s="2">
        <v>45740</v>
      </c>
      <c r="C3037">
        <v>13</v>
      </c>
      <c r="D3037" t="s">
        <v>63</v>
      </c>
      <c r="E3037" t="s">
        <v>12</v>
      </c>
      <c r="F3037" s="7">
        <v>1682.93</v>
      </c>
      <c r="G3037" s="10">
        <v>0</v>
      </c>
      <c r="H3037" s="7">
        <v>1682.93</v>
      </c>
      <c r="I3037">
        <v>4</v>
      </c>
      <c r="J3037" t="s">
        <v>13</v>
      </c>
      <c r="K3037" s="13">
        <f>ROUND(tblTransactions[[#This Row],[gross_sales_inr]]*(1-tblTransactions[[#This Row],[discount_pct]]),2)</f>
        <v>1682.93</v>
      </c>
      <c r="L3037" t="str">
        <f>IF(ABS(tblTransactions[[#This Row],[net_sales_inr]]-tblTransactions[[#This Row],[Recalc_Net_Sales]])&lt;0.02,"OK","CHECK")</f>
        <v>OK</v>
      </c>
      <c r="M3037" s="14">
        <f>DATE(YEAR(tblTransactions[[#This Row],[date]]),MONTH(tblTransactions[[#This Row],[date]]),1)</f>
        <v>45717</v>
      </c>
      <c r="N3037" t="str">
        <f>IF(WEEKDAY(tblTransactions[[#This Row],[date]],2)&gt;5,"Weekend","Weekday")</f>
        <v>Weekday</v>
      </c>
      <c r="O3037" s="13" t="str">
        <f>IF(tblTransactions[[#This Row],[discount_pct]]=0,"0%",IF(tblTransactions[[#This Row],[discount_pct]]&lt;=10%,"1–
10%",IF(tblTransactions[[#This Row],[discount_pct]]&lt;=20%,"11–20%","&gt;20%")))</f>
        <v>0%</v>
      </c>
      <c r="P3037" s="13" t="str">
        <f>_xlfn.XLOOKUP(tblTransactions[[#This Row],[tenant_id]],tblTenants[tenant_id],tblTenants[zone],"NOT FOUND")</f>
        <v>Entertainment</v>
      </c>
      <c r="Q3037" s="13" t="str">
        <f>_xlfn.XLOOKUP(tblTransactions[[#This Row],[tenant_id]],tblTenants[tenant_id],tblTenants[category],"NOT FOUND")</f>
        <v>Family Entertainment</v>
      </c>
    </row>
    <row r="3038" spans="1:17">
      <c r="A3038" t="s">
        <v>3082</v>
      </c>
      <c r="B3038" s="2">
        <v>45829</v>
      </c>
      <c r="C3038">
        <v>11</v>
      </c>
      <c r="D3038" t="s">
        <v>15</v>
      </c>
      <c r="E3038" t="s">
        <v>21</v>
      </c>
      <c r="F3038" s="7">
        <v>917.48</v>
      </c>
      <c r="G3038" s="10">
        <v>0.05</v>
      </c>
      <c r="H3038" s="7">
        <v>871.61</v>
      </c>
      <c r="I3038">
        <v>1</v>
      </c>
      <c r="J3038" t="s">
        <v>13</v>
      </c>
      <c r="K3038" s="13">
        <f>ROUND(tblTransactions[[#This Row],[gross_sales_inr]]*(1-tblTransactions[[#This Row],[discount_pct]]),2)</f>
        <v>871.61</v>
      </c>
      <c r="L3038" t="str">
        <f>IF(ABS(tblTransactions[[#This Row],[net_sales_inr]]-tblTransactions[[#This Row],[Recalc_Net_Sales]])&lt;0.02,"OK","CHECK")</f>
        <v>OK</v>
      </c>
      <c r="M3038" s="14">
        <f>DATE(YEAR(tblTransactions[[#This Row],[date]]),MONTH(tblTransactions[[#This Row],[date]]),1)</f>
        <v>45809</v>
      </c>
      <c r="N3038" t="str">
        <f>IF(WEEKDAY(tblTransactions[[#This Row],[date]],2)&gt;5,"Weekend","Weekday")</f>
        <v>Weekend</v>
      </c>
      <c r="O303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38" s="13" t="str">
        <f>_xlfn.XLOOKUP(tblTransactions[[#This Row],[tenant_id]],tblTenants[tenant_id],tblTenants[zone],"NOT FOUND")</f>
        <v>Fashion Avenue</v>
      </c>
      <c r="Q3038" s="13" t="str">
        <f>_xlfn.XLOOKUP(tblTransactions[[#This Row],[tenant_id]],tblTenants[tenant_id],tblTenants[category],"NOT FOUND")</f>
        <v>Accessories</v>
      </c>
    </row>
    <row r="3039" spans="1:17">
      <c r="A3039" t="s">
        <v>3083</v>
      </c>
      <c r="B3039" s="2">
        <v>45807</v>
      </c>
      <c r="C3039">
        <v>18</v>
      </c>
      <c r="D3039" t="s">
        <v>87</v>
      </c>
      <c r="E3039" t="s">
        <v>12</v>
      </c>
      <c r="F3039" s="7">
        <v>1097.98</v>
      </c>
      <c r="G3039" s="10">
        <v>0</v>
      </c>
      <c r="H3039" s="7">
        <v>1097.98</v>
      </c>
      <c r="I3039">
        <v>5</v>
      </c>
      <c r="J3039" t="s">
        <v>13</v>
      </c>
      <c r="K3039" s="13">
        <f>ROUND(tblTransactions[[#This Row],[gross_sales_inr]]*(1-tblTransactions[[#This Row],[discount_pct]]),2)</f>
        <v>1097.98</v>
      </c>
      <c r="L3039" t="str">
        <f>IF(ABS(tblTransactions[[#This Row],[net_sales_inr]]-tblTransactions[[#This Row],[Recalc_Net_Sales]])&lt;0.02,"OK","CHECK")</f>
        <v>OK</v>
      </c>
      <c r="M3039" s="14">
        <f>DATE(YEAR(tblTransactions[[#This Row],[date]]),MONTH(tblTransactions[[#This Row],[date]]),1)</f>
        <v>45778</v>
      </c>
      <c r="N3039" t="str">
        <f>IF(WEEKDAY(tblTransactions[[#This Row],[date]],2)&gt;5,"Weekend","Weekday")</f>
        <v>Weekday</v>
      </c>
      <c r="O3039" s="13" t="str">
        <f>IF(tblTransactions[[#This Row],[discount_pct]]=0,"0%",IF(tblTransactions[[#This Row],[discount_pct]]&lt;=10%,"1–
10%",IF(tblTransactions[[#This Row],[discount_pct]]&lt;=20%,"11–20%","&gt;20%")))</f>
        <v>0%</v>
      </c>
      <c r="P3039" s="13" t="str">
        <f>_xlfn.XLOOKUP(tblTransactions[[#This Row],[tenant_id]],tblTenants[tenant_id],tblTenants[zone],"NOT FOUND")</f>
        <v>Fashion Avenue</v>
      </c>
      <c r="Q3039" s="13" t="str">
        <f>_xlfn.XLOOKUP(tblTransactions[[#This Row],[tenant_id]],tblTenants[tenant_id],tblTenants[category],"NOT FOUND")</f>
        <v>Footwear</v>
      </c>
    </row>
    <row r="3040" spans="1:17">
      <c r="A3040" t="s">
        <v>3084</v>
      </c>
      <c r="B3040" s="2">
        <v>45665</v>
      </c>
      <c r="C3040">
        <v>10</v>
      </c>
      <c r="D3040" t="s">
        <v>80</v>
      </c>
      <c r="E3040" t="s">
        <v>51</v>
      </c>
      <c r="F3040" s="7">
        <v>939.98</v>
      </c>
      <c r="G3040" s="10">
        <v>0.15</v>
      </c>
      <c r="H3040" s="7">
        <v>798.98</v>
      </c>
      <c r="I3040">
        <v>2</v>
      </c>
      <c r="J3040" t="s">
        <v>13</v>
      </c>
      <c r="K3040" s="13">
        <f>ROUND(tblTransactions[[#This Row],[gross_sales_inr]]*(1-tblTransactions[[#This Row],[discount_pct]]),2)</f>
        <v>798.98</v>
      </c>
      <c r="L3040" t="str">
        <f>IF(ABS(tblTransactions[[#This Row],[net_sales_inr]]-tblTransactions[[#This Row],[Recalc_Net_Sales]])&lt;0.02,"OK","CHECK")</f>
        <v>OK</v>
      </c>
      <c r="M3040" s="14">
        <f>DATE(YEAR(tblTransactions[[#This Row],[date]]),MONTH(tblTransactions[[#This Row],[date]]),1)</f>
        <v>45658</v>
      </c>
      <c r="N3040" t="str">
        <f>IF(WEEKDAY(tblTransactions[[#This Row],[date]],2)&gt;5,"Weekend","Weekday")</f>
        <v>Weekday</v>
      </c>
      <c r="O304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40" s="13" t="str">
        <f>_xlfn.XLOOKUP(tblTransactions[[#This Row],[tenant_id]],tblTenants[tenant_id],tblTenants[zone],"NOT FOUND")</f>
        <v>Food Court</v>
      </c>
      <c r="Q3040" s="13" t="str">
        <f>_xlfn.XLOOKUP(tblTransactions[[#This Row],[tenant_id]],tblTenants[tenant_id],tblTenants[category],"NOT FOUND")</f>
        <v>Casual Dining</v>
      </c>
    </row>
    <row r="3041" spans="1:17">
      <c r="A3041" t="s">
        <v>3085</v>
      </c>
      <c r="B3041" s="2">
        <v>45744</v>
      </c>
      <c r="C3041">
        <v>18</v>
      </c>
      <c r="D3041" t="s">
        <v>27</v>
      </c>
      <c r="E3041" t="s">
        <v>32</v>
      </c>
      <c r="F3041" s="7">
        <v>1106.47</v>
      </c>
      <c r="G3041" s="10">
        <v>0.2</v>
      </c>
      <c r="H3041" s="7">
        <v>885.18</v>
      </c>
      <c r="I3041">
        <v>5</v>
      </c>
      <c r="J3041" t="s">
        <v>16</v>
      </c>
      <c r="K3041" s="13">
        <f>ROUND(tblTransactions[[#This Row],[gross_sales_inr]]*(1-tblTransactions[[#This Row],[discount_pct]]),2)</f>
        <v>885.18</v>
      </c>
      <c r="L3041" t="str">
        <f>IF(ABS(tblTransactions[[#This Row],[net_sales_inr]]-tblTransactions[[#This Row],[Recalc_Net_Sales]])&lt;0.02,"OK","CHECK")</f>
        <v>OK</v>
      </c>
      <c r="M3041" s="14">
        <f>DATE(YEAR(tblTransactions[[#This Row],[date]]),MONTH(tblTransactions[[#This Row],[date]]),1)</f>
        <v>45717</v>
      </c>
      <c r="N3041" t="str">
        <f>IF(WEEKDAY(tblTransactions[[#This Row],[date]],2)&gt;5,"Weekend","Weekday")</f>
        <v>Weekday</v>
      </c>
      <c r="O304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41" s="13" t="str">
        <f>_xlfn.XLOOKUP(tblTransactions[[#This Row],[tenant_id]],tblTenants[tenant_id],tblTenants[zone],"NOT FOUND")</f>
        <v>Beauty &amp; Wellness</v>
      </c>
      <c r="Q3041" s="13" t="str">
        <f>_xlfn.XLOOKUP(tblTransactions[[#This Row],[tenant_id]],tblTenants[tenant_id],tblTenants[category],"NOT FOUND")</f>
        <v>Wellness</v>
      </c>
    </row>
    <row r="3042" spans="1:17">
      <c r="A3042" t="s">
        <v>3086</v>
      </c>
      <c r="B3042" s="2">
        <v>45679</v>
      </c>
      <c r="C3042">
        <v>20</v>
      </c>
      <c r="D3042" t="s">
        <v>25</v>
      </c>
      <c r="E3042" t="s">
        <v>12</v>
      </c>
      <c r="F3042" s="7">
        <v>543.63</v>
      </c>
      <c r="G3042" s="10">
        <v>0.2</v>
      </c>
      <c r="H3042" s="7">
        <v>434.9</v>
      </c>
      <c r="I3042">
        <v>4</v>
      </c>
      <c r="J3042" t="s">
        <v>16</v>
      </c>
      <c r="K3042" s="13">
        <f>ROUND(tblTransactions[[#This Row],[gross_sales_inr]]*(1-tblTransactions[[#This Row],[discount_pct]]),2)</f>
        <v>434.9</v>
      </c>
      <c r="L3042" t="str">
        <f>IF(ABS(tblTransactions[[#This Row],[net_sales_inr]]-tblTransactions[[#This Row],[Recalc_Net_Sales]])&lt;0.02,"OK","CHECK")</f>
        <v>OK</v>
      </c>
      <c r="M3042" s="14">
        <f>DATE(YEAR(tblTransactions[[#This Row],[date]]),MONTH(tblTransactions[[#This Row],[date]]),1)</f>
        <v>45658</v>
      </c>
      <c r="N3042" t="str">
        <f>IF(WEEKDAY(tblTransactions[[#This Row],[date]],2)&gt;5,"Weekend","Weekday")</f>
        <v>Weekday</v>
      </c>
      <c r="O304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42" s="13" t="str">
        <f>_xlfn.XLOOKUP(tblTransactions[[#This Row],[tenant_id]],tblTenants[tenant_id],tblTenants[zone],"NOT FOUND")</f>
        <v>Beauty &amp; Wellness</v>
      </c>
      <c r="Q3042" s="13" t="str">
        <f>_xlfn.XLOOKUP(tblTransactions[[#This Row],[tenant_id]],tblTenants[tenant_id],tblTenants[category],"NOT FOUND")</f>
        <v>Beauty</v>
      </c>
    </row>
    <row r="3043" spans="1:17">
      <c r="A3043" t="s">
        <v>3087</v>
      </c>
      <c r="B3043" s="2">
        <v>45745</v>
      </c>
      <c r="C3043">
        <v>22</v>
      </c>
      <c r="D3043" t="s">
        <v>204</v>
      </c>
      <c r="E3043" t="s">
        <v>32</v>
      </c>
      <c r="F3043" s="7">
        <v>1101.3399999999999</v>
      </c>
      <c r="G3043" s="10">
        <v>0</v>
      </c>
      <c r="H3043" s="7">
        <v>1101.3399999999999</v>
      </c>
      <c r="I3043">
        <v>2</v>
      </c>
      <c r="J3043" t="s">
        <v>16</v>
      </c>
      <c r="K3043" s="13">
        <f>ROUND(tblTransactions[[#This Row],[gross_sales_inr]]*(1-tblTransactions[[#This Row],[discount_pct]]),2)</f>
        <v>1101.3399999999999</v>
      </c>
      <c r="L3043" t="str">
        <f>IF(ABS(tblTransactions[[#This Row],[net_sales_inr]]-tblTransactions[[#This Row],[Recalc_Net_Sales]])&lt;0.02,"OK","CHECK")</f>
        <v>OK</v>
      </c>
      <c r="M3043" s="14">
        <f>DATE(YEAR(tblTransactions[[#This Row],[date]]),MONTH(tblTransactions[[#This Row],[date]]),1)</f>
        <v>45717</v>
      </c>
      <c r="N3043" t="str">
        <f>IF(WEEKDAY(tblTransactions[[#This Row],[date]],2)&gt;5,"Weekend","Weekday")</f>
        <v>Weekend</v>
      </c>
      <c r="O3043" s="13" t="str">
        <f>IF(tblTransactions[[#This Row],[discount_pct]]=0,"0%",IF(tblTransactions[[#This Row],[discount_pct]]&lt;=10%,"1–
10%",IF(tblTransactions[[#This Row],[discount_pct]]&lt;=20%,"11–20%","&gt;20%")))</f>
        <v>0%</v>
      </c>
      <c r="P3043" s="13" t="str">
        <f>_xlfn.XLOOKUP(tblTransactions[[#This Row],[tenant_id]],tblTenants[tenant_id],tblTenants[zone],"NOT FOUND")</f>
        <v>Home &amp; Living</v>
      </c>
      <c r="Q3043" s="13" t="str">
        <f>_xlfn.XLOOKUP(tblTransactions[[#This Row],[tenant_id]],tblTenants[tenant_id],tblTenants[category],"NOT FOUND")</f>
        <v>Home Decor</v>
      </c>
    </row>
    <row r="3044" spans="1:17">
      <c r="A3044" t="s">
        <v>3088</v>
      </c>
      <c r="B3044" s="2">
        <v>45791</v>
      </c>
      <c r="C3044">
        <v>15</v>
      </c>
      <c r="D3044" t="s">
        <v>27</v>
      </c>
      <c r="E3044" t="s">
        <v>12</v>
      </c>
      <c r="F3044" s="7">
        <v>3570.79</v>
      </c>
      <c r="G3044" s="10">
        <v>0.1</v>
      </c>
      <c r="H3044" s="7">
        <v>3213.71</v>
      </c>
      <c r="I3044">
        <v>2</v>
      </c>
      <c r="J3044" t="s">
        <v>16</v>
      </c>
      <c r="K3044" s="13">
        <f>ROUND(tblTransactions[[#This Row],[gross_sales_inr]]*(1-tblTransactions[[#This Row],[discount_pct]]),2)</f>
        <v>3213.71</v>
      </c>
      <c r="L3044" t="str">
        <f>IF(ABS(tblTransactions[[#This Row],[net_sales_inr]]-tblTransactions[[#This Row],[Recalc_Net_Sales]])&lt;0.02,"OK","CHECK")</f>
        <v>OK</v>
      </c>
      <c r="M3044" s="14">
        <f>DATE(YEAR(tblTransactions[[#This Row],[date]]),MONTH(tblTransactions[[#This Row],[date]]),1)</f>
        <v>45778</v>
      </c>
      <c r="N3044" t="str">
        <f>IF(WEEKDAY(tblTransactions[[#This Row],[date]],2)&gt;5,"Weekend","Weekday")</f>
        <v>Weekday</v>
      </c>
      <c r="O304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44" s="13" t="str">
        <f>_xlfn.XLOOKUP(tblTransactions[[#This Row],[tenant_id]],tblTenants[tenant_id],tblTenants[zone],"NOT FOUND")</f>
        <v>Beauty &amp; Wellness</v>
      </c>
      <c r="Q3044" s="13" t="str">
        <f>_xlfn.XLOOKUP(tblTransactions[[#This Row],[tenant_id]],tblTenants[tenant_id],tblTenants[category],"NOT FOUND")</f>
        <v>Wellness</v>
      </c>
    </row>
    <row r="3045" spans="1:17">
      <c r="A3045" t="s">
        <v>3089</v>
      </c>
      <c r="B3045" s="2">
        <v>45836</v>
      </c>
      <c r="C3045">
        <v>15</v>
      </c>
      <c r="D3045" t="s">
        <v>61</v>
      </c>
      <c r="E3045" t="s">
        <v>12</v>
      </c>
      <c r="F3045" s="7">
        <v>2865.17</v>
      </c>
      <c r="G3045" s="10">
        <v>0</v>
      </c>
      <c r="H3045" s="7">
        <v>2865.17</v>
      </c>
      <c r="I3045">
        <v>3</v>
      </c>
      <c r="J3045" t="s">
        <v>13</v>
      </c>
      <c r="K3045" s="13">
        <f>ROUND(tblTransactions[[#This Row],[gross_sales_inr]]*(1-tblTransactions[[#This Row],[discount_pct]]),2)</f>
        <v>2865.17</v>
      </c>
      <c r="L3045" t="str">
        <f>IF(ABS(tblTransactions[[#This Row],[net_sales_inr]]-tblTransactions[[#This Row],[Recalc_Net_Sales]])&lt;0.02,"OK","CHECK")</f>
        <v>OK</v>
      </c>
      <c r="M3045" s="14">
        <f>DATE(YEAR(tblTransactions[[#This Row],[date]]),MONTH(tblTransactions[[#This Row],[date]]),1)</f>
        <v>45809</v>
      </c>
      <c r="N3045" t="str">
        <f>IF(WEEKDAY(tblTransactions[[#This Row],[date]],2)&gt;5,"Weekend","Weekday")</f>
        <v>Weekend</v>
      </c>
      <c r="O3045" s="13" t="str">
        <f>IF(tblTransactions[[#This Row],[discount_pct]]=0,"0%",IF(tblTransactions[[#This Row],[discount_pct]]&lt;=10%,"1–
10%",IF(tblTransactions[[#This Row],[discount_pct]]&lt;=20%,"11–20%","&gt;20%")))</f>
        <v>0%</v>
      </c>
      <c r="P3045" s="13" t="str">
        <f>_xlfn.XLOOKUP(tblTransactions[[#This Row],[tenant_id]],tblTenants[tenant_id],tblTenants[zone],"NOT FOUND")</f>
        <v>Food Court</v>
      </c>
      <c r="Q3045" s="13" t="str">
        <f>_xlfn.XLOOKUP(tblTransactions[[#This Row],[tenant_id]],tblTenants[tenant_id],tblTenants[category],"NOT FOUND")</f>
        <v>Quick Service</v>
      </c>
    </row>
    <row r="3046" spans="1:17">
      <c r="A3046" t="s">
        <v>3090</v>
      </c>
      <c r="B3046" s="2">
        <v>45758</v>
      </c>
      <c r="C3046">
        <v>19</v>
      </c>
      <c r="D3046" t="s">
        <v>20</v>
      </c>
      <c r="E3046" t="s">
        <v>21</v>
      </c>
      <c r="F3046" s="7">
        <v>1291.6300000000001</v>
      </c>
      <c r="G3046" s="10">
        <v>0.05</v>
      </c>
      <c r="H3046" s="7">
        <v>1227.05</v>
      </c>
      <c r="I3046">
        <v>4</v>
      </c>
      <c r="J3046" t="s">
        <v>16</v>
      </c>
      <c r="K3046" s="13">
        <f>ROUND(tblTransactions[[#This Row],[gross_sales_inr]]*(1-tblTransactions[[#This Row],[discount_pct]]),2)</f>
        <v>1227.05</v>
      </c>
      <c r="L3046" t="str">
        <f>IF(ABS(tblTransactions[[#This Row],[net_sales_inr]]-tblTransactions[[#This Row],[Recalc_Net_Sales]])&lt;0.02,"OK","CHECK")</f>
        <v>OK</v>
      </c>
      <c r="M3046" s="14">
        <f>DATE(YEAR(tblTransactions[[#This Row],[date]]),MONTH(tblTransactions[[#This Row],[date]]),1)</f>
        <v>45748</v>
      </c>
      <c r="N3046" t="str">
        <f>IF(WEEKDAY(tblTransactions[[#This Row],[date]],2)&gt;5,"Weekend","Weekday")</f>
        <v>Weekday</v>
      </c>
      <c r="O304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46" s="13" t="str">
        <f>_xlfn.XLOOKUP(tblTransactions[[#This Row],[tenant_id]],tblTenants[tenant_id],tblTenants[zone],"NOT FOUND")</f>
        <v>Fashion Avenue</v>
      </c>
      <c r="Q3046" s="13" t="str">
        <f>_xlfn.XLOOKUP(tblTransactions[[#This Row],[tenant_id]],tblTenants[tenant_id],tblTenants[category],"NOT FOUND")</f>
        <v>Accessories</v>
      </c>
    </row>
    <row r="3047" spans="1:17">
      <c r="A3047" t="s">
        <v>3091</v>
      </c>
      <c r="B3047" s="2">
        <v>45797</v>
      </c>
      <c r="C3047">
        <v>15</v>
      </c>
      <c r="D3047" t="s">
        <v>25</v>
      </c>
      <c r="E3047" t="s">
        <v>32</v>
      </c>
      <c r="F3047" s="7">
        <v>695.35</v>
      </c>
      <c r="G3047" s="10">
        <v>0.2</v>
      </c>
      <c r="H3047" s="7">
        <v>556.28</v>
      </c>
      <c r="I3047">
        <v>2</v>
      </c>
      <c r="J3047" t="s">
        <v>13</v>
      </c>
      <c r="K3047" s="13">
        <f>ROUND(tblTransactions[[#This Row],[gross_sales_inr]]*(1-tblTransactions[[#This Row],[discount_pct]]),2)</f>
        <v>556.28</v>
      </c>
      <c r="L3047" t="str">
        <f>IF(ABS(tblTransactions[[#This Row],[net_sales_inr]]-tblTransactions[[#This Row],[Recalc_Net_Sales]])&lt;0.02,"OK","CHECK")</f>
        <v>OK</v>
      </c>
      <c r="M3047" s="14">
        <f>DATE(YEAR(tblTransactions[[#This Row],[date]]),MONTH(tblTransactions[[#This Row],[date]]),1)</f>
        <v>45778</v>
      </c>
      <c r="N3047" t="str">
        <f>IF(WEEKDAY(tblTransactions[[#This Row],[date]],2)&gt;5,"Weekend","Weekday")</f>
        <v>Weekday</v>
      </c>
      <c r="O304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47" s="13" t="str">
        <f>_xlfn.XLOOKUP(tblTransactions[[#This Row],[tenant_id]],tblTenants[tenant_id],tblTenants[zone],"NOT FOUND")</f>
        <v>Beauty &amp; Wellness</v>
      </c>
      <c r="Q3047" s="13" t="str">
        <f>_xlfn.XLOOKUP(tblTransactions[[#This Row],[tenant_id]],tblTenants[tenant_id],tblTenants[category],"NOT FOUND")</f>
        <v>Beauty</v>
      </c>
    </row>
    <row r="3048" spans="1:17">
      <c r="A3048" t="s">
        <v>3092</v>
      </c>
      <c r="B3048" s="2">
        <v>45757</v>
      </c>
      <c r="C3048">
        <v>16</v>
      </c>
      <c r="D3048" t="s">
        <v>53</v>
      </c>
      <c r="E3048" t="s">
        <v>32</v>
      </c>
      <c r="F3048" s="7">
        <v>1303.25</v>
      </c>
      <c r="G3048" s="10">
        <v>0</v>
      </c>
      <c r="H3048" s="7">
        <v>1303.25</v>
      </c>
      <c r="I3048">
        <v>1</v>
      </c>
      <c r="J3048" t="s">
        <v>16</v>
      </c>
      <c r="K3048" s="13">
        <f>ROUND(tblTransactions[[#This Row],[gross_sales_inr]]*(1-tblTransactions[[#This Row],[discount_pct]]),2)</f>
        <v>1303.25</v>
      </c>
      <c r="L3048" t="str">
        <f>IF(ABS(tblTransactions[[#This Row],[net_sales_inr]]-tblTransactions[[#This Row],[Recalc_Net_Sales]])&lt;0.02,"OK","CHECK")</f>
        <v>OK</v>
      </c>
      <c r="M3048" s="14">
        <f>DATE(YEAR(tblTransactions[[#This Row],[date]]),MONTH(tblTransactions[[#This Row],[date]]),1)</f>
        <v>45748</v>
      </c>
      <c r="N3048" t="str">
        <f>IF(WEEKDAY(tblTransactions[[#This Row],[date]],2)&gt;5,"Weekend","Weekday")</f>
        <v>Weekday</v>
      </c>
      <c r="O3048" s="13" t="str">
        <f>IF(tblTransactions[[#This Row],[discount_pct]]=0,"0%",IF(tblTransactions[[#This Row],[discount_pct]]&lt;=10%,"1–
10%",IF(tblTransactions[[#This Row],[discount_pct]]&lt;=20%,"11–20%","&gt;20%")))</f>
        <v>0%</v>
      </c>
      <c r="P3048" s="13" t="str">
        <f>_xlfn.XLOOKUP(tblTransactions[[#This Row],[tenant_id]],tblTenants[tenant_id],tblTenants[zone],"NOT FOUND")</f>
        <v>Beauty &amp; Wellness</v>
      </c>
      <c r="Q3048" s="13" t="str">
        <f>_xlfn.XLOOKUP(tblTransactions[[#This Row],[tenant_id]],tblTenants[tenant_id],tblTenants[category],"NOT FOUND")</f>
        <v>Beauty</v>
      </c>
    </row>
    <row r="3049" spans="1:17">
      <c r="A3049" t="s">
        <v>3093</v>
      </c>
      <c r="B3049" s="2">
        <v>45808</v>
      </c>
      <c r="C3049">
        <v>17</v>
      </c>
      <c r="D3049" t="s">
        <v>41</v>
      </c>
      <c r="E3049" t="s">
        <v>12</v>
      </c>
      <c r="F3049" s="7">
        <v>2169.0700000000002</v>
      </c>
      <c r="G3049" s="10">
        <v>0.15</v>
      </c>
      <c r="H3049" s="7">
        <v>1843.71</v>
      </c>
      <c r="I3049">
        <v>1</v>
      </c>
      <c r="J3049" t="s">
        <v>13</v>
      </c>
      <c r="K3049" s="13">
        <f>ROUND(tblTransactions[[#This Row],[gross_sales_inr]]*(1-tblTransactions[[#This Row],[discount_pct]]),2)</f>
        <v>1843.71</v>
      </c>
      <c r="L3049" t="str">
        <f>IF(ABS(tblTransactions[[#This Row],[net_sales_inr]]-tblTransactions[[#This Row],[Recalc_Net_Sales]])&lt;0.02,"OK","CHECK")</f>
        <v>OK</v>
      </c>
      <c r="M3049" s="14">
        <f>DATE(YEAR(tblTransactions[[#This Row],[date]]),MONTH(tblTransactions[[#This Row],[date]]),1)</f>
        <v>45778</v>
      </c>
      <c r="N3049" t="str">
        <f>IF(WEEKDAY(tblTransactions[[#This Row],[date]],2)&gt;5,"Weekend","Weekday")</f>
        <v>Weekend</v>
      </c>
      <c r="O304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49" s="13" t="str">
        <f>_xlfn.XLOOKUP(tblTransactions[[#This Row],[tenant_id]],tblTenants[tenant_id],tblTenants[zone],"NOT FOUND")</f>
        <v>Fashion Avenue</v>
      </c>
      <c r="Q3049" s="13" t="str">
        <f>_xlfn.XLOOKUP(tblTransactions[[#This Row],[tenant_id]],tblTenants[tenant_id],tblTenants[category],"NOT FOUND")</f>
        <v>Clothing</v>
      </c>
    </row>
    <row r="3050" spans="1:17">
      <c r="A3050" t="s">
        <v>3094</v>
      </c>
      <c r="B3050" s="2">
        <v>45788</v>
      </c>
      <c r="C3050">
        <v>18</v>
      </c>
      <c r="D3050" t="s">
        <v>204</v>
      </c>
      <c r="E3050" t="s">
        <v>32</v>
      </c>
      <c r="F3050" s="7">
        <v>3523.37</v>
      </c>
      <c r="G3050" s="10">
        <v>0.05</v>
      </c>
      <c r="H3050" s="7">
        <v>3347.2</v>
      </c>
      <c r="I3050">
        <v>1</v>
      </c>
      <c r="J3050" t="s">
        <v>13</v>
      </c>
      <c r="K3050" s="13">
        <f>ROUND(tblTransactions[[#This Row],[gross_sales_inr]]*(1-tblTransactions[[#This Row],[discount_pct]]),2)</f>
        <v>3347.2</v>
      </c>
      <c r="L3050" t="str">
        <f>IF(ABS(tblTransactions[[#This Row],[net_sales_inr]]-tblTransactions[[#This Row],[Recalc_Net_Sales]])&lt;0.02,"OK","CHECK")</f>
        <v>OK</v>
      </c>
      <c r="M3050" s="14">
        <f>DATE(YEAR(tblTransactions[[#This Row],[date]]),MONTH(tblTransactions[[#This Row],[date]]),1)</f>
        <v>45778</v>
      </c>
      <c r="N3050" t="str">
        <f>IF(WEEKDAY(tblTransactions[[#This Row],[date]],2)&gt;5,"Weekend","Weekday")</f>
        <v>Weekend</v>
      </c>
      <c r="O305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50" s="13" t="str">
        <f>_xlfn.XLOOKUP(tblTransactions[[#This Row],[tenant_id]],tblTenants[tenant_id],tblTenants[zone],"NOT FOUND")</f>
        <v>Home &amp; Living</v>
      </c>
      <c r="Q3050" s="13" t="str">
        <f>_xlfn.XLOOKUP(tblTransactions[[#This Row],[tenant_id]],tblTenants[tenant_id],tblTenants[category],"NOT FOUND")</f>
        <v>Home Decor</v>
      </c>
    </row>
    <row r="3051" spans="1:17">
      <c r="A3051" t="s">
        <v>3095</v>
      </c>
      <c r="B3051" s="2">
        <v>45719</v>
      </c>
      <c r="C3051">
        <v>18</v>
      </c>
      <c r="D3051" t="s">
        <v>48</v>
      </c>
      <c r="E3051" t="s">
        <v>12</v>
      </c>
      <c r="F3051" s="7">
        <v>1002.7</v>
      </c>
      <c r="G3051" s="10">
        <v>0.2</v>
      </c>
      <c r="H3051" s="7">
        <v>802.16</v>
      </c>
      <c r="I3051">
        <v>4</v>
      </c>
      <c r="J3051" t="s">
        <v>16</v>
      </c>
      <c r="K3051" s="13">
        <f>ROUND(tblTransactions[[#This Row],[gross_sales_inr]]*(1-tblTransactions[[#This Row],[discount_pct]]),2)</f>
        <v>802.16</v>
      </c>
      <c r="L3051" t="str">
        <f>IF(ABS(tblTransactions[[#This Row],[net_sales_inr]]-tblTransactions[[#This Row],[Recalc_Net_Sales]])&lt;0.02,"OK","CHECK")</f>
        <v>OK</v>
      </c>
      <c r="M3051" s="14">
        <f>DATE(YEAR(tblTransactions[[#This Row],[date]]),MONTH(tblTransactions[[#This Row],[date]]),1)</f>
        <v>45717</v>
      </c>
      <c r="N3051" t="str">
        <f>IF(WEEKDAY(tblTransactions[[#This Row],[date]],2)&gt;5,"Weekend","Weekday")</f>
        <v>Weekday</v>
      </c>
      <c r="O305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51" s="13" t="str">
        <f>_xlfn.XLOOKUP(tblTransactions[[#This Row],[tenant_id]],tblTenants[tenant_id],tblTenants[zone],"NOT FOUND")</f>
        <v>Beauty &amp; Wellness</v>
      </c>
      <c r="Q3051" s="13" t="str">
        <f>_xlfn.XLOOKUP(tblTransactions[[#This Row],[tenant_id]],tblTenants[tenant_id],tblTenants[category],"NOT FOUND")</f>
        <v>Wellness</v>
      </c>
    </row>
    <row r="3052" spans="1:17">
      <c r="A3052" t="s">
        <v>3096</v>
      </c>
      <c r="B3052" s="2">
        <v>45662</v>
      </c>
      <c r="C3052">
        <v>13</v>
      </c>
      <c r="D3052" t="s">
        <v>53</v>
      </c>
      <c r="E3052" t="s">
        <v>12</v>
      </c>
      <c r="F3052" s="7">
        <v>875.68</v>
      </c>
      <c r="G3052" s="10">
        <v>0.1</v>
      </c>
      <c r="H3052" s="7">
        <v>788.11</v>
      </c>
      <c r="I3052">
        <v>1</v>
      </c>
      <c r="J3052" t="s">
        <v>16</v>
      </c>
      <c r="K3052" s="13">
        <f>ROUND(tblTransactions[[#This Row],[gross_sales_inr]]*(1-tblTransactions[[#This Row],[discount_pct]]),2)</f>
        <v>788.11</v>
      </c>
      <c r="L3052" t="str">
        <f>IF(ABS(tblTransactions[[#This Row],[net_sales_inr]]-tblTransactions[[#This Row],[Recalc_Net_Sales]])&lt;0.02,"OK","CHECK")</f>
        <v>OK</v>
      </c>
      <c r="M3052" s="14">
        <f>DATE(YEAR(tblTransactions[[#This Row],[date]]),MONTH(tblTransactions[[#This Row],[date]]),1)</f>
        <v>45658</v>
      </c>
      <c r="N3052" t="str">
        <f>IF(WEEKDAY(tblTransactions[[#This Row],[date]],2)&gt;5,"Weekend","Weekday")</f>
        <v>Weekend</v>
      </c>
      <c r="O305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52" s="13" t="str">
        <f>_xlfn.XLOOKUP(tblTransactions[[#This Row],[tenant_id]],tblTenants[tenant_id],tblTenants[zone],"NOT FOUND")</f>
        <v>Beauty &amp; Wellness</v>
      </c>
      <c r="Q3052" s="13" t="str">
        <f>_xlfn.XLOOKUP(tblTransactions[[#This Row],[tenant_id]],tblTenants[tenant_id],tblTenants[category],"NOT FOUND")</f>
        <v>Beauty</v>
      </c>
    </row>
    <row r="3053" spans="1:17">
      <c r="A3053" t="s">
        <v>3097</v>
      </c>
      <c r="B3053" s="2">
        <v>45688</v>
      </c>
      <c r="C3053">
        <v>10</v>
      </c>
      <c r="D3053" t="s">
        <v>15</v>
      </c>
      <c r="E3053" t="s">
        <v>12</v>
      </c>
      <c r="F3053" s="7">
        <v>874.94</v>
      </c>
      <c r="G3053" s="10">
        <v>0.1</v>
      </c>
      <c r="H3053" s="7">
        <v>787.45</v>
      </c>
      <c r="I3053">
        <v>1</v>
      </c>
      <c r="J3053" t="s">
        <v>13</v>
      </c>
      <c r="K3053" s="13">
        <f>ROUND(tblTransactions[[#This Row],[gross_sales_inr]]*(1-tblTransactions[[#This Row],[discount_pct]]),2)</f>
        <v>787.45</v>
      </c>
      <c r="L3053" t="str">
        <f>IF(ABS(tblTransactions[[#This Row],[net_sales_inr]]-tblTransactions[[#This Row],[Recalc_Net_Sales]])&lt;0.02,"OK","CHECK")</f>
        <v>OK</v>
      </c>
      <c r="M3053" s="14">
        <f>DATE(YEAR(tblTransactions[[#This Row],[date]]),MONTH(tblTransactions[[#This Row],[date]]),1)</f>
        <v>45658</v>
      </c>
      <c r="N3053" t="str">
        <f>IF(WEEKDAY(tblTransactions[[#This Row],[date]],2)&gt;5,"Weekend","Weekday")</f>
        <v>Weekday</v>
      </c>
      <c r="O305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53" s="13" t="str">
        <f>_xlfn.XLOOKUP(tblTransactions[[#This Row],[tenant_id]],tblTenants[tenant_id],tblTenants[zone],"NOT FOUND")</f>
        <v>Fashion Avenue</v>
      </c>
      <c r="Q3053" s="13" t="str">
        <f>_xlfn.XLOOKUP(tblTransactions[[#This Row],[tenant_id]],tblTenants[tenant_id],tblTenants[category],"NOT FOUND")</f>
        <v>Accessories</v>
      </c>
    </row>
    <row r="3054" spans="1:17">
      <c r="A3054" t="s">
        <v>3098</v>
      </c>
      <c r="B3054" s="2">
        <v>45774</v>
      </c>
      <c r="C3054">
        <v>11</v>
      </c>
      <c r="D3054" t="s">
        <v>25</v>
      </c>
      <c r="E3054" t="s">
        <v>32</v>
      </c>
      <c r="F3054" s="7">
        <v>1251.19</v>
      </c>
      <c r="G3054" s="10">
        <v>0</v>
      </c>
      <c r="H3054" s="7">
        <v>1251.19</v>
      </c>
      <c r="I3054">
        <v>4</v>
      </c>
      <c r="J3054" t="s">
        <v>13</v>
      </c>
      <c r="K3054" s="13">
        <f>ROUND(tblTransactions[[#This Row],[gross_sales_inr]]*(1-tblTransactions[[#This Row],[discount_pct]]),2)</f>
        <v>1251.19</v>
      </c>
      <c r="L3054" t="str">
        <f>IF(ABS(tblTransactions[[#This Row],[net_sales_inr]]-tblTransactions[[#This Row],[Recalc_Net_Sales]])&lt;0.02,"OK","CHECK")</f>
        <v>OK</v>
      </c>
      <c r="M3054" s="14">
        <f>DATE(YEAR(tblTransactions[[#This Row],[date]]),MONTH(tblTransactions[[#This Row],[date]]),1)</f>
        <v>45748</v>
      </c>
      <c r="N3054" t="str">
        <f>IF(WEEKDAY(tblTransactions[[#This Row],[date]],2)&gt;5,"Weekend","Weekday")</f>
        <v>Weekend</v>
      </c>
      <c r="O3054" s="13" t="str">
        <f>IF(tblTransactions[[#This Row],[discount_pct]]=0,"0%",IF(tblTransactions[[#This Row],[discount_pct]]&lt;=10%,"1–
10%",IF(tblTransactions[[#This Row],[discount_pct]]&lt;=20%,"11–20%","&gt;20%")))</f>
        <v>0%</v>
      </c>
      <c r="P3054" s="13" t="str">
        <f>_xlfn.XLOOKUP(tblTransactions[[#This Row],[tenant_id]],tblTenants[tenant_id],tblTenants[zone],"NOT FOUND")</f>
        <v>Beauty &amp; Wellness</v>
      </c>
      <c r="Q3054" s="13" t="str">
        <f>_xlfn.XLOOKUP(tblTransactions[[#This Row],[tenant_id]],tblTenants[tenant_id],tblTenants[category],"NOT FOUND")</f>
        <v>Beauty</v>
      </c>
    </row>
    <row r="3055" spans="1:17">
      <c r="A3055" t="s">
        <v>3099</v>
      </c>
      <c r="B3055" s="2">
        <v>45746</v>
      </c>
      <c r="C3055">
        <v>22</v>
      </c>
      <c r="D3055" t="s">
        <v>70</v>
      </c>
      <c r="E3055" t="s">
        <v>32</v>
      </c>
      <c r="F3055" s="7">
        <v>3376.09</v>
      </c>
      <c r="G3055" s="10">
        <v>0.3</v>
      </c>
      <c r="H3055" s="7">
        <v>2363.2600000000002</v>
      </c>
      <c r="I3055">
        <v>3</v>
      </c>
      <c r="J3055" t="s">
        <v>13</v>
      </c>
      <c r="K3055" s="13">
        <f>ROUND(tblTransactions[[#This Row],[gross_sales_inr]]*(1-tblTransactions[[#This Row],[discount_pct]]),2)</f>
        <v>2363.2600000000002</v>
      </c>
      <c r="L3055" t="str">
        <f>IF(ABS(tblTransactions[[#This Row],[net_sales_inr]]-tblTransactions[[#This Row],[Recalc_Net_Sales]])&lt;0.02,"OK","CHECK")</f>
        <v>OK</v>
      </c>
      <c r="M3055" s="14">
        <f>DATE(YEAR(tblTransactions[[#This Row],[date]]),MONTH(tblTransactions[[#This Row],[date]]),1)</f>
        <v>45717</v>
      </c>
      <c r="N3055" t="str">
        <f>IF(WEEKDAY(tblTransactions[[#This Row],[date]],2)&gt;5,"Weekend","Weekday")</f>
        <v>Weekend</v>
      </c>
      <c r="O3055" s="13" t="str">
        <f>IF(tblTransactions[[#This Row],[discount_pct]]=0,"0%",IF(tblTransactions[[#This Row],[discount_pct]]&lt;=10%,"1–
10%",IF(tblTransactions[[#This Row],[discount_pct]]&lt;=20%,"11–20%","&gt;20%")))</f>
        <v>&gt;20%</v>
      </c>
      <c r="P3055" s="13" t="str">
        <f>_xlfn.XLOOKUP(tblTransactions[[#This Row],[tenant_id]],tblTenants[tenant_id],tblTenants[zone],"NOT FOUND")</f>
        <v>Food Court</v>
      </c>
      <c r="Q3055" s="13" t="str">
        <f>_xlfn.XLOOKUP(tblTransactions[[#This Row],[tenant_id]],tblTenants[tenant_id],tblTenants[category],"NOT FOUND")</f>
        <v>Quick Service</v>
      </c>
    </row>
    <row r="3056" spans="1:17">
      <c r="A3056" t="s">
        <v>3100</v>
      </c>
      <c r="B3056" s="2">
        <v>45698</v>
      </c>
      <c r="C3056">
        <v>17</v>
      </c>
      <c r="D3056" t="s">
        <v>63</v>
      </c>
      <c r="E3056" t="s">
        <v>12</v>
      </c>
      <c r="F3056" s="7">
        <v>1322.71</v>
      </c>
      <c r="G3056" s="10">
        <v>0</v>
      </c>
      <c r="H3056" s="7">
        <v>1322.71</v>
      </c>
      <c r="I3056">
        <v>5</v>
      </c>
      <c r="J3056" t="s">
        <v>13</v>
      </c>
      <c r="K3056" s="13">
        <f>ROUND(tblTransactions[[#This Row],[gross_sales_inr]]*(1-tblTransactions[[#This Row],[discount_pct]]),2)</f>
        <v>1322.71</v>
      </c>
      <c r="L3056" t="str">
        <f>IF(ABS(tblTransactions[[#This Row],[net_sales_inr]]-tblTransactions[[#This Row],[Recalc_Net_Sales]])&lt;0.02,"OK","CHECK")</f>
        <v>OK</v>
      </c>
      <c r="M3056" s="14">
        <f>DATE(YEAR(tblTransactions[[#This Row],[date]]),MONTH(tblTransactions[[#This Row],[date]]),1)</f>
        <v>45689</v>
      </c>
      <c r="N3056" t="str">
        <f>IF(WEEKDAY(tblTransactions[[#This Row],[date]],2)&gt;5,"Weekend","Weekday")</f>
        <v>Weekday</v>
      </c>
      <c r="O3056" s="13" t="str">
        <f>IF(tblTransactions[[#This Row],[discount_pct]]=0,"0%",IF(tblTransactions[[#This Row],[discount_pct]]&lt;=10%,"1–
10%",IF(tblTransactions[[#This Row],[discount_pct]]&lt;=20%,"11–20%","&gt;20%")))</f>
        <v>0%</v>
      </c>
      <c r="P3056" s="13" t="str">
        <f>_xlfn.XLOOKUP(tblTransactions[[#This Row],[tenant_id]],tblTenants[tenant_id],tblTenants[zone],"NOT FOUND")</f>
        <v>Entertainment</v>
      </c>
      <c r="Q3056" s="13" t="str">
        <f>_xlfn.XLOOKUP(tblTransactions[[#This Row],[tenant_id]],tblTenants[tenant_id],tblTenants[category],"NOT FOUND")</f>
        <v>Family Entertainment</v>
      </c>
    </row>
    <row r="3057" spans="1:17">
      <c r="A3057" t="s">
        <v>3101</v>
      </c>
      <c r="B3057" s="2">
        <v>45698</v>
      </c>
      <c r="C3057">
        <v>11</v>
      </c>
      <c r="D3057" t="s">
        <v>59</v>
      </c>
      <c r="E3057" t="s">
        <v>21</v>
      </c>
      <c r="F3057" s="7">
        <v>1249.57</v>
      </c>
      <c r="G3057" s="10">
        <v>0</v>
      </c>
      <c r="H3057" s="7">
        <v>1249.57</v>
      </c>
      <c r="I3057">
        <v>5</v>
      </c>
      <c r="J3057" t="s">
        <v>16</v>
      </c>
      <c r="K3057" s="13">
        <f>ROUND(tblTransactions[[#This Row],[gross_sales_inr]]*(1-tblTransactions[[#This Row],[discount_pct]]),2)</f>
        <v>1249.57</v>
      </c>
      <c r="L3057" t="str">
        <f>IF(ABS(tblTransactions[[#This Row],[net_sales_inr]]-tblTransactions[[#This Row],[Recalc_Net_Sales]])&lt;0.02,"OK","CHECK")</f>
        <v>OK</v>
      </c>
      <c r="M3057" s="14">
        <f>DATE(YEAR(tblTransactions[[#This Row],[date]]),MONTH(tblTransactions[[#This Row],[date]]),1)</f>
        <v>45689</v>
      </c>
      <c r="N3057" t="str">
        <f>IF(WEEKDAY(tblTransactions[[#This Row],[date]],2)&gt;5,"Weekend","Weekday")</f>
        <v>Weekday</v>
      </c>
      <c r="O3057" s="13" t="str">
        <f>IF(tblTransactions[[#This Row],[discount_pct]]=0,"0%",IF(tblTransactions[[#This Row],[discount_pct]]&lt;=10%,"1–
10%",IF(tblTransactions[[#This Row],[discount_pct]]&lt;=20%,"11–20%","&gt;20%")))</f>
        <v>0%</v>
      </c>
      <c r="P3057" s="13" t="str">
        <f>_xlfn.XLOOKUP(tblTransactions[[#This Row],[tenant_id]],tblTenants[tenant_id],tblTenants[zone],"NOT FOUND")</f>
        <v>Fashion Avenue</v>
      </c>
      <c r="Q3057" s="13" t="str">
        <f>_xlfn.XLOOKUP(tblTransactions[[#This Row],[tenant_id]],tblTenants[tenant_id],tblTenants[category],"NOT FOUND")</f>
        <v>Footwear</v>
      </c>
    </row>
    <row r="3058" spans="1:17">
      <c r="A3058" t="s">
        <v>3102</v>
      </c>
      <c r="B3058" s="2">
        <v>45669</v>
      </c>
      <c r="C3058">
        <v>13</v>
      </c>
      <c r="D3058" t="s">
        <v>104</v>
      </c>
      <c r="E3058" t="s">
        <v>12</v>
      </c>
      <c r="F3058" s="7">
        <v>1672.53</v>
      </c>
      <c r="G3058" s="10">
        <v>0.1</v>
      </c>
      <c r="H3058" s="7">
        <v>1505.28</v>
      </c>
      <c r="I3058">
        <v>1</v>
      </c>
      <c r="J3058" t="s">
        <v>13</v>
      </c>
      <c r="K3058" s="13">
        <f>ROUND(tblTransactions[[#This Row],[gross_sales_inr]]*(1-tblTransactions[[#This Row],[discount_pct]]),2)</f>
        <v>1505.28</v>
      </c>
      <c r="L3058" t="str">
        <f>IF(ABS(tblTransactions[[#This Row],[net_sales_inr]]-tblTransactions[[#This Row],[Recalc_Net_Sales]])&lt;0.02,"OK","CHECK")</f>
        <v>OK</v>
      </c>
      <c r="M3058" s="14">
        <f>DATE(YEAR(tblTransactions[[#This Row],[date]]),MONTH(tblTransactions[[#This Row],[date]]),1)</f>
        <v>45658</v>
      </c>
      <c r="N3058" t="str">
        <f>IF(WEEKDAY(tblTransactions[[#This Row],[date]],2)&gt;5,"Weekend","Weekday")</f>
        <v>Weekend</v>
      </c>
      <c r="O305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58" s="13" t="str">
        <f>_xlfn.XLOOKUP(tblTransactions[[#This Row],[tenant_id]],tblTenants[tenant_id],tblTenants[zone],"NOT FOUND")</f>
        <v>Entertainment</v>
      </c>
      <c r="Q3058" s="13" t="str">
        <f>_xlfn.XLOOKUP(tblTransactions[[#This Row],[tenant_id]],tblTenants[tenant_id],tblTenants[category],"NOT FOUND")</f>
        <v>Family Entertainment</v>
      </c>
    </row>
    <row r="3059" spans="1:17">
      <c r="A3059" t="s">
        <v>3103</v>
      </c>
      <c r="B3059" s="2">
        <v>45814</v>
      </c>
      <c r="C3059">
        <v>11</v>
      </c>
      <c r="D3059" t="s">
        <v>72</v>
      </c>
      <c r="E3059" t="s">
        <v>12</v>
      </c>
      <c r="F3059" s="7">
        <v>216.67</v>
      </c>
      <c r="G3059" s="10">
        <v>0.15</v>
      </c>
      <c r="H3059" s="7">
        <v>184.17</v>
      </c>
      <c r="I3059">
        <v>2</v>
      </c>
      <c r="J3059" t="s">
        <v>13</v>
      </c>
      <c r="K3059" s="13">
        <f>ROUND(tblTransactions[[#This Row],[gross_sales_inr]]*(1-tblTransactions[[#This Row],[discount_pct]]),2)</f>
        <v>184.17</v>
      </c>
      <c r="L3059" t="str">
        <f>IF(ABS(tblTransactions[[#This Row],[net_sales_inr]]-tblTransactions[[#This Row],[Recalc_Net_Sales]])&lt;0.02,"OK","CHECK")</f>
        <v>OK</v>
      </c>
      <c r="M3059" s="14">
        <f>DATE(YEAR(tblTransactions[[#This Row],[date]]),MONTH(tblTransactions[[#This Row],[date]]),1)</f>
        <v>45809</v>
      </c>
      <c r="N3059" t="str">
        <f>IF(WEEKDAY(tblTransactions[[#This Row],[date]],2)&gt;5,"Weekend","Weekday")</f>
        <v>Weekday</v>
      </c>
      <c r="O305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59" s="13" t="str">
        <f>_xlfn.XLOOKUP(tblTransactions[[#This Row],[tenant_id]],tblTenants[tenant_id],tblTenants[zone],"NOT FOUND")</f>
        <v>Entertainment</v>
      </c>
      <c r="Q3059" s="13" t="str">
        <f>_xlfn.XLOOKUP(tblTransactions[[#This Row],[tenant_id]],tblTenants[tenant_id],tblTenants[category],"NOT FOUND")</f>
        <v>Arcade</v>
      </c>
    </row>
    <row r="3060" spans="1:17">
      <c r="A3060" t="s">
        <v>3104</v>
      </c>
      <c r="B3060" s="2">
        <v>45678</v>
      </c>
      <c r="C3060">
        <v>15</v>
      </c>
      <c r="D3060" t="s">
        <v>85</v>
      </c>
      <c r="E3060" t="s">
        <v>21</v>
      </c>
      <c r="F3060" s="7">
        <v>248.58</v>
      </c>
      <c r="G3060" s="10">
        <v>0.15</v>
      </c>
      <c r="H3060" s="7">
        <v>211.29</v>
      </c>
      <c r="I3060">
        <v>3</v>
      </c>
      <c r="J3060" t="s">
        <v>16</v>
      </c>
      <c r="K3060" s="13">
        <f>ROUND(tblTransactions[[#This Row],[gross_sales_inr]]*(1-tblTransactions[[#This Row],[discount_pct]]),2)</f>
        <v>211.29</v>
      </c>
      <c r="L3060" t="str">
        <f>IF(ABS(tblTransactions[[#This Row],[net_sales_inr]]-tblTransactions[[#This Row],[Recalc_Net_Sales]])&lt;0.02,"OK","CHECK")</f>
        <v>OK</v>
      </c>
      <c r="M3060" s="14">
        <f>DATE(YEAR(tblTransactions[[#This Row],[date]]),MONTH(tblTransactions[[#This Row],[date]]),1)</f>
        <v>45658</v>
      </c>
      <c r="N3060" t="str">
        <f>IF(WEEKDAY(tblTransactions[[#This Row],[date]],2)&gt;5,"Weekend","Weekday")</f>
        <v>Weekday</v>
      </c>
      <c r="O306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60" s="13" t="str">
        <f>_xlfn.XLOOKUP(tblTransactions[[#This Row],[tenant_id]],tblTenants[tenant_id],tblTenants[zone],"NOT FOUND")</f>
        <v>Home &amp; Living</v>
      </c>
      <c r="Q3060" s="13" t="str">
        <f>_xlfn.XLOOKUP(tblTransactions[[#This Row],[tenant_id]],tblTenants[tenant_id],tblTenants[category],"NOT FOUND")</f>
        <v>Electronics</v>
      </c>
    </row>
    <row r="3061" spans="1:17">
      <c r="A3061" t="s">
        <v>3105</v>
      </c>
      <c r="B3061" s="2">
        <v>45693</v>
      </c>
      <c r="C3061">
        <v>19</v>
      </c>
      <c r="D3061" t="s">
        <v>85</v>
      </c>
      <c r="E3061" t="s">
        <v>12</v>
      </c>
      <c r="F3061" s="7">
        <v>1799.47</v>
      </c>
      <c r="G3061" s="10">
        <v>0.15</v>
      </c>
      <c r="H3061" s="7">
        <v>1529.55</v>
      </c>
      <c r="I3061">
        <v>3</v>
      </c>
      <c r="J3061" t="s">
        <v>13</v>
      </c>
      <c r="K3061" s="13">
        <f>ROUND(tblTransactions[[#This Row],[gross_sales_inr]]*(1-tblTransactions[[#This Row],[discount_pct]]),2)</f>
        <v>1529.55</v>
      </c>
      <c r="L3061" t="str">
        <f>IF(ABS(tblTransactions[[#This Row],[net_sales_inr]]-tblTransactions[[#This Row],[Recalc_Net_Sales]])&lt;0.02,"OK","CHECK")</f>
        <v>OK</v>
      </c>
      <c r="M3061" s="14">
        <f>DATE(YEAR(tblTransactions[[#This Row],[date]]),MONTH(tblTransactions[[#This Row],[date]]),1)</f>
        <v>45689</v>
      </c>
      <c r="N3061" t="str">
        <f>IF(WEEKDAY(tblTransactions[[#This Row],[date]],2)&gt;5,"Weekend","Weekday")</f>
        <v>Weekday</v>
      </c>
      <c r="O306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61" s="13" t="str">
        <f>_xlfn.XLOOKUP(tblTransactions[[#This Row],[tenant_id]],tblTenants[tenant_id],tblTenants[zone],"NOT FOUND")</f>
        <v>Home &amp; Living</v>
      </c>
      <c r="Q3061" s="13" t="str">
        <f>_xlfn.XLOOKUP(tblTransactions[[#This Row],[tenant_id]],tblTenants[tenant_id],tblTenants[category],"NOT FOUND")</f>
        <v>Electronics</v>
      </c>
    </row>
    <row r="3062" spans="1:17">
      <c r="A3062" t="s">
        <v>3106</v>
      </c>
      <c r="B3062" s="2">
        <v>45833</v>
      </c>
      <c r="C3062">
        <v>21</v>
      </c>
      <c r="D3062" t="s">
        <v>59</v>
      </c>
      <c r="E3062" t="s">
        <v>12</v>
      </c>
      <c r="F3062" s="7">
        <v>340.1</v>
      </c>
      <c r="G3062" s="10">
        <v>0.2</v>
      </c>
      <c r="H3062" s="7">
        <v>272.08</v>
      </c>
      <c r="I3062">
        <v>4</v>
      </c>
      <c r="J3062" t="s">
        <v>16</v>
      </c>
      <c r="K3062" s="13">
        <f>ROUND(tblTransactions[[#This Row],[gross_sales_inr]]*(1-tblTransactions[[#This Row],[discount_pct]]),2)</f>
        <v>272.08</v>
      </c>
      <c r="L3062" t="str">
        <f>IF(ABS(tblTransactions[[#This Row],[net_sales_inr]]-tblTransactions[[#This Row],[Recalc_Net_Sales]])&lt;0.02,"OK","CHECK")</f>
        <v>OK</v>
      </c>
      <c r="M3062" s="14">
        <f>DATE(YEAR(tblTransactions[[#This Row],[date]]),MONTH(tblTransactions[[#This Row],[date]]),1)</f>
        <v>45809</v>
      </c>
      <c r="N3062" t="str">
        <f>IF(WEEKDAY(tblTransactions[[#This Row],[date]],2)&gt;5,"Weekend","Weekday")</f>
        <v>Weekday</v>
      </c>
      <c r="O306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62" s="13" t="str">
        <f>_xlfn.XLOOKUP(tblTransactions[[#This Row],[tenant_id]],tblTenants[tenant_id],tblTenants[zone],"NOT FOUND")</f>
        <v>Fashion Avenue</v>
      </c>
      <c r="Q3062" s="13" t="str">
        <f>_xlfn.XLOOKUP(tblTransactions[[#This Row],[tenant_id]],tblTenants[tenant_id],tblTenants[category],"NOT FOUND")</f>
        <v>Footwear</v>
      </c>
    </row>
    <row r="3063" spans="1:17">
      <c r="A3063" t="s">
        <v>3107</v>
      </c>
      <c r="B3063" s="2">
        <v>45769</v>
      </c>
      <c r="C3063">
        <v>20</v>
      </c>
      <c r="D3063" t="s">
        <v>18</v>
      </c>
      <c r="E3063" t="s">
        <v>51</v>
      </c>
      <c r="F3063" s="7">
        <v>3110.66</v>
      </c>
      <c r="G3063" s="10">
        <v>0</v>
      </c>
      <c r="H3063" s="7">
        <v>3110.66</v>
      </c>
      <c r="I3063">
        <v>4</v>
      </c>
      <c r="J3063" t="s">
        <v>16</v>
      </c>
      <c r="K3063" s="13">
        <f>ROUND(tblTransactions[[#This Row],[gross_sales_inr]]*(1-tblTransactions[[#This Row],[discount_pct]]),2)</f>
        <v>3110.66</v>
      </c>
      <c r="L3063" t="str">
        <f>IF(ABS(tblTransactions[[#This Row],[net_sales_inr]]-tblTransactions[[#This Row],[Recalc_Net_Sales]])&lt;0.02,"OK","CHECK")</f>
        <v>OK</v>
      </c>
      <c r="M3063" s="14">
        <f>DATE(YEAR(tblTransactions[[#This Row],[date]]),MONTH(tblTransactions[[#This Row],[date]]),1)</f>
        <v>45748</v>
      </c>
      <c r="N3063" t="str">
        <f>IF(WEEKDAY(tblTransactions[[#This Row],[date]],2)&gt;5,"Weekend","Weekday")</f>
        <v>Weekday</v>
      </c>
      <c r="O3063" s="13" t="str">
        <f>IF(tblTransactions[[#This Row],[discount_pct]]=0,"0%",IF(tblTransactions[[#This Row],[discount_pct]]&lt;=10%,"1–
10%",IF(tblTransactions[[#This Row],[discount_pct]]&lt;=20%,"11–20%","&gt;20%")))</f>
        <v>0%</v>
      </c>
      <c r="P3063" s="13" t="str">
        <f>_xlfn.XLOOKUP(tblTransactions[[#This Row],[tenant_id]],tblTenants[tenant_id],tblTenants[zone],"NOT FOUND")</f>
        <v>Beauty &amp; Wellness</v>
      </c>
      <c r="Q3063" s="13" t="str">
        <f>_xlfn.XLOOKUP(tblTransactions[[#This Row],[tenant_id]],tblTenants[tenant_id],tblTenants[category],"NOT FOUND")</f>
        <v>Beauty</v>
      </c>
    </row>
    <row r="3064" spans="1:17">
      <c r="A3064" t="s">
        <v>3108</v>
      </c>
      <c r="B3064" s="2">
        <v>45759</v>
      </c>
      <c r="C3064">
        <v>14</v>
      </c>
      <c r="D3064" t="s">
        <v>72</v>
      </c>
      <c r="E3064" t="s">
        <v>12</v>
      </c>
      <c r="F3064" s="7">
        <v>1905.95</v>
      </c>
      <c r="G3064" s="10">
        <v>0.15</v>
      </c>
      <c r="H3064" s="7">
        <v>1620.06</v>
      </c>
      <c r="I3064">
        <v>3</v>
      </c>
      <c r="J3064" t="s">
        <v>13</v>
      </c>
      <c r="K3064" s="13">
        <f>ROUND(tblTransactions[[#This Row],[gross_sales_inr]]*(1-tblTransactions[[#This Row],[discount_pct]]),2)</f>
        <v>1620.06</v>
      </c>
      <c r="L3064" t="str">
        <f>IF(ABS(tblTransactions[[#This Row],[net_sales_inr]]-tblTransactions[[#This Row],[Recalc_Net_Sales]])&lt;0.02,"OK","CHECK")</f>
        <v>OK</v>
      </c>
      <c r="M3064" s="14">
        <f>DATE(YEAR(tblTransactions[[#This Row],[date]]),MONTH(tblTransactions[[#This Row],[date]]),1)</f>
        <v>45748</v>
      </c>
      <c r="N3064" t="str">
        <f>IF(WEEKDAY(tblTransactions[[#This Row],[date]],2)&gt;5,"Weekend","Weekday")</f>
        <v>Weekend</v>
      </c>
      <c r="O306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64" s="13" t="str">
        <f>_xlfn.XLOOKUP(tblTransactions[[#This Row],[tenant_id]],tblTenants[tenant_id],tblTenants[zone],"NOT FOUND")</f>
        <v>Entertainment</v>
      </c>
      <c r="Q3064" s="13" t="str">
        <f>_xlfn.XLOOKUP(tblTransactions[[#This Row],[tenant_id]],tblTenants[tenant_id],tblTenants[category],"NOT FOUND")</f>
        <v>Arcade</v>
      </c>
    </row>
    <row r="3065" spans="1:17">
      <c r="A3065" t="s">
        <v>3109</v>
      </c>
      <c r="B3065" s="2">
        <v>45680</v>
      </c>
      <c r="C3065">
        <v>12</v>
      </c>
      <c r="D3065" t="s">
        <v>27</v>
      </c>
      <c r="E3065" t="s">
        <v>12</v>
      </c>
      <c r="F3065" s="7">
        <v>2998.12</v>
      </c>
      <c r="G3065" s="10">
        <v>0</v>
      </c>
      <c r="H3065" s="7">
        <v>2998.12</v>
      </c>
      <c r="I3065">
        <v>3</v>
      </c>
      <c r="J3065" t="s">
        <v>16</v>
      </c>
      <c r="K3065" s="13">
        <f>ROUND(tblTransactions[[#This Row],[gross_sales_inr]]*(1-tblTransactions[[#This Row],[discount_pct]]),2)</f>
        <v>2998.12</v>
      </c>
      <c r="L3065" t="str">
        <f>IF(ABS(tblTransactions[[#This Row],[net_sales_inr]]-tblTransactions[[#This Row],[Recalc_Net_Sales]])&lt;0.02,"OK","CHECK")</f>
        <v>OK</v>
      </c>
      <c r="M3065" s="14">
        <f>DATE(YEAR(tblTransactions[[#This Row],[date]]),MONTH(tblTransactions[[#This Row],[date]]),1)</f>
        <v>45658</v>
      </c>
      <c r="N3065" t="str">
        <f>IF(WEEKDAY(tblTransactions[[#This Row],[date]],2)&gt;5,"Weekend","Weekday")</f>
        <v>Weekday</v>
      </c>
      <c r="O3065" s="13" t="str">
        <f>IF(tblTransactions[[#This Row],[discount_pct]]=0,"0%",IF(tblTransactions[[#This Row],[discount_pct]]&lt;=10%,"1–
10%",IF(tblTransactions[[#This Row],[discount_pct]]&lt;=20%,"11–20%","&gt;20%")))</f>
        <v>0%</v>
      </c>
      <c r="P3065" s="13" t="str">
        <f>_xlfn.XLOOKUP(tblTransactions[[#This Row],[tenant_id]],tblTenants[tenant_id],tblTenants[zone],"NOT FOUND")</f>
        <v>Beauty &amp; Wellness</v>
      </c>
      <c r="Q3065" s="13" t="str">
        <f>_xlfn.XLOOKUP(tblTransactions[[#This Row],[tenant_id]],tblTenants[tenant_id],tblTenants[category],"NOT FOUND")</f>
        <v>Wellness</v>
      </c>
    </row>
    <row r="3066" spans="1:17">
      <c r="A3066" t="s">
        <v>3110</v>
      </c>
      <c r="B3066" s="2">
        <v>45664</v>
      </c>
      <c r="C3066">
        <v>17</v>
      </c>
      <c r="D3066" t="s">
        <v>25</v>
      </c>
      <c r="E3066" t="s">
        <v>12</v>
      </c>
      <c r="F3066" s="7">
        <v>852.08</v>
      </c>
      <c r="G3066" s="10">
        <v>0.05</v>
      </c>
      <c r="H3066" s="7">
        <v>809.48</v>
      </c>
      <c r="I3066">
        <v>1</v>
      </c>
      <c r="J3066" t="s">
        <v>13</v>
      </c>
      <c r="K3066" s="13">
        <f>ROUND(tblTransactions[[#This Row],[gross_sales_inr]]*(1-tblTransactions[[#This Row],[discount_pct]]),2)</f>
        <v>809.48</v>
      </c>
      <c r="L3066" t="str">
        <f>IF(ABS(tblTransactions[[#This Row],[net_sales_inr]]-tblTransactions[[#This Row],[Recalc_Net_Sales]])&lt;0.02,"OK","CHECK")</f>
        <v>OK</v>
      </c>
      <c r="M3066" s="14">
        <f>DATE(YEAR(tblTransactions[[#This Row],[date]]),MONTH(tblTransactions[[#This Row],[date]]),1)</f>
        <v>45658</v>
      </c>
      <c r="N3066" t="str">
        <f>IF(WEEKDAY(tblTransactions[[#This Row],[date]],2)&gt;5,"Weekend","Weekday")</f>
        <v>Weekday</v>
      </c>
      <c r="O306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66" s="13" t="str">
        <f>_xlfn.XLOOKUP(tblTransactions[[#This Row],[tenant_id]],tblTenants[tenant_id],tblTenants[zone],"NOT FOUND")</f>
        <v>Beauty &amp; Wellness</v>
      </c>
      <c r="Q3066" s="13" t="str">
        <f>_xlfn.XLOOKUP(tblTransactions[[#This Row],[tenant_id]],tblTenants[tenant_id],tblTenants[category],"NOT FOUND")</f>
        <v>Beauty</v>
      </c>
    </row>
    <row r="3067" spans="1:17">
      <c r="A3067" t="s">
        <v>3111</v>
      </c>
      <c r="B3067" s="2">
        <v>45819</v>
      </c>
      <c r="C3067">
        <v>16</v>
      </c>
      <c r="D3067" t="s">
        <v>55</v>
      </c>
      <c r="E3067" t="s">
        <v>12</v>
      </c>
      <c r="F3067" s="7">
        <v>1107.1199999999999</v>
      </c>
      <c r="G3067" s="10">
        <v>0.3</v>
      </c>
      <c r="H3067" s="7">
        <v>774.98</v>
      </c>
      <c r="I3067">
        <v>1</v>
      </c>
      <c r="J3067" t="s">
        <v>13</v>
      </c>
      <c r="K3067" s="13">
        <f>ROUND(tblTransactions[[#This Row],[gross_sales_inr]]*(1-tblTransactions[[#This Row],[discount_pct]]),2)</f>
        <v>774.98</v>
      </c>
      <c r="L3067" t="str">
        <f>IF(ABS(tblTransactions[[#This Row],[net_sales_inr]]-tblTransactions[[#This Row],[Recalc_Net_Sales]])&lt;0.02,"OK","CHECK")</f>
        <v>OK</v>
      </c>
      <c r="M3067" s="14">
        <f>DATE(YEAR(tblTransactions[[#This Row],[date]]),MONTH(tblTransactions[[#This Row],[date]]),1)</f>
        <v>45809</v>
      </c>
      <c r="N3067" t="str">
        <f>IF(WEEKDAY(tblTransactions[[#This Row],[date]],2)&gt;5,"Weekend","Weekday")</f>
        <v>Weekday</v>
      </c>
      <c r="O3067" s="13" t="str">
        <f>IF(tblTransactions[[#This Row],[discount_pct]]=0,"0%",IF(tblTransactions[[#This Row],[discount_pct]]&lt;=10%,"1–
10%",IF(tblTransactions[[#This Row],[discount_pct]]&lt;=20%,"11–20%","&gt;20%")))</f>
        <v>&gt;20%</v>
      </c>
      <c r="P3067" s="13" t="str">
        <f>_xlfn.XLOOKUP(tblTransactions[[#This Row],[tenant_id]],tblTenants[tenant_id],tblTenants[zone],"NOT FOUND")</f>
        <v>Food Court</v>
      </c>
      <c r="Q3067" s="13" t="str">
        <f>_xlfn.XLOOKUP(tblTransactions[[#This Row],[tenant_id]],tblTenants[tenant_id],tblTenants[category],"NOT FOUND")</f>
        <v>Quick Service</v>
      </c>
    </row>
    <row r="3068" spans="1:17">
      <c r="A3068" t="s">
        <v>3112</v>
      </c>
      <c r="B3068" s="2">
        <v>45776</v>
      </c>
      <c r="C3068">
        <v>15</v>
      </c>
      <c r="D3068" t="s">
        <v>72</v>
      </c>
      <c r="E3068" t="s">
        <v>12</v>
      </c>
      <c r="F3068" s="7">
        <v>1228.2</v>
      </c>
      <c r="G3068" s="10">
        <v>0</v>
      </c>
      <c r="H3068" s="7">
        <v>1228.2</v>
      </c>
      <c r="I3068">
        <v>2</v>
      </c>
      <c r="J3068" t="s">
        <v>13</v>
      </c>
      <c r="K3068" s="13">
        <f>ROUND(tblTransactions[[#This Row],[gross_sales_inr]]*(1-tblTransactions[[#This Row],[discount_pct]]),2)</f>
        <v>1228.2</v>
      </c>
      <c r="L3068" t="str">
        <f>IF(ABS(tblTransactions[[#This Row],[net_sales_inr]]-tblTransactions[[#This Row],[Recalc_Net_Sales]])&lt;0.02,"OK","CHECK")</f>
        <v>OK</v>
      </c>
      <c r="M3068" s="14">
        <f>DATE(YEAR(tblTransactions[[#This Row],[date]]),MONTH(tblTransactions[[#This Row],[date]]),1)</f>
        <v>45748</v>
      </c>
      <c r="N3068" t="str">
        <f>IF(WEEKDAY(tblTransactions[[#This Row],[date]],2)&gt;5,"Weekend","Weekday")</f>
        <v>Weekday</v>
      </c>
      <c r="O3068" s="13" t="str">
        <f>IF(tblTransactions[[#This Row],[discount_pct]]=0,"0%",IF(tblTransactions[[#This Row],[discount_pct]]&lt;=10%,"1–
10%",IF(tblTransactions[[#This Row],[discount_pct]]&lt;=20%,"11–20%","&gt;20%")))</f>
        <v>0%</v>
      </c>
      <c r="P3068" s="13" t="str">
        <f>_xlfn.XLOOKUP(tblTransactions[[#This Row],[tenant_id]],tblTenants[tenant_id],tblTenants[zone],"NOT FOUND")</f>
        <v>Entertainment</v>
      </c>
      <c r="Q3068" s="13" t="str">
        <f>_xlfn.XLOOKUP(tblTransactions[[#This Row],[tenant_id]],tblTenants[tenant_id],tblTenants[category],"NOT FOUND")</f>
        <v>Arcade</v>
      </c>
    </row>
    <row r="3069" spans="1:17">
      <c r="A3069" t="s">
        <v>3113</v>
      </c>
      <c r="B3069" s="2">
        <v>45721</v>
      </c>
      <c r="C3069">
        <v>15</v>
      </c>
      <c r="D3069" t="s">
        <v>29</v>
      </c>
      <c r="E3069" t="s">
        <v>12</v>
      </c>
      <c r="F3069" s="7">
        <v>809.06</v>
      </c>
      <c r="G3069" s="10">
        <v>0.15</v>
      </c>
      <c r="H3069" s="7">
        <v>687.7</v>
      </c>
      <c r="I3069">
        <v>1</v>
      </c>
      <c r="J3069" t="s">
        <v>13</v>
      </c>
      <c r="K3069" s="13">
        <f>ROUND(tblTransactions[[#This Row],[gross_sales_inr]]*(1-tblTransactions[[#This Row],[discount_pct]]),2)</f>
        <v>687.7</v>
      </c>
      <c r="L3069" t="str">
        <f>IF(ABS(tblTransactions[[#This Row],[net_sales_inr]]-tblTransactions[[#This Row],[Recalc_Net_Sales]])&lt;0.02,"OK","CHECK")</f>
        <v>OK</v>
      </c>
      <c r="M3069" s="14">
        <f>DATE(YEAR(tblTransactions[[#This Row],[date]]),MONTH(tblTransactions[[#This Row],[date]]),1)</f>
        <v>45717</v>
      </c>
      <c r="N3069" t="str">
        <f>IF(WEEKDAY(tblTransactions[[#This Row],[date]],2)&gt;5,"Weekend","Weekday")</f>
        <v>Weekday</v>
      </c>
      <c r="O306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69" s="13" t="str">
        <f>_xlfn.XLOOKUP(tblTransactions[[#This Row],[tenant_id]],tblTenants[tenant_id],tblTenants[zone],"NOT FOUND")</f>
        <v>Entertainment</v>
      </c>
      <c r="Q3069" s="13" t="str">
        <f>_xlfn.XLOOKUP(tblTransactions[[#This Row],[tenant_id]],tblTenants[tenant_id],tblTenants[category],"NOT FOUND")</f>
        <v>Cinema</v>
      </c>
    </row>
    <row r="3070" spans="1:17">
      <c r="A3070" t="s">
        <v>3114</v>
      </c>
      <c r="B3070" s="2">
        <v>45761</v>
      </c>
      <c r="C3070">
        <v>17</v>
      </c>
      <c r="D3070" t="s">
        <v>61</v>
      </c>
      <c r="E3070" t="s">
        <v>32</v>
      </c>
      <c r="F3070" s="7">
        <v>851.75</v>
      </c>
      <c r="G3070" s="10">
        <v>0</v>
      </c>
      <c r="H3070" s="7">
        <v>851.75</v>
      </c>
      <c r="I3070">
        <v>2</v>
      </c>
      <c r="J3070" t="s">
        <v>13</v>
      </c>
      <c r="K3070" s="13">
        <f>ROUND(tblTransactions[[#This Row],[gross_sales_inr]]*(1-tblTransactions[[#This Row],[discount_pct]]),2)</f>
        <v>851.75</v>
      </c>
      <c r="L3070" t="str">
        <f>IF(ABS(tblTransactions[[#This Row],[net_sales_inr]]-tblTransactions[[#This Row],[Recalc_Net_Sales]])&lt;0.02,"OK","CHECK")</f>
        <v>OK</v>
      </c>
      <c r="M3070" s="14">
        <f>DATE(YEAR(tblTransactions[[#This Row],[date]]),MONTH(tblTransactions[[#This Row],[date]]),1)</f>
        <v>45748</v>
      </c>
      <c r="N3070" t="str">
        <f>IF(WEEKDAY(tblTransactions[[#This Row],[date]],2)&gt;5,"Weekend","Weekday")</f>
        <v>Weekday</v>
      </c>
      <c r="O3070" s="13" t="str">
        <f>IF(tblTransactions[[#This Row],[discount_pct]]=0,"0%",IF(tblTransactions[[#This Row],[discount_pct]]&lt;=10%,"1–
10%",IF(tblTransactions[[#This Row],[discount_pct]]&lt;=20%,"11–20%","&gt;20%")))</f>
        <v>0%</v>
      </c>
      <c r="P3070" s="13" t="str">
        <f>_xlfn.XLOOKUP(tblTransactions[[#This Row],[tenant_id]],tblTenants[tenant_id],tblTenants[zone],"NOT FOUND")</f>
        <v>Food Court</v>
      </c>
      <c r="Q3070" s="13" t="str">
        <f>_xlfn.XLOOKUP(tblTransactions[[#This Row],[tenant_id]],tblTenants[tenant_id],tblTenants[category],"NOT FOUND")</f>
        <v>Quick Service</v>
      </c>
    </row>
    <row r="3071" spans="1:17">
      <c r="A3071" t="s">
        <v>3115</v>
      </c>
      <c r="B3071" s="2">
        <v>45757</v>
      </c>
      <c r="C3071">
        <v>16</v>
      </c>
      <c r="D3071" t="s">
        <v>80</v>
      </c>
      <c r="E3071" t="s">
        <v>51</v>
      </c>
      <c r="F3071" s="7">
        <v>1850.63</v>
      </c>
      <c r="G3071" s="10">
        <v>0.15</v>
      </c>
      <c r="H3071" s="7">
        <v>1573.04</v>
      </c>
      <c r="I3071">
        <v>2</v>
      </c>
      <c r="J3071" t="s">
        <v>16</v>
      </c>
      <c r="K3071" s="13">
        <f>ROUND(tblTransactions[[#This Row],[gross_sales_inr]]*(1-tblTransactions[[#This Row],[discount_pct]]),2)</f>
        <v>1573.04</v>
      </c>
      <c r="L3071" t="str">
        <f>IF(ABS(tblTransactions[[#This Row],[net_sales_inr]]-tblTransactions[[#This Row],[Recalc_Net_Sales]])&lt;0.02,"OK","CHECK")</f>
        <v>OK</v>
      </c>
      <c r="M3071" s="14">
        <f>DATE(YEAR(tblTransactions[[#This Row],[date]]),MONTH(tblTransactions[[#This Row],[date]]),1)</f>
        <v>45748</v>
      </c>
      <c r="N3071" t="str">
        <f>IF(WEEKDAY(tblTransactions[[#This Row],[date]],2)&gt;5,"Weekend","Weekday")</f>
        <v>Weekday</v>
      </c>
      <c r="O307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71" s="13" t="str">
        <f>_xlfn.XLOOKUP(tblTransactions[[#This Row],[tenant_id]],tblTenants[tenant_id],tblTenants[zone],"NOT FOUND")</f>
        <v>Food Court</v>
      </c>
      <c r="Q3071" s="13" t="str">
        <f>_xlfn.XLOOKUP(tblTransactions[[#This Row],[tenant_id]],tblTenants[tenant_id],tblTenants[category],"NOT FOUND")</f>
        <v>Casual Dining</v>
      </c>
    </row>
    <row r="3072" spans="1:17">
      <c r="A3072" t="s">
        <v>3116</v>
      </c>
      <c r="B3072" s="2">
        <v>45686</v>
      </c>
      <c r="C3072">
        <v>19</v>
      </c>
      <c r="D3072" t="s">
        <v>45</v>
      </c>
      <c r="E3072" t="s">
        <v>12</v>
      </c>
      <c r="F3072" s="7">
        <v>578.91</v>
      </c>
      <c r="G3072" s="10">
        <v>0</v>
      </c>
      <c r="H3072" s="7">
        <v>578.91</v>
      </c>
      <c r="I3072">
        <v>1</v>
      </c>
      <c r="J3072" t="s">
        <v>13</v>
      </c>
      <c r="K3072" s="13">
        <f>ROUND(tblTransactions[[#This Row],[gross_sales_inr]]*(1-tblTransactions[[#This Row],[discount_pct]]),2)</f>
        <v>578.91</v>
      </c>
      <c r="L3072" t="str">
        <f>IF(ABS(tblTransactions[[#This Row],[net_sales_inr]]-tblTransactions[[#This Row],[Recalc_Net_Sales]])&lt;0.02,"OK","CHECK")</f>
        <v>OK</v>
      </c>
      <c r="M3072" s="14">
        <f>DATE(YEAR(tblTransactions[[#This Row],[date]]),MONTH(tblTransactions[[#This Row],[date]]),1)</f>
        <v>45658</v>
      </c>
      <c r="N3072" t="str">
        <f>IF(WEEKDAY(tblTransactions[[#This Row],[date]],2)&gt;5,"Weekend","Weekday")</f>
        <v>Weekday</v>
      </c>
      <c r="O3072" s="13" t="str">
        <f>IF(tblTransactions[[#This Row],[discount_pct]]=0,"0%",IF(tblTransactions[[#This Row],[discount_pct]]&lt;=10%,"1–
10%",IF(tblTransactions[[#This Row],[discount_pct]]&lt;=20%,"11–20%","&gt;20%")))</f>
        <v>0%</v>
      </c>
      <c r="P3072" s="13" t="str">
        <f>_xlfn.XLOOKUP(tblTransactions[[#This Row],[tenant_id]],tblTenants[tenant_id],tblTenants[zone],"NOT FOUND")</f>
        <v>Home &amp; Living</v>
      </c>
      <c r="Q3072" s="13" t="str">
        <f>_xlfn.XLOOKUP(tblTransactions[[#This Row],[tenant_id]],tblTenants[tenant_id],tblTenants[category],"NOT FOUND")</f>
        <v>Home Decor</v>
      </c>
    </row>
    <row r="3073" spans="1:17">
      <c r="A3073" t="s">
        <v>3117</v>
      </c>
      <c r="B3073" s="2">
        <v>45827</v>
      </c>
      <c r="C3073">
        <v>17</v>
      </c>
      <c r="D3073" t="s">
        <v>48</v>
      </c>
      <c r="E3073" t="s">
        <v>32</v>
      </c>
      <c r="F3073" s="7">
        <v>255.14</v>
      </c>
      <c r="G3073" s="10">
        <v>0</v>
      </c>
      <c r="H3073" s="7">
        <v>255.14</v>
      </c>
      <c r="I3073">
        <v>1</v>
      </c>
      <c r="J3073" t="s">
        <v>13</v>
      </c>
      <c r="K3073" s="13">
        <f>ROUND(tblTransactions[[#This Row],[gross_sales_inr]]*(1-tblTransactions[[#This Row],[discount_pct]]),2)</f>
        <v>255.14</v>
      </c>
      <c r="L3073" t="str">
        <f>IF(ABS(tblTransactions[[#This Row],[net_sales_inr]]-tblTransactions[[#This Row],[Recalc_Net_Sales]])&lt;0.02,"OK","CHECK")</f>
        <v>OK</v>
      </c>
      <c r="M3073" s="14">
        <f>DATE(YEAR(tblTransactions[[#This Row],[date]]),MONTH(tblTransactions[[#This Row],[date]]),1)</f>
        <v>45809</v>
      </c>
      <c r="N3073" t="str">
        <f>IF(WEEKDAY(tblTransactions[[#This Row],[date]],2)&gt;5,"Weekend","Weekday")</f>
        <v>Weekday</v>
      </c>
      <c r="O3073" s="13" t="str">
        <f>IF(tblTransactions[[#This Row],[discount_pct]]=0,"0%",IF(tblTransactions[[#This Row],[discount_pct]]&lt;=10%,"1–
10%",IF(tblTransactions[[#This Row],[discount_pct]]&lt;=20%,"11–20%","&gt;20%")))</f>
        <v>0%</v>
      </c>
      <c r="P3073" s="13" t="str">
        <f>_xlfn.XLOOKUP(tblTransactions[[#This Row],[tenant_id]],tblTenants[tenant_id],tblTenants[zone],"NOT FOUND")</f>
        <v>Beauty &amp; Wellness</v>
      </c>
      <c r="Q3073" s="13" t="str">
        <f>_xlfn.XLOOKUP(tblTransactions[[#This Row],[tenant_id]],tblTenants[tenant_id],tblTenants[category],"NOT FOUND")</f>
        <v>Wellness</v>
      </c>
    </row>
    <row r="3074" spans="1:17">
      <c r="A3074" t="s">
        <v>3118</v>
      </c>
      <c r="B3074" s="2">
        <v>45766</v>
      </c>
      <c r="C3074">
        <v>10</v>
      </c>
      <c r="D3074" t="s">
        <v>43</v>
      </c>
      <c r="E3074" t="s">
        <v>32</v>
      </c>
      <c r="F3074" s="7">
        <v>938.95</v>
      </c>
      <c r="G3074" s="10">
        <v>0.1</v>
      </c>
      <c r="H3074" s="7">
        <v>845.06</v>
      </c>
      <c r="I3074">
        <v>1</v>
      </c>
      <c r="J3074" t="s">
        <v>13</v>
      </c>
      <c r="K3074" s="13">
        <f>ROUND(tblTransactions[[#This Row],[gross_sales_inr]]*(1-tblTransactions[[#This Row],[discount_pct]]),2)</f>
        <v>845.06</v>
      </c>
      <c r="L3074" t="str">
        <f>IF(ABS(tblTransactions[[#This Row],[net_sales_inr]]-tblTransactions[[#This Row],[Recalc_Net_Sales]])&lt;0.02,"OK","CHECK")</f>
        <v>OK</v>
      </c>
      <c r="M3074" s="14">
        <f>DATE(YEAR(tblTransactions[[#This Row],[date]]),MONTH(tblTransactions[[#This Row],[date]]),1)</f>
        <v>45748</v>
      </c>
      <c r="N3074" t="str">
        <f>IF(WEEKDAY(tblTransactions[[#This Row],[date]],2)&gt;5,"Weekend","Weekday")</f>
        <v>Weekend</v>
      </c>
      <c r="O307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74" s="13" t="str">
        <f>_xlfn.XLOOKUP(tblTransactions[[#This Row],[tenant_id]],tblTenants[tenant_id],tblTenants[zone],"NOT FOUND")</f>
        <v>Food Court</v>
      </c>
      <c r="Q3074" s="13" t="str">
        <f>_xlfn.XLOOKUP(tblTransactions[[#This Row],[tenant_id]],tblTenants[tenant_id],tblTenants[category],"NOT FOUND")</f>
        <v>Casual Dining</v>
      </c>
    </row>
    <row r="3075" spans="1:17">
      <c r="A3075" t="s">
        <v>3119</v>
      </c>
      <c r="B3075" s="2">
        <v>45694</v>
      </c>
      <c r="C3075">
        <v>12</v>
      </c>
      <c r="D3075" t="s">
        <v>57</v>
      </c>
      <c r="E3075" t="s">
        <v>12</v>
      </c>
      <c r="F3075" s="7">
        <v>1220.6300000000001</v>
      </c>
      <c r="G3075" s="10">
        <v>0</v>
      </c>
      <c r="H3075" s="7">
        <v>1220.6300000000001</v>
      </c>
      <c r="I3075">
        <v>1</v>
      </c>
      <c r="J3075" t="s">
        <v>13</v>
      </c>
      <c r="K3075" s="13">
        <f>ROUND(tblTransactions[[#This Row],[gross_sales_inr]]*(1-tblTransactions[[#This Row],[discount_pct]]),2)</f>
        <v>1220.6300000000001</v>
      </c>
      <c r="L3075" t="str">
        <f>IF(ABS(tblTransactions[[#This Row],[net_sales_inr]]-tblTransactions[[#This Row],[Recalc_Net_Sales]])&lt;0.02,"OK","CHECK")</f>
        <v>OK</v>
      </c>
      <c r="M3075" s="14">
        <f>DATE(YEAR(tblTransactions[[#This Row],[date]]),MONTH(tblTransactions[[#This Row],[date]]),1)</f>
        <v>45689</v>
      </c>
      <c r="N3075" t="str">
        <f>IF(WEEKDAY(tblTransactions[[#This Row],[date]],2)&gt;5,"Weekend","Weekday")</f>
        <v>Weekday</v>
      </c>
      <c r="O3075" s="13" t="str">
        <f>IF(tblTransactions[[#This Row],[discount_pct]]=0,"0%",IF(tblTransactions[[#This Row],[discount_pct]]&lt;=10%,"1–
10%",IF(tblTransactions[[#This Row],[discount_pct]]&lt;=20%,"11–20%","&gt;20%")))</f>
        <v>0%</v>
      </c>
      <c r="P3075" s="13" t="str">
        <f>_xlfn.XLOOKUP(tblTransactions[[#This Row],[tenant_id]],tblTenants[tenant_id],tblTenants[zone],"NOT FOUND")</f>
        <v>Food Court</v>
      </c>
      <c r="Q3075" s="13" t="str">
        <f>_xlfn.XLOOKUP(tblTransactions[[#This Row],[tenant_id]],tblTenants[tenant_id],tblTenants[category],"NOT FOUND")</f>
        <v>Casual Dining</v>
      </c>
    </row>
    <row r="3076" spans="1:17">
      <c r="A3076" t="s">
        <v>3120</v>
      </c>
      <c r="B3076" s="2">
        <v>45701</v>
      </c>
      <c r="C3076">
        <v>21</v>
      </c>
      <c r="D3076" t="s">
        <v>80</v>
      </c>
      <c r="E3076" t="s">
        <v>12</v>
      </c>
      <c r="F3076" s="7">
        <v>596.07000000000005</v>
      </c>
      <c r="G3076" s="10">
        <v>0</v>
      </c>
      <c r="H3076" s="7">
        <v>596.07000000000005</v>
      </c>
      <c r="I3076">
        <v>2</v>
      </c>
      <c r="J3076" t="s">
        <v>13</v>
      </c>
      <c r="K3076" s="13">
        <f>ROUND(tblTransactions[[#This Row],[gross_sales_inr]]*(1-tblTransactions[[#This Row],[discount_pct]]),2)</f>
        <v>596.07000000000005</v>
      </c>
      <c r="L3076" t="str">
        <f>IF(ABS(tblTransactions[[#This Row],[net_sales_inr]]-tblTransactions[[#This Row],[Recalc_Net_Sales]])&lt;0.02,"OK","CHECK")</f>
        <v>OK</v>
      </c>
      <c r="M3076" s="14">
        <f>DATE(YEAR(tblTransactions[[#This Row],[date]]),MONTH(tblTransactions[[#This Row],[date]]),1)</f>
        <v>45689</v>
      </c>
      <c r="N3076" t="str">
        <f>IF(WEEKDAY(tblTransactions[[#This Row],[date]],2)&gt;5,"Weekend","Weekday")</f>
        <v>Weekday</v>
      </c>
      <c r="O3076" s="13" t="str">
        <f>IF(tblTransactions[[#This Row],[discount_pct]]=0,"0%",IF(tblTransactions[[#This Row],[discount_pct]]&lt;=10%,"1–
10%",IF(tblTransactions[[#This Row],[discount_pct]]&lt;=20%,"11–20%","&gt;20%")))</f>
        <v>0%</v>
      </c>
      <c r="P3076" s="13" t="str">
        <f>_xlfn.XLOOKUP(tblTransactions[[#This Row],[tenant_id]],tblTenants[tenant_id],tblTenants[zone],"NOT FOUND")</f>
        <v>Food Court</v>
      </c>
      <c r="Q3076" s="13" t="str">
        <f>_xlfn.XLOOKUP(tblTransactions[[#This Row],[tenant_id]],tblTenants[tenant_id],tblTenants[category],"NOT FOUND")</f>
        <v>Casual Dining</v>
      </c>
    </row>
    <row r="3077" spans="1:17">
      <c r="A3077" t="s">
        <v>3121</v>
      </c>
      <c r="B3077" s="2">
        <v>45662</v>
      </c>
      <c r="C3077">
        <v>22</v>
      </c>
      <c r="D3077" t="s">
        <v>20</v>
      </c>
      <c r="E3077" t="s">
        <v>12</v>
      </c>
      <c r="F3077" s="7">
        <v>864.8</v>
      </c>
      <c r="G3077" s="10">
        <v>0</v>
      </c>
      <c r="H3077" s="7">
        <v>864.8</v>
      </c>
      <c r="I3077">
        <v>1</v>
      </c>
      <c r="J3077" t="s">
        <v>16</v>
      </c>
      <c r="K3077" s="13">
        <f>ROUND(tblTransactions[[#This Row],[gross_sales_inr]]*(1-tblTransactions[[#This Row],[discount_pct]]),2)</f>
        <v>864.8</v>
      </c>
      <c r="L3077" t="str">
        <f>IF(ABS(tblTransactions[[#This Row],[net_sales_inr]]-tblTransactions[[#This Row],[Recalc_Net_Sales]])&lt;0.02,"OK","CHECK")</f>
        <v>OK</v>
      </c>
      <c r="M3077" s="14">
        <f>DATE(YEAR(tblTransactions[[#This Row],[date]]),MONTH(tblTransactions[[#This Row],[date]]),1)</f>
        <v>45658</v>
      </c>
      <c r="N3077" t="str">
        <f>IF(WEEKDAY(tblTransactions[[#This Row],[date]],2)&gt;5,"Weekend","Weekday")</f>
        <v>Weekend</v>
      </c>
      <c r="O3077" s="13" t="str">
        <f>IF(tblTransactions[[#This Row],[discount_pct]]=0,"0%",IF(tblTransactions[[#This Row],[discount_pct]]&lt;=10%,"1–
10%",IF(tblTransactions[[#This Row],[discount_pct]]&lt;=20%,"11–20%","&gt;20%")))</f>
        <v>0%</v>
      </c>
      <c r="P3077" s="13" t="str">
        <f>_xlfn.XLOOKUP(tblTransactions[[#This Row],[tenant_id]],tblTenants[tenant_id],tblTenants[zone],"NOT FOUND")</f>
        <v>Fashion Avenue</v>
      </c>
      <c r="Q3077" s="13" t="str">
        <f>_xlfn.XLOOKUP(tblTransactions[[#This Row],[tenant_id]],tblTenants[tenant_id],tblTenants[category],"NOT FOUND")</f>
        <v>Accessories</v>
      </c>
    </row>
    <row r="3078" spans="1:17">
      <c r="A3078" t="s">
        <v>3122</v>
      </c>
      <c r="B3078" s="2">
        <v>45685</v>
      </c>
      <c r="C3078">
        <v>17</v>
      </c>
      <c r="D3078" t="s">
        <v>20</v>
      </c>
      <c r="E3078" t="s">
        <v>32</v>
      </c>
      <c r="F3078" s="7">
        <v>360.65</v>
      </c>
      <c r="G3078" s="10">
        <v>0</v>
      </c>
      <c r="H3078" s="7">
        <v>360.65</v>
      </c>
      <c r="I3078">
        <v>1</v>
      </c>
      <c r="J3078" t="s">
        <v>13</v>
      </c>
      <c r="K3078" s="13">
        <f>ROUND(tblTransactions[[#This Row],[gross_sales_inr]]*(1-tblTransactions[[#This Row],[discount_pct]]),2)</f>
        <v>360.65</v>
      </c>
      <c r="L3078" t="str">
        <f>IF(ABS(tblTransactions[[#This Row],[net_sales_inr]]-tblTransactions[[#This Row],[Recalc_Net_Sales]])&lt;0.02,"OK","CHECK")</f>
        <v>OK</v>
      </c>
      <c r="M3078" s="14">
        <f>DATE(YEAR(tblTransactions[[#This Row],[date]]),MONTH(tblTransactions[[#This Row],[date]]),1)</f>
        <v>45658</v>
      </c>
      <c r="N3078" t="str">
        <f>IF(WEEKDAY(tblTransactions[[#This Row],[date]],2)&gt;5,"Weekend","Weekday")</f>
        <v>Weekday</v>
      </c>
      <c r="O3078" s="13" t="str">
        <f>IF(tblTransactions[[#This Row],[discount_pct]]=0,"0%",IF(tblTransactions[[#This Row],[discount_pct]]&lt;=10%,"1–
10%",IF(tblTransactions[[#This Row],[discount_pct]]&lt;=20%,"11–20%","&gt;20%")))</f>
        <v>0%</v>
      </c>
      <c r="P3078" s="13" t="str">
        <f>_xlfn.XLOOKUP(tblTransactions[[#This Row],[tenant_id]],tblTenants[tenant_id],tblTenants[zone],"NOT FOUND")</f>
        <v>Fashion Avenue</v>
      </c>
      <c r="Q3078" s="13" t="str">
        <f>_xlfn.XLOOKUP(tblTransactions[[#This Row],[tenant_id]],tblTenants[tenant_id],tblTenants[category],"NOT FOUND")</f>
        <v>Accessories</v>
      </c>
    </row>
    <row r="3079" spans="1:17">
      <c r="A3079" t="s">
        <v>3123</v>
      </c>
      <c r="B3079" s="2">
        <v>45679</v>
      </c>
      <c r="C3079">
        <v>14</v>
      </c>
      <c r="D3079" t="s">
        <v>57</v>
      </c>
      <c r="E3079" t="s">
        <v>32</v>
      </c>
      <c r="F3079" s="7">
        <v>2596.42</v>
      </c>
      <c r="G3079" s="10">
        <v>0.05</v>
      </c>
      <c r="H3079" s="7">
        <v>2466.6</v>
      </c>
      <c r="I3079">
        <v>2</v>
      </c>
      <c r="J3079" t="s">
        <v>13</v>
      </c>
      <c r="K3079" s="13">
        <f>ROUND(tblTransactions[[#This Row],[gross_sales_inr]]*(1-tblTransactions[[#This Row],[discount_pct]]),2)</f>
        <v>2466.6</v>
      </c>
      <c r="L3079" t="str">
        <f>IF(ABS(tblTransactions[[#This Row],[net_sales_inr]]-tblTransactions[[#This Row],[Recalc_Net_Sales]])&lt;0.02,"OK","CHECK")</f>
        <v>OK</v>
      </c>
      <c r="M3079" s="14">
        <f>DATE(YEAR(tblTransactions[[#This Row],[date]]),MONTH(tblTransactions[[#This Row],[date]]),1)</f>
        <v>45658</v>
      </c>
      <c r="N3079" t="str">
        <f>IF(WEEKDAY(tblTransactions[[#This Row],[date]],2)&gt;5,"Weekend","Weekday")</f>
        <v>Weekday</v>
      </c>
      <c r="O307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79" s="13" t="str">
        <f>_xlfn.XLOOKUP(tblTransactions[[#This Row],[tenant_id]],tblTenants[tenant_id],tblTenants[zone],"NOT FOUND")</f>
        <v>Food Court</v>
      </c>
      <c r="Q3079" s="13" t="str">
        <f>_xlfn.XLOOKUP(tblTransactions[[#This Row],[tenant_id]],tblTenants[tenant_id],tblTenants[category],"NOT FOUND")</f>
        <v>Casual Dining</v>
      </c>
    </row>
    <row r="3080" spans="1:17">
      <c r="A3080" t="s">
        <v>3124</v>
      </c>
      <c r="B3080" s="2">
        <v>45668</v>
      </c>
      <c r="C3080">
        <v>13</v>
      </c>
      <c r="D3080" t="s">
        <v>59</v>
      </c>
      <c r="E3080" t="s">
        <v>32</v>
      </c>
      <c r="F3080" s="7">
        <v>2468.3200000000002</v>
      </c>
      <c r="G3080" s="10">
        <v>0</v>
      </c>
      <c r="H3080" s="7">
        <v>2468.3200000000002</v>
      </c>
      <c r="I3080">
        <v>3</v>
      </c>
      <c r="J3080" t="s">
        <v>13</v>
      </c>
      <c r="K3080" s="13">
        <f>ROUND(tblTransactions[[#This Row],[gross_sales_inr]]*(1-tblTransactions[[#This Row],[discount_pct]]),2)</f>
        <v>2468.3200000000002</v>
      </c>
      <c r="L3080" t="str">
        <f>IF(ABS(tblTransactions[[#This Row],[net_sales_inr]]-tblTransactions[[#This Row],[Recalc_Net_Sales]])&lt;0.02,"OK","CHECK")</f>
        <v>OK</v>
      </c>
      <c r="M3080" s="14">
        <f>DATE(YEAR(tblTransactions[[#This Row],[date]]),MONTH(tblTransactions[[#This Row],[date]]),1)</f>
        <v>45658</v>
      </c>
      <c r="N3080" t="str">
        <f>IF(WEEKDAY(tblTransactions[[#This Row],[date]],2)&gt;5,"Weekend","Weekday")</f>
        <v>Weekend</v>
      </c>
      <c r="O3080" s="13" t="str">
        <f>IF(tblTransactions[[#This Row],[discount_pct]]=0,"0%",IF(tblTransactions[[#This Row],[discount_pct]]&lt;=10%,"1–
10%",IF(tblTransactions[[#This Row],[discount_pct]]&lt;=20%,"11–20%","&gt;20%")))</f>
        <v>0%</v>
      </c>
      <c r="P3080" s="13" t="str">
        <f>_xlfn.XLOOKUP(tblTransactions[[#This Row],[tenant_id]],tblTenants[tenant_id],tblTenants[zone],"NOT FOUND")</f>
        <v>Fashion Avenue</v>
      </c>
      <c r="Q3080" s="13" t="str">
        <f>_xlfn.XLOOKUP(tblTransactions[[#This Row],[tenant_id]],tblTenants[tenant_id],tblTenants[category],"NOT FOUND")</f>
        <v>Footwear</v>
      </c>
    </row>
    <row r="3081" spans="1:17">
      <c r="A3081" t="s">
        <v>3125</v>
      </c>
      <c r="B3081" s="2">
        <v>45778</v>
      </c>
      <c r="C3081">
        <v>16</v>
      </c>
      <c r="D3081" t="s">
        <v>204</v>
      </c>
      <c r="E3081" t="s">
        <v>12</v>
      </c>
      <c r="F3081" s="7">
        <v>901.86</v>
      </c>
      <c r="G3081" s="10">
        <v>0</v>
      </c>
      <c r="H3081" s="7">
        <v>901.86</v>
      </c>
      <c r="I3081">
        <v>3</v>
      </c>
      <c r="J3081" t="s">
        <v>16</v>
      </c>
      <c r="K3081" s="13">
        <f>ROUND(tblTransactions[[#This Row],[gross_sales_inr]]*(1-tblTransactions[[#This Row],[discount_pct]]),2)</f>
        <v>901.86</v>
      </c>
      <c r="L3081" t="str">
        <f>IF(ABS(tblTransactions[[#This Row],[net_sales_inr]]-tblTransactions[[#This Row],[Recalc_Net_Sales]])&lt;0.02,"OK","CHECK")</f>
        <v>OK</v>
      </c>
      <c r="M3081" s="14">
        <f>DATE(YEAR(tblTransactions[[#This Row],[date]]),MONTH(tblTransactions[[#This Row],[date]]),1)</f>
        <v>45778</v>
      </c>
      <c r="N3081" t="str">
        <f>IF(WEEKDAY(tblTransactions[[#This Row],[date]],2)&gt;5,"Weekend","Weekday")</f>
        <v>Weekday</v>
      </c>
      <c r="O3081" s="13" t="str">
        <f>IF(tblTransactions[[#This Row],[discount_pct]]=0,"0%",IF(tblTransactions[[#This Row],[discount_pct]]&lt;=10%,"1–
10%",IF(tblTransactions[[#This Row],[discount_pct]]&lt;=20%,"11–20%","&gt;20%")))</f>
        <v>0%</v>
      </c>
      <c r="P3081" s="13" t="str">
        <f>_xlfn.XLOOKUP(tblTransactions[[#This Row],[tenant_id]],tblTenants[tenant_id],tblTenants[zone],"NOT FOUND")</f>
        <v>Home &amp; Living</v>
      </c>
      <c r="Q3081" s="13" t="str">
        <f>_xlfn.XLOOKUP(tblTransactions[[#This Row],[tenant_id]],tblTenants[tenant_id],tblTenants[category],"NOT FOUND")</f>
        <v>Home Decor</v>
      </c>
    </row>
    <row r="3082" spans="1:17">
      <c r="A3082" t="s">
        <v>3126</v>
      </c>
      <c r="B3082" s="2">
        <v>45832</v>
      </c>
      <c r="C3082">
        <v>17</v>
      </c>
      <c r="D3082" t="s">
        <v>43</v>
      </c>
      <c r="E3082" t="s">
        <v>32</v>
      </c>
      <c r="F3082" s="7">
        <v>1062.25</v>
      </c>
      <c r="G3082" s="10">
        <v>0</v>
      </c>
      <c r="H3082" s="7">
        <v>1062.25</v>
      </c>
      <c r="I3082">
        <v>2</v>
      </c>
      <c r="J3082" t="s">
        <v>16</v>
      </c>
      <c r="K3082" s="13">
        <f>ROUND(tblTransactions[[#This Row],[gross_sales_inr]]*(1-tblTransactions[[#This Row],[discount_pct]]),2)</f>
        <v>1062.25</v>
      </c>
      <c r="L3082" t="str">
        <f>IF(ABS(tblTransactions[[#This Row],[net_sales_inr]]-tblTransactions[[#This Row],[Recalc_Net_Sales]])&lt;0.02,"OK","CHECK")</f>
        <v>OK</v>
      </c>
      <c r="M3082" s="14">
        <f>DATE(YEAR(tblTransactions[[#This Row],[date]]),MONTH(tblTransactions[[#This Row],[date]]),1)</f>
        <v>45809</v>
      </c>
      <c r="N3082" t="str">
        <f>IF(WEEKDAY(tblTransactions[[#This Row],[date]],2)&gt;5,"Weekend","Weekday")</f>
        <v>Weekday</v>
      </c>
      <c r="O3082" s="13" t="str">
        <f>IF(tblTransactions[[#This Row],[discount_pct]]=0,"0%",IF(tblTransactions[[#This Row],[discount_pct]]&lt;=10%,"1–
10%",IF(tblTransactions[[#This Row],[discount_pct]]&lt;=20%,"11–20%","&gt;20%")))</f>
        <v>0%</v>
      </c>
      <c r="P3082" s="13" t="str">
        <f>_xlfn.XLOOKUP(tblTransactions[[#This Row],[tenant_id]],tblTenants[tenant_id],tblTenants[zone],"NOT FOUND")</f>
        <v>Food Court</v>
      </c>
      <c r="Q3082" s="13" t="str">
        <f>_xlfn.XLOOKUP(tblTransactions[[#This Row],[tenant_id]],tblTenants[tenant_id],tblTenants[category],"NOT FOUND")</f>
        <v>Casual Dining</v>
      </c>
    </row>
    <row r="3083" spans="1:17">
      <c r="A3083" t="s">
        <v>3127</v>
      </c>
      <c r="B3083" s="2">
        <v>45700</v>
      </c>
      <c r="C3083">
        <v>10</v>
      </c>
      <c r="D3083" t="s">
        <v>55</v>
      </c>
      <c r="E3083" t="s">
        <v>32</v>
      </c>
      <c r="F3083" s="7">
        <v>731.1</v>
      </c>
      <c r="G3083" s="10">
        <v>0.3</v>
      </c>
      <c r="H3083" s="7">
        <v>511.77</v>
      </c>
      <c r="I3083">
        <v>1</v>
      </c>
      <c r="J3083" t="s">
        <v>16</v>
      </c>
      <c r="K3083" s="13">
        <f>ROUND(tblTransactions[[#This Row],[gross_sales_inr]]*(1-tblTransactions[[#This Row],[discount_pct]]),2)</f>
        <v>511.77</v>
      </c>
      <c r="L3083" t="str">
        <f>IF(ABS(tblTransactions[[#This Row],[net_sales_inr]]-tblTransactions[[#This Row],[Recalc_Net_Sales]])&lt;0.02,"OK","CHECK")</f>
        <v>OK</v>
      </c>
      <c r="M3083" s="14">
        <f>DATE(YEAR(tblTransactions[[#This Row],[date]]),MONTH(tblTransactions[[#This Row],[date]]),1)</f>
        <v>45689</v>
      </c>
      <c r="N3083" t="str">
        <f>IF(WEEKDAY(tblTransactions[[#This Row],[date]],2)&gt;5,"Weekend","Weekday")</f>
        <v>Weekday</v>
      </c>
      <c r="O3083" s="13" t="str">
        <f>IF(tblTransactions[[#This Row],[discount_pct]]=0,"0%",IF(tblTransactions[[#This Row],[discount_pct]]&lt;=10%,"1–
10%",IF(tblTransactions[[#This Row],[discount_pct]]&lt;=20%,"11–20%","&gt;20%")))</f>
        <v>&gt;20%</v>
      </c>
      <c r="P3083" s="13" t="str">
        <f>_xlfn.XLOOKUP(tblTransactions[[#This Row],[tenant_id]],tblTenants[tenant_id],tblTenants[zone],"NOT FOUND")</f>
        <v>Food Court</v>
      </c>
      <c r="Q3083" s="13" t="str">
        <f>_xlfn.XLOOKUP(tblTransactions[[#This Row],[tenant_id]],tblTenants[tenant_id],tblTenants[category],"NOT FOUND")</f>
        <v>Quick Service</v>
      </c>
    </row>
    <row r="3084" spans="1:17">
      <c r="A3084" t="s">
        <v>3128</v>
      </c>
      <c r="B3084" s="2">
        <v>45795</v>
      </c>
      <c r="C3084">
        <v>15</v>
      </c>
      <c r="D3084" t="s">
        <v>27</v>
      </c>
      <c r="E3084" t="s">
        <v>12</v>
      </c>
      <c r="F3084" s="7">
        <v>1495.1</v>
      </c>
      <c r="G3084" s="10">
        <v>0.05</v>
      </c>
      <c r="H3084" s="7">
        <v>1420.34</v>
      </c>
      <c r="I3084">
        <v>4</v>
      </c>
      <c r="J3084" t="s">
        <v>13</v>
      </c>
      <c r="K3084" s="13">
        <f>ROUND(tblTransactions[[#This Row],[gross_sales_inr]]*(1-tblTransactions[[#This Row],[discount_pct]]),2)</f>
        <v>1420.35</v>
      </c>
      <c r="L3084" t="str">
        <f>IF(ABS(tblTransactions[[#This Row],[net_sales_inr]]-tblTransactions[[#This Row],[Recalc_Net_Sales]])&lt;0.02,"OK","CHECK")</f>
        <v>OK</v>
      </c>
      <c r="M3084" s="14">
        <f>DATE(YEAR(tblTransactions[[#This Row],[date]]),MONTH(tblTransactions[[#This Row],[date]]),1)</f>
        <v>45778</v>
      </c>
      <c r="N3084" t="str">
        <f>IF(WEEKDAY(tblTransactions[[#This Row],[date]],2)&gt;5,"Weekend","Weekday")</f>
        <v>Weekend</v>
      </c>
      <c r="O308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84" s="13" t="str">
        <f>_xlfn.XLOOKUP(tblTransactions[[#This Row],[tenant_id]],tblTenants[tenant_id],tblTenants[zone],"NOT FOUND")</f>
        <v>Beauty &amp; Wellness</v>
      </c>
      <c r="Q3084" s="13" t="str">
        <f>_xlfn.XLOOKUP(tblTransactions[[#This Row],[tenant_id]],tblTenants[tenant_id],tblTenants[category],"NOT FOUND")</f>
        <v>Wellness</v>
      </c>
    </row>
    <row r="3085" spans="1:17">
      <c r="A3085" t="s">
        <v>3129</v>
      </c>
      <c r="B3085" s="2">
        <v>45798</v>
      </c>
      <c r="C3085">
        <v>15</v>
      </c>
      <c r="D3085" t="s">
        <v>70</v>
      </c>
      <c r="E3085" t="s">
        <v>21</v>
      </c>
      <c r="F3085" s="7">
        <v>2783.03</v>
      </c>
      <c r="G3085" s="10">
        <v>0.1</v>
      </c>
      <c r="H3085" s="7">
        <v>2504.73</v>
      </c>
      <c r="I3085">
        <v>2</v>
      </c>
      <c r="J3085" t="s">
        <v>13</v>
      </c>
      <c r="K3085" s="13">
        <f>ROUND(tblTransactions[[#This Row],[gross_sales_inr]]*(1-tblTransactions[[#This Row],[discount_pct]]),2)</f>
        <v>2504.73</v>
      </c>
      <c r="L3085" t="str">
        <f>IF(ABS(tblTransactions[[#This Row],[net_sales_inr]]-tblTransactions[[#This Row],[Recalc_Net_Sales]])&lt;0.02,"OK","CHECK")</f>
        <v>OK</v>
      </c>
      <c r="M3085" s="14">
        <f>DATE(YEAR(tblTransactions[[#This Row],[date]]),MONTH(tblTransactions[[#This Row],[date]]),1)</f>
        <v>45778</v>
      </c>
      <c r="N3085" t="str">
        <f>IF(WEEKDAY(tblTransactions[[#This Row],[date]],2)&gt;5,"Weekend","Weekday")</f>
        <v>Weekday</v>
      </c>
      <c r="O308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85" s="13" t="str">
        <f>_xlfn.XLOOKUP(tblTransactions[[#This Row],[tenant_id]],tblTenants[tenant_id],tblTenants[zone],"NOT FOUND")</f>
        <v>Food Court</v>
      </c>
      <c r="Q3085" s="13" t="str">
        <f>_xlfn.XLOOKUP(tblTransactions[[#This Row],[tenant_id]],tblTenants[tenant_id],tblTenants[category],"NOT FOUND")</f>
        <v>Quick Service</v>
      </c>
    </row>
    <row r="3086" spans="1:17">
      <c r="A3086" t="s">
        <v>3130</v>
      </c>
      <c r="B3086" s="2">
        <v>45814</v>
      </c>
      <c r="C3086">
        <v>15</v>
      </c>
      <c r="D3086" t="s">
        <v>55</v>
      </c>
      <c r="E3086" t="s">
        <v>21</v>
      </c>
      <c r="F3086" s="7">
        <v>468.39</v>
      </c>
      <c r="G3086" s="10">
        <v>0</v>
      </c>
      <c r="H3086" s="7">
        <v>468.39</v>
      </c>
      <c r="I3086">
        <v>1</v>
      </c>
      <c r="J3086" t="s">
        <v>16</v>
      </c>
      <c r="K3086" s="13">
        <f>ROUND(tblTransactions[[#This Row],[gross_sales_inr]]*(1-tblTransactions[[#This Row],[discount_pct]]),2)</f>
        <v>468.39</v>
      </c>
      <c r="L3086" t="str">
        <f>IF(ABS(tblTransactions[[#This Row],[net_sales_inr]]-tblTransactions[[#This Row],[Recalc_Net_Sales]])&lt;0.02,"OK","CHECK")</f>
        <v>OK</v>
      </c>
      <c r="M3086" s="14">
        <f>DATE(YEAR(tblTransactions[[#This Row],[date]]),MONTH(tblTransactions[[#This Row],[date]]),1)</f>
        <v>45809</v>
      </c>
      <c r="N3086" t="str">
        <f>IF(WEEKDAY(tblTransactions[[#This Row],[date]],2)&gt;5,"Weekend","Weekday")</f>
        <v>Weekday</v>
      </c>
      <c r="O3086" s="13" t="str">
        <f>IF(tblTransactions[[#This Row],[discount_pct]]=0,"0%",IF(tblTransactions[[#This Row],[discount_pct]]&lt;=10%,"1–
10%",IF(tblTransactions[[#This Row],[discount_pct]]&lt;=20%,"11–20%","&gt;20%")))</f>
        <v>0%</v>
      </c>
      <c r="P3086" s="13" t="str">
        <f>_xlfn.XLOOKUP(tblTransactions[[#This Row],[tenant_id]],tblTenants[tenant_id],tblTenants[zone],"NOT FOUND")</f>
        <v>Food Court</v>
      </c>
      <c r="Q3086" s="13" t="str">
        <f>_xlfn.XLOOKUP(tblTransactions[[#This Row],[tenant_id]],tblTenants[tenant_id],tblTenants[category],"NOT FOUND")</f>
        <v>Quick Service</v>
      </c>
    </row>
    <row r="3087" spans="1:17">
      <c r="A3087" t="s">
        <v>3131</v>
      </c>
      <c r="B3087" s="2">
        <v>45661</v>
      </c>
      <c r="C3087">
        <v>13</v>
      </c>
      <c r="D3087" t="s">
        <v>29</v>
      </c>
      <c r="E3087" t="s">
        <v>21</v>
      </c>
      <c r="F3087" s="7">
        <v>189.96</v>
      </c>
      <c r="G3087" s="10">
        <v>0.2</v>
      </c>
      <c r="H3087" s="7">
        <v>151.97</v>
      </c>
      <c r="I3087">
        <v>1</v>
      </c>
      <c r="J3087" t="s">
        <v>13</v>
      </c>
      <c r="K3087" s="13">
        <f>ROUND(tblTransactions[[#This Row],[gross_sales_inr]]*(1-tblTransactions[[#This Row],[discount_pct]]),2)</f>
        <v>151.97</v>
      </c>
      <c r="L3087" t="str">
        <f>IF(ABS(tblTransactions[[#This Row],[net_sales_inr]]-tblTransactions[[#This Row],[Recalc_Net_Sales]])&lt;0.02,"OK","CHECK")</f>
        <v>OK</v>
      </c>
      <c r="M3087" s="14">
        <f>DATE(YEAR(tblTransactions[[#This Row],[date]]),MONTH(tblTransactions[[#This Row],[date]]),1)</f>
        <v>45658</v>
      </c>
      <c r="N3087" t="str">
        <f>IF(WEEKDAY(tblTransactions[[#This Row],[date]],2)&gt;5,"Weekend","Weekday")</f>
        <v>Weekend</v>
      </c>
      <c r="O308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87" s="13" t="str">
        <f>_xlfn.XLOOKUP(tblTransactions[[#This Row],[tenant_id]],tblTenants[tenant_id],tblTenants[zone],"NOT FOUND")</f>
        <v>Entertainment</v>
      </c>
      <c r="Q3087" s="13" t="str">
        <f>_xlfn.XLOOKUP(tblTransactions[[#This Row],[tenant_id]],tblTenants[tenant_id],tblTenants[category],"NOT FOUND")</f>
        <v>Cinema</v>
      </c>
    </row>
    <row r="3088" spans="1:17">
      <c r="A3088" t="s">
        <v>3132</v>
      </c>
      <c r="B3088" s="2">
        <v>45674</v>
      </c>
      <c r="C3088">
        <v>13</v>
      </c>
      <c r="D3088" t="s">
        <v>31</v>
      </c>
      <c r="E3088" t="s">
        <v>21</v>
      </c>
      <c r="F3088" s="7">
        <v>555.22</v>
      </c>
      <c r="G3088" s="10">
        <v>0</v>
      </c>
      <c r="H3088" s="7">
        <v>555.22</v>
      </c>
      <c r="I3088">
        <v>3</v>
      </c>
      <c r="J3088" t="s">
        <v>13</v>
      </c>
      <c r="K3088" s="13">
        <f>ROUND(tblTransactions[[#This Row],[gross_sales_inr]]*(1-tblTransactions[[#This Row],[discount_pct]]),2)</f>
        <v>555.22</v>
      </c>
      <c r="L3088" t="str">
        <f>IF(ABS(tblTransactions[[#This Row],[net_sales_inr]]-tblTransactions[[#This Row],[Recalc_Net_Sales]])&lt;0.02,"OK","CHECK")</f>
        <v>OK</v>
      </c>
      <c r="M3088" s="14">
        <f>DATE(YEAR(tblTransactions[[#This Row],[date]]),MONTH(tblTransactions[[#This Row],[date]]),1)</f>
        <v>45658</v>
      </c>
      <c r="N3088" t="str">
        <f>IF(WEEKDAY(tblTransactions[[#This Row],[date]],2)&gt;5,"Weekend","Weekday")</f>
        <v>Weekday</v>
      </c>
      <c r="O3088" s="13" t="str">
        <f>IF(tblTransactions[[#This Row],[discount_pct]]=0,"0%",IF(tblTransactions[[#This Row],[discount_pct]]&lt;=10%,"1–
10%",IF(tblTransactions[[#This Row],[discount_pct]]&lt;=20%,"11–20%","&gt;20%")))</f>
        <v>0%</v>
      </c>
      <c r="P3088" s="13" t="str">
        <f>_xlfn.XLOOKUP(tblTransactions[[#This Row],[tenant_id]],tblTenants[tenant_id],tblTenants[zone],"NOT FOUND")</f>
        <v>Entertainment</v>
      </c>
      <c r="Q3088" s="13" t="str">
        <f>_xlfn.XLOOKUP(tblTransactions[[#This Row],[tenant_id]],tblTenants[tenant_id],tblTenants[category],"NOT FOUND")</f>
        <v>Arcade</v>
      </c>
    </row>
    <row r="3089" spans="1:17">
      <c r="A3089" t="s">
        <v>3133</v>
      </c>
      <c r="B3089" s="2">
        <v>45829</v>
      </c>
      <c r="C3089">
        <v>14</v>
      </c>
      <c r="D3089" t="s">
        <v>25</v>
      </c>
      <c r="E3089" t="s">
        <v>12</v>
      </c>
      <c r="F3089" s="7">
        <v>1512.52</v>
      </c>
      <c r="G3089" s="10">
        <v>0</v>
      </c>
      <c r="H3089" s="7">
        <v>1512.52</v>
      </c>
      <c r="I3089">
        <v>3</v>
      </c>
      <c r="J3089" t="s">
        <v>13</v>
      </c>
      <c r="K3089" s="13">
        <f>ROUND(tblTransactions[[#This Row],[gross_sales_inr]]*(1-tblTransactions[[#This Row],[discount_pct]]),2)</f>
        <v>1512.52</v>
      </c>
      <c r="L3089" t="str">
        <f>IF(ABS(tblTransactions[[#This Row],[net_sales_inr]]-tblTransactions[[#This Row],[Recalc_Net_Sales]])&lt;0.02,"OK","CHECK")</f>
        <v>OK</v>
      </c>
      <c r="M3089" s="14">
        <f>DATE(YEAR(tblTransactions[[#This Row],[date]]),MONTH(tblTransactions[[#This Row],[date]]),1)</f>
        <v>45809</v>
      </c>
      <c r="N3089" t="str">
        <f>IF(WEEKDAY(tblTransactions[[#This Row],[date]],2)&gt;5,"Weekend","Weekday")</f>
        <v>Weekend</v>
      </c>
      <c r="O3089" s="13" t="str">
        <f>IF(tblTransactions[[#This Row],[discount_pct]]=0,"0%",IF(tblTransactions[[#This Row],[discount_pct]]&lt;=10%,"1–
10%",IF(tblTransactions[[#This Row],[discount_pct]]&lt;=20%,"11–20%","&gt;20%")))</f>
        <v>0%</v>
      </c>
      <c r="P3089" s="13" t="str">
        <f>_xlfn.XLOOKUP(tblTransactions[[#This Row],[tenant_id]],tblTenants[tenant_id],tblTenants[zone],"NOT FOUND")</f>
        <v>Beauty &amp; Wellness</v>
      </c>
      <c r="Q3089" s="13" t="str">
        <f>_xlfn.XLOOKUP(tblTransactions[[#This Row],[tenant_id]],tblTenants[tenant_id],tblTenants[category],"NOT FOUND")</f>
        <v>Beauty</v>
      </c>
    </row>
    <row r="3090" spans="1:17">
      <c r="A3090" t="s">
        <v>3134</v>
      </c>
      <c r="B3090" s="2">
        <v>45739</v>
      </c>
      <c r="C3090">
        <v>19</v>
      </c>
      <c r="D3090" t="s">
        <v>70</v>
      </c>
      <c r="E3090" t="s">
        <v>12</v>
      </c>
      <c r="F3090" s="7">
        <v>1066.27</v>
      </c>
      <c r="G3090" s="10">
        <v>0</v>
      </c>
      <c r="H3090" s="7">
        <v>1066.27</v>
      </c>
      <c r="I3090">
        <v>1</v>
      </c>
      <c r="J3090" t="s">
        <v>13</v>
      </c>
      <c r="K3090" s="13">
        <f>ROUND(tblTransactions[[#This Row],[gross_sales_inr]]*(1-tblTransactions[[#This Row],[discount_pct]]),2)</f>
        <v>1066.27</v>
      </c>
      <c r="L3090" t="str">
        <f>IF(ABS(tblTransactions[[#This Row],[net_sales_inr]]-tblTransactions[[#This Row],[Recalc_Net_Sales]])&lt;0.02,"OK","CHECK")</f>
        <v>OK</v>
      </c>
      <c r="M3090" s="14">
        <f>DATE(YEAR(tblTransactions[[#This Row],[date]]),MONTH(tblTransactions[[#This Row],[date]]),1)</f>
        <v>45717</v>
      </c>
      <c r="N3090" t="str">
        <f>IF(WEEKDAY(tblTransactions[[#This Row],[date]],2)&gt;5,"Weekend","Weekday")</f>
        <v>Weekend</v>
      </c>
      <c r="O3090" s="13" t="str">
        <f>IF(tblTransactions[[#This Row],[discount_pct]]=0,"0%",IF(tblTransactions[[#This Row],[discount_pct]]&lt;=10%,"1–
10%",IF(tblTransactions[[#This Row],[discount_pct]]&lt;=20%,"11–20%","&gt;20%")))</f>
        <v>0%</v>
      </c>
      <c r="P3090" s="13" t="str">
        <f>_xlfn.XLOOKUP(tblTransactions[[#This Row],[tenant_id]],tblTenants[tenant_id],tblTenants[zone],"NOT FOUND")</f>
        <v>Food Court</v>
      </c>
      <c r="Q3090" s="13" t="str">
        <f>_xlfn.XLOOKUP(tblTransactions[[#This Row],[tenant_id]],tblTenants[tenant_id],tblTenants[category],"NOT FOUND")</f>
        <v>Quick Service</v>
      </c>
    </row>
    <row r="3091" spans="1:17">
      <c r="A3091" t="s">
        <v>3135</v>
      </c>
      <c r="B3091" s="2">
        <v>45697</v>
      </c>
      <c r="C3091">
        <v>19</v>
      </c>
      <c r="D3091" t="s">
        <v>59</v>
      </c>
      <c r="E3091" t="s">
        <v>21</v>
      </c>
      <c r="F3091" s="7">
        <v>502.98</v>
      </c>
      <c r="G3091" s="10">
        <v>0.05</v>
      </c>
      <c r="H3091" s="7">
        <v>477.83</v>
      </c>
      <c r="I3091">
        <v>3</v>
      </c>
      <c r="J3091" t="s">
        <v>13</v>
      </c>
      <c r="K3091" s="13">
        <f>ROUND(tblTransactions[[#This Row],[gross_sales_inr]]*(1-tblTransactions[[#This Row],[discount_pct]]),2)</f>
        <v>477.83</v>
      </c>
      <c r="L3091" t="str">
        <f>IF(ABS(tblTransactions[[#This Row],[net_sales_inr]]-tblTransactions[[#This Row],[Recalc_Net_Sales]])&lt;0.02,"OK","CHECK")</f>
        <v>OK</v>
      </c>
      <c r="M3091" s="14">
        <f>DATE(YEAR(tblTransactions[[#This Row],[date]]),MONTH(tblTransactions[[#This Row],[date]]),1)</f>
        <v>45689</v>
      </c>
      <c r="N3091" t="str">
        <f>IF(WEEKDAY(tblTransactions[[#This Row],[date]],2)&gt;5,"Weekend","Weekday")</f>
        <v>Weekend</v>
      </c>
      <c r="O309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91" s="13" t="str">
        <f>_xlfn.XLOOKUP(tblTransactions[[#This Row],[tenant_id]],tblTenants[tenant_id],tblTenants[zone],"NOT FOUND")</f>
        <v>Fashion Avenue</v>
      </c>
      <c r="Q3091" s="13" t="str">
        <f>_xlfn.XLOOKUP(tblTransactions[[#This Row],[tenant_id]],tblTenants[tenant_id],tblTenants[category],"NOT FOUND")</f>
        <v>Footwear</v>
      </c>
    </row>
    <row r="3092" spans="1:17">
      <c r="A3092" t="s">
        <v>3136</v>
      </c>
      <c r="B3092" s="2">
        <v>45781</v>
      </c>
      <c r="C3092">
        <v>13</v>
      </c>
      <c r="D3092" t="s">
        <v>18</v>
      </c>
      <c r="E3092" t="s">
        <v>12</v>
      </c>
      <c r="F3092" s="7">
        <v>529.07000000000005</v>
      </c>
      <c r="G3092" s="10">
        <v>0</v>
      </c>
      <c r="H3092" s="7">
        <v>529.07000000000005</v>
      </c>
      <c r="I3092">
        <v>2</v>
      </c>
      <c r="J3092" t="s">
        <v>13</v>
      </c>
      <c r="K3092" s="13">
        <f>ROUND(tblTransactions[[#This Row],[gross_sales_inr]]*(1-tblTransactions[[#This Row],[discount_pct]]),2)</f>
        <v>529.07000000000005</v>
      </c>
      <c r="L3092" t="str">
        <f>IF(ABS(tblTransactions[[#This Row],[net_sales_inr]]-tblTransactions[[#This Row],[Recalc_Net_Sales]])&lt;0.02,"OK","CHECK")</f>
        <v>OK</v>
      </c>
      <c r="M3092" s="14">
        <f>DATE(YEAR(tblTransactions[[#This Row],[date]]),MONTH(tblTransactions[[#This Row],[date]]),1)</f>
        <v>45778</v>
      </c>
      <c r="N3092" t="str">
        <f>IF(WEEKDAY(tblTransactions[[#This Row],[date]],2)&gt;5,"Weekend","Weekday")</f>
        <v>Weekend</v>
      </c>
      <c r="O3092" s="13" t="str">
        <f>IF(tblTransactions[[#This Row],[discount_pct]]=0,"0%",IF(tblTransactions[[#This Row],[discount_pct]]&lt;=10%,"1–
10%",IF(tblTransactions[[#This Row],[discount_pct]]&lt;=20%,"11–20%","&gt;20%")))</f>
        <v>0%</v>
      </c>
      <c r="P3092" s="13" t="str">
        <f>_xlfn.XLOOKUP(tblTransactions[[#This Row],[tenant_id]],tblTenants[tenant_id],tblTenants[zone],"NOT FOUND")</f>
        <v>Beauty &amp; Wellness</v>
      </c>
      <c r="Q3092" s="13" t="str">
        <f>_xlfn.XLOOKUP(tblTransactions[[#This Row],[tenant_id]],tblTenants[tenant_id],tblTenants[category],"NOT FOUND")</f>
        <v>Beauty</v>
      </c>
    </row>
    <row r="3093" spans="1:17">
      <c r="A3093" t="s">
        <v>3137</v>
      </c>
      <c r="B3093" s="2">
        <v>45807</v>
      </c>
      <c r="C3093">
        <v>14</v>
      </c>
      <c r="D3093" t="s">
        <v>45</v>
      </c>
      <c r="E3093" t="s">
        <v>21</v>
      </c>
      <c r="F3093" s="7">
        <v>298.01</v>
      </c>
      <c r="G3093" s="10">
        <v>0</v>
      </c>
      <c r="H3093" s="7">
        <v>298.01</v>
      </c>
      <c r="I3093">
        <v>3</v>
      </c>
      <c r="J3093" t="s">
        <v>13</v>
      </c>
      <c r="K3093" s="13">
        <f>ROUND(tblTransactions[[#This Row],[gross_sales_inr]]*(1-tblTransactions[[#This Row],[discount_pct]]),2)</f>
        <v>298.01</v>
      </c>
      <c r="L3093" t="str">
        <f>IF(ABS(tblTransactions[[#This Row],[net_sales_inr]]-tblTransactions[[#This Row],[Recalc_Net_Sales]])&lt;0.02,"OK","CHECK")</f>
        <v>OK</v>
      </c>
      <c r="M3093" s="14">
        <f>DATE(YEAR(tblTransactions[[#This Row],[date]]),MONTH(tblTransactions[[#This Row],[date]]),1)</f>
        <v>45778</v>
      </c>
      <c r="N3093" t="str">
        <f>IF(WEEKDAY(tblTransactions[[#This Row],[date]],2)&gt;5,"Weekend","Weekday")</f>
        <v>Weekday</v>
      </c>
      <c r="O3093" s="13" t="str">
        <f>IF(tblTransactions[[#This Row],[discount_pct]]=0,"0%",IF(tblTransactions[[#This Row],[discount_pct]]&lt;=10%,"1–
10%",IF(tblTransactions[[#This Row],[discount_pct]]&lt;=20%,"11–20%","&gt;20%")))</f>
        <v>0%</v>
      </c>
      <c r="P3093" s="13" t="str">
        <f>_xlfn.XLOOKUP(tblTransactions[[#This Row],[tenant_id]],tblTenants[tenant_id],tblTenants[zone],"NOT FOUND")</f>
        <v>Home &amp; Living</v>
      </c>
      <c r="Q3093" s="13" t="str">
        <f>_xlfn.XLOOKUP(tblTransactions[[#This Row],[tenant_id]],tblTenants[tenant_id],tblTenants[category],"NOT FOUND")</f>
        <v>Home Decor</v>
      </c>
    </row>
    <row r="3094" spans="1:17">
      <c r="A3094" t="s">
        <v>3138</v>
      </c>
      <c r="B3094" s="2">
        <v>45786</v>
      </c>
      <c r="C3094">
        <v>11</v>
      </c>
      <c r="D3094" t="s">
        <v>18</v>
      </c>
      <c r="E3094" t="s">
        <v>12</v>
      </c>
      <c r="F3094" s="7">
        <v>1309.0999999999999</v>
      </c>
      <c r="G3094" s="10">
        <v>0.15</v>
      </c>
      <c r="H3094" s="7">
        <v>1112.73</v>
      </c>
      <c r="I3094">
        <v>6</v>
      </c>
      <c r="J3094" t="s">
        <v>13</v>
      </c>
      <c r="K3094" s="13">
        <f>ROUND(tblTransactions[[#This Row],[gross_sales_inr]]*(1-tblTransactions[[#This Row],[discount_pct]]),2)</f>
        <v>1112.74</v>
      </c>
      <c r="L3094" t="str">
        <f>IF(ABS(tblTransactions[[#This Row],[net_sales_inr]]-tblTransactions[[#This Row],[Recalc_Net_Sales]])&lt;0.02,"OK","CHECK")</f>
        <v>OK</v>
      </c>
      <c r="M3094" s="14">
        <f>DATE(YEAR(tblTransactions[[#This Row],[date]]),MONTH(tblTransactions[[#This Row],[date]]),1)</f>
        <v>45778</v>
      </c>
      <c r="N3094" t="str">
        <f>IF(WEEKDAY(tblTransactions[[#This Row],[date]],2)&gt;5,"Weekend","Weekday")</f>
        <v>Weekday</v>
      </c>
      <c r="O309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094" s="13" t="str">
        <f>_xlfn.XLOOKUP(tblTransactions[[#This Row],[tenant_id]],tblTenants[tenant_id],tblTenants[zone],"NOT FOUND")</f>
        <v>Beauty &amp; Wellness</v>
      </c>
      <c r="Q3094" s="13" t="str">
        <f>_xlfn.XLOOKUP(tblTransactions[[#This Row],[tenant_id]],tblTenants[tenant_id],tblTenants[category],"NOT FOUND")</f>
        <v>Beauty</v>
      </c>
    </row>
    <row r="3095" spans="1:17">
      <c r="A3095" t="s">
        <v>3139</v>
      </c>
      <c r="B3095" s="2">
        <v>45761</v>
      </c>
      <c r="C3095">
        <v>11</v>
      </c>
      <c r="D3095" t="s">
        <v>80</v>
      </c>
      <c r="E3095" t="s">
        <v>51</v>
      </c>
      <c r="F3095" s="7">
        <v>1521.77</v>
      </c>
      <c r="G3095" s="10">
        <v>0</v>
      </c>
      <c r="H3095" s="7">
        <v>1521.77</v>
      </c>
      <c r="I3095">
        <v>3</v>
      </c>
      <c r="J3095" t="s">
        <v>16</v>
      </c>
      <c r="K3095" s="13">
        <f>ROUND(tblTransactions[[#This Row],[gross_sales_inr]]*(1-tblTransactions[[#This Row],[discount_pct]]),2)</f>
        <v>1521.77</v>
      </c>
      <c r="L3095" t="str">
        <f>IF(ABS(tblTransactions[[#This Row],[net_sales_inr]]-tblTransactions[[#This Row],[Recalc_Net_Sales]])&lt;0.02,"OK","CHECK")</f>
        <v>OK</v>
      </c>
      <c r="M3095" s="14">
        <f>DATE(YEAR(tblTransactions[[#This Row],[date]]),MONTH(tblTransactions[[#This Row],[date]]),1)</f>
        <v>45748</v>
      </c>
      <c r="N3095" t="str">
        <f>IF(WEEKDAY(tblTransactions[[#This Row],[date]],2)&gt;5,"Weekend","Weekday")</f>
        <v>Weekday</v>
      </c>
      <c r="O3095" s="13" t="str">
        <f>IF(tblTransactions[[#This Row],[discount_pct]]=0,"0%",IF(tblTransactions[[#This Row],[discount_pct]]&lt;=10%,"1–
10%",IF(tblTransactions[[#This Row],[discount_pct]]&lt;=20%,"11–20%","&gt;20%")))</f>
        <v>0%</v>
      </c>
      <c r="P3095" s="13" t="str">
        <f>_xlfn.XLOOKUP(tblTransactions[[#This Row],[tenant_id]],tblTenants[tenant_id],tblTenants[zone],"NOT FOUND")</f>
        <v>Food Court</v>
      </c>
      <c r="Q3095" s="13" t="str">
        <f>_xlfn.XLOOKUP(tblTransactions[[#This Row],[tenant_id]],tblTenants[tenant_id],tblTenants[category],"NOT FOUND")</f>
        <v>Casual Dining</v>
      </c>
    </row>
    <row r="3096" spans="1:17">
      <c r="A3096" t="s">
        <v>3140</v>
      </c>
      <c r="B3096" s="2">
        <v>45665</v>
      </c>
      <c r="C3096">
        <v>21</v>
      </c>
      <c r="D3096" t="s">
        <v>18</v>
      </c>
      <c r="E3096" t="s">
        <v>32</v>
      </c>
      <c r="F3096" s="7">
        <v>1131.74</v>
      </c>
      <c r="G3096" s="10">
        <v>0</v>
      </c>
      <c r="H3096" s="7">
        <v>1131.74</v>
      </c>
      <c r="I3096">
        <v>2</v>
      </c>
      <c r="J3096" t="s">
        <v>13</v>
      </c>
      <c r="K3096" s="13">
        <f>ROUND(tblTransactions[[#This Row],[gross_sales_inr]]*(1-tblTransactions[[#This Row],[discount_pct]]),2)</f>
        <v>1131.74</v>
      </c>
      <c r="L3096" t="str">
        <f>IF(ABS(tblTransactions[[#This Row],[net_sales_inr]]-tblTransactions[[#This Row],[Recalc_Net_Sales]])&lt;0.02,"OK","CHECK")</f>
        <v>OK</v>
      </c>
      <c r="M3096" s="14">
        <f>DATE(YEAR(tblTransactions[[#This Row],[date]]),MONTH(tblTransactions[[#This Row],[date]]),1)</f>
        <v>45658</v>
      </c>
      <c r="N3096" t="str">
        <f>IF(WEEKDAY(tblTransactions[[#This Row],[date]],2)&gt;5,"Weekend","Weekday")</f>
        <v>Weekday</v>
      </c>
      <c r="O3096" s="13" t="str">
        <f>IF(tblTransactions[[#This Row],[discount_pct]]=0,"0%",IF(tblTransactions[[#This Row],[discount_pct]]&lt;=10%,"1–
10%",IF(tblTransactions[[#This Row],[discount_pct]]&lt;=20%,"11–20%","&gt;20%")))</f>
        <v>0%</v>
      </c>
      <c r="P3096" s="13" t="str">
        <f>_xlfn.XLOOKUP(tblTransactions[[#This Row],[tenant_id]],tblTenants[tenant_id],tblTenants[zone],"NOT FOUND")</f>
        <v>Beauty &amp; Wellness</v>
      </c>
      <c r="Q3096" s="13" t="str">
        <f>_xlfn.XLOOKUP(tblTransactions[[#This Row],[tenant_id]],tblTenants[tenant_id],tblTenants[category],"NOT FOUND")</f>
        <v>Beauty</v>
      </c>
    </row>
    <row r="3097" spans="1:17">
      <c r="A3097" t="s">
        <v>3141</v>
      </c>
      <c r="B3097" s="2">
        <v>45801</v>
      </c>
      <c r="C3097">
        <v>10</v>
      </c>
      <c r="D3097" t="s">
        <v>204</v>
      </c>
      <c r="E3097" t="s">
        <v>12</v>
      </c>
      <c r="F3097" s="7">
        <v>555.66999999999996</v>
      </c>
      <c r="G3097" s="10">
        <v>0.1</v>
      </c>
      <c r="H3097" s="7">
        <v>500.1</v>
      </c>
      <c r="I3097">
        <v>2</v>
      </c>
      <c r="J3097" t="s">
        <v>13</v>
      </c>
      <c r="K3097" s="13">
        <f>ROUND(tblTransactions[[#This Row],[gross_sales_inr]]*(1-tblTransactions[[#This Row],[discount_pct]]),2)</f>
        <v>500.1</v>
      </c>
      <c r="L3097" t="str">
        <f>IF(ABS(tblTransactions[[#This Row],[net_sales_inr]]-tblTransactions[[#This Row],[Recalc_Net_Sales]])&lt;0.02,"OK","CHECK")</f>
        <v>OK</v>
      </c>
      <c r="M3097" s="14">
        <f>DATE(YEAR(tblTransactions[[#This Row],[date]]),MONTH(tblTransactions[[#This Row],[date]]),1)</f>
        <v>45778</v>
      </c>
      <c r="N3097" t="str">
        <f>IF(WEEKDAY(tblTransactions[[#This Row],[date]],2)&gt;5,"Weekend","Weekday")</f>
        <v>Weekend</v>
      </c>
      <c r="O309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97" s="13" t="str">
        <f>_xlfn.XLOOKUP(tblTransactions[[#This Row],[tenant_id]],tblTenants[tenant_id],tblTenants[zone],"NOT FOUND")</f>
        <v>Home &amp; Living</v>
      </c>
      <c r="Q3097" s="13" t="str">
        <f>_xlfn.XLOOKUP(tblTransactions[[#This Row],[tenant_id]],tblTenants[tenant_id],tblTenants[category],"NOT FOUND")</f>
        <v>Home Decor</v>
      </c>
    </row>
    <row r="3098" spans="1:17">
      <c r="A3098" t="s">
        <v>3142</v>
      </c>
      <c r="B3098" s="2">
        <v>45816</v>
      </c>
      <c r="C3098">
        <v>18</v>
      </c>
      <c r="D3098" t="s">
        <v>18</v>
      </c>
      <c r="E3098" t="s">
        <v>21</v>
      </c>
      <c r="F3098" s="7">
        <v>1789.97</v>
      </c>
      <c r="G3098" s="10">
        <v>0.1</v>
      </c>
      <c r="H3098" s="7">
        <v>1610.97</v>
      </c>
      <c r="I3098">
        <v>1</v>
      </c>
      <c r="J3098" t="s">
        <v>13</v>
      </c>
      <c r="K3098" s="13">
        <f>ROUND(tblTransactions[[#This Row],[gross_sales_inr]]*(1-tblTransactions[[#This Row],[discount_pct]]),2)</f>
        <v>1610.97</v>
      </c>
      <c r="L3098" t="str">
        <f>IF(ABS(tblTransactions[[#This Row],[net_sales_inr]]-tblTransactions[[#This Row],[Recalc_Net_Sales]])&lt;0.02,"OK","CHECK")</f>
        <v>OK</v>
      </c>
      <c r="M3098" s="14">
        <f>DATE(YEAR(tblTransactions[[#This Row],[date]]),MONTH(tblTransactions[[#This Row],[date]]),1)</f>
        <v>45809</v>
      </c>
      <c r="N3098" t="str">
        <f>IF(WEEKDAY(tblTransactions[[#This Row],[date]],2)&gt;5,"Weekend","Weekday")</f>
        <v>Weekend</v>
      </c>
      <c r="O309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098" s="13" t="str">
        <f>_xlfn.XLOOKUP(tblTransactions[[#This Row],[tenant_id]],tblTenants[tenant_id],tblTenants[zone],"NOT FOUND")</f>
        <v>Beauty &amp; Wellness</v>
      </c>
      <c r="Q3098" s="13" t="str">
        <f>_xlfn.XLOOKUP(tblTransactions[[#This Row],[tenant_id]],tblTenants[tenant_id],tblTenants[category],"NOT FOUND")</f>
        <v>Beauty</v>
      </c>
    </row>
    <row r="3099" spans="1:17">
      <c r="A3099" t="s">
        <v>3143</v>
      </c>
      <c r="B3099" s="2">
        <v>45817</v>
      </c>
      <c r="C3099">
        <v>12</v>
      </c>
      <c r="D3099" t="s">
        <v>104</v>
      </c>
      <c r="E3099" t="s">
        <v>32</v>
      </c>
      <c r="F3099" s="7">
        <v>1878.17</v>
      </c>
      <c r="G3099" s="10">
        <v>0</v>
      </c>
      <c r="H3099" s="7">
        <v>1878.17</v>
      </c>
      <c r="I3099">
        <v>4</v>
      </c>
      <c r="J3099" t="s">
        <v>13</v>
      </c>
      <c r="K3099" s="13">
        <f>ROUND(tblTransactions[[#This Row],[gross_sales_inr]]*(1-tblTransactions[[#This Row],[discount_pct]]),2)</f>
        <v>1878.17</v>
      </c>
      <c r="L3099" t="str">
        <f>IF(ABS(tblTransactions[[#This Row],[net_sales_inr]]-tblTransactions[[#This Row],[Recalc_Net_Sales]])&lt;0.02,"OK","CHECK")</f>
        <v>OK</v>
      </c>
      <c r="M3099" s="14">
        <f>DATE(YEAR(tblTransactions[[#This Row],[date]]),MONTH(tblTransactions[[#This Row],[date]]),1)</f>
        <v>45809</v>
      </c>
      <c r="N3099" t="str">
        <f>IF(WEEKDAY(tblTransactions[[#This Row],[date]],2)&gt;5,"Weekend","Weekday")</f>
        <v>Weekday</v>
      </c>
      <c r="O3099" s="13" t="str">
        <f>IF(tblTransactions[[#This Row],[discount_pct]]=0,"0%",IF(tblTransactions[[#This Row],[discount_pct]]&lt;=10%,"1–
10%",IF(tblTransactions[[#This Row],[discount_pct]]&lt;=20%,"11–20%","&gt;20%")))</f>
        <v>0%</v>
      </c>
      <c r="P3099" s="13" t="str">
        <f>_xlfn.XLOOKUP(tblTransactions[[#This Row],[tenant_id]],tblTenants[tenant_id],tblTenants[zone],"NOT FOUND")</f>
        <v>Entertainment</v>
      </c>
      <c r="Q3099" s="13" t="str">
        <f>_xlfn.XLOOKUP(tblTransactions[[#This Row],[tenant_id]],tblTenants[tenant_id],tblTenants[category],"NOT FOUND")</f>
        <v>Family Entertainment</v>
      </c>
    </row>
    <row r="3100" spans="1:17">
      <c r="A3100" t="s">
        <v>3144</v>
      </c>
      <c r="B3100" s="2">
        <v>45758</v>
      </c>
      <c r="C3100">
        <v>22</v>
      </c>
      <c r="D3100" t="s">
        <v>104</v>
      </c>
      <c r="E3100" t="s">
        <v>12</v>
      </c>
      <c r="F3100" s="7">
        <v>802.22</v>
      </c>
      <c r="G3100" s="10">
        <v>0</v>
      </c>
      <c r="H3100" s="7">
        <v>802.22</v>
      </c>
      <c r="I3100">
        <v>6</v>
      </c>
      <c r="J3100" t="s">
        <v>16</v>
      </c>
      <c r="K3100" s="13">
        <f>ROUND(tblTransactions[[#This Row],[gross_sales_inr]]*(1-tblTransactions[[#This Row],[discount_pct]]),2)</f>
        <v>802.22</v>
      </c>
      <c r="L3100" t="str">
        <f>IF(ABS(tblTransactions[[#This Row],[net_sales_inr]]-tblTransactions[[#This Row],[Recalc_Net_Sales]])&lt;0.02,"OK","CHECK")</f>
        <v>OK</v>
      </c>
      <c r="M3100" s="14">
        <f>DATE(YEAR(tblTransactions[[#This Row],[date]]),MONTH(tblTransactions[[#This Row],[date]]),1)</f>
        <v>45748</v>
      </c>
      <c r="N3100" t="str">
        <f>IF(WEEKDAY(tblTransactions[[#This Row],[date]],2)&gt;5,"Weekend","Weekday")</f>
        <v>Weekday</v>
      </c>
      <c r="O3100" s="13" t="str">
        <f>IF(tblTransactions[[#This Row],[discount_pct]]=0,"0%",IF(tblTransactions[[#This Row],[discount_pct]]&lt;=10%,"1–
10%",IF(tblTransactions[[#This Row],[discount_pct]]&lt;=20%,"11–20%","&gt;20%")))</f>
        <v>0%</v>
      </c>
      <c r="P3100" s="13" t="str">
        <f>_xlfn.XLOOKUP(tblTransactions[[#This Row],[tenant_id]],tblTenants[tenant_id],tblTenants[zone],"NOT FOUND")</f>
        <v>Entertainment</v>
      </c>
      <c r="Q3100" s="13" t="str">
        <f>_xlfn.XLOOKUP(tblTransactions[[#This Row],[tenant_id]],tblTenants[tenant_id],tblTenants[category],"NOT FOUND")</f>
        <v>Family Entertainment</v>
      </c>
    </row>
    <row r="3101" spans="1:17">
      <c r="A3101" t="s">
        <v>3145</v>
      </c>
      <c r="B3101" s="2">
        <v>45693</v>
      </c>
      <c r="C3101">
        <v>19</v>
      </c>
      <c r="D3101" t="s">
        <v>41</v>
      </c>
      <c r="E3101" t="s">
        <v>21</v>
      </c>
      <c r="F3101" s="7">
        <v>568.02</v>
      </c>
      <c r="G3101" s="10">
        <v>0.05</v>
      </c>
      <c r="H3101" s="7">
        <v>539.62</v>
      </c>
      <c r="I3101">
        <v>5</v>
      </c>
      <c r="J3101" t="s">
        <v>16</v>
      </c>
      <c r="K3101" s="13">
        <f>ROUND(tblTransactions[[#This Row],[gross_sales_inr]]*(1-tblTransactions[[#This Row],[discount_pct]]),2)</f>
        <v>539.62</v>
      </c>
      <c r="L3101" t="str">
        <f>IF(ABS(tblTransactions[[#This Row],[net_sales_inr]]-tblTransactions[[#This Row],[Recalc_Net_Sales]])&lt;0.02,"OK","CHECK")</f>
        <v>OK</v>
      </c>
      <c r="M3101" s="14">
        <f>DATE(YEAR(tblTransactions[[#This Row],[date]]),MONTH(tblTransactions[[#This Row],[date]]),1)</f>
        <v>45689</v>
      </c>
      <c r="N3101" t="str">
        <f>IF(WEEKDAY(tblTransactions[[#This Row],[date]],2)&gt;5,"Weekend","Weekday")</f>
        <v>Weekday</v>
      </c>
      <c r="O310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01" s="13" t="str">
        <f>_xlfn.XLOOKUP(tblTransactions[[#This Row],[tenant_id]],tblTenants[tenant_id],tblTenants[zone],"NOT FOUND")</f>
        <v>Fashion Avenue</v>
      </c>
      <c r="Q3101" s="13" t="str">
        <f>_xlfn.XLOOKUP(tblTransactions[[#This Row],[tenant_id]],tblTenants[tenant_id],tblTenants[category],"NOT FOUND")</f>
        <v>Clothing</v>
      </c>
    </row>
    <row r="3102" spans="1:17">
      <c r="A3102" t="s">
        <v>3146</v>
      </c>
      <c r="B3102" s="2">
        <v>45707</v>
      </c>
      <c r="C3102">
        <v>21</v>
      </c>
      <c r="D3102" t="s">
        <v>72</v>
      </c>
      <c r="E3102" t="s">
        <v>32</v>
      </c>
      <c r="F3102" s="7">
        <v>966.55</v>
      </c>
      <c r="G3102" s="10">
        <v>0.15</v>
      </c>
      <c r="H3102" s="7">
        <v>821.57</v>
      </c>
      <c r="I3102">
        <v>3</v>
      </c>
      <c r="J3102" t="s">
        <v>13</v>
      </c>
      <c r="K3102" s="13">
        <f>ROUND(tblTransactions[[#This Row],[gross_sales_inr]]*(1-tblTransactions[[#This Row],[discount_pct]]),2)</f>
        <v>821.57</v>
      </c>
      <c r="L3102" t="str">
        <f>IF(ABS(tblTransactions[[#This Row],[net_sales_inr]]-tblTransactions[[#This Row],[Recalc_Net_Sales]])&lt;0.02,"OK","CHECK")</f>
        <v>OK</v>
      </c>
      <c r="M3102" s="14">
        <f>DATE(YEAR(tblTransactions[[#This Row],[date]]),MONTH(tblTransactions[[#This Row],[date]]),1)</f>
        <v>45689</v>
      </c>
      <c r="N3102" t="str">
        <f>IF(WEEKDAY(tblTransactions[[#This Row],[date]],2)&gt;5,"Weekend","Weekday")</f>
        <v>Weekday</v>
      </c>
      <c r="O310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02" s="13" t="str">
        <f>_xlfn.XLOOKUP(tblTransactions[[#This Row],[tenant_id]],tblTenants[tenant_id],tblTenants[zone],"NOT FOUND")</f>
        <v>Entertainment</v>
      </c>
      <c r="Q3102" s="13" t="str">
        <f>_xlfn.XLOOKUP(tblTransactions[[#This Row],[tenant_id]],tblTenants[tenant_id],tblTenants[category],"NOT FOUND")</f>
        <v>Arcade</v>
      </c>
    </row>
    <row r="3103" spans="1:17">
      <c r="A3103" t="s">
        <v>3147</v>
      </c>
      <c r="B3103" s="2">
        <v>45660</v>
      </c>
      <c r="C3103">
        <v>20</v>
      </c>
      <c r="D3103" t="s">
        <v>45</v>
      </c>
      <c r="E3103" t="s">
        <v>12</v>
      </c>
      <c r="F3103" s="7">
        <v>539.63</v>
      </c>
      <c r="G3103" s="10">
        <v>0.2</v>
      </c>
      <c r="H3103" s="7">
        <v>431.7</v>
      </c>
      <c r="I3103">
        <v>1</v>
      </c>
      <c r="J3103" t="s">
        <v>16</v>
      </c>
      <c r="K3103" s="13">
        <f>ROUND(tblTransactions[[#This Row],[gross_sales_inr]]*(1-tblTransactions[[#This Row],[discount_pct]]),2)</f>
        <v>431.7</v>
      </c>
      <c r="L3103" t="str">
        <f>IF(ABS(tblTransactions[[#This Row],[net_sales_inr]]-tblTransactions[[#This Row],[Recalc_Net_Sales]])&lt;0.02,"OK","CHECK")</f>
        <v>OK</v>
      </c>
      <c r="M3103" s="14">
        <f>DATE(YEAR(tblTransactions[[#This Row],[date]]),MONTH(tblTransactions[[#This Row],[date]]),1)</f>
        <v>45658</v>
      </c>
      <c r="N3103" t="str">
        <f>IF(WEEKDAY(tblTransactions[[#This Row],[date]],2)&gt;5,"Weekend","Weekday")</f>
        <v>Weekday</v>
      </c>
      <c r="O310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03" s="13" t="str">
        <f>_xlfn.XLOOKUP(tblTransactions[[#This Row],[tenant_id]],tblTenants[tenant_id],tblTenants[zone],"NOT FOUND")</f>
        <v>Home &amp; Living</v>
      </c>
      <c r="Q3103" s="13" t="str">
        <f>_xlfn.XLOOKUP(tblTransactions[[#This Row],[tenant_id]],tblTenants[tenant_id],tblTenants[category],"NOT FOUND")</f>
        <v>Home Decor</v>
      </c>
    </row>
    <row r="3104" spans="1:17">
      <c r="A3104" t="s">
        <v>3148</v>
      </c>
      <c r="B3104" s="2">
        <v>45831</v>
      </c>
      <c r="C3104">
        <v>11</v>
      </c>
      <c r="D3104" t="s">
        <v>31</v>
      </c>
      <c r="E3104" t="s">
        <v>32</v>
      </c>
      <c r="F3104" s="7">
        <v>3659.54</v>
      </c>
      <c r="G3104" s="10">
        <v>0.1</v>
      </c>
      <c r="H3104" s="7">
        <v>3293.59</v>
      </c>
      <c r="I3104">
        <v>1</v>
      </c>
      <c r="J3104" t="s">
        <v>13</v>
      </c>
      <c r="K3104" s="13">
        <f>ROUND(tblTransactions[[#This Row],[gross_sales_inr]]*(1-tblTransactions[[#This Row],[discount_pct]]),2)</f>
        <v>3293.59</v>
      </c>
      <c r="L3104" t="str">
        <f>IF(ABS(tblTransactions[[#This Row],[net_sales_inr]]-tblTransactions[[#This Row],[Recalc_Net_Sales]])&lt;0.02,"OK","CHECK")</f>
        <v>OK</v>
      </c>
      <c r="M3104" s="14">
        <f>DATE(YEAR(tblTransactions[[#This Row],[date]]),MONTH(tblTransactions[[#This Row],[date]]),1)</f>
        <v>45809</v>
      </c>
      <c r="N3104" t="str">
        <f>IF(WEEKDAY(tblTransactions[[#This Row],[date]],2)&gt;5,"Weekend","Weekday")</f>
        <v>Weekday</v>
      </c>
      <c r="O310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04" s="13" t="str">
        <f>_xlfn.XLOOKUP(tblTransactions[[#This Row],[tenant_id]],tblTenants[tenant_id],tblTenants[zone],"NOT FOUND")</f>
        <v>Entertainment</v>
      </c>
      <c r="Q3104" s="13" t="str">
        <f>_xlfn.XLOOKUP(tblTransactions[[#This Row],[tenant_id]],tblTenants[tenant_id],tblTenants[category],"NOT FOUND")</f>
        <v>Arcade</v>
      </c>
    </row>
    <row r="3105" spans="1:17">
      <c r="A3105" t="s">
        <v>3149</v>
      </c>
      <c r="B3105" s="2">
        <v>45684</v>
      </c>
      <c r="C3105">
        <v>13</v>
      </c>
      <c r="D3105" t="s">
        <v>23</v>
      </c>
      <c r="E3105" t="s">
        <v>51</v>
      </c>
      <c r="F3105" s="7">
        <v>606.72</v>
      </c>
      <c r="G3105" s="10">
        <v>0.1</v>
      </c>
      <c r="H3105" s="7">
        <v>546.04999999999995</v>
      </c>
      <c r="I3105">
        <v>6</v>
      </c>
      <c r="J3105" t="s">
        <v>16</v>
      </c>
      <c r="K3105" s="13">
        <f>ROUND(tblTransactions[[#This Row],[gross_sales_inr]]*(1-tblTransactions[[#This Row],[discount_pct]]),2)</f>
        <v>546.04999999999995</v>
      </c>
      <c r="L3105" t="str">
        <f>IF(ABS(tblTransactions[[#This Row],[net_sales_inr]]-tblTransactions[[#This Row],[Recalc_Net_Sales]])&lt;0.02,"OK","CHECK")</f>
        <v>OK</v>
      </c>
      <c r="M3105" s="14">
        <f>DATE(YEAR(tblTransactions[[#This Row],[date]]),MONTH(tblTransactions[[#This Row],[date]]),1)</f>
        <v>45658</v>
      </c>
      <c r="N3105" t="str">
        <f>IF(WEEKDAY(tblTransactions[[#This Row],[date]],2)&gt;5,"Weekend","Weekday")</f>
        <v>Weekday</v>
      </c>
      <c r="O310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05" s="13" t="str">
        <f>_xlfn.XLOOKUP(tblTransactions[[#This Row],[tenant_id]],tblTenants[tenant_id],tblTenants[zone],"NOT FOUND")</f>
        <v>Entertainment</v>
      </c>
      <c r="Q3105" s="13" t="str">
        <f>_xlfn.XLOOKUP(tblTransactions[[#This Row],[tenant_id]],tblTenants[tenant_id],tblTenants[category],"NOT FOUND")</f>
        <v>Cinema</v>
      </c>
    </row>
    <row r="3106" spans="1:17">
      <c r="A3106" t="s">
        <v>3150</v>
      </c>
      <c r="B3106" s="2">
        <v>45712</v>
      </c>
      <c r="C3106">
        <v>16</v>
      </c>
      <c r="D3106" t="s">
        <v>85</v>
      </c>
      <c r="E3106" t="s">
        <v>12</v>
      </c>
      <c r="F3106" s="7">
        <v>441.64</v>
      </c>
      <c r="G3106" s="10">
        <v>0.2</v>
      </c>
      <c r="H3106" s="7">
        <v>353.31</v>
      </c>
      <c r="I3106">
        <v>1</v>
      </c>
      <c r="J3106" t="s">
        <v>13</v>
      </c>
      <c r="K3106" s="13">
        <f>ROUND(tblTransactions[[#This Row],[gross_sales_inr]]*(1-tblTransactions[[#This Row],[discount_pct]]),2)</f>
        <v>353.31</v>
      </c>
      <c r="L3106" t="str">
        <f>IF(ABS(tblTransactions[[#This Row],[net_sales_inr]]-tblTransactions[[#This Row],[Recalc_Net_Sales]])&lt;0.02,"OK","CHECK")</f>
        <v>OK</v>
      </c>
      <c r="M3106" s="14">
        <f>DATE(YEAR(tblTransactions[[#This Row],[date]]),MONTH(tblTransactions[[#This Row],[date]]),1)</f>
        <v>45689</v>
      </c>
      <c r="N3106" t="str">
        <f>IF(WEEKDAY(tblTransactions[[#This Row],[date]],2)&gt;5,"Weekend","Weekday")</f>
        <v>Weekday</v>
      </c>
      <c r="O310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06" s="13" t="str">
        <f>_xlfn.XLOOKUP(tblTransactions[[#This Row],[tenant_id]],tblTenants[tenant_id],tblTenants[zone],"NOT FOUND")</f>
        <v>Home &amp; Living</v>
      </c>
      <c r="Q3106" s="13" t="str">
        <f>_xlfn.XLOOKUP(tblTransactions[[#This Row],[tenant_id]],tblTenants[tenant_id],tblTenants[category],"NOT FOUND")</f>
        <v>Electronics</v>
      </c>
    </row>
    <row r="3107" spans="1:17">
      <c r="A3107" t="s">
        <v>3151</v>
      </c>
      <c r="B3107" s="2">
        <v>45663</v>
      </c>
      <c r="C3107">
        <v>11</v>
      </c>
      <c r="D3107" t="s">
        <v>204</v>
      </c>
      <c r="E3107" t="s">
        <v>51</v>
      </c>
      <c r="F3107" s="7">
        <v>793.56</v>
      </c>
      <c r="G3107" s="10">
        <v>0.1</v>
      </c>
      <c r="H3107" s="7">
        <v>714.2</v>
      </c>
      <c r="I3107">
        <v>2</v>
      </c>
      <c r="J3107" t="s">
        <v>13</v>
      </c>
      <c r="K3107" s="13">
        <f>ROUND(tblTransactions[[#This Row],[gross_sales_inr]]*(1-tblTransactions[[#This Row],[discount_pct]]),2)</f>
        <v>714.2</v>
      </c>
      <c r="L3107" t="str">
        <f>IF(ABS(tblTransactions[[#This Row],[net_sales_inr]]-tblTransactions[[#This Row],[Recalc_Net_Sales]])&lt;0.02,"OK","CHECK")</f>
        <v>OK</v>
      </c>
      <c r="M3107" s="14">
        <f>DATE(YEAR(tblTransactions[[#This Row],[date]]),MONTH(tblTransactions[[#This Row],[date]]),1)</f>
        <v>45658</v>
      </c>
      <c r="N3107" t="str">
        <f>IF(WEEKDAY(tblTransactions[[#This Row],[date]],2)&gt;5,"Weekend","Weekday")</f>
        <v>Weekday</v>
      </c>
      <c r="O310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07" s="13" t="str">
        <f>_xlfn.XLOOKUP(tblTransactions[[#This Row],[tenant_id]],tblTenants[tenant_id],tblTenants[zone],"NOT FOUND")</f>
        <v>Home &amp; Living</v>
      </c>
      <c r="Q3107" s="13" t="str">
        <f>_xlfn.XLOOKUP(tblTransactions[[#This Row],[tenant_id]],tblTenants[tenant_id],tblTenants[category],"NOT FOUND")</f>
        <v>Home Decor</v>
      </c>
    </row>
    <row r="3108" spans="1:17">
      <c r="A3108" t="s">
        <v>3152</v>
      </c>
      <c r="B3108" s="2">
        <v>45663</v>
      </c>
      <c r="C3108">
        <v>14</v>
      </c>
      <c r="D3108" t="s">
        <v>98</v>
      </c>
      <c r="E3108" t="s">
        <v>12</v>
      </c>
      <c r="F3108" s="7">
        <v>729.26</v>
      </c>
      <c r="G3108" s="10">
        <v>0</v>
      </c>
      <c r="H3108" s="7">
        <v>729.26</v>
      </c>
      <c r="I3108">
        <v>1</v>
      </c>
      <c r="J3108" t="s">
        <v>13</v>
      </c>
      <c r="K3108" s="13">
        <f>ROUND(tblTransactions[[#This Row],[gross_sales_inr]]*(1-tblTransactions[[#This Row],[discount_pct]]),2)</f>
        <v>729.26</v>
      </c>
      <c r="L3108" t="str">
        <f>IF(ABS(tblTransactions[[#This Row],[net_sales_inr]]-tblTransactions[[#This Row],[Recalc_Net_Sales]])&lt;0.02,"OK","CHECK")</f>
        <v>OK</v>
      </c>
      <c r="M3108" s="14">
        <f>DATE(YEAR(tblTransactions[[#This Row],[date]]),MONTH(tblTransactions[[#This Row],[date]]),1)</f>
        <v>45658</v>
      </c>
      <c r="N3108" t="str">
        <f>IF(WEEKDAY(tblTransactions[[#This Row],[date]],2)&gt;5,"Weekend","Weekday")</f>
        <v>Weekday</v>
      </c>
      <c r="O3108" s="13" t="str">
        <f>IF(tblTransactions[[#This Row],[discount_pct]]=0,"0%",IF(tblTransactions[[#This Row],[discount_pct]]&lt;=10%,"1–
10%",IF(tblTransactions[[#This Row],[discount_pct]]&lt;=20%,"11–20%","&gt;20%")))</f>
        <v>0%</v>
      </c>
      <c r="P3108" s="13" t="str">
        <f>_xlfn.XLOOKUP(tblTransactions[[#This Row],[tenant_id]],tblTenants[tenant_id],tblTenants[zone],"NOT FOUND")</f>
        <v>Fashion Avenue</v>
      </c>
      <c r="Q3108" s="13" t="str">
        <f>_xlfn.XLOOKUP(tblTransactions[[#This Row],[tenant_id]],tblTenants[tenant_id],tblTenants[category],"NOT FOUND")</f>
        <v>Accessories</v>
      </c>
    </row>
    <row r="3109" spans="1:17">
      <c r="A3109" t="s">
        <v>3153</v>
      </c>
      <c r="B3109" s="2">
        <v>45708</v>
      </c>
      <c r="C3109">
        <v>18</v>
      </c>
      <c r="D3109" t="s">
        <v>55</v>
      </c>
      <c r="E3109" t="s">
        <v>12</v>
      </c>
      <c r="F3109" s="7">
        <v>476.14</v>
      </c>
      <c r="G3109" s="10">
        <v>0</v>
      </c>
      <c r="H3109" s="7">
        <v>476.14</v>
      </c>
      <c r="I3109">
        <v>1</v>
      </c>
      <c r="J3109" t="s">
        <v>13</v>
      </c>
      <c r="K3109" s="13">
        <f>ROUND(tblTransactions[[#This Row],[gross_sales_inr]]*(1-tblTransactions[[#This Row],[discount_pct]]),2)</f>
        <v>476.14</v>
      </c>
      <c r="L3109" t="str">
        <f>IF(ABS(tblTransactions[[#This Row],[net_sales_inr]]-tblTransactions[[#This Row],[Recalc_Net_Sales]])&lt;0.02,"OK","CHECK")</f>
        <v>OK</v>
      </c>
      <c r="M3109" s="14">
        <f>DATE(YEAR(tblTransactions[[#This Row],[date]]),MONTH(tblTransactions[[#This Row],[date]]),1)</f>
        <v>45689</v>
      </c>
      <c r="N3109" t="str">
        <f>IF(WEEKDAY(tblTransactions[[#This Row],[date]],2)&gt;5,"Weekend","Weekday")</f>
        <v>Weekday</v>
      </c>
      <c r="O3109" s="13" t="str">
        <f>IF(tblTransactions[[#This Row],[discount_pct]]=0,"0%",IF(tblTransactions[[#This Row],[discount_pct]]&lt;=10%,"1–
10%",IF(tblTransactions[[#This Row],[discount_pct]]&lt;=20%,"11–20%","&gt;20%")))</f>
        <v>0%</v>
      </c>
      <c r="P3109" s="13" t="str">
        <f>_xlfn.XLOOKUP(tblTransactions[[#This Row],[tenant_id]],tblTenants[tenant_id],tblTenants[zone],"NOT FOUND")</f>
        <v>Food Court</v>
      </c>
      <c r="Q3109" s="13" t="str">
        <f>_xlfn.XLOOKUP(tblTransactions[[#This Row],[tenant_id]],tblTenants[tenant_id],tblTenants[category],"NOT FOUND")</f>
        <v>Quick Service</v>
      </c>
    </row>
    <row r="3110" spans="1:17">
      <c r="A3110" t="s">
        <v>3154</v>
      </c>
      <c r="B3110" s="2">
        <v>45662</v>
      </c>
      <c r="C3110">
        <v>14</v>
      </c>
      <c r="D3110" t="s">
        <v>11</v>
      </c>
      <c r="E3110" t="s">
        <v>21</v>
      </c>
      <c r="F3110" s="7">
        <v>1286.43</v>
      </c>
      <c r="G3110" s="10">
        <v>0</v>
      </c>
      <c r="H3110" s="7">
        <v>1286.43</v>
      </c>
      <c r="I3110">
        <v>5</v>
      </c>
      <c r="J3110" t="s">
        <v>16</v>
      </c>
      <c r="K3110" s="13">
        <f>ROUND(tblTransactions[[#This Row],[gross_sales_inr]]*(1-tblTransactions[[#This Row],[discount_pct]]),2)</f>
        <v>1286.43</v>
      </c>
      <c r="L3110" t="str">
        <f>IF(ABS(tblTransactions[[#This Row],[net_sales_inr]]-tblTransactions[[#This Row],[Recalc_Net_Sales]])&lt;0.02,"OK","CHECK")</f>
        <v>OK</v>
      </c>
      <c r="M3110" s="14">
        <f>DATE(YEAR(tblTransactions[[#This Row],[date]]),MONTH(tblTransactions[[#This Row],[date]]),1)</f>
        <v>45658</v>
      </c>
      <c r="N3110" t="str">
        <f>IF(WEEKDAY(tblTransactions[[#This Row],[date]],2)&gt;5,"Weekend","Weekday")</f>
        <v>Weekend</v>
      </c>
      <c r="O3110" s="13" t="str">
        <f>IF(tblTransactions[[#This Row],[discount_pct]]=0,"0%",IF(tblTransactions[[#This Row],[discount_pct]]&lt;=10%,"1–
10%",IF(tblTransactions[[#This Row],[discount_pct]]&lt;=20%,"11–20%","&gt;20%")))</f>
        <v>0%</v>
      </c>
      <c r="P3110" s="13" t="str">
        <f>_xlfn.XLOOKUP(tblTransactions[[#This Row],[tenant_id]],tblTenants[tenant_id],tblTenants[zone],"NOT FOUND")</f>
        <v>Home &amp; Living</v>
      </c>
      <c r="Q3110" s="13" t="str">
        <f>_xlfn.XLOOKUP(tblTransactions[[#This Row],[tenant_id]],tblTenants[tenant_id],tblTenants[category],"NOT FOUND")</f>
        <v>Home Decor</v>
      </c>
    </row>
    <row r="3111" spans="1:17">
      <c r="A3111" t="s">
        <v>3155</v>
      </c>
      <c r="B3111" s="2">
        <v>45805</v>
      </c>
      <c r="C3111">
        <v>16</v>
      </c>
      <c r="D3111" t="s">
        <v>104</v>
      </c>
      <c r="E3111" t="s">
        <v>12</v>
      </c>
      <c r="F3111" s="7">
        <v>560.69000000000005</v>
      </c>
      <c r="G3111" s="10">
        <v>0.15</v>
      </c>
      <c r="H3111" s="7">
        <v>476.59</v>
      </c>
      <c r="I3111">
        <v>3</v>
      </c>
      <c r="J3111" t="s">
        <v>16</v>
      </c>
      <c r="K3111" s="13">
        <f>ROUND(tblTransactions[[#This Row],[gross_sales_inr]]*(1-tblTransactions[[#This Row],[discount_pct]]),2)</f>
        <v>476.59</v>
      </c>
      <c r="L3111" t="str">
        <f>IF(ABS(tblTransactions[[#This Row],[net_sales_inr]]-tblTransactions[[#This Row],[Recalc_Net_Sales]])&lt;0.02,"OK","CHECK")</f>
        <v>OK</v>
      </c>
      <c r="M3111" s="14">
        <f>DATE(YEAR(tblTransactions[[#This Row],[date]]),MONTH(tblTransactions[[#This Row],[date]]),1)</f>
        <v>45778</v>
      </c>
      <c r="N3111" t="str">
        <f>IF(WEEKDAY(tblTransactions[[#This Row],[date]],2)&gt;5,"Weekend","Weekday")</f>
        <v>Weekday</v>
      </c>
      <c r="O311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11" s="13" t="str">
        <f>_xlfn.XLOOKUP(tblTransactions[[#This Row],[tenant_id]],tblTenants[tenant_id],tblTenants[zone],"NOT FOUND")</f>
        <v>Entertainment</v>
      </c>
      <c r="Q3111" s="13" t="str">
        <f>_xlfn.XLOOKUP(tblTransactions[[#This Row],[tenant_id]],tblTenants[tenant_id],tblTenants[category],"NOT FOUND")</f>
        <v>Family Entertainment</v>
      </c>
    </row>
    <row r="3112" spans="1:17">
      <c r="A3112" t="s">
        <v>3156</v>
      </c>
      <c r="B3112" s="2">
        <v>45667</v>
      </c>
      <c r="C3112">
        <v>11</v>
      </c>
      <c r="D3112" t="s">
        <v>45</v>
      </c>
      <c r="E3112" t="s">
        <v>32</v>
      </c>
      <c r="F3112" s="7">
        <v>552.11</v>
      </c>
      <c r="G3112" s="10">
        <v>0.15</v>
      </c>
      <c r="H3112" s="7">
        <v>469.29</v>
      </c>
      <c r="I3112">
        <v>1</v>
      </c>
      <c r="J3112" t="s">
        <v>13</v>
      </c>
      <c r="K3112" s="13">
        <f>ROUND(tblTransactions[[#This Row],[gross_sales_inr]]*(1-tblTransactions[[#This Row],[discount_pct]]),2)</f>
        <v>469.29</v>
      </c>
      <c r="L3112" t="str">
        <f>IF(ABS(tblTransactions[[#This Row],[net_sales_inr]]-tblTransactions[[#This Row],[Recalc_Net_Sales]])&lt;0.02,"OK","CHECK")</f>
        <v>OK</v>
      </c>
      <c r="M3112" s="14">
        <f>DATE(YEAR(tblTransactions[[#This Row],[date]]),MONTH(tblTransactions[[#This Row],[date]]),1)</f>
        <v>45658</v>
      </c>
      <c r="N3112" t="str">
        <f>IF(WEEKDAY(tblTransactions[[#This Row],[date]],2)&gt;5,"Weekend","Weekday")</f>
        <v>Weekday</v>
      </c>
      <c r="O311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12" s="13" t="str">
        <f>_xlfn.XLOOKUP(tblTransactions[[#This Row],[tenant_id]],tblTenants[tenant_id],tblTenants[zone],"NOT FOUND")</f>
        <v>Home &amp; Living</v>
      </c>
      <c r="Q3112" s="13" t="str">
        <f>_xlfn.XLOOKUP(tblTransactions[[#This Row],[tenant_id]],tblTenants[tenant_id],tblTenants[category],"NOT FOUND")</f>
        <v>Home Decor</v>
      </c>
    </row>
    <row r="3113" spans="1:17">
      <c r="A3113" t="s">
        <v>3157</v>
      </c>
      <c r="B3113" s="2">
        <v>45691</v>
      </c>
      <c r="C3113">
        <v>20</v>
      </c>
      <c r="D3113" t="s">
        <v>70</v>
      </c>
      <c r="E3113" t="s">
        <v>12</v>
      </c>
      <c r="F3113" s="7">
        <v>850.1</v>
      </c>
      <c r="G3113" s="10">
        <v>0</v>
      </c>
      <c r="H3113" s="7">
        <v>850.1</v>
      </c>
      <c r="I3113">
        <v>1</v>
      </c>
      <c r="J3113" t="s">
        <v>13</v>
      </c>
      <c r="K3113" s="13">
        <f>ROUND(tblTransactions[[#This Row],[gross_sales_inr]]*(1-tblTransactions[[#This Row],[discount_pct]]),2)</f>
        <v>850.1</v>
      </c>
      <c r="L3113" t="str">
        <f>IF(ABS(tblTransactions[[#This Row],[net_sales_inr]]-tblTransactions[[#This Row],[Recalc_Net_Sales]])&lt;0.02,"OK","CHECK")</f>
        <v>OK</v>
      </c>
      <c r="M3113" s="14">
        <f>DATE(YEAR(tblTransactions[[#This Row],[date]]),MONTH(tblTransactions[[#This Row],[date]]),1)</f>
        <v>45689</v>
      </c>
      <c r="N3113" t="str">
        <f>IF(WEEKDAY(tblTransactions[[#This Row],[date]],2)&gt;5,"Weekend","Weekday")</f>
        <v>Weekday</v>
      </c>
      <c r="O3113" s="13" t="str">
        <f>IF(tblTransactions[[#This Row],[discount_pct]]=0,"0%",IF(tblTransactions[[#This Row],[discount_pct]]&lt;=10%,"1–
10%",IF(tblTransactions[[#This Row],[discount_pct]]&lt;=20%,"11–20%","&gt;20%")))</f>
        <v>0%</v>
      </c>
      <c r="P3113" s="13" t="str">
        <f>_xlfn.XLOOKUP(tblTransactions[[#This Row],[tenant_id]],tblTenants[tenant_id],tblTenants[zone],"NOT FOUND")</f>
        <v>Food Court</v>
      </c>
      <c r="Q3113" s="13" t="str">
        <f>_xlfn.XLOOKUP(tblTransactions[[#This Row],[tenant_id]],tblTenants[tenant_id],tblTenants[category],"NOT FOUND")</f>
        <v>Quick Service</v>
      </c>
    </row>
    <row r="3114" spans="1:17">
      <c r="A3114" t="s">
        <v>3158</v>
      </c>
      <c r="B3114" s="2">
        <v>45693</v>
      </c>
      <c r="C3114">
        <v>14</v>
      </c>
      <c r="D3114" t="s">
        <v>61</v>
      </c>
      <c r="E3114" t="s">
        <v>12</v>
      </c>
      <c r="F3114" s="7">
        <v>566.88</v>
      </c>
      <c r="G3114" s="10">
        <v>0</v>
      </c>
      <c r="H3114" s="7">
        <v>566.88</v>
      </c>
      <c r="I3114">
        <v>3</v>
      </c>
      <c r="J3114" t="s">
        <v>16</v>
      </c>
      <c r="K3114" s="13">
        <f>ROUND(tblTransactions[[#This Row],[gross_sales_inr]]*(1-tblTransactions[[#This Row],[discount_pct]]),2)</f>
        <v>566.88</v>
      </c>
      <c r="L3114" t="str">
        <f>IF(ABS(tblTransactions[[#This Row],[net_sales_inr]]-tblTransactions[[#This Row],[Recalc_Net_Sales]])&lt;0.02,"OK","CHECK")</f>
        <v>OK</v>
      </c>
      <c r="M3114" s="14">
        <f>DATE(YEAR(tblTransactions[[#This Row],[date]]),MONTH(tblTransactions[[#This Row],[date]]),1)</f>
        <v>45689</v>
      </c>
      <c r="N3114" t="str">
        <f>IF(WEEKDAY(tblTransactions[[#This Row],[date]],2)&gt;5,"Weekend","Weekday")</f>
        <v>Weekday</v>
      </c>
      <c r="O3114" s="13" t="str">
        <f>IF(tblTransactions[[#This Row],[discount_pct]]=0,"0%",IF(tblTransactions[[#This Row],[discount_pct]]&lt;=10%,"1–
10%",IF(tblTransactions[[#This Row],[discount_pct]]&lt;=20%,"11–20%","&gt;20%")))</f>
        <v>0%</v>
      </c>
      <c r="P3114" s="13" t="str">
        <f>_xlfn.XLOOKUP(tblTransactions[[#This Row],[tenant_id]],tblTenants[tenant_id],tblTenants[zone],"NOT FOUND")</f>
        <v>Food Court</v>
      </c>
      <c r="Q3114" s="13" t="str">
        <f>_xlfn.XLOOKUP(tblTransactions[[#This Row],[tenant_id]],tblTenants[tenant_id],tblTenants[category],"NOT FOUND")</f>
        <v>Quick Service</v>
      </c>
    </row>
    <row r="3115" spans="1:17">
      <c r="A3115" t="s">
        <v>3159</v>
      </c>
      <c r="B3115" s="2">
        <v>45707</v>
      </c>
      <c r="C3115">
        <v>22</v>
      </c>
      <c r="D3115" t="s">
        <v>59</v>
      </c>
      <c r="E3115" t="s">
        <v>21</v>
      </c>
      <c r="F3115" s="7">
        <v>1032.74</v>
      </c>
      <c r="G3115" s="10">
        <v>0</v>
      </c>
      <c r="H3115" s="7">
        <v>1032.74</v>
      </c>
      <c r="I3115">
        <v>3</v>
      </c>
      <c r="J3115" t="s">
        <v>13</v>
      </c>
      <c r="K3115" s="13">
        <f>ROUND(tblTransactions[[#This Row],[gross_sales_inr]]*(1-tblTransactions[[#This Row],[discount_pct]]),2)</f>
        <v>1032.74</v>
      </c>
      <c r="L3115" t="str">
        <f>IF(ABS(tblTransactions[[#This Row],[net_sales_inr]]-tblTransactions[[#This Row],[Recalc_Net_Sales]])&lt;0.02,"OK","CHECK")</f>
        <v>OK</v>
      </c>
      <c r="M3115" s="14">
        <f>DATE(YEAR(tblTransactions[[#This Row],[date]]),MONTH(tblTransactions[[#This Row],[date]]),1)</f>
        <v>45689</v>
      </c>
      <c r="N3115" t="str">
        <f>IF(WEEKDAY(tblTransactions[[#This Row],[date]],2)&gt;5,"Weekend","Weekday")</f>
        <v>Weekday</v>
      </c>
      <c r="O3115" s="13" t="str">
        <f>IF(tblTransactions[[#This Row],[discount_pct]]=0,"0%",IF(tblTransactions[[#This Row],[discount_pct]]&lt;=10%,"1–
10%",IF(tblTransactions[[#This Row],[discount_pct]]&lt;=20%,"11–20%","&gt;20%")))</f>
        <v>0%</v>
      </c>
      <c r="P3115" s="13" t="str">
        <f>_xlfn.XLOOKUP(tblTransactions[[#This Row],[tenant_id]],tblTenants[tenant_id],tblTenants[zone],"NOT FOUND")</f>
        <v>Fashion Avenue</v>
      </c>
      <c r="Q3115" s="13" t="str">
        <f>_xlfn.XLOOKUP(tblTransactions[[#This Row],[tenant_id]],tblTenants[tenant_id],tblTenants[category],"NOT FOUND")</f>
        <v>Footwear</v>
      </c>
    </row>
    <row r="3116" spans="1:17">
      <c r="A3116" t="s">
        <v>3160</v>
      </c>
      <c r="B3116" s="2">
        <v>45806</v>
      </c>
      <c r="C3116">
        <v>10</v>
      </c>
      <c r="D3116" t="s">
        <v>27</v>
      </c>
      <c r="E3116" t="s">
        <v>12</v>
      </c>
      <c r="F3116" s="7">
        <v>1016.71</v>
      </c>
      <c r="G3116" s="10">
        <v>0</v>
      </c>
      <c r="H3116" s="7">
        <v>1016.71</v>
      </c>
      <c r="I3116">
        <v>2</v>
      </c>
      <c r="J3116" t="s">
        <v>13</v>
      </c>
      <c r="K3116" s="13">
        <f>ROUND(tblTransactions[[#This Row],[gross_sales_inr]]*(1-tblTransactions[[#This Row],[discount_pct]]),2)</f>
        <v>1016.71</v>
      </c>
      <c r="L3116" t="str">
        <f>IF(ABS(tblTransactions[[#This Row],[net_sales_inr]]-tblTransactions[[#This Row],[Recalc_Net_Sales]])&lt;0.02,"OK","CHECK")</f>
        <v>OK</v>
      </c>
      <c r="M3116" s="14">
        <f>DATE(YEAR(tblTransactions[[#This Row],[date]]),MONTH(tblTransactions[[#This Row],[date]]),1)</f>
        <v>45778</v>
      </c>
      <c r="N3116" t="str">
        <f>IF(WEEKDAY(tblTransactions[[#This Row],[date]],2)&gt;5,"Weekend","Weekday")</f>
        <v>Weekday</v>
      </c>
      <c r="O3116" s="13" t="str">
        <f>IF(tblTransactions[[#This Row],[discount_pct]]=0,"0%",IF(tblTransactions[[#This Row],[discount_pct]]&lt;=10%,"1–
10%",IF(tblTransactions[[#This Row],[discount_pct]]&lt;=20%,"11–20%","&gt;20%")))</f>
        <v>0%</v>
      </c>
      <c r="P3116" s="13" t="str">
        <f>_xlfn.XLOOKUP(tblTransactions[[#This Row],[tenant_id]],tblTenants[tenant_id],tblTenants[zone],"NOT FOUND")</f>
        <v>Beauty &amp; Wellness</v>
      </c>
      <c r="Q3116" s="13" t="str">
        <f>_xlfn.XLOOKUP(tblTransactions[[#This Row],[tenant_id]],tblTenants[tenant_id],tblTenants[category],"NOT FOUND")</f>
        <v>Wellness</v>
      </c>
    </row>
    <row r="3117" spans="1:17">
      <c r="A3117" t="s">
        <v>3161</v>
      </c>
      <c r="B3117" s="2">
        <v>45752</v>
      </c>
      <c r="C3117">
        <v>12</v>
      </c>
      <c r="D3117" t="s">
        <v>25</v>
      </c>
      <c r="E3117" t="s">
        <v>12</v>
      </c>
      <c r="F3117" s="7">
        <v>712.38</v>
      </c>
      <c r="G3117" s="10">
        <v>0.15</v>
      </c>
      <c r="H3117" s="7">
        <v>605.52</v>
      </c>
      <c r="I3117">
        <v>1</v>
      </c>
      <c r="J3117" t="s">
        <v>16</v>
      </c>
      <c r="K3117" s="13">
        <f>ROUND(tblTransactions[[#This Row],[gross_sales_inr]]*(1-tblTransactions[[#This Row],[discount_pct]]),2)</f>
        <v>605.52</v>
      </c>
      <c r="L3117" t="str">
        <f>IF(ABS(tblTransactions[[#This Row],[net_sales_inr]]-tblTransactions[[#This Row],[Recalc_Net_Sales]])&lt;0.02,"OK","CHECK")</f>
        <v>OK</v>
      </c>
      <c r="M3117" s="14">
        <f>DATE(YEAR(tblTransactions[[#This Row],[date]]),MONTH(tblTransactions[[#This Row],[date]]),1)</f>
        <v>45748</v>
      </c>
      <c r="N3117" t="str">
        <f>IF(WEEKDAY(tblTransactions[[#This Row],[date]],2)&gt;5,"Weekend","Weekday")</f>
        <v>Weekend</v>
      </c>
      <c r="O311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17" s="13" t="str">
        <f>_xlfn.XLOOKUP(tblTransactions[[#This Row],[tenant_id]],tblTenants[tenant_id],tblTenants[zone],"NOT FOUND")</f>
        <v>Beauty &amp; Wellness</v>
      </c>
      <c r="Q3117" s="13" t="str">
        <f>_xlfn.XLOOKUP(tblTransactions[[#This Row],[tenant_id]],tblTenants[tenant_id],tblTenants[category],"NOT FOUND")</f>
        <v>Beauty</v>
      </c>
    </row>
    <row r="3118" spans="1:17">
      <c r="A3118" t="s">
        <v>3162</v>
      </c>
      <c r="B3118" s="2">
        <v>45802</v>
      </c>
      <c r="C3118">
        <v>13</v>
      </c>
      <c r="D3118" t="s">
        <v>85</v>
      </c>
      <c r="E3118" t="s">
        <v>32</v>
      </c>
      <c r="F3118" s="7">
        <v>2128.4</v>
      </c>
      <c r="G3118" s="10">
        <v>0.1</v>
      </c>
      <c r="H3118" s="7">
        <v>1915.56</v>
      </c>
      <c r="I3118">
        <v>4</v>
      </c>
      <c r="J3118" t="s">
        <v>13</v>
      </c>
      <c r="K3118" s="13">
        <f>ROUND(tblTransactions[[#This Row],[gross_sales_inr]]*(1-tblTransactions[[#This Row],[discount_pct]]),2)</f>
        <v>1915.56</v>
      </c>
      <c r="L3118" t="str">
        <f>IF(ABS(tblTransactions[[#This Row],[net_sales_inr]]-tblTransactions[[#This Row],[Recalc_Net_Sales]])&lt;0.02,"OK","CHECK")</f>
        <v>OK</v>
      </c>
      <c r="M3118" s="14">
        <f>DATE(YEAR(tblTransactions[[#This Row],[date]]),MONTH(tblTransactions[[#This Row],[date]]),1)</f>
        <v>45778</v>
      </c>
      <c r="N3118" t="str">
        <f>IF(WEEKDAY(tblTransactions[[#This Row],[date]],2)&gt;5,"Weekend","Weekday")</f>
        <v>Weekend</v>
      </c>
      <c r="O311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18" s="13" t="str">
        <f>_xlfn.XLOOKUP(tblTransactions[[#This Row],[tenant_id]],tblTenants[tenant_id],tblTenants[zone],"NOT FOUND")</f>
        <v>Home &amp; Living</v>
      </c>
      <c r="Q3118" s="13" t="str">
        <f>_xlfn.XLOOKUP(tblTransactions[[#This Row],[tenant_id]],tblTenants[tenant_id],tblTenants[category],"NOT FOUND")</f>
        <v>Electronics</v>
      </c>
    </row>
    <row r="3119" spans="1:17">
      <c r="A3119" t="s">
        <v>3163</v>
      </c>
      <c r="B3119" s="2">
        <v>45809</v>
      </c>
      <c r="C3119">
        <v>21</v>
      </c>
      <c r="D3119" t="s">
        <v>85</v>
      </c>
      <c r="E3119" t="s">
        <v>12</v>
      </c>
      <c r="F3119" s="7">
        <v>405.68</v>
      </c>
      <c r="G3119" s="10">
        <v>0</v>
      </c>
      <c r="H3119" s="7">
        <v>405.68</v>
      </c>
      <c r="I3119">
        <v>1</v>
      </c>
      <c r="J3119" t="s">
        <v>13</v>
      </c>
      <c r="K3119" s="13">
        <f>ROUND(tblTransactions[[#This Row],[gross_sales_inr]]*(1-tblTransactions[[#This Row],[discount_pct]]),2)</f>
        <v>405.68</v>
      </c>
      <c r="L3119" t="str">
        <f>IF(ABS(tblTransactions[[#This Row],[net_sales_inr]]-tblTransactions[[#This Row],[Recalc_Net_Sales]])&lt;0.02,"OK","CHECK")</f>
        <v>OK</v>
      </c>
      <c r="M3119" s="14">
        <f>DATE(YEAR(tblTransactions[[#This Row],[date]]),MONTH(tblTransactions[[#This Row],[date]]),1)</f>
        <v>45809</v>
      </c>
      <c r="N3119" t="str">
        <f>IF(WEEKDAY(tblTransactions[[#This Row],[date]],2)&gt;5,"Weekend","Weekday")</f>
        <v>Weekend</v>
      </c>
      <c r="O3119" s="13" t="str">
        <f>IF(tblTransactions[[#This Row],[discount_pct]]=0,"0%",IF(tblTransactions[[#This Row],[discount_pct]]&lt;=10%,"1–
10%",IF(tblTransactions[[#This Row],[discount_pct]]&lt;=20%,"11–20%","&gt;20%")))</f>
        <v>0%</v>
      </c>
      <c r="P3119" s="13" t="str">
        <f>_xlfn.XLOOKUP(tblTransactions[[#This Row],[tenant_id]],tblTenants[tenant_id],tblTenants[zone],"NOT FOUND")</f>
        <v>Home &amp; Living</v>
      </c>
      <c r="Q3119" s="13" t="str">
        <f>_xlfn.XLOOKUP(tblTransactions[[#This Row],[tenant_id]],tblTenants[tenant_id],tblTenants[category],"NOT FOUND")</f>
        <v>Electronics</v>
      </c>
    </row>
    <row r="3120" spans="1:17">
      <c r="A3120" t="s">
        <v>3164</v>
      </c>
      <c r="B3120" s="2">
        <v>45827</v>
      </c>
      <c r="C3120">
        <v>13</v>
      </c>
      <c r="D3120" t="s">
        <v>53</v>
      </c>
      <c r="E3120" t="s">
        <v>21</v>
      </c>
      <c r="F3120" s="7">
        <v>871.97</v>
      </c>
      <c r="G3120" s="10">
        <v>0.15</v>
      </c>
      <c r="H3120" s="7">
        <v>741.17</v>
      </c>
      <c r="I3120">
        <v>3</v>
      </c>
      <c r="J3120" t="s">
        <v>16</v>
      </c>
      <c r="K3120" s="13">
        <f>ROUND(tblTransactions[[#This Row],[gross_sales_inr]]*(1-tblTransactions[[#This Row],[discount_pct]]),2)</f>
        <v>741.17</v>
      </c>
      <c r="L3120" t="str">
        <f>IF(ABS(tblTransactions[[#This Row],[net_sales_inr]]-tblTransactions[[#This Row],[Recalc_Net_Sales]])&lt;0.02,"OK","CHECK")</f>
        <v>OK</v>
      </c>
      <c r="M3120" s="14">
        <f>DATE(YEAR(tblTransactions[[#This Row],[date]]),MONTH(tblTransactions[[#This Row],[date]]),1)</f>
        <v>45809</v>
      </c>
      <c r="N3120" t="str">
        <f>IF(WEEKDAY(tblTransactions[[#This Row],[date]],2)&gt;5,"Weekend","Weekday")</f>
        <v>Weekday</v>
      </c>
      <c r="O3120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20" s="13" t="str">
        <f>_xlfn.XLOOKUP(tblTransactions[[#This Row],[tenant_id]],tblTenants[tenant_id],tblTenants[zone],"NOT FOUND")</f>
        <v>Beauty &amp; Wellness</v>
      </c>
      <c r="Q3120" s="13" t="str">
        <f>_xlfn.XLOOKUP(tblTransactions[[#This Row],[tenant_id]],tblTenants[tenant_id],tblTenants[category],"NOT FOUND")</f>
        <v>Beauty</v>
      </c>
    </row>
    <row r="3121" spans="1:17">
      <c r="A3121" t="s">
        <v>3165</v>
      </c>
      <c r="B3121" s="2">
        <v>45777</v>
      </c>
      <c r="C3121">
        <v>16</v>
      </c>
      <c r="D3121" t="s">
        <v>63</v>
      </c>
      <c r="E3121" t="s">
        <v>12</v>
      </c>
      <c r="F3121" s="7">
        <v>1309.3699999999999</v>
      </c>
      <c r="G3121" s="10">
        <v>0</v>
      </c>
      <c r="H3121" s="7">
        <v>1309.3699999999999</v>
      </c>
      <c r="I3121">
        <v>1</v>
      </c>
      <c r="J3121" t="s">
        <v>16</v>
      </c>
      <c r="K3121" s="13">
        <f>ROUND(tblTransactions[[#This Row],[gross_sales_inr]]*(1-tblTransactions[[#This Row],[discount_pct]]),2)</f>
        <v>1309.3699999999999</v>
      </c>
      <c r="L3121" t="str">
        <f>IF(ABS(tblTransactions[[#This Row],[net_sales_inr]]-tblTransactions[[#This Row],[Recalc_Net_Sales]])&lt;0.02,"OK","CHECK")</f>
        <v>OK</v>
      </c>
      <c r="M3121" s="14">
        <f>DATE(YEAR(tblTransactions[[#This Row],[date]]),MONTH(tblTransactions[[#This Row],[date]]),1)</f>
        <v>45748</v>
      </c>
      <c r="N3121" t="str">
        <f>IF(WEEKDAY(tblTransactions[[#This Row],[date]],2)&gt;5,"Weekend","Weekday")</f>
        <v>Weekday</v>
      </c>
      <c r="O3121" s="13" t="str">
        <f>IF(tblTransactions[[#This Row],[discount_pct]]=0,"0%",IF(tblTransactions[[#This Row],[discount_pct]]&lt;=10%,"1–
10%",IF(tblTransactions[[#This Row],[discount_pct]]&lt;=20%,"11–20%","&gt;20%")))</f>
        <v>0%</v>
      </c>
      <c r="P3121" s="13" t="str">
        <f>_xlfn.XLOOKUP(tblTransactions[[#This Row],[tenant_id]],tblTenants[tenant_id],tblTenants[zone],"NOT FOUND")</f>
        <v>Entertainment</v>
      </c>
      <c r="Q3121" s="13" t="str">
        <f>_xlfn.XLOOKUP(tblTransactions[[#This Row],[tenant_id]],tblTenants[tenant_id],tblTenants[category],"NOT FOUND")</f>
        <v>Family Entertainment</v>
      </c>
    </row>
    <row r="3122" spans="1:17">
      <c r="A3122" t="s">
        <v>3166</v>
      </c>
      <c r="B3122" s="2">
        <v>45813</v>
      </c>
      <c r="C3122">
        <v>18</v>
      </c>
      <c r="D3122" t="s">
        <v>43</v>
      </c>
      <c r="E3122" t="s">
        <v>12</v>
      </c>
      <c r="F3122" s="7">
        <v>774.5</v>
      </c>
      <c r="G3122" s="10">
        <v>0</v>
      </c>
      <c r="H3122" s="7">
        <v>774.5</v>
      </c>
      <c r="I3122">
        <v>6</v>
      </c>
      <c r="J3122" t="s">
        <v>13</v>
      </c>
      <c r="K3122" s="13">
        <f>ROUND(tblTransactions[[#This Row],[gross_sales_inr]]*(1-tblTransactions[[#This Row],[discount_pct]]),2)</f>
        <v>774.5</v>
      </c>
      <c r="L3122" t="str">
        <f>IF(ABS(tblTransactions[[#This Row],[net_sales_inr]]-tblTransactions[[#This Row],[Recalc_Net_Sales]])&lt;0.02,"OK","CHECK")</f>
        <v>OK</v>
      </c>
      <c r="M3122" s="14">
        <f>DATE(YEAR(tblTransactions[[#This Row],[date]]),MONTH(tblTransactions[[#This Row],[date]]),1)</f>
        <v>45809</v>
      </c>
      <c r="N3122" t="str">
        <f>IF(WEEKDAY(tblTransactions[[#This Row],[date]],2)&gt;5,"Weekend","Weekday")</f>
        <v>Weekday</v>
      </c>
      <c r="O3122" s="13" t="str">
        <f>IF(tblTransactions[[#This Row],[discount_pct]]=0,"0%",IF(tblTransactions[[#This Row],[discount_pct]]&lt;=10%,"1–
10%",IF(tblTransactions[[#This Row],[discount_pct]]&lt;=20%,"11–20%","&gt;20%")))</f>
        <v>0%</v>
      </c>
      <c r="P3122" s="13" t="str">
        <f>_xlfn.XLOOKUP(tblTransactions[[#This Row],[tenant_id]],tblTenants[tenant_id],tblTenants[zone],"NOT FOUND")</f>
        <v>Food Court</v>
      </c>
      <c r="Q3122" s="13" t="str">
        <f>_xlfn.XLOOKUP(tblTransactions[[#This Row],[tenant_id]],tblTenants[tenant_id],tblTenants[category],"NOT FOUND")</f>
        <v>Casual Dining</v>
      </c>
    </row>
    <row r="3123" spans="1:17">
      <c r="A3123" t="s">
        <v>3167</v>
      </c>
      <c r="B3123" s="2">
        <v>45806</v>
      </c>
      <c r="C3123">
        <v>21</v>
      </c>
      <c r="D3123" t="s">
        <v>87</v>
      </c>
      <c r="E3123" t="s">
        <v>12</v>
      </c>
      <c r="F3123" s="7">
        <v>794.36</v>
      </c>
      <c r="G3123" s="10">
        <v>0.1</v>
      </c>
      <c r="H3123" s="7">
        <v>714.92</v>
      </c>
      <c r="I3123">
        <v>2</v>
      </c>
      <c r="J3123" t="s">
        <v>13</v>
      </c>
      <c r="K3123" s="13">
        <f>ROUND(tblTransactions[[#This Row],[gross_sales_inr]]*(1-tblTransactions[[#This Row],[discount_pct]]),2)</f>
        <v>714.92</v>
      </c>
      <c r="L3123" t="str">
        <f>IF(ABS(tblTransactions[[#This Row],[net_sales_inr]]-tblTransactions[[#This Row],[Recalc_Net_Sales]])&lt;0.02,"OK","CHECK")</f>
        <v>OK</v>
      </c>
      <c r="M3123" s="14">
        <f>DATE(YEAR(tblTransactions[[#This Row],[date]]),MONTH(tblTransactions[[#This Row],[date]]),1)</f>
        <v>45778</v>
      </c>
      <c r="N3123" t="str">
        <f>IF(WEEKDAY(tblTransactions[[#This Row],[date]],2)&gt;5,"Weekend","Weekday")</f>
        <v>Weekday</v>
      </c>
      <c r="O312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23" s="13" t="str">
        <f>_xlfn.XLOOKUP(tblTransactions[[#This Row],[tenant_id]],tblTenants[tenant_id],tblTenants[zone],"NOT FOUND")</f>
        <v>Fashion Avenue</v>
      </c>
      <c r="Q3123" s="13" t="str">
        <f>_xlfn.XLOOKUP(tblTransactions[[#This Row],[tenant_id]],tblTenants[tenant_id],tblTenants[category],"NOT FOUND")</f>
        <v>Footwear</v>
      </c>
    </row>
    <row r="3124" spans="1:17">
      <c r="A3124" t="s">
        <v>3168</v>
      </c>
      <c r="B3124" s="2">
        <v>45769</v>
      </c>
      <c r="C3124">
        <v>14</v>
      </c>
      <c r="D3124" t="s">
        <v>61</v>
      </c>
      <c r="E3124" t="s">
        <v>32</v>
      </c>
      <c r="F3124" s="7">
        <v>1178.7</v>
      </c>
      <c r="G3124" s="10">
        <v>0.2</v>
      </c>
      <c r="H3124" s="7">
        <v>942.96</v>
      </c>
      <c r="I3124">
        <v>1</v>
      </c>
      <c r="J3124" t="s">
        <v>16</v>
      </c>
      <c r="K3124" s="13">
        <f>ROUND(tblTransactions[[#This Row],[gross_sales_inr]]*(1-tblTransactions[[#This Row],[discount_pct]]),2)</f>
        <v>942.96</v>
      </c>
      <c r="L3124" t="str">
        <f>IF(ABS(tblTransactions[[#This Row],[net_sales_inr]]-tblTransactions[[#This Row],[Recalc_Net_Sales]])&lt;0.02,"OK","CHECK")</f>
        <v>OK</v>
      </c>
      <c r="M3124" s="14">
        <f>DATE(YEAR(tblTransactions[[#This Row],[date]]),MONTH(tblTransactions[[#This Row],[date]]),1)</f>
        <v>45748</v>
      </c>
      <c r="N3124" t="str">
        <f>IF(WEEKDAY(tblTransactions[[#This Row],[date]],2)&gt;5,"Weekend","Weekday")</f>
        <v>Weekday</v>
      </c>
      <c r="O312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24" s="13" t="str">
        <f>_xlfn.XLOOKUP(tblTransactions[[#This Row],[tenant_id]],tblTenants[tenant_id],tblTenants[zone],"NOT FOUND")</f>
        <v>Food Court</v>
      </c>
      <c r="Q3124" s="13" t="str">
        <f>_xlfn.XLOOKUP(tblTransactions[[#This Row],[tenant_id]],tblTenants[tenant_id],tblTenants[category],"NOT FOUND")</f>
        <v>Quick Service</v>
      </c>
    </row>
    <row r="3125" spans="1:17">
      <c r="A3125" t="s">
        <v>3169</v>
      </c>
      <c r="B3125" s="2">
        <v>45677</v>
      </c>
      <c r="C3125">
        <v>13</v>
      </c>
      <c r="D3125" t="s">
        <v>31</v>
      </c>
      <c r="E3125" t="s">
        <v>21</v>
      </c>
      <c r="F3125" s="7">
        <v>158.16</v>
      </c>
      <c r="G3125" s="10">
        <v>0.15</v>
      </c>
      <c r="H3125" s="7">
        <v>134.44</v>
      </c>
      <c r="I3125">
        <v>1</v>
      </c>
      <c r="J3125" t="s">
        <v>16</v>
      </c>
      <c r="K3125" s="13">
        <f>ROUND(tblTransactions[[#This Row],[gross_sales_inr]]*(1-tblTransactions[[#This Row],[discount_pct]]),2)</f>
        <v>134.44</v>
      </c>
      <c r="L3125" t="str">
        <f>IF(ABS(tblTransactions[[#This Row],[net_sales_inr]]-tblTransactions[[#This Row],[Recalc_Net_Sales]])&lt;0.02,"OK","CHECK")</f>
        <v>OK</v>
      </c>
      <c r="M3125" s="14">
        <f>DATE(YEAR(tblTransactions[[#This Row],[date]]),MONTH(tblTransactions[[#This Row],[date]]),1)</f>
        <v>45658</v>
      </c>
      <c r="N3125" t="str">
        <f>IF(WEEKDAY(tblTransactions[[#This Row],[date]],2)&gt;5,"Weekend","Weekday")</f>
        <v>Weekday</v>
      </c>
      <c r="O312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25" s="13" t="str">
        <f>_xlfn.XLOOKUP(tblTransactions[[#This Row],[tenant_id]],tblTenants[tenant_id],tblTenants[zone],"NOT FOUND")</f>
        <v>Entertainment</v>
      </c>
      <c r="Q3125" s="13" t="str">
        <f>_xlfn.XLOOKUP(tblTransactions[[#This Row],[tenant_id]],tblTenants[tenant_id],tblTenants[category],"NOT FOUND")</f>
        <v>Arcade</v>
      </c>
    </row>
    <row r="3126" spans="1:17">
      <c r="A3126" t="s">
        <v>3170</v>
      </c>
      <c r="B3126" s="2">
        <v>45781</v>
      </c>
      <c r="C3126">
        <v>14</v>
      </c>
      <c r="D3126" t="s">
        <v>87</v>
      </c>
      <c r="E3126" t="s">
        <v>32</v>
      </c>
      <c r="F3126" s="7">
        <v>615.57000000000005</v>
      </c>
      <c r="G3126" s="10">
        <v>0</v>
      </c>
      <c r="H3126" s="7">
        <v>615.57000000000005</v>
      </c>
      <c r="I3126">
        <v>2</v>
      </c>
      <c r="J3126" t="s">
        <v>16</v>
      </c>
      <c r="K3126" s="13">
        <f>ROUND(tblTransactions[[#This Row],[gross_sales_inr]]*(1-tblTransactions[[#This Row],[discount_pct]]),2)</f>
        <v>615.57000000000005</v>
      </c>
      <c r="L3126" t="str">
        <f>IF(ABS(tblTransactions[[#This Row],[net_sales_inr]]-tblTransactions[[#This Row],[Recalc_Net_Sales]])&lt;0.02,"OK","CHECK")</f>
        <v>OK</v>
      </c>
      <c r="M3126" s="14">
        <f>DATE(YEAR(tblTransactions[[#This Row],[date]]),MONTH(tblTransactions[[#This Row],[date]]),1)</f>
        <v>45778</v>
      </c>
      <c r="N3126" t="str">
        <f>IF(WEEKDAY(tblTransactions[[#This Row],[date]],2)&gt;5,"Weekend","Weekday")</f>
        <v>Weekend</v>
      </c>
      <c r="O3126" s="13" t="str">
        <f>IF(tblTransactions[[#This Row],[discount_pct]]=0,"0%",IF(tblTransactions[[#This Row],[discount_pct]]&lt;=10%,"1–
10%",IF(tblTransactions[[#This Row],[discount_pct]]&lt;=20%,"11–20%","&gt;20%")))</f>
        <v>0%</v>
      </c>
      <c r="P3126" s="13" t="str">
        <f>_xlfn.XLOOKUP(tblTransactions[[#This Row],[tenant_id]],tblTenants[tenant_id],tblTenants[zone],"NOT FOUND")</f>
        <v>Fashion Avenue</v>
      </c>
      <c r="Q3126" s="13" t="str">
        <f>_xlfn.XLOOKUP(tblTransactions[[#This Row],[tenant_id]],tblTenants[tenant_id],tblTenants[category],"NOT FOUND")</f>
        <v>Footwear</v>
      </c>
    </row>
    <row r="3127" spans="1:17">
      <c r="A3127" t="s">
        <v>3171</v>
      </c>
      <c r="B3127" s="2">
        <v>45744</v>
      </c>
      <c r="C3127">
        <v>22</v>
      </c>
      <c r="D3127" t="s">
        <v>204</v>
      </c>
      <c r="E3127" t="s">
        <v>32</v>
      </c>
      <c r="F3127" s="7">
        <v>2125.61</v>
      </c>
      <c r="G3127" s="10">
        <v>0.1</v>
      </c>
      <c r="H3127" s="7">
        <v>1913.05</v>
      </c>
      <c r="I3127">
        <v>5</v>
      </c>
      <c r="J3127" t="s">
        <v>13</v>
      </c>
      <c r="K3127" s="13">
        <f>ROUND(tblTransactions[[#This Row],[gross_sales_inr]]*(1-tblTransactions[[#This Row],[discount_pct]]),2)</f>
        <v>1913.05</v>
      </c>
      <c r="L3127" t="str">
        <f>IF(ABS(tblTransactions[[#This Row],[net_sales_inr]]-tblTransactions[[#This Row],[Recalc_Net_Sales]])&lt;0.02,"OK","CHECK")</f>
        <v>OK</v>
      </c>
      <c r="M3127" s="14">
        <f>DATE(YEAR(tblTransactions[[#This Row],[date]]),MONTH(tblTransactions[[#This Row],[date]]),1)</f>
        <v>45717</v>
      </c>
      <c r="N3127" t="str">
        <f>IF(WEEKDAY(tblTransactions[[#This Row],[date]],2)&gt;5,"Weekend","Weekday")</f>
        <v>Weekday</v>
      </c>
      <c r="O312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27" s="13" t="str">
        <f>_xlfn.XLOOKUP(tblTransactions[[#This Row],[tenant_id]],tblTenants[tenant_id],tblTenants[zone],"NOT FOUND")</f>
        <v>Home &amp; Living</v>
      </c>
      <c r="Q3127" s="13" t="str">
        <f>_xlfn.XLOOKUP(tblTransactions[[#This Row],[tenant_id]],tblTenants[tenant_id],tblTenants[category],"NOT FOUND")</f>
        <v>Home Decor</v>
      </c>
    </row>
    <row r="3128" spans="1:17">
      <c r="A3128" t="s">
        <v>3172</v>
      </c>
      <c r="B3128" s="2">
        <v>45776</v>
      </c>
      <c r="C3128">
        <v>20</v>
      </c>
      <c r="D3128" t="s">
        <v>45</v>
      </c>
      <c r="E3128" t="s">
        <v>32</v>
      </c>
      <c r="F3128" s="7">
        <v>3051.42</v>
      </c>
      <c r="G3128" s="10">
        <v>0</v>
      </c>
      <c r="H3128" s="7">
        <v>3051.42</v>
      </c>
      <c r="I3128">
        <v>1</v>
      </c>
      <c r="J3128" t="s">
        <v>13</v>
      </c>
      <c r="K3128" s="13">
        <f>ROUND(tblTransactions[[#This Row],[gross_sales_inr]]*(1-tblTransactions[[#This Row],[discount_pct]]),2)</f>
        <v>3051.42</v>
      </c>
      <c r="L3128" t="str">
        <f>IF(ABS(tblTransactions[[#This Row],[net_sales_inr]]-tblTransactions[[#This Row],[Recalc_Net_Sales]])&lt;0.02,"OK","CHECK")</f>
        <v>OK</v>
      </c>
      <c r="M3128" s="14">
        <f>DATE(YEAR(tblTransactions[[#This Row],[date]]),MONTH(tblTransactions[[#This Row],[date]]),1)</f>
        <v>45748</v>
      </c>
      <c r="N3128" t="str">
        <f>IF(WEEKDAY(tblTransactions[[#This Row],[date]],2)&gt;5,"Weekend","Weekday")</f>
        <v>Weekday</v>
      </c>
      <c r="O3128" s="13" t="str">
        <f>IF(tblTransactions[[#This Row],[discount_pct]]=0,"0%",IF(tblTransactions[[#This Row],[discount_pct]]&lt;=10%,"1–
10%",IF(tblTransactions[[#This Row],[discount_pct]]&lt;=20%,"11–20%","&gt;20%")))</f>
        <v>0%</v>
      </c>
      <c r="P3128" s="13" t="str">
        <f>_xlfn.XLOOKUP(tblTransactions[[#This Row],[tenant_id]],tblTenants[tenant_id],tblTenants[zone],"NOT FOUND")</f>
        <v>Home &amp; Living</v>
      </c>
      <c r="Q3128" s="13" t="str">
        <f>_xlfn.XLOOKUP(tblTransactions[[#This Row],[tenant_id]],tblTenants[tenant_id],tblTenants[category],"NOT FOUND")</f>
        <v>Home Decor</v>
      </c>
    </row>
    <row r="3129" spans="1:17">
      <c r="A3129" t="s">
        <v>3173</v>
      </c>
      <c r="B3129" s="2">
        <v>45807</v>
      </c>
      <c r="C3129">
        <v>20</v>
      </c>
      <c r="D3129" t="s">
        <v>41</v>
      </c>
      <c r="E3129" t="s">
        <v>12</v>
      </c>
      <c r="F3129" s="7">
        <v>1427.58</v>
      </c>
      <c r="G3129" s="10">
        <v>0.15</v>
      </c>
      <c r="H3129" s="7">
        <v>1213.44</v>
      </c>
      <c r="I3129">
        <v>3</v>
      </c>
      <c r="J3129" t="s">
        <v>13</v>
      </c>
      <c r="K3129" s="13">
        <f>ROUND(tblTransactions[[#This Row],[gross_sales_inr]]*(1-tblTransactions[[#This Row],[discount_pct]]),2)</f>
        <v>1213.44</v>
      </c>
      <c r="L3129" t="str">
        <f>IF(ABS(tblTransactions[[#This Row],[net_sales_inr]]-tblTransactions[[#This Row],[Recalc_Net_Sales]])&lt;0.02,"OK","CHECK")</f>
        <v>OK</v>
      </c>
      <c r="M3129" s="14">
        <f>DATE(YEAR(tblTransactions[[#This Row],[date]]),MONTH(tblTransactions[[#This Row],[date]]),1)</f>
        <v>45778</v>
      </c>
      <c r="N3129" t="str">
        <f>IF(WEEKDAY(tblTransactions[[#This Row],[date]],2)&gt;5,"Weekend","Weekday")</f>
        <v>Weekday</v>
      </c>
      <c r="O312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29" s="13" t="str">
        <f>_xlfn.XLOOKUP(tblTransactions[[#This Row],[tenant_id]],tblTenants[tenant_id],tblTenants[zone],"NOT FOUND")</f>
        <v>Fashion Avenue</v>
      </c>
      <c r="Q3129" s="13" t="str">
        <f>_xlfn.XLOOKUP(tblTransactions[[#This Row],[tenant_id]],tblTenants[tenant_id],tblTenants[category],"NOT FOUND")</f>
        <v>Clothing</v>
      </c>
    </row>
    <row r="3130" spans="1:17">
      <c r="A3130" t="s">
        <v>3174</v>
      </c>
      <c r="B3130" s="2">
        <v>45695</v>
      </c>
      <c r="C3130">
        <v>14</v>
      </c>
      <c r="D3130" t="s">
        <v>87</v>
      </c>
      <c r="E3130" t="s">
        <v>32</v>
      </c>
      <c r="F3130" s="7">
        <v>935.86</v>
      </c>
      <c r="G3130" s="10">
        <v>0.1</v>
      </c>
      <c r="H3130" s="7">
        <v>842.27</v>
      </c>
      <c r="I3130">
        <v>2</v>
      </c>
      <c r="J3130" t="s">
        <v>13</v>
      </c>
      <c r="K3130" s="13">
        <f>ROUND(tblTransactions[[#This Row],[gross_sales_inr]]*(1-tblTransactions[[#This Row],[discount_pct]]),2)</f>
        <v>842.27</v>
      </c>
      <c r="L3130" t="str">
        <f>IF(ABS(tblTransactions[[#This Row],[net_sales_inr]]-tblTransactions[[#This Row],[Recalc_Net_Sales]])&lt;0.02,"OK","CHECK")</f>
        <v>OK</v>
      </c>
      <c r="M3130" s="14">
        <f>DATE(YEAR(tblTransactions[[#This Row],[date]]),MONTH(tblTransactions[[#This Row],[date]]),1)</f>
        <v>45689</v>
      </c>
      <c r="N3130" t="str">
        <f>IF(WEEKDAY(tblTransactions[[#This Row],[date]],2)&gt;5,"Weekend","Weekday")</f>
        <v>Weekday</v>
      </c>
      <c r="O313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30" s="13" t="str">
        <f>_xlfn.XLOOKUP(tblTransactions[[#This Row],[tenant_id]],tblTenants[tenant_id],tblTenants[zone],"NOT FOUND")</f>
        <v>Fashion Avenue</v>
      </c>
      <c r="Q3130" s="13" t="str">
        <f>_xlfn.XLOOKUP(tblTransactions[[#This Row],[tenant_id]],tblTenants[tenant_id],tblTenants[category],"NOT FOUND")</f>
        <v>Footwear</v>
      </c>
    </row>
    <row r="3131" spans="1:17">
      <c r="A3131" t="s">
        <v>3175</v>
      </c>
      <c r="B3131" s="2">
        <v>45741</v>
      </c>
      <c r="C3131">
        <v>17</v>
      </c>
      <c r="D3131" t="s">
        <v>15</v>
      </c>
      <c r="E3131" t="s">
        <v>12</v>
      </c>
      <c r="F3131" s="7">
        <v>1664.09</v>
      </c>
      <c r="G3131" s="10">
        <v>0</v>
      </c>
      <c r="H3131" s="7">
        <v>1664.09</v>
      </c>
      <c r="I3131">
        <v>2</v>
      </c>
      <c r="J3131" t="s">
        <v>16</v>
      </c>
      <c r="K3131" s="13">
        <f>ROUND(tblTransactions[[#This Row],[gross_sales_inr]]*(1-tblTransactions[[#This Row],[discount_pct]]),2)</f>
        <v>1664.09</v>
      </c>
      <c r="L3131" t="str">
        <f>IF(ABS(tblTransactions[[#This Row],[net_sales_inr]]-tblTransactions[[#This Row],[Recalc_Net_Sales]])&lt;0.02,"OK","CHECK")</f>
        <v>OK</v>
      </c>
      <c r="M3131" s="14">
        <f>DATE(YEAR(tblTransactions[[#This Row],[date]]),MONTH(tblTransactions[[#This Row],[date]]),1)</f>
        <v>45717</v>
      </c>
      <c r="N3131" t="str">
        <f>IF(WEEKDAY(tblTransactions[[#This Row],[date]],2)&gt;5,"Weekend","Weekday")</f>
        <v>Weekday</v>
      </c>
      <c r="O3131" s="13" t="str">
        <f>IF(tblTransactions[[#This Row],[discount_pct]]=0,"0%",IF(tblTransactions[[#This Row],[discount_pct]]&lt;=10%,"1–
10%",IF(tblTransactions[[#This Row],[discount_pct]]&lt;=20%,"11–20%","&gt;20%")))</f>
        <v>0%</v>
      </c>
      <c r="P3131" s="13" t="str">
        <f>_xlfn.XLOOKUP(tblTransactions[[#This Row],[tenant_id]],tblTenants[tenant_id],tblTenants[zone],"NOT FOUND")</f>
        <v>Fashion Avenue</v>
      </c>
      <c r="Q3131" s="13" t="str">
        <f>_xlfn.XLOOKUP(tblTransactions[[#This Row],[tenant_id]],tblTenants[tenant_id],tblTenants[category],"NOT FOUND")</f>
        <v>Accessories</v>
      </c>
    </row>
    <row r="3132" spans="1:17">
      <c r="A3132" t="s">
        <v>3176</v>
      </c>
      <c r="B3132" s="2">
        <v>45794</v>
      </c>
      <c r="C3132">
        <v>20</v>
      </c>
      <c r="D3132" t="s">
        <v>34</v>
      </c>
      <c r="E3132" t="s">
        <v>21</v>
      </c>
      <c r="F3132" s="7">
        <v>374.68</v>
      </c>
      <c r="G3132" s="10">
        <v>0.2</v>
      </c>
      <c r="H3132" s="7">
        <v>299.74</v>
      </c>
      <c r="I3132">
        <v>1</v>
      </c>
      <c r="J3132" t="s">
        <v>13</v>
      </c>
      <c r="K3132" s="13">
        <f>ROUND(tblTransactions[[#This Row],[gross_sales_inr]]*(1-tblTransactions[[#This Row],[discount_pct]]),2)</f>
        <v>299.74</v>
      </c>
      <c r="L3132" t="str">
        <f>IF(ABS(tblTransactions[[#This Row],[net_sales_inr]]-tblTransactions[[#This Row],[Recalc_Net_Sales]])&lt;0.02,"OK","CHECK")</f>
        <v>OK</v>
      </c>
      <c r="M3132" s="14">
        <f>DATE(YEAR(tblTransactions[[#This Row],[date]]),MONTH(tblTransactions[[#This Row],[date]]),1)</f>
        <v>45778</v>
      </c>
      <c r="N3132" t="str">
        <f>IF(WEEKDAY(tblTransactions[[#This Row],[date]],2)&gt;5,"Weekend","Weekday")</f>
        <v>Weekend</v>
      </c>
      <c r="O313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32" s="13" t="str">
        <f>_xlfn.XLOOKUP(tblTransactions[[#This Row],[tenant_id]],tblTenants[tenant_id],tblTenants[zone],"NOT FOUND")</f>
        <v>Home &amp; Living</v>
      </c>
      <c r="Q3132" s="13" t="str">
        <f>_xlfn.XLOOKUP(tblTransactions[[#This Row],[tenant_id]],tblTenants[tenant_id],tblTenants[category],"NOT FOUND")</f>
        <v>Electronics</v>
      </c>
    </row>
    <row r="3133" spans="1:17">
      <c r="A3133" t="s">
        <v>3177</v>
      </c>
      <c r="B3133" s="2">
        <v>45670</v>
      </c>
      <c r="C3133">
        <v>19</v>
      </c>
      <c r="D3133" t="s">
        <v>87</v>
      </c>
      <c r="E3133" t="s">
        <v>32</v>
      </c>
      <c r="F3133" s="7">
        <v>1868.81</v>
      </c>
      <c r="G3133" s="10">
        <v>0.2</v>
      </c>
      <c r="H3133" s="7">
        <v>1495.05</v>
      </c>
      <c r="I3133">
        <v>1</v>
      </c>
      <c r="J3133" t="s">
        <v>13</v>
      </c>
      <c r="K3133" s="13">
        <f>ROUND(tblTransactions[[#This Row],[gross_sales_inr]]*(1-tblTransactions[[#This Row],[discount_pct]]),2)</f>
        <v>1495.05</v>
      </c>
      <c r="L3133" t="str">
        <f>IF(ABS(tblTransactions[[#This Row],[net_sales_inr]]-tblTransactions[[#This Row],[Recalc_Net_Sales]])&lt;0.02,"OK","CHECK")</f>
        <v>OK</v>
      </c>
      <c r="M3133" s="14">
        <f>DATE(YEAR(tblTransactions[[#This Row],[date]]),MONTH(tblTransactions[[#This Row],[date]]),1)</f>
        <v>45658</v>
      </c>
      <c r="N3133" t="str">
        <f>IF(WEEKDAY(tblTransactions[[#This Row],[date]],2)&gt;5,"Weekend","Weekday")</f>
        <v>Weekday</v>
      </c>
      <c r="O313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33" s="13" t="str">
        <f>_xlfn.XLOOKUP(tblTransactions[[#This Row],[tenant_id]],tblTenants[tenant_id],tblTenants[zone],"NOT FOUND")</f>
        <v>Fashion Avenue</v>
      </c>
      <c r="Q3133" s="13" t="str">
        <f>_xlfn.XLOOKUP(tblTransactions[[#This Row],[tenant_id]],tblTenants[tenant_id],tblTenants[category],"NOT FOUND")</f>
        <v>Footwear</v>
      </c>
    </row>
    <row r="3134" spans="1:17">
      <c r="A3134" t="s">
        <v>3178</v>
      </c>
      <c r="B3134" s="2">
        <v>45763</v>
      </c>
      <c r="C3134">
        <v>20</v>
      </c>
      <c r="D3134" t="s">
        <v>59</v>
      </c>
      <c r="E3134" t="s">
        <v>32</v>
      </c>
      <c r="F3134" s="7">
        <v>1050.57</v>
      </c>
      <c r="G3134" s="10">
        <v>0.2</v>
      </c>
      <c r="H3134" s="7">
        <v>840.46</v>
      </c>
      <c r="I3134">
        <v>2</v>
      </c>
      <c r="J3134" t="s">
        <v>13</v>
      </c>
      <c r="K3134" s="13">
        <f>ROUND(tblTransactions[[#This Row],[gross_sales_inr]]*(1-tblTransactions[[#This Row],[discount_pct]]),2)</f>
        <v>840.46</v>
      </c>
      <c r="L3134" t="str">
        <f>IF(ABS(tblTransactions[[#This Row],[net_sales_inr]]-tblTransactions[[#This Row],[Recalc_Net_Sales]])&lt;0.02,"OK","CHECK")</f>
        <v>OK</v>
      </c>
      <c r="M3134" s="14">
        <f>DATE(YEAR(tblTransactions[[#This Row],[date]]),MONTH(tblTransactions[[#This Row],[date]]),1)</f>
        <v>45748</v>
      </c>
      <c r="N3134" t="str">
        <f>IF(WEEKDAY(tblTransactions[[#This Row],[date]],2)&gt;5,"Weekend","Weekday")</f>
        <v>Weekday</v>
      </c>
      <c r="O313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34" s="13" t="str">
        <f>_xlfn.XLOOKUP(tblTransactions[[#This Row],[tenant_id]],tblTenants[tenant_id],tblTenants[zone],"NOT FOUND")</f>
        <v>Fashion Avenue</v>
      </c>
      <c r="Q3134" s="13" t="str">
        <f>_xlfn.XLOOKUP(tblTransactions[[#This Row],[tenant_id]],tblTenants[tenant_id],tblTenants[category],"NOT FOUND")</f>
        <v>Footwear</v>
      </c>
    </row>
    <row r="3135" spans="1:17">
      <c r="A3135" t="s">
        <v>3179</v>
      </c>
      <c r="B3135" s="2">
        <v>45714</v>
      </c>
      <c r="C3135">
        <v>17</v>
      </c>
      <c r="D3135" t="s">
        <v>11</v>
      </c>
      <c r="E3135" t="s">
        <v>12</v>
      </c>
      <c r="F3135" s="7">
        <v>994.07</v>
      </c>
      <c r="G3135" s="10">
        <v>0.2</v>
      </c>
      <c r="H3135" s="7">
        <v>795.26</v>
      </c>
      <c r="I3135">
        <v>4</v>
      </c>
      <c r="J3135" t="s">
        <v>13</v>
      </c>
      <c r="K3135" s="13">
        <f>ROUND(tblTransactions[[#This Row],[gross_sales_inr]]*(1-tblTransactions[[#This Row],[discount_pct]]),2)</f>
        <v>795.26</v>
      </c>
      <c r="L3135" t="str">
        <f>IF(ABS(tblTransactions[[#This Row],[net_sales_inr]]-tblTransactions[[#This Row],[Recalc_Net_Sales]])&lt;0.02,"OK","CHECK")</f>
        <v>OK</v>
      </c>
      <c r="M3135" s="14">
        <f>DATE(YEAR(tblTransactions[[#This Row],[date]]),MONTH(tblTransactions[[#This Row],[date]]),1)</f>
        <v>45689</v>
      </c>
      <c r="N3135" t="str">
        <f>IF(WEEKDAY(tblTransactions[[#This Row],[date]],2)&gt;5,"Weekend","Weekday")</f>
        <v>Weekday</v>
      </c>
      <c r="O313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35" s="13" t="str">
        <f>_xlfn.XLOOKUP(tblTransactions[[#This Row],[tenant_id]],tblTenants[tenant_id],tblTenants[zone],"NOT FOUND")</f>
        <v>Home &amp; Living</v>
      </c>
      <c r="Q3135" s="13" t="str">
        <f>_xlfn.XLOOKUP(tblTransactions[[#This Row],[tenant_id]],tblTenants[tenant_id],tblTenants[category],"NOT FOUND")</f>
        <v>Home Decor</v>
      </c>
    </row>
    <row r="3136" spans="1:17">
      <c r="A3136" t="s">
        <v>3180</v>
      </c>
      <c r="B3136" s="2">
        <v>45672</v>
      </c>
      <c r="C3136">
        <v>18</v>
      </c>
      <c r="D3136" t="s">
        <v>36</v>
      </c>
      <c r="E3136" t="s">
        <v>21</v>
      </c>
      <c r="F3136" s="7">
        <v>1744.49</v>
      </c>
      <c r="G3136" s="10">
        <v>0</v>
      </c>
      <c r="H3136" s="7">
        <v>1744.49</v>
      </c>
      <c r="I3136">
        <v>1</v>
      </c>
      <c r="J3136" t="s">
        <v>16</v>
      </c>
      <c r="K3136" s="13">
        <f>ROUND(tblTransactions[[#This Row],[gross_sales_inr]]*(1-tblTransactions[[#This Row],[discount_pct]]),2)</f>
        <v>1744.49</v>
      </c>
      <c r="L3136" t="str">
        <f>IF(ABS(tblTransactions[[#This Row],[net_sales_inr]]-tblTransactions[[#This Row],[Recalc_Net_Sales]])&lt;0.02,"OK","CHECK")</f>
        <v>OK</v>
      </c>
      <c r="M3136" s="14">
        <f>DATE(YEAR(tblTransactions[[#This Row],[date]]),MONTH(tblTransactions[[#This Row],[date]]),1)</f>
        <v>45658</v>
      </c>
      <c r="N3136" t="str">
        <f>IF(WEEKDAY(tblTransactions[[#This Row],[date]],2)&gt;5,"Weekend","Weekday")</f>
        <v>Weekday</v>
      </c>
      <c r="O3136" s="13" t="str">
        <f>IF(tblTransactions[[#This Row],[discount_pct]]=0,"0%",IF(tblTransactions[[#This Row],[discount_pct]]&lt;=10%,"1–
10%",IF(tblTransactions[[#This Row],[discount_pct]]&lt;=20%,"11–20%","&gt;20%")))</f>
        <v>0%</v>
      </c>
      <c r="P3136" s="13" t="str">
        <f>_xlfn.XLOOKUP(tblTransactions[[#This Row],[tenant_id]],tblTenants[tenant_id],tblTenants[zone],"NOT FOUND")</f>
        <v>Home &amp; Living</v>
      </c>
      <c r="Q3136" s="13" t="str">
        <f>_xlfn.XLOOKUP(tblTransactions[[#This Row],[tenant_id]],tblTenants[tenant_id],tblTenants[category],"NOT FOUND")</f>
        <v>Electronics</v>
      </c>
    </row>
    <row r="3137" spans="1:17">
      <c r="A3137" t="s">
        <v>3181</v>
      </c>
      <c r="B3137" s="2">
        <v>45765</v>
      </c>
      <c r="C3137">
        <v>16</v>
      </c>
      <c r="D3137" t="s">
        <v>23</v>
      </c>
      <c r="E3137" t="s">
        <v>32</v>
      </c>
      <c r="F3137" s="7">
        <v>1447.52</v>
      </c>
      <c r="G3137" s="10">
        <v>0</v>
      </c>
      <c r="H3137" s="7">
        <v>1447.52</v>
      </c>
      <c r="I3137">
        <v>2</v>
      </c>
      <c r="J3137" t="s">
        <v>13</v>
      </c>
      <c r="K3137" s="13">
        <f>ROUND(tblTransactions[[#This Row],[gross_sales_inr]]*(1-tblTransactions[[#This Row],[discount_pct]]),2)</f>
        <v>1447.52</v>
      </c>
      <c r="L3137" t="str">
        <f>IF(ABS(tblTransactions[[#This Row],[net_sales_inr]]-tblTransactions[[#This Row],[Recalc_Net_Sales]])&lt;0.02,"OK","CHECK")</f>
        <v>OK</v>
      </c>
      <c r="M3137" s="14">
        <f>DATE(YEAR(tblTransactions[[#This Row],[date]]),MONTH(tblTransactions[[#This Row],[date]]),1)</f>
        <v>45748</v>
      </c>
      <c r="N3137" t="str">
        <f>IF(WEEKDAY(tblTransactions[[#This Row],[date]],2)&gt;5,"Weekend","Weekday")</f>
        <v>Weekday</v>
      </c>
      <c r="O3137" s="13" t="str">
        <f>IF(tblTransactions[[#This Row],[discount_pct]]=0,"0%",IF(tblTransactions[[#This Row],[discount_pct]]&lt;=10%,"1–
10%",IF(tblTransactions[[#This Row],[discount_pct]]&lt;=20%,"11–20%","&gt;20%")))</f>
        <v>0%</v>
      </c>
      <c r="P3137" s="13" t="str">
        <f>_xlfn.XLOOKUP(tblTransactions[[#This Row],[tenant_id]],tblTenants[tenant_id],tblTenants[zone],"NOT FOUND")</f>
        <v>Entertainment</v>
      </c>
      <c r="Q3137" s="13" t="str">
        <f>_xlfn.XLOOKUP(tblTransactions[[#This Row],[tenant_id]],tblTenants[tenant_id],tblTenants[category],"NOT FOUND")</f>
        <v>Cinema</v>
      </c>
    </row>
    <row r="3138" spans="1:17">
      <c r="A3138" t="s">
        <v>3182</v>
      </c>
      <c r="B3138" s="2">
        <v>45774</v>
      </c>
      <c r="C3138">
        <v>14</v>
      </c>
      <c r="D3138" t="s">
        <v>104</v>
      </c>
      <c r="E3138" t="s">
        <v>12</v>
      </c>
      <c r="F3138" s="7">
        <v>456.72</v>
      </c>
      <c r="G3138" s="10">
        <v>0</v>
      </c>
      <c r="H3138" s="7">
        <v>456.72</v>
      </c>
      <c r="I3138">
        <v>3</v>
      </c>
      <c r="J3138" t="s">
        <v>13</v>
      </c>
      <c r="K3138" s="13">
        <f>ROUND(tblTransactions[[#This Row],[gross_sales_inr]]*(1-tblTransactions[[#This Row],[discount_pct]]),2)</f>
        <v>456.72</v>
      </c>
      <c r="L3138" t="str">
        <f>IF(ABS(tblTransactions[[#This Row],[net_sales_inr]]-tblTransactions[[#This Row],[Recalc_Net_Sales]])&lt;0.02,"OK","CHECK")</f>
        <v>OK</v>
      </c>
      <c r="M3138" s="14">
        <f>DATE(YEAR(tblTransactions[[#This Row],[date]]),MONTH(tblTransactions[[#This Row],[date]]),1)</f>
        <v>45748</v>
      </c>
      <c r="N3138" t="str">
        <f>IF(WEEKDAY(tblTransactions[[#This Row],[date]],2)&gt;5,"Weekend","Weekday")</f>
        <v>Weekend</v>
      </c>
      <c r="O3138" s="13" t="str">
        <f>IF(tblTransactions[[#This Row],[discount_pct]]=0,"0%",IF(tblTransactions[[#This Row],[discount_pct]]&lt;=10%,"1–
10%",IF(tblTransactions[[#This Row],[discount_pct]]&lt;=20%,"11–20%","&gt;20%")))</f>
        <v>0%</v>
      </c>
      <c r="P3138" s="13" t="str">
        <f>_xlfn.XLOOKUP(tblTransactions[[#This Row],[tenant_id]],tblTenants[tenant_id],tblTenants[zone],"NOT FOUND")</f>
        <v>Entertainment</v>
      </c>
      <c r="Q3138" s="13" t="str">
        <f>_xlfn.XLOOKUP(tblTransactions[[#This Row],[tenant_id]],tblTenants[tenant_id],tblTenants[category],"NOT FOUND")</f>
        <v>Family Entertainment</v>
      </c>
    </row>
    <row r="3139" spans="1:17">
      <c r="A3139" t="s">
        <v>3183</v>
      </c>
      <c r="B3139" s="2">
        <v>45704</v>
      </c>
      <c r="C3139">
        <v>10</v>
      </c>
      <c r="D3139" t="s">
        <v>31</v>
      </c>
      <c r="E3139" t="s">
        <v>12</v>
      </c>
      <c r="F3139" s="7">
        <v>850.56</v>
      </c>
      <c r="G3139" s="10">
        <v>0.1</v>
      </c>
      <c r="H3139" s="7">
        <v>765.5</v>
      </c>
      <c r="I3139">
        <v>4</v>
      </c>
      <c r="J3139" t="s">
        <v>16</v>
      </c>
      <c r="K3139" s="13">
        <f>ROUND(tblTransactions[[#This Row],[gross_sales_inr]]*(1-tblTransactions[[#This Row],[discount_pct]]),2)</f>
        <v>765.5</v>
      </c>
      <c r="L3139" t="str">
        <f>IF(ABS(tblTransactions[[#This Row],[net_sales_inr]]-tblTransactions[[#This Row],[Recalc_Net_Sales]])&lt;0.02,"OK","CHECK")</f>
        <v>OK</v>
      </c>
      <c r="M3139" s="14">
        <f>DATE(YEAR(tblTransactions[[#This Row],[date]]),MONTH(tblTransactions[[#This Row],[date]]),1)</f>
        <v>45689</v>
      </c>
      <c r="N3139" t="str">
        <f>IF(WEEKDAY(tblTransactions[[#This Row],[date]],2)&gt;5,"Weekend","Weekday")</f>
        <v>Weekend</v>
      </c>
      <c r="O313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39" s="13" t="str">
        <f>_xlfn.XLOOKUP(tblTransactions[[#This Row],[tenant_id]],tblTenants[tenant_id],tblTenants[zone],"NOT FOUND")</f>
        <v>Entertainment</v>
      </c>
      <c r="Q3139" s="13" t="str">
        <f>_xlfn.XLOOKUP(tblTransactions[[#This Row],[tenant_id]],tblTenants[tenant_id],tblTenants[category],"NOT FOUND")</f>
        <v>Arcade</v>
      </c>
    </row>
    <row r="3140" spans="1:17">
      <c r="A3140" t="s">
        <v>3184</v>
      </c>
      <c r="B3140" s="2">
        <v>45796</v>
      </c>
      <c r="C3140">
        <v>10</v>
      </c>
      <c r="D3140" t="s">
        <v>70</v>
      </c>
      <c r="E3140" t="s">
        <v>12</v>
      </c>
      <c r="F3140" s="7">
        <v>643.37</v>
      </c>
      <c r="G3140" s="10">
        <v>0</v>
      </c>
      <c r="H3140" s="7">
        <v>643.37</v>
      </c>
      <c r="I3140">
        <v>3</v>
      </c>
      <c r="J3140" t="s">
        <v>13</v>
      </c>
      <c r="K3140" s="13">
        <f>ROUND(tblTransactions[[#This Row],[gross_sales_inr]]*(1-tblTransactions[[#This Row],[discount_pct]]),2)</f>
        <v>643.37</v>
      </c>
      <c r="L3140" t="str">
        <f>IF(ABS(tblTransactions[[#This Row],[net_sales_inr]]-tblTransactions[[#This Row],[Recalc_Net_Sales]])&lt;0.02,"OK","CHECK")</f>
        <v>OK</v>
      </c>
      <c r="M3140" s="14">
        <f>DATE(YEAR(tblTransactions[[#This Row],[date]]),MONTH(tblTransactions[[#This Row],[date]]),1)</f>
        <v>45778</v>
      </c>
      <c r="N3140" t="str">
        <f>IF(WEEKDAY(tblTransactions[[#This Row],[date]],2)&gt;5,"Weekend","Weekday")</f>
        <v>Weekday</v>
      </c>
      <c r="O3140" s="13" t="str">
        <f>IF(tblTransactions[[#This Row],[discount_pct]]=0,"0%",IF(tblTransactions[[#This Row],[discount_pct]]&lt;=10%,"1–
10%",IF(tblTransactions[[#This Row],[discount_pct]]&lt;=20%,"11–20%","&gt;20%")))</f>
        <v>0%</v>
      </c>
      <c r="P3140" s="13" t="str">
        <f>_xlfn.XLOOKUP(tblTransactions[[#This Row],[tenant_id]],tblTenants[tenant_id],tblTenants[zone],"NOT FOUND")</f>
        <v>Food Court</v>
      </c>
      <c r="Q3140" s="13" t="str">
        <f>_xlfn.XLOOKUP(tblTransactions[[#This Row],[tenant_id]],tblTenants[tenant_id],tblTenants[category],"NOT FOUND")</f>
        <v>Quick Service</v>
      </c>
    </row>
    <row r="3141" spans="1:17">
      <c r="A3141" t="s">
        <v>3185</v>
      </c>
      <c r="B3141" s="2">
        <v>45791</v>
      </c>
      <c r="C3141">
        <v>17</v>
      </c>
      <c r="D3141" t="s">
        <v>43</v>
      </c>
      <c r="E3141" t="s">
        <v>32</v>
      </c>
      <c r="F3141" s="7">
        <v>852.56</v>
      </c>
      <c r="G3141" s="10">
        <v>0</v>
      </c>
      <c r="H3141" s="7">
        <v>852.56</v>
      </c>
      <c r="I3141">
        <v>3</v>
      </c>
      <c r="J3141" t="s">
        <v>13</v>
      </c>
      <c r="K3141" s="13">
        <f>ROUND(tblTransactions[[#This Row],[gross_sales_inr]]*(1-tblTransactions[[#This Row],[discount_pct]]),2)</f>
        <v>852.56</v>
      </c>
      <c r="L3141" t="str">
        <f>IF(ABS(tblTransactions[[#This Row],[net_sales_inr]]-tblTransactions[[#This Row],[Recalc_Net_Sales]])&lt;0.02,"OK","CHECK")</f>
        <v>OK</v>
      </c>
      <c r="M3141" s="14">
        <f>DATE(YEAR(tblTransactions[[#This Row],[date]]),MONTH(tblTransactions[[#This Row],[date]]),1)</f>
        <v>45778</v>
      </c>
      <c r="N3141" t="str">
        <f>IF(WEEKDAY(tblTransactions[[#This Row],[date]],2)&gt;5,"Weekend","Weekday")</f>
        <v>Weekday</v>
      </c>
      <c r="O3141" s="13" t="str">
        <f>IF(tblTransactions[[#This Row],[discount_pct]]=0,"0%",IF(tblTransactions[[#This Row],[discount_pct]]&lt;=10%,"1–
10%",IF(tblTransactions[[#This Row],[discount_pct]]&lt;=20%,"11–20%","&gt;20%")))</f>
        <v>0%</v>
      </c>
      <c r="P3141" s="13" t="str">
        <f>_xlfn.XLOOKUP(tblTransactions[[#This Row],[tenant_id]],tblTenants[tenant_id],tblTenants[zone],"NOT FOUND")</f>
        <v>Food Court</v>
      </c>
      <c r="Q3141" s="13" t="str">
        <f>_xlfn.XLOOKUP(tblTransactions[[#This Row],[tenant_id]],tblTenants[tenant_id],tblTenants[category],"NOT FOUND")</f>
        <v>Casual Dining</v>
      </c>
    </row>
    <row r="3142" spans="1:17">
      <c r="A3142" t="s">
        <v>3186</v>
      </c>
      <c r="B3142" s="2">
        <v>45682</v>
      </c>
      <c r="C3142">
        <v>13</v>
      </c>
      <c r="D3142" t="s">
        <v>104</v>
      </c>
      <c r="E3142" t="s">
        <v>12</v>
      </c>
      <c r="F3142" s="7">
        <v>1144.75</v>
      </c>
      <c r="G3142" s="10">
        <v>0.15</v>
      </c>
      <c r="H3142" s="7">
        <v>973.04</v>
      </c>
      <c r="I3142">
        <v>2</v>
      </c>
      <c r="J3142" t="s">
        <v>13</v>
      </c>
      <c r="K3142" s="13">
        <f>ROUND(tblTransactions[[#This Row],[gross_sales_inr]]*(1-tblTransactions[[#This Row],[discount_pct]]),2)</f>
        <v>973.04</v>
      </c>
      <c r="L3142" t="str">
        <f>IF(ABS(tblTransactions[[#This Row],[net_sales_inr]]-tblTransactions[[#This Row],[Recalc_Net_Sales]])&lt;0.02,"OK","CHECK")</f>
        <v>OK</v>
      </c>
      <c r="M3142" s="14">
        <f>DATE(YEAR(tblTransactions[[#This Row],[date]]),MONTH(tblTransactions[[#This Row],[date]]),1)</f>
        <v>45658</v>
      </c>
      <c r="N3142" t="str">
        <f>IF(WEEKDAY(tblTransactions[[#This Row],[date]],2)&gt;5,"Weekend","Weekday")</f>
        <v>Weekend</v>
      </c>
      <c r="O314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42" s="13" t="str">
        <f>_xlfn.XLOOKUP(tblTransactions[[#This Row],[tenant_id]],tblTenants[tenant_id],tblTenants[zone],"NOT FOUND")</f>
        <v>Entertainment</v>
      </c>
      <c r="Q3142" s="13" t="str">
        <f>_xlfn.XLOOKUP(tblTransactions[[#This Row],[tenant_id]],tblTenants[tenant_id],tblTenants[category],"NOT FOUND")</f>
        <v>Family Entertainment</v>
      </c>
    </row>
    <row r="3143" spans="1:17">
      <c r="A3143" t="s">
        <v>3187</v>
      </c>
      <c r="B3143" s="2">
        <v>45783</v>
      </c>
      <c r="C3143">
        <v>20</v>
      </c>
      <c r="D3143" t="s">
        <v>41</v>
      </c>
      <c r="E3143" t="s">
        <v>12</v>
      </c>
      <c r="F3143" s="7">
        <v>2029.28</v>
      </c>
      <c r="G3143" s="10">
        <v>0.2</v>
      </c>
      <c r="H3143" s="7">
        <v>1623.42</v>
      </c>
      <c r="I3143">
        <v>3</v>
      </c>
      <c r="J3143" t="s">
        <v>13</v>
      </c>
      <c r="K3143" s="13">
        <f>ROUND(tblTransactions[[#This Row],[gross_sales_inr]]*(1-tblTransactions[[#This Row],[discount_pct]]),2)</f>
        <v>1623.42</v>
      </c>
      <c r="L3143" t="str">
        <f>IF(ABS(tblTransactions[[#This Row],[net_sales_inr]]-tblTransactions[[#This Row],[Recalc_Net_Sales]])&lt;0.02,"OK","CHECK")</f>
        <v>OK</v>
      </c>
      <c r="M3143" s="14">
        <f>DATE(YEAR(tblTransactions[[#This Row],[date]]),MONTH(tblTransactions[[#This Row],[date]]),1)</f>
        <v>45778</v>
      </c>
      <c r="N3143" t="str">
        <f>IF(WEEKDAY(tblTransactions[[#This Row],[date]],2)&gt;5,"Weekend","Weekday")</f>
        <v>Weekday</v>
      </c>
      <c r="O314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43" s="13" t="str">
        <f>_xlfn.XLOOKUP(tblTransactions[[#This Row],[tenant_id]],tblTenants[tenant_id],tblTenants[zone],"NOT FOUND")</f>
        <v>Fashion Avenue</v>
      </c>
      <c r="Q3143" s="13" t="str">
        <f>_xlfn.XLOOKUP(tblTransactions[[#This Row],[tenant_id]],tblTenants[tenant_id],tblTenants[category],"NOT FOUND")</f>
        <v>Clothing</v>
      </c>
    </row>
    <row r="3144" spans="1:17">
      <c r="A3144" t="s">
        <v>3188</v>
      </c>
      <c r="B3144" s="2">
        <v>45829</v>
      </c>
      <c r="C3144">
        <v>18</v>
      </c>
      <c r="D3144" t="s">
        <v>48</v>
      </c>
      <c r="E3144" t="s">
        <v>12</v>
      </c>
      <c r="F3144" s="7">
        <v>1639.53</v>
      </c>
      <c r="G3144" s="10">
        <v>0</v>
      </c>
      <c r="H3144" s="7">
        <v>1639.53</v>
      </c>
      <c r="I3144">
        <v>1</v>
      </c>
      <c r="J3144" t="s">
        <v>13</v>
      </c>
      <c r="K3144" s="13">
        <f>ROUND(tblTransactions[[#This Row],[gross_sales_inr]]*(1-tblTransactions[[#This Row],[discount_pct]]),2)</f>
        <v>1639.53</v>
      </c>
      <c r="L3144" t="str">
        <f>IF(ABS(tblTransactions[[#This Row],[net_sales_inr]]-tblTransactions[[#This Row],[Recalc_Net_Sales]])&lt;0.02,"OK","CHECK")</f>
        <v>OK</v>
      </c>
      <c r="M3144" s="14">
        <f>DATE(YEAR(tblTransactions[[#This Row],[date]]),MONTH(tblTransactions[[#This Row],[date]]),1)</f>
        <v>45809</v>
      </c>
      <c r="N3144" t="str">
        <f>IF(WEEKDAY(tblTransactions[[#This Row],[date]],2)&gt;5,"Weekend","Weekday")</f>
        <v>Weekend</v>
      </c>
      <c r="O3144" s="13" t="str">
        <f>IF(tblTransactions[[#This Row],[discount_pct]]=0,"0%",IF(tblTransactions[[#This Row],[discount_pct]]&lt;=10%,"1–
10%",IF(tblTransactions[[#This Row],[discount_pct]]&lt;=20%,"11–20%","&gt;20%")))</f>
        <v>0%</v>
      </c>
      <c r="P3144" s="13" t="str">
        <f>_xlfn.XLOOKUP(tblTransactions[[#This Row],[tenant_id]],tblTenants[tenant_id],tblTenants[zone],"NOT FOUND")</f>
        <v>Beauty &amp; Wellness</v>
      </c>
      <c r="Q3144" s="13" t="str">
        <f>_xlfn.XLOOKUP(tblTransactions[[#This Row],[tenant_id]],tblTenants[tenant_id],tblTenants[category],"NOT FOUND")</f>
        <v>Wellness</v>
      </c>
    </row>
    <row r="3145" spans="1:17">
      <c r="A3145" t="s">
        <v>3189</v>
      </c>
      <c r="B3145" s="2">
        <v>45767</v>
      </c>
      <c r="C3145">
        <v>20</v>
      </c>
      <c r="D3145" t="s">
        <v>23</v>
      </c>
      <c r="E3145" t="s">
        <v>21</v>
      </c>
      <c r="F3145" s="7">
        <v>311.93</v>
      </c>
      <c r="G3145" s="10">
        <v>0.15</v>
      </c>
      <c r="H3145" s="7">
        <v>265.14</v>
      </c>
      <c r="I3145">
        <v>3</v>
      </c>
      <c r="J3145" t="s">
        <v>13</v>
      </c>
      <c r="K3145" s="13">
        <f>ROUND(tblTransactions[[#This Row],[gross_sales_inr]]*(1-tblTransactions[[#This Row],[discount_pct]]),2)</f>
        <v>265.14</v>
      </c>
      <c r="L3145" t="str">
        <f>IF(ABS(tblTransactions[[#This Row],[net_sales_inr]]-tblTransactions[[#This Row],[Recalc_Net_Sales]])&lt;0.02,"OK","CHECK")</f>
        <v>OK</v>
      </c>
      <c r="M3145" s="14">
        <f>DATE(YEAR(tblTransactions[[#This Row],[date]]),MONTH(tblTransactions[[#This Row],[date]]),1)</f>
        <v>45748</v>
      </c>
      <c r="N3145" t="str">
        <f>IF(WEEKDAY(tblTransactions[[#This Row],[date]],2)&gt;5,"Weekend","Weekday")</f>
        <v>Weekend</v>
      </c>
      <c r="O3145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45" s="13" t="str">
        <f>_xlfn.XLOOKUP(tblTransactions[[#This Row],[tenant_id]],tblTenants[tenant_id],tblTenants[zone],"NOT FOUND")</f>
        <v>Entertainment</v>
      </c>
      <c r="Q3145" s="13" t="str">
        <f>_xlfn.XLOOKUP(tblTransactions[[#This Row],[tenant_id]],tblTenants[tenant_id],tblTenants[category],"NOT FOUND")</f>
        <v>Cinema</v>
      </c>
    </row>
    <row r="3146" spans="1:17">
      <c r="A3146" t="s">
        <v>3190</v>
      </c>
      <c r="B3146" s="2">
        <v>45659</v>
      </c>
      <c r="C3146">
        <v>16</v>
      </c>
      <c r="D3146" t="s">
        <v>104</v>
      </c>
      <c r="E3146" t="s">
        <v>12</v>
      </c>
      <c r="F3146" s="7">
        <v>2063.73</v>
      </c>
      <c r="G3146" s="10">
        <v>0.2</v>
      </c>
      <c r="H3146" s="7">
        <v>1650.98</v>
      </c>
      <c r="I3146">
        <v>1</v>
      </c>
      <c r="J3146" t="s">
        <v>16</v>
      </c>
      <c r="K3146" s="13">
        <f>ROUND(tblTransactions[[#This Row],[gross_sales_inr]]*(1-tblTransactions[[#This Row],[discount_pct]]),2)</f>
        <v>1650.98</v>
      </c>
      <c r="L3146" t="str">
        <f>IF(ABS(tblTransactions[[#This Row],[net_sales_inr]]-tblTransactions[[#This Row],[Recalc_Net_Sales]])&lt;0.02,"OK","CHECK")</f>
        <v>OK</v>
      </c>
      <c r="M3146" s="14">
        <f>DATE(YEAR(tblTransactions[[#This Row],[date]]),MONTH(tblTransactions[[#This Row],[date]]),1)</f>
        <v>45658</v>
      </c>
      <c r="N3146" t="str">
        <f>IF(WEEKDAY(tblTransactions[[#This Row],[date]],2)&gt;5,"Weekend","Weekday")</f>
        <v>Weekday</v>
      </c>
      <c r="O314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46" s="13" t="str">
        <f>_xlfn.XLOOKUP(tblTransactions[[#This Row],[tenant_id]],tblTenants[tenant_id],tblTenants[zone],"NOT FOUND")</f>
        <v>Entertainment</v>
      </c>
      <c r="Q3146" s="13" t="str">
        <f>_xlfn.XLOOKUP(tblTransactions[[#This Row],[tenant_id]],tblTenants[tenant_id],tblTenants[category],"NOT FOUND")</f>
        <v>Family Entertainment</v>
      </c>
    </row>
    <row r="3147" spans="1:17">
      <c r="A3147" t="s">
        <v>3191</v>
      </c>
      <c r="B3147" s="2">
        <v>45781</v>
      </c>
      <c r="C3147">
        <v>11</v>
      </c>
      <c r="D3147" t="s">
        <v>87</v>
      </c>
      <c r="E3147" t="s">
        <v>12</v>
      </c>
      <c r="F3147" s="7">
        <v>568.29</v>
      </c>
      <c r="G3147" s="10">
        <v>0</v>
      </c>
      <c r="H3147" s="7">
        <v>568.29</v>
      </c>
      <c r="I3147">
        <v>4</v>
      </c>
      <c r="J3147" t="s">
        <v>13</v>
      </c>
      <c r="K3147" s="13">
        <f>ROUND(tblTransactions[[#This Row],[gross_sales_inr]]*(1-tblTransactions[[#This Row],[discount_pct]]),2)</f>
        <v>568.29</v>
      </c>
      <c r="L3147" t="str">
        <f>IF(ABS(tblTransactions[[#This Row],[net_sales_inr]]-tblTransactions[[#This Row],[Recalc_Net_Sales]])&lt;0.02,"OK","CHECK")</f>
        <v>OK</v>
      </c>
      <c r="M3147" s="14">
        <f>DATE(YEAR(tblTransactions[[#This Row],[date]]),MONTH(tblTransactions[[#This Row],[date]]),1)</f>
        <v>45778</v>
      </c>
      <c r="N3147" t="str">
        <f>IF(WEEKDAY(tblTransactions[[#This Row],[date]],2)&gt;5,"Weekend","Weekday")</f>
        <v>Weekend</v>
      </c>
      <c r="O3147" s="13" t="str">
        <f>IF(tblTransactions[[#This Row],[discount_pct]]=0,"0%",IF(tblTransactions[[#This Row],[discount_pct]]&lt;=10%,"1–
10%",IF(tblTransactions[[#This Row],[discount_pct]]&lt;=20%,"11–20%","&gt;20%")))</f>
        <v>0%</v>
      </c>
      <c r="P3147" s="13" t="str">
        <f>_xlfn.XLOOKUP(tblTransactions[[#This Row],[tenant_id]],tblTenants[tenant_id],tblTenants[zone],"NOT FOUND")</f>
        <v>Fashion Avenue</v>
      </c>
      <c r="Q3147" s="13" t="str">
        <f>_xlfn.XLOOKUP(tblTransactions[[#This Row],[tenant_id]],tblTenants[tenant_id],tblTenants[category],"NOT FOUND")</f>
        <v>Footwear</v>
      </c>
    </row>
    <row r="3148" spans="1:17">
      <c r="A3148" t="s">
        <v>3192</v>
      </c>
      <c r="B3148" s="2">
        <v>45703</v>
      </c>
      <c r="C3148">
        <v>22</v>
      </c>
      <c r="D3148" t="s">
        <v>87</v>
      </c>
      <c r="E3148" t="s">
        <v>21</v>
      </c>
      <c r="F3148" s="7">
        <v>787.06</v>
      </c>
      <c r="G3148" s="10">
        <v>0</v>
      </c>
      <c r="H3148" s="7">
        <v>787.06</v>
      </c>
      <c r="I3148">
        <v>1</v>
      </c>
      <c r="J3148" t="s">
        <v>13</v>
      </c>
      <c r="K3148" s="13">
        <f>ROUND(tblTransactions[[#This Row],[gross_sales_inr]]*(1-tblTransactions[[#This Row],[discount_pct]]),2)</f>
        <v>787.06</v>
      </c>
      <c r="L3148" t="str">
        <f>IF(ABS(tblTransactions[[#This Row],[net_sales_inr]]-tblTransactions[[#This Row],[Recalc_Net_Sales]])&lt;0.02,"OK","CHECK")</f>
        <v>OK</v>
      </c>
      <c r="M3148" s="14">
        <f>DATE(YEAR(tblTransactions[[#This Row],[date]]),MONTH(tblTransactions[[#This Row],[date]]),1)</f>
        <v>45689</v>
      </c>
      <c r="N3148" t="str">
        <f>IF(WEEKDAY(tblTransactions[[#This Row],[date]],2)&gt;5,"Weekend","Weekday")</f>
        <v>Weekend</v>
      </c>
      <c r="O3148" s="13" t="str">
        <f>IF(tblTransactions[[#This Row],[discount_pct]]=0,"0%",IF(tblTransactions[[#This Row],[discount_pct]]&lt;=10%,"1–
10%",IF(tblTransactions[[#This Row],[discount_pct]]&lt;=20%,"11–20%","&gt;20%")))</f>
        <v>0%</v>
      </c>
      <c r="P3148" s="13" t="str">
        <f>_xlfn.XLOOKUP(tblTransactions[[#This Row],[tenant_id]],tblTenants[tenant_id],tblTenants[zone],"NOT FOUND")</f>
        <v>Fashion Avenue</v>
      </c>
      <c r="Q3148" s="13" t="str">
        <f>_xlfn.XLOOKUP(tblTransactions[[#This Row],[tenant_id]],tblTenants[tenant_id],tblTenants[category],"NOT FOUND")</f>
        <v>Footwear</v>
      </c>
    </row>
    <row r="3149" spans="1:17">
      <c r="A3149" t="s">
        <v>3193</v>
      </c>
      <c r="B3149" s="2">
        <v>45710</v>
      </c>
      <c r="C3149">
        <v>12</v>
      </c>
      <c r="D3149" t="s">
        <v>87</v>
      </c>
      <c r="E3149" t="s">
        <v>12</v>
      </c>
      <c r="F3149" s="7">
        <v>405.59</v>
      </c>
      <c r="G3149" s="10">
        <v>0</v>
      </c>
      <c r="H3149" s="7">
        <v>405.59</v>
      </c>
      <c r="I3149">
        <v>1</v>
      </c>
      <c r="J3149" t="s">
        <v>13</v>
      </c>
      <c r="K3149" s="13">
        <f>ROUND(tblTransactions[[#This Row],[gross_sales_inr]]*(1-tblTransactions[[#This Row],[discount_pct]]),2)</f>
        <v>405.59</v>
      </c>
      <c r="L3149" t="str">
        <f>IF(ABS(tblTransactions[[#This Row],[net_sales_inr]]-tblTransactions[[#This Row],[Recalc_Net_Sales]])&lt;0.02,"OK","CHECK")</f>
        <v>OK</v>
      </c>
      <c r="M3149" s="14">
        <f>DATE(YEAR(tblTransactions[[#This Row],[date]]),MONTH(tblTransactions[[#This Row],[date]]),1)</f>
        <v>45689</v>
      </c>
      <c r="N3149" t="str">
        <f>IF(WEEKDAY(tblTransactions[[#This Row],[date]],2)&gt;5,"Weekend","Weekday")</f>
        <v>Weekend</v>
      </c>
      <c r="O3149" s="13" t="str">
        <f>IF(tblTransactions[[#This Row],[discount_pct]]=0,"0%",IF(tblTransactions[[#This Row],[discount_pct]]&lt;=10%,"1–
10%",IF(tblTransactions[[#This Row],[discount_pct]]&lt;=20%,"11–20%","&gt;20%")))</f>
        <v>0%</v>
      </c>
      <c r="P3149" s="13" t="str">
        <f>_xlfn.XLOOKUP(tblTransactions[[#This Row],[tenant_id]],tblTenants[tenant_id],tblTenants[zone],"NOT FOUND")</f>
        <v>Fashion Avenue</v>
      </c>
      <c r="Q3149" s="13" t="str">
        <f>_xlfn.XLOOKUP(tblTransactions[[#This Row],[tenant_id]],tblTenants[tenant_id],tblTenants[category],"NOT FOUND")</f>
        <v>Footwear</v>
      </c>
    </row>
    <row r="3150" spans="1:17">
      <c r="A3150" t="s">
        <v>3194</v>
      </c>
      <c r="B3150" s="2">
        <v>45665</v>
      </c>
      <c r="C3150">
        <v>15</v>
      </c>
      <c r="D3150" t="s">
        <v>23</v>
      </c>
      <c r="E3150" t="s">
        <v>32</v>
      </c>
      <c r="F3150" s="7">
        <v>939.47</v>
      </c>
      <c r="G3150" s="10">
        <v>0</v>
      </c>
      <c r="H3150" s="7">
        <v>939.47</v>
      </c>
      <c r="I3150">
        <v>3</v>
      </c>
      <c r="J3150" t="s">
        <v>13</v>
      </c>
      <c r="K3150" s="13">
        <f>ROUND(tblTransactions[[#This Row],[gross_sales_inr]]*(1-tblTransactions[[#This Row],[discount_pct]]),2)</f>
        <v>939.47</v>
      </c>
      <c r="L3150" t="str">
        <f>IF(ABS(tblTransactions[[#This Row],[net_sales_inr]]-tblTransactions[[#This Row],[Recalc_Net_Sales]])&lt;0.02,"OK","CHECK")</f>
        <v>OK</v>
      </c>
      <c r="M3150" s="14">
        <f>DATE(YEAR(tblTransactions[[#This Row],[date]]),MONTH(tblTransactions[[#This Row],[date]]),1)</f>
        <v>45658</v>
      </c>
      <c r="N3150" t="str">
        <f>IF(WEEKDAY(tblTransactions[[#This Row],[date]],2)&gt;5,"Weekend","Weekday")</f>
        <v>Weekday</v>
      </c>
      <c r="O3150" s="13" t="str">
        <f>IF(tblTransactions[[#This Row],[discount_pct]]=0,"0%",IF(tblTransactions[[#This Row],[discount_pct]]&lt;=10%,"1–
10%",IF(tblTransactions[[#This Row],[discount_pct]]&lt;=20%,"11–20%","&gt;20%")))</f>
        <v>0%</v>
      </c>
      <c r="P3150" s="13" t="str">
        <f>_xlfn.XLOOKUP(tblTransactions[[#This Row],[tenant_id]],tblTenants[tenant_id],tblTenants[zone],"NOT FOUND")</f>
        <v>Entertainment</v>
      </c>
      <c r="Q3150" s="13" t="str">
        <f>_xlfn.XLOOKUP(tblTransactions[[#This Row],[tenant_id]],tblTenants[tenant_id],tblTenants[category],"NOT FOUND")</f>
        <v>Cinema</v>
      </c>
    </row>
    <row r="3151" spans="1:17">
      <c r="A3151" t="s">
        <v>3195</v>
      </c>
      <c r="B3151" s="2">
        <v>45836</v>
      </c>
      <c r="C3151">
        <v>21</v>
      </c>
      <c r="D3151" t="s">
        <v>43</v>
      </c>
      <c r="E3151" t="s">
        <v>21</v>
      </c>
      <c r="F3151" s="7">
        <v>1316.36</v>
      </c>
      <c r="G3151" s="10">
        <v>0.15</v>
      </c>
      <c r="H3151" s="7">
        <v>1118.9100000000001</v>
      </c>
      <c r="I3151">
        <v>1</v>
      </c>
      <c r="J3151" t="s">
        <v>16</v>
      </c>
      <c r="K3151" s="13">
        <f>ROUND(tblTransactions[[#This Row],[gross_sales_inr]]*(1-tblTransactions[[#This Row],[discount_pct]]),2)</f>
        <v>1118.9100000000001</v>
      </c>
      <c r="L3151" t="str">
        <f>IF(ABS(tblTransactions[[#This Row],[net_sales_inr]]-tblTransactions[[#This Row],[Recalc_Net_Sales]])&lt;0.02,"OK","CHECK")</f>
        <v>OK</v>
      </c>
      <c r="M3151" s="14">
        <f>DATE(YEAR(tblTransactions[[#This Row],[date]]),MONTH(tblTransactions[[#This Row],[date]]),1)</f>
        <v>45809</v>
      </c>
      <c r="N3151" t="str">
        <f>IF(WEEKDAY(tblTransactions[[#This Row],[date]],2)&gt;5,"Weekend","Weekday")</f>
        <v>Weekend</v>
      </c>
      <c r="O315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51" s="13" t="str">
        <f>_xlfn.XLOOKUP(tblTransactions[[#This Row],[tenant_id]],tblTenants[tenant_id],tblTenants[zone],"NOT FOUND")</f>
        <v>Food Court</v>
      </c>
      <c r="Q3151" s="13" t="str">
        <f>_xlfn.XLOOKUP(tblTransactions[[#This Row],[tenant_id]],tblTenants[tenant_id],tblTenants[category],"NOT FOUND")</f>
        <v>Casual Dining</v>
      </c>
    </row>
    <row r="3152" spans="1:17">
      <c r="A3152" t="s">
        <v>3196</v>
      </c>
      <c r="B3152" s="2">
        <v>45710</v>
      </c>
      <c r="C3152">
        <v>18</v>
      </c>
      <c r="D3152" t="s">
        <v>57</v>
      </c>
      <c r="E3152" t="s">
        <v>12</v>
      </c>
      <c r="F3152" s="7">
        <v>2056.66</v>
      </c>
      <c r="G3152" s="10">
        <v>0</v>
      </c>
      <c r="H3152" s="7">
        <v>2056.66</v>
      </c>
      <c r="I3152">
        <v>3</v>
      </c>
      <c r="J3152" t="s">
        <v>13</v>
      </c>
      <c r="K3152" s="13">
        <f>ROUND(tblTransactions[[#This Row],[gross_sales_inr]]*(1-tblTransactions[[#This Row],[discount_pct]]),2)</f>
        <v>2056.66</v>
      </c>
      <c r="L3152" t="str">
        <f>IF(ABS(tblTransactions[[#This Row],[net_sales_inr]]-tblTransactions[[#This Row],[Recalc_Net_Sales]])&lt;0.02,"OK","CHECK")</f>
        <v>OK</v>
      </c>
      <c r="M3152" s="14">
        <f>DATE(YEAR(tblTransactions[[#This Row],[date]]),MONTH(tblTransactions[[#This Row],[date]]),1)</f>
        <v>45689</v>
      </c>
      <c r="N3152" t="str">
        <f>IF(WEEKDAY(tblTransactions[[#This Row],[date]],2)&gt;5,"Weekend","Weekday")</f>
        <v>Weekend</v>
      </c>
      <c r="O3152" s="13" t="str">
        <f>IF(tblTransactions[[#This Row],[discount_pct]]=0,"0%",IF(tblTransactions[[#This Row],[discount_pct]]&lt;=10%,"1–
10%",IF(tblTransactions[[#This Row],[discount_pct]]&lt;=20%,"11–20%","&gt;20%")))</f>
        <v>0%</v>
      </c>
      <c r="P3152" s="13" t="str">
        <f>_xlfn.XLOOKUP(tblTransactions[[#This Row],[tenant_id]],tblTenants[tenant_id],tblTenants[zone],"NOT FOUND")</f>
        <v>Food Court</v>
      </c>
      <c r="Q3152" s="13" t="str">
        <f>_xlfn.XLOOKUP(tblTransactions[[#This Row],[tenant_id]],tblTenants[tenant_id],tblTenants[category],"NOT FOUND")</f>
        <v>Casual Dining</v>
      </c>
    </row>
    <row r="3153" spans="1:17">
      <c r="A3153" t="s">
        <v>3197</v>
      </c>
      <c r="B3153" s="2">
        <v>45730</v>
      </c>
      <c r="C3153">
        <v>18</v>
      </c>
      <c r="D3153" t="s">
        <v>18</v>
      </c>
      <c r="E3153" t="s">
        <v>32</v>
      </c>
      <c r="F3153" s="7">
        <v>2588.5300000000002</v>
      </c>
      <c r="G3153" s="10">
        <v>0</v>
      </c>
      <c r="H3153" s="7">
        <v>2588.5300000000002</v>
      </c>
      <c r="I3153">
        <v>5</v>
      </c>
      <c r="J3153" t="s">
        <v>13</v>
      </c>
      <c r="K3153" s="13">
        <f>ROUND(tblTransactions[[#This Row],[gross_sales_inr]]*(1-tblTransactions[[#This Row],[discount_pct]]),2)</f>
        <v>2588.5300000000002</v>
      </c>
      <c r="L3153" t="str">
        <f>IF(ABS(tblTransactions[[#This Row],[net_sales_inr]]-tblTransactions[[#This Row],[Recalc_Net_Sales]])&lt;0.02,"OK","CHECK")</f>
        <v>OK</v>
      </c>
      <c r="M3153" s="14">
        <f>DATE(YEAR(tblTransactions[[#This Row],[date]]),MONTH(tblTransactions[[#This Row],[date]]),1)</f>
        <v>45717</v>
      </c>
      <c r="N3153" t="str">
        <f>IF(WEEKDAY(tblTransactions[[#This Row],[date]],2)&gt;5,"Weekend","Weekday")</f>
        <v>Weekday</v>
      </c>
      <c r="O3153" s="13" t="str">
        <f>IF(tblTransactions[[#This Row],[discount_pct]]=0,"0%",IF(tblTransactions[[#This Row],[discount_pct]]&lt;=10%,"1–
10%",IF(tblTransactions[[#This Row],[discount_pct]]&lt;=20%,"11–20%","&gt;20%")))</f>
        <v>0%</v>
      </c>
      <c r="P3153" s="13" t="str">
        <f>_xlfn.XLOOKUP(tblTransactions[[#This Row],[tenant_id]],tblTenants[tenant_id],tblTenants[zone],"NOT FOUND")</f>
        <v>Beauty &amp; Wellness</v>
      </c>
      <c r="Q3153" s="13" t="str">
        <f>_xlfn.XLOOKUP(tblTransactions[[#This Row],[tenant_id]],tblTenants[tenant_id],tblTenants[category],"NOT FOUND")</f>
        <v>Beauty</v>
      </c>
    </row>
    <row r="3154" spans="1:17">
      <c r="A3154" t="s">
        <v>3198</v>
      </c>
      <c r="B3154" s="2">
        <v>45794</v>
      </c>
      <c r="C3154">
        <v>20</v>
      </c>
      <c r="D3154" t="s">
        <v>25</v>
      </c>
      <c r="E3154" t="s">
        <v>12</v>
      </c>
      <c r="F3154" s="7">
        <v>895.67</v>
      </c>
      <c r="G3154" s="10">
        <v>0.1</v>
      </c>
      <c r="H3154" s="7">
        <v>806.1</v>
      </c>
      <c r="I3154">
        <v>3</v>
      </c>
      <c r="J3154" t="s">
        <v>13</v>
      </c>
      <c r="K3154" s="13">
        <f>ROUND(tblTransactions[[#This Row],[gross_sales_inr]]*(1-tblTransactions[[#This Row],[discount_pct]]),2)</f>
        <v>806.1</v>
      </c>
      <c r="L3154" t="str">
        <f>IF(ABS(tblTransactions[[#This Row],[net_sales_inr]]-tblTransactions[[#This Row],[Recalc_Net_Sales]])&lt;0.02,"OK","CHECK")</f>
        <v>OK</v>
      </c>
      <c r="M3154" s="14">
        <f>DATE(YEAR(tblTransactions[[#This Row],[date]]),MONTH(tblTransactions[[#This Row],[date]]),1)</f>
        <v>45778</v>
      </c>
      <c r="N3154" t="str">
        <f>IF(WEEKDAY(tblTransactions[[#This Row],[date]],2)&gt;5,"Weekend","Weekday")</f>
        <v>Weekend</v>
      </c>
      <c r="O315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54" s="13" t="str">
        <f>_xlfn.XLOOKUP(tblTransactions[[#This Row],[tenant_id]],tblTenants[tenant_id],tblTenants[zone],"NOT FOUND")</f>
        <v>Beauty &amp; Wellness</v>
      </c>
      <c r="Q3154" s="13" t="str">
        <f>_xlfn.XLOOKUP(tblTransactions[[#This Row],[tenant_id]],tblTenants[tenant_id],tblTenants[category],"NOT FOUND")</f>
        <v>Beauty</v>
      </c>
    </row>
    <row r="3155" spans="1:17">
      <c r="A3155" t="s">
        <v>3199</v>
      </c>
      <c r="B3155" s="2">
        <v>45698</v>
      </c>
      <c r="C3155">
        <v>19</v>
      </c>
      <c r="D3155" t="s">
        <v>27</v>
      </c>
      <c r="E3155" t="s">
        <v>32</v>
      </c>
      <c r="F3155" s="7">
        <v>2003.32</v>
      </c>
      <c r="G3155" s="10">
        <v>0</v>
      </c>
      <c r="H3155" s="7">
        <v>2003.32</v>
      </c>
      <c r="I3155">
        <v>3</v>
      </c>
      <c r="J3155" t="s">
        <v>13</v>
      </c>
      <c r="K3155" s="13">
        <f>ROUND(tblTransactions[[#This Row],[gross_sales_inr]]*(1-tblTransactions[[#This Row],[discount_pct]]),2)</f>
        <v>2003.32</v>
      </c>
      <c r="L3155" t="str">
        <f>IF(ABS(tblTransactions[[#This Row],[net_sales_inr]]-tblTransactions[[#This Row],[Recalc_Net_Sales]])&lt;0.02,"OK","CHECK")</f>
        <v>OK</v>
      </c>
      <c r="M3155" s="14">
        <f>DATE(YEAR(tblTransactions[[#This Row],[date]]),MONTH(tblTransactions[[#This Row],[date]]),1)</f>
        <v>45689</v>
      </c>
      <c r="N3155" t="str">
        <f>IF(WEEKDAY(tblTransactions[[#This Row],[date]],2)&gt;5,"Weekend","Weekday")</f>
        <v>Weekday</v>
      </c>
      <c r="O3155" s="13" t="str">
        <f>IF(tblTransactions[[#This Row],[discount_pct]]=0,"0%",IF(tblTransactions[[#This Row],[discount_pct]]&lt;=10%,"1–
10%",IF(tblTransactions[[#This Row],[discount_pct]]&lt;=20%,"11–20%","&gt;20%")))</f>
        <v>0%</v>
      </c>
      <c r="P3155" s="13" t="str">
        <f>_xlfn.XLOOKUP(tblTransactions[[#This Row],[tenant_id]],tblTenants[tenant_id],tblTenants[zone],"NOT FOUND")</f>
        <v>Beauty &amp; Wellness</v>
      </c>
      <c r="Q3155" s="13" t="str">
        <f>_xlfn.XLOOKUP(tblTransactions[[#This Row],[tenant_id]],tblTenants[tenant_id],tblTenants[category],"NOT FOUND")</f>
        <v>Wellness</v>
      </c>
    </row>
    <row r="3156" spans="1:17">
      <c r="A3156" t="s">
        <v>3200</v>
      </c>
      <c r="B3156" s="2">
        <v>45832</v>
      </c>
      <c r="C3156">
        <v>21</v>
      </c>
      <c r="D3156" t="s">
        <v>63</v>
      </c>
      <c r="E3156" t="s">
        <v>12</v>
      </c>
      <c r="F3156" s="7">
        <v>1702.22</v>
      </c>
      <c r="G3156" s="10">
        <v>0.1</v>
      </c>
      <c r="H3156" s="7">
        <v>1532</v>
      </c>
      <c r="I3156">
        <v>2</v>
      </c>
      <c r="J3156" t="s">
        <v>16</v>
      </c>
      <c r="K3156" s="13">
        <f>ROUND(tblTransactions[[#This Row],[gross_sales_inr]]*(1-tblTransactions[[#This Row],[discount_pct]]),2)</f>
        <v>1532</v>
      </c>
      <c r="L3156" t="str">
        <f>IF(ABS(tblTransactions[[#This Row],[net_sales_inr]]-tblTransactions[[#This Row],[Recalc_Net_Sales]])&lt;0.02,"OK","CHECK")</f>
        <v>OK</v>
      </c>
      <c r="M3156" s="14">
        <f>DATE(YEAR(tblTransactions[[#This Row],[date]]),MONTH(tblTransactions[[#This Row],[date]]),1)</f>
        <v>45809</v>
      </c>
      <c r="N3156" t="str">
        <f>IF(WEEKDAY(tblTransactions[[#This Row],[date]],2)&gt;5,"Weekend","Weekday")</f>
        <v>Weekday</v>
      </c>
      <c r="O315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56" s="13" t="str">
        <f>_xlfn.XLOOKUP(tblTransactions[[#This Row],[tenant_id]],tblTenants[tenant_id],tblTenants[zone],"NOT FOUND")</f>
        <v>Entertainment</v>
      </c>
      <c r="Q3156" s="13" t="str">
        <f>_xlfn.XLOOKUP(tblTransactions[[#This Row],[tenant_id]],tblTenants[tenant_id],tblTenants[category],"NOT FOUND")</f>
        <v>Family Entertainment</v>
      </c>
    </row>
    <row r="3157" spans="1:17">
      <c r="A3157" t="s">
        <v>3201</v>
      </c>
      <c r="B3157" s="2">
        <v>45768</v>
      </c>
      <c r="C3157">
        <v>11</v>
      </c>
      <c r="D3157" t="s">
        <v>36</v>
      </c>
      <c r="E3157" t="s">
        <v>32</v>
      </c>
      <c r="F3157" s="7">
        <v>327.14</v>
      </c>
      <c r="G3157" s="10">
        <v>0</v>
      </c>
      <c r="H3157" s="7">
        <v>327.14</v>
      </c>
      <c r="I3157">
        <v>2</v>
      </c>
      <c r="J3157" t="s">
        <v>13</v>
      </c>
      <c r="K3157" s="13">
        <f>ROUND(tblTransactions[[#This Row],[gross_sales_inr]]*(1-tblTransactions[[#This Row],[discount_pct]]),2)</f>
        <v>327.14</v>
      </c>
      <c r="L3157" t="str">
        <f>IF(ABS(tblTransactions[[#This Row],[net_sales_inr]]-tblTransactions[[#This Row],[Recalc_Net_Sales]])&lt;0.02,"OK","CHECK")</f>
        <v>OK</v>
      </c>
      <c r="M3157" s="14">
        <f>DATE(YEAR(tblTransactions[[#This Row],[date]]),MONTH(tblTransactions[[#This Row],[date]]),1)</f>
        <v>45748</v>
      </c>
      <c r="N3157" t="str">
        <f>IF(WEEKDAY(tblTransactions[[#This Row],[date]],2)&gt;5,"Weekend","Weekday")</f>
        <v>Weekday</v>
      </c>
      <c r="O3157" s="13" t="str">
        <f>IF(tblTransactions[[#This Row],[discount_pct]]=0,"0%",IF(tblTransactions[[#This Row],[discount_pct]]&lt;=10%,"1–
10%",IF(tblTransactions[[#This Row],[discount_pct]]&lt;=20%,"11–20%","&gt;20%")))</f>
        <v>0%</v>
      </c>
      <c r="P3157" s="13" t="str">
        <f>_xlfn.XLOOKUP(tblTransactions[[#This Row],[tenant_id]],tblTenants[tenant_id],tblTenants[zone],"NOT FOUND")</f>
        <v>Home &amp; Living</v>
      </c>
      <c r="Q3157" s="13" t="str">
        <f>_xlfn.XLOOKUP(tblTransactions[[#This Row],[tenant_id]],tblTenants[tenant_id],tblTenants[category],"NOT FOUND")</f>
        <v>Electronics</v>
      </c>
    </row>
    <row r="3158" spans="1:17">
      <c r="A3158" t="s">
        <v>3202</v>
      </c>
      <c r="B3158" s="2">
        <v>45815</v>
      </c>
      <c r="C3158">
        <v>12</v>
      </c>
      <c r="D3158" t="s">
        <v>63</v>
      </c>
      <c r="E3158" t="s">
        <v>12</v>
      </c>
      <c r="F3158" s="7">
        <v>1225.77</v>
      </c>
      <c r="G3158" s="10">
        <v>0</v>
      </c>
      <c r="H3158" s="7">
        <v>1225.77</v>
      </c>
      <c r="I3158">
        <v>4</v>
      </c>
      <c r="J3158" t="s">
        <v>13</v>
      </c>
      <c r="K3158" s="13">
        <f>ROUND(tblTransactions[[#This Row],[gross_sales_inr]]*(1-tblTransactions[[#This Row],[discount_pct]]),2)</f>
        <v>1225.77</v>
      </c>
      <c r="L3158" t="str">
        <f>IF(ABS(tblTransactions[[#This Row],[net_sales_inr]]-tblTransactions[[#This Row],[Recalc_Net_Sales]])&lt;0.02,"OK","CHECK")</f>
        <v>OK</v>
      </c>
      <c r="M3158" s="14">
        <f>DATE(YEAR(tblTransactions[[#This Row],[date]]),MONTH(tblTransactions[[#This Row],[date]]),1)</f>
        <v>45809</v>
      </c>
      <c r="N3158" t="str">
        <f>IF(WEEKDAY(tblTransactions[[#This Row],[date]],2)&gt;5,"Weekend","Weekday")</f>
        <v>Weekend</v>
      </c>
      <c r="O3158" s="13" t="str">
        <f>IF(tblTransactions[[#This Row],[discount_pct]]=0,"0%",IF(tblTransactions[[#This Row],[discount_pct]]&lt;=10%,"1–
10%",IF(tblTransactions[[#This Row],[discount_pct]]&lt;=20%,"11–20%","&gt;20%")))</f>
        <v>0%</v>
      </c>
      <c r="P3158" s="13" t="str">
        <f>_xlfn.XLOOKUP(tblTransactions[[#This Row],[tenant_id]],tblTenants[tenant_id],tblTenants[zone],"NOT FOUND")</f>
        <v>Entertainment</v>
      </c>
      <c r="Q3158" s="13" t="str">
        <f>_xlfn.XLOOKUP(tblTransactions[[#This Row],[tenant_id]],tblTenants[tenant_id],tblTenants[category],"NOT FOUND")</f>
        <v>Family Entertainment</v>
      </c>
    </row>
    <row r="3159" spans="1:17">
      <c r="A3159" t="s">
        <v>3203</v>
      </c>
      <c r="B3159" s="2">
        <v>45831</v>
      </c>
      <c r="C3159">
        <v>13</v>
      </c>
      <c r="D3159" t="s">
        <v>72</v>
      </c>
      <c r="E3159" t="s">
        <v>12</v>
      </c>
      <c r="F3159" s="7">
        <v>910.5</v>
      </c>
      <c r="G3159" s="10">
        <v>0.05</v>
      </c>
      <c r="H3159" s="7">
        <v>864.97</v>
      </c>
      <c r="I3159">
        <v>2</v>
      </c>
      <c r="J3159" t="s">
        <v>16</v>
      </c>
      <c r="K3159" s="13">
        <f>ROUND(tblTransactions[[#This Row],[gross_sales_inr]]*(1-tblTransactions[[#This Row],[discount_pct]]),2)</f>
        <v>864.98</v>
      </c>
      <c r="L3159" t="str">
        <f>IF(ABS(tblTransactions[[#This Row],[net_sales_inr]]-tblTransactions[[#This Row],[Recalc_Net_Sales]])&lt;0.02,"OK","CHECK")</f>
        <v>OK</v>
      </c>
      <c r="M3159" s="14">
        <f>DATE(YEAR(tblTransactions[[#This Row],[date]]),MONTH(tblTransactions[[#This Row],[date]]),1)</f>
        <v>45809</v>
      </c>
      <c r="N3159" t="str">
        <f>IF(WEEKDAY(tblTransactions[[#This Row],[date]],2)&gt;5,"Weekend","Weekday")</f>
        <v>Weekday</v>
      </c>
      <c r="O315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59" s="13" t="str">
        <f>_xlfn.XLOOKUP(tblTransactions[[#This Row],[tenant_id]],tblTenants[tenant_id],tblTenants[zone],"NOT FOUND")</f>
        <v>Entertainment</v>
      </c>
      <c r="Q3159" s="13" t="str">
        <f>_xlfn.XLOOKUP(tblTransactions[[#This Row],[tenant_id]],tblTenants[tenant_id],tblTenants[category],"NOT FOUND")</f>
        <v>Arcade</v>
      </c>
    </row>
    <row r="3160" spans="1:17">
      <c r="A3160" t="s">
        <v>3204</v>
      </c>
      <c r="B3160" s="2">
        <v>45836</v>
      </c>
      <c r="C3160">
        <v>20</v>
      </c>
      <c r="D3160" t="s">
        <v>53</v>
      </c>
      <c r="E3160" t="s">
        <v>32</v>
      </c>
      <c r="F3160" s="7">
        <v>895.31</v>
      </c>
      <c r="G3160" s="10">
        <v>0</v>
      </c>
      <c r="H3160" s="7">
        <v>895.31</v>
      </c>
      <c r="I3160">
        <v>3</v>
      </c>
      <c r="J3160" t="s">
        <v>13</v>
      </c>
      <c r="K3160" s="13">
        <f>ROUND(tblTransactions[[#This Row],[gross_sales_inr]]*(1-tblTransactions[[#This Row],[discount_pct]]),2)</f>
        <v>895.31</v>
      </c>
      <c r="L3160" t="str">
        <f>IF(ABS(tblTransactions[[#This Row],[net_sales_inr]]-tblTransactions[[#This Row],[Recalc_Net_Sales]])&lt;0.02,"OK","CHECK")</f>
        <v>OK</v>
      </c>
      <c r="M3160" s="14">
        <f>DATE(YEAR(tblTransactions[[#This Row],[date]]),MONTH(tblTransactions[[#This Row],[date]]),1)</f>
        <v>45809</v>
      </c>
      <c r="N3160" t="str">
        <f>IF(WEEKDAY(tblTransactions[[#This Row],[date]],2)&gt;5,"Weekend","Weekday")</f>
        <v>Weekend</v>
      </c>
      <c r="O3160" s="13" t="str">
        <f>IF(tblTransactions[[#This Row],[discount_pct]]=0,"0%",IF(tblTransactions[[#This Row],[discount_pct]]&lt;=10%,"1–
10%",IF(tblTransactions[[#This Row],[discount_pct]]&lt;=20%,"11–20%","&gt;20%")))</f>
        <v>0%</v>
      </c>
      <c r="P3160" s="13" t="str">
        <f>_xlfn.XLOOKUP(tblTransactions[[#This Row],[tenant_id]],tblTenants[tenant_id],tblTenants[zone],"NOT FOUND")</f>
        <v>Beauty &amp; Wellness</v>
      </c>
      <c r="Q3160" s="13" t="str">
        <f>_xlfn.XLOOKUP(tblTransactions[[#This Row],[tenant_id]],tblTenants[tenant_id],tblTenants[category],"NOT FOUND")</f>
        <v>Beauty</v>
      </c>
    </row>
    <row r="3161" spans="1:17">
      <c r="A3161" t="s">
        <v>3205</v>
      </c>
      <c r="B3161" s="2">
        <v>45795</v>
      </c>
      <c r="C3161">
        <v>10</v>
      </c>
      <c r="D3161" t="s">
        <v>63</v>
      </c>
      <c r="E3161" t="s">
        <v>32</v>
      </c>
      <c r="F3161" s="7">
        <v>2129.86</v>
      </c>
      <c r="G3161" s="10">
        <v>0.15</v>
      </c>
      <c r="H3161" s="7">
        <v>1810.38</v>
      </c>
      <c r="I3161">
        <v>3</v>
      </c>
      <c r="J3161" t="s">
        <v>16</v>
      </c>
      <c r="K3161" s="13">
        <f>ROUND(tblTransactions[[#This Row],[gross_sales_inr]]*(1-tblTransactions[[#This Row],[discount_pct]]),2)</f>
        <v>1810.38</v>
      </c>
      <c r="L3161" t="str">
        <f>IF(ABS(tblTransactions[[#This Row],[net_sales_inr]]-tblTransactions[[#This Row],[Recalc_Net_Sales]])&lt;0.02,"OK","CHECK")</f>
        <v>OK</v>
      </c>
      <c r="M3161" s="14">
        <f>DATE(YEAR(tblTransactions[[#This Row],[date]]),MONTH(tblTransactions[[#This Row],[date]]),1)</f>
        <v>45778</v>
      </c>
      <c r="N3161" t="str">
        <f>IF(WEEKDAY(tblTransactions[[#This Row],[date]],2)&gt;5,"Weekend","Weekday")</f>
        <v>Weekend</v>
      </c>
      <c r="O3161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61" s="13" t="str">
        <f>_xlfn.XLOOKUP(tblTransactions[[#This Row],[tenant_id]],tblTenants[tenant_id],tblTenants[zone],"NOT FOUND")</f>
        <v>Entertainment</v>
      </c>
      <c r="Q3161" s="13" t="str">
        <f>_xlfn.XLOOKUP(tblTransactions[[#This Row],[tenant_id]],tblTenants[tenant_id],tblTenants[category],"NOT FOUND")</f>
        <v>Family Entertainment</v>
      </c>
    </row>
    <row r="3162" spans="1:17">
      <c r="A3162" t="s">
        <v>3206</v>
      </c>
      <c r="B3162" s="2">
        <v>45700</v>
      </c>
      <c r="C3162">
        <v>11</v>
      </c>
      <c r="D3162" t="s">
        <v>18</v>
      </c>
      <c r="E3162" t="s">
        <v>32</v>
      </c>
      <c r="F3162" s="7">
        <v>714.59</v>
      </c>
      <c r="G3162" s="10">
        <v>0.1</v>
      </c>
      <c r="H3162" s="7">
        <v>643.13</v>
      </c>
      <c r="I3162">
        <v>6</v>
      </c>
      <c r="J3162" t="s">
        <v>16</v>
      </c>
      <c r="K3162" s="13">
        <f>ROUND(tblTransactions[[#This Row],[gross_sales_inr]]*(1-tblTransactions[[#This Row],[discount_pct]]),2)</f>
        <v>643.13</v>
      </c>
      <c r="L3162" t="str">
        <f>IF(ABS(tblTransactions[[#This Row],[net_sales_inr]]-tblTransactions[[#This Row],[Recalc_Net_Sales]])&lt;0.02,"OK","CHECK")</f>
        <v>OK</v>
      </c>
      <c r="M3162" s="14">
        <f>DATE(YEAR(tblTransactions[[#This Row],[date]]),MONTH(tblTransactions[[#This Row],[date]]),1)</f>
        <v>45689</v>
      </c>
      <c r="N3162" t="str">
        <f>IF(WEEKDAY(tblTransactions[[#This Row],[date]],2)&gt;5,"Weekend","Weekday")</f>
        <v>Weekday</v>
      </c>
      <c r="O316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62" s="13" t="str">
        <f>_xlfn.XLOOKUP(tblTransactions[[#This Row],[tenant_id]],tblTenants[tenant_id],tblTenants[zone],"NOT FOUND")</f>
        <v>Beauty &amp; Wellness</v>
      </c>
      <c r="Q3162" s="13" t="str">
        <f>_xlfn.XLOOKUP(tblTransactions[[#This Row],[tenant_id]],tblTenants[tenant_id],tblTenants[category],"NOT FOUND")</f>
        <v>Beauty</v>
      </c>
    </row>
    <row r="3163" spans="1:17">
      <c r="A3163" t="s">
        <v>3207</v>
      </c>
      <c r="B3163" s="2">
        <v>45706</v>
      </c>
      <c r="C3163">
        <v>20</v>
      </c>
      <c r="D3163" t="s">
        <v>98</v>
      </c>
      <c r="E3163" t="s">
        <v>12</v>
      </c>
      <c r="F3163" s="7">
        <v>280.5</v>
      </c>
      <c r="G3163" s="10">
        <v>0</v>
      </c>
      <c r="H3163" s="7">
        <v>280.5</v>
      </c>
      <c r="I3163">
        <v>3</v>
      </c>
      <c r="J3163" t="s">
        <v>16</v>
      </c>
      <c r="K3163" s="13">
        <f>ROUND(tblTransactions[[#This Row],[gross_sales_inr]]*(1-tblTransactions[[#This Row],[discount_pct]]),2)</f>
        <v>280.5</v>
      </c>
      <c r="L3163" t="str">
        <f>IF(ABS(tblTransactions[[#This Row],[net_sales_inr]]-tblTransactions[[#This Row],[Recalc_Net_Sales]])&lt;0.02,"OK","CHECK")</f>
        <v>OK</v>
      </c>
      <c r="M3163" s="14">
        <f>DATE(YEAR(tblTransactions[[#This Row],[date]]),MONTH(tblTransactions[[#This Row],[date]]),1)</f>
        <v>45689</v>
      </c>
      <c r="N3163" t="str">
        <f>IF(WEEKDAY(tblTransactions[[#This Row],[date]],2)&gt;5,"Weekend","Weekday")</f>
        <v>Weekday</v>
      </c>
      <c r="O3163" s="13" t="str">
        <f>IF(tblTransactions[[#This Row],[discount_pct]]=0,"0%",IF(tblTransactions[[#This Row],[discount_pct]]&lt;=10%,"1–
10%",IF(tblTransactions[[#This Row],[discount_pct]]&lt;=20%,"11–20%","&gt;20%")))</f>
        <v>0%</v>
      </c>
      <c r="P3163" s="13" t="str">
        <f>_xlfn.XLOOKUP(tblTransactions[[#This Row],[tenant_id]],tblTenants[tenant_id],tblTenants[zone],"NOT FOUND")</f>
        <v>Fashion Avenue</v>
      </c>
      <c r="Q3163" s="13" t="str">
        <f>_xlfn.XLOOKUP(tblTransactions[[#This Row],[tenant_id]],tblTenants[tenant_id],tblTenants[category],"NOT FOUND")</f>
        <v>Accessories</v>
      </c>
    </row>
    <row r="3164" spans="1:17">
      <c r="A3164" t="s">
        <v>3208</v>
      </c>
      <c r="B3164" s="2">
        <v>45663</v>
      </c>
      <c r="C3164">
        <v>12</v>
      </c>
      <c r="D3164" t="s">
        <v>61</v>
      </c>
      <c r="E3164" t="s">
        <v>32</v>
      </c>
      <c r="F3164" s="7">
        <v>2318.85</v>
      </c>
      <c r="G3164" s="10">
        <v>0.1</v>
      </c>
      <c r="H3164" s="7">
        <v>2086.9699999999998</v>
      </c>
      <c r="I3164">
        <v>2</v>
      </c>
      <c r="J3164" t="s">
        <v>13</v>
      </c>
      <c r="K3164" s="13">
        <f>ROUND(tblTransactions[[#This Row],[gross_sales_inr]]*(1-tblTransactions[[#This Row],[discount_pct]]),2)</f>
        <v>2086.9699999999998</v>
      </c>
      <c r="L3164" t="str">
        <f>IF(ABS(tblTransactions[[#This Row],[net_sales_inr]]-tblTransactions[[#This Row],[Recalc_Net_Sales]])&lt;0.02,"OK","CHECK")</f>
        <v>OK</v>
      </c>
      <c r="M3164" s="14">
        <f>DATE(YEAR(tblTransactions[[#This Row],[date]]),MONTH(tblTransactions[[#This Row],[date]]),1)</f>
        <v>45658</v>
      </c>
      <c r="N3164" t="str">
        <f>IF(WEEKDAY(tblTransactions[[#This Row],[date]],2)&gt;5,"Weekend","Weekday")</f>
        <v>Weekday</v>
      </c>
      <c r="O316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64" s="13" t="str">
        <f>_xlfn.XLOOKUP(tblTransactions[[#This Row],[tenant_id]],tblTenants[tenant_id],tblTenants[zone],"NOT FOUND")</f>
        <v>Food Court</v>
      </c>
      <c r="Q3164" s="13" t="str">
        <f>_xlfn.XLOOKUP(tblTransactions[[#This Row],[tenant_id]],tblTenants[tenant_id],tblTenants[category],"NOT FOUND")</f>
        <v>Quick Service</v>
      </c>
    </row>
    <row r="3165" spans="1:17">
      <c r="A3165" t="s">
        <v>3209</v>
      </c>
      <c r="B3165" s="2">
        <v>45794</v>
      </c>
      <c r="C3165">
        <v>10</v>
      </c>
      <c r="D3165" t="s">
        <v>48</v>
      </c>
      <c r="E3165" t="s">
        <v>51</v>
      </c>
      <c r="F3165" s="7">
        <v>1714</v>
      </c>
      <c r="G3165" s="10">
        <v>0.1</v>
      </c>
      <c r="H3165" s="7">
        <v>1542.6</v>
      </c>
      <c r="I3165">
        <v>2</v>
      </c>
      <c r="J3165" t="s">
        <v>13</v>
      </c>
      <c r="K3165" s="13">
        <f>ROUND(tblTransactions[[#This Row],[gross_sales_inr]]*(1-tblTransactions[[#This Row],[discount_pct]]),2)</f>
        <v>1542.6</v>
      </c>
      <c r="L3165" t="str">
        <f>IF(ABS(tblTransactions[[#This Row],[net_sales_inr]]-tblTransactions[[#This Row],[Recalc_Net_Sales]])&lt;0.02,"OK","CHECK")</f>
        <v>OK</v>
      </c>
      <c r="M3165" s="14">
        <f>DATE(YEAR(tblTransactions[[#This Row],[date]]),MONTH(tblTransactions[[#This Row],[date]]),1)</f>
        <v>45778</v>
      </c>
      <c r="N3165" t="str">
        <f>IF(WEEKDAY(tblTransactions[[#This Row],[date]],2)&gt;5,"Weekend","Weekday")</f>
        <v>Weekend</v>
      </c>
      <c r="O316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65" s="13" t="str">
        <f>_xlfn.XLOOKUP(tblTransactions[[#This Row],[tenant_id]],tblTenants[tenant_id],tblTenants[zone],"NOT FOUND")</f>
        <v>Beauty &amp; Wellness</v>
      </c>
      <c r="Q3165" s="13" t="str">
        <f>_xlfn.XLOOKUP(tblTransactions[[#This Row],[tenant_id]],tblTenants[tenant_id],tblTenants[category],"NOT FOUND")</f>
        <v>Wellness</v>
      </c>
    </row>
    <row r="3166" spans="1:17">
      <c r="A3166" t="s">
        <v>3210</v>
      </c>
      <c r="B3166" s="2">
        <v>45785</v>
      </c>
      <c r="C3166">
        <v>17</v>
      </c>
      <c r="D3166" t="s">
        <v>63</v>
      </c>
      <c r="E3166" t="s">
        <v>32</v>
      </c>
      <c r="F3166" s="7">
        <v>520.12</v>
      </c>
      <c r="G3166" s="10">
        <v>0</v>
      </c>
      <c r="H3166" s="7">
        <v>520.12</v>
      </c>
      <c r="I3166">
        <v>1</v>
      </c>
      <c r="J3166" t="s">
        <v>13</v>
      </c>
      <c r="K3166" s="13">
        <f>ROUND(tblTransactions[[#This Row],[gross_sales_inr]]*(1-tblTransactions[[#This Row],[discount_pct]]),2)</f>
        <v>520.12</v>
      </c>
      <c r="L3166" t="str">
        <f>IF(ABS(tblTransactions[[#This Row],[net_sales_inr]]-tblTransactions[[#This Row],[Recalc_Net_Sales]])&lt;0.02,"OK","CHECK")</f>
        <v>OK</v>
      </c>
      <c r="M3166" s="14">
        <f>DATE(YEAR(tblTransactions[[#This Row],[date]]),MONTH(tblTransactions[[#This Row],[date]]),1)</f>
        <v>45778</v>
      </c>
      <c r="N3166" t="str">
        <f>IF(WEEKDAY(tblTransactions[[#This Row],[date]],2)&gt;5,"Weekend","Weekday")</f>
        <v>Weekday</v>
      </c>
      <c r="O3166" s="13" t="str">
        <f>IF(tblTransactions[[#This Row],[discount_pct]]=0,"0%",IF(tblTransactions[[#This Row],[discount_pct]]&lt;=10%,"1–
10%",IF(tblTransactions[[#This Row],[discount_pct]]&lt;=20%,"11–20%","&gt;20%")))</f>
        <v>0%</v>
      </c>
      <c r="P3166" s="13" t="str">
        <f>_xlfn.XLOOKUP(tblTransactions[[#This Row],[tenant_id]],tblTenants[tenant_id],tblTenants[zone],"NOT FOUND")</f>
        <v>Entertainment</v>
      </c>
      <c r="Q3166" s="13" t="str">
        <f>_xlfn.XLOOKUP(tblTransactions[[#This Row],[tenant_id]],tblTenants[tenant_id],tblTenants[category],"NOT FOUND")</f>
        <v>Family Entertainment</v>
      </c>
    </row>
    <row r="3167" spans="1:17">
      <c r="A3167" t="s">
        <v>3211</v>
      </c>
      <c r="B3167" s="2">
        <v>45681</v>
      </c>
      <c r="C3167">
        <v>13</v>
      </c>
      <c r="D3167" t="s">
        <v>70</v>
      </c>
      <c r="E3167" t="s">
        <v>32</v>
      </c>
      <c r="F3167" s="7">
        <v>525.01</v>
      </c>
      <c r="G3167" s="10">
        <v>0</v>
      </c>
      <c r="H3167" s="7">
        <v>525.01</v>
      </c>
      <c r="I3167">
        <v>2</v>
      </c>
      <c r="J3167" t="s">
        <v>16</v>
      </c>
      <c r="K3167" s="13">
        <f>ROUND(tblTransactions[[#This Row],[gross_sales_inr]]*(1-tblTransactions[[#This Row],[discount_pct]]),2)</f>
        <v>525.01</v>
      </c>
      <c r="L3167" t="str">
        <f>IF(ABS(tblTransactions[[#This Row],[net_sales_inr]]-tblTransactions[[#This Row],[Recalc_Net_Sales]])&lt;0.02,"OK","CHECK")</f>
        <v>OK</v>
      </c>
      <c r="M3167" s="14">
        <f>DATE(YEAR(tblTransactions[[#This Row],[date]]),MONTH(tblTransactions[[#This Row],[date]]),1)</f>
        <v>45658</v>
      </c>
      <c r="N3167" t="str">
        <f>IF(WEEKDAY(tblTransactions[[#This Row],[date]],2)&gt;5,"Weekend","Weekday")</f>
        <v>Weekday</v>
      </c>
      <c r="O3167" s="13" t="str">
        <f>IF(tblTransactions[[#This Row],[discount_pct]]=0,"0%",IF(tblTransactions[[#This Row],[discount_pct]]&lt;=10%,"1–
10%",IF(tblTransactions[[#This Row],[discount_pct]]&lt;=20%,"11–20%","&gt;20%")))</f>
        <v>0%</v>
      </c>
      <c r="P3167" s="13" t="str">
        <f>_xlfn.XLOOKUP(tblTransactions[[#This Row],[tenant_id]],tblTenants[tenant_id],tblTenants[zone],"NOT FOUND")</f>
        <v>Food Court</v>
      </c>
      <c r="Q3167" s="13" t="str">
        <f>_xlfn.XLOOKUP(tblTransactions[[#This Row],[tenant_id]],tblTenants[tenant_id],tblTenants[category],"NOT FOUND")</f>
        <v>Quick Service</v>
      </c>
    </row>
    <row r="3168" spans="1:17">
      <c r="A3168" t="s">
        <v>3212</v>
      </c>
      <c r="B3168" s="2">
        <v>45760</v>
      </c>
      <c r="C3168">
        <v>14</v>
      </c>
      <c r="D3168" t="s">
        <v>59</v>
      </c>
      <c r="E3168" t="s">
        <v>21</v>
      </c>
      <c r="F3168" s="7">
        <v>1261.29</v>
      </c>
      <c r="G3168" s="10">
        <v>0.1</v>
      </c>
      <c r="H3168" s="7">
        <v>1135.1600000000001</v>
      </c>
      <c r="I3168">
        <v>1</v>
      </c>
      <c r="J3168" t="s">
        <v>13</v>
      </c>
      <c r="K3168" s="13">
        <f>ROUND(tblTransactions[[#This Row],[gross_sales_inr]]*(1-tblTransactions[[#This Row],[discount_pct]]),2)</f>
        <v>1135.1600000000001</v>
      </c>
      <c r="L3168" t="str">
        <f>IF(ABS(tblTransactions[[#This Row],[net_sales_inr]]-tblTransactions[[#This Row],[Recalc_Net_Sales]])&lt;0.02,"OK","CHECK")</f>
        <v>OK</v>
      </c>
      <c r="M3168" s="14">
        <f>DATE(YEAR(tblTransactions[[#This Row],[date]]),MONTH(tblTransactions[[#This Row],[date]]),1)</f>
        <v>45748</v>
      </c>
      <c r="N3168" t="str">
        <f>IF(WEEKDAY(tblTransactions[[#This Row],[date]],2)&gt;5,"Weekend","Weekday")</f>
        <v>Weekend</v>
      </c>
      <c r="O3168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68" s="13" t="str">
        <f>_xlfn.XLOOKUP(tblTransactions[[#This Row],[tenant_id]],tblTenants[tenant_id],tblTenants[zone],"NOT FOUND")</f>
        <v>Fashion Avenue</v>
      </c>
      <c r="Q3168" s="13" t="str">
        <f>_xlfn.XLOOKUP(tblTransactions[[#This Row],[tenant_id]],tblTenants[tenant_id],tblTenants[category],"NOT FOUND")</f>
        <v>Footwear</v>
      </c>
    </row>
    <row r="3169" spans="1:17">
      <c r="A3169" t="s">
        <v>3213</v>
      </c>
      <c r="B3169" s="2">
        <v>45736</v>
      </c>
      <c r="C3169">
        <v>10</v>
      </c>
      <c r="D3169" t="s">
        <v>36</v>
      </c>
      <c r="E3169" t="s">
        <v>21</v>
      </c>
      <c r="F3169" s="7">
        <v>456.43</v>
      </c>
      <c r="G3169" s="10">
        <v>0.2</v>
      </c>
      <c r="H3169" s="7">
        <v>365.14</v>
      </c>
      <c r="I3169">
        <v>1</v>
      </c>
      <c r="J3169" t="s">
        <v>13</v>
      </c>
      <c r="K3169" s="13">
        <f>ROUND(tblTransactions[[#This Row],[gross_sales_inr]]*(1-tblTransactions[[#This Row],[discount_pct]]),2)</f>
        <v>365.14</v>
      </c>
      <c r="L3169" t="str">
        <f>IF(ABS(tblTransactions[[#This Row],[net_sales_inr]]-tblTransactions[[#This Row],[Recalc_Net_Sales]])&lt;0.02,"OK","CHECK")</f>
        <v>OK</v>
      </c>
      <c r="M3169" s="14">
        <f>DATE(YEAR(tblTransactions[[#This Row],[date]]),MONTH(tblTransactions[[#This Row],[date]]),1)</f>
        <v>45717</v>
      </c>
      <c r="N3169" t="str">
        <f>IF(WEEKDAY(tblTransactions[[#This Row],[date]],2)&gt;5,"Weekend","Weekday")</f>
        <v>Weekday</v>
      </c>
      <c r="O3169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69" s="13" t="str">
        <f>_xlfn.XLOOKUP(tblTransactions[[#This Row],[tenant_id]],tblTenants[tenant_id],tblTenants[zone],"NOT FOUND")</f>
        <v>Home &amp; Living</v>
      </c>
      <c r="Q3169" s="13" t="str">
        <f>_xlfn.XLOOKUP(tblTransactions[[#This Row],[tenant_id]],tblTenants[tenant_id],tblTenants[category],"NOT FOUND")</f>
        <v>Electronics</v>
      </c>
    </row>
    <row r="3170" spans="1:17">
      <c r="A3170" t="s">
        <v>3214</v>
      </c>
      <c r="B3170" s="2">
        <v>45741</v>
      </c>
      <c r="C3170">
        <v>12</v>
      </c>
      <c r="D3170" t="s">
        <v>18</v>
      </c>
      <c r="E3170" t="s">
        <v>12</v>
      </c>
      <c r="F3170" s="7">
        <v>1189.2</v>
      </c>
      <c r="G3170" s="10">
        <v>0</v>
      </c>
      <c r="H3170" s="7">
        <v>1189.2</v>
      </c>
      <c r="I3170">
        <v>2</v>
      </c>
      <c r="J3170" t="s">
        <v>16</v>
      </c>
      <c r="K3170" s="13">
        <f>ROUND(tblTransactions[[#This Row],[gross_sales_inr]]*(1-tblTransactions[[#This Row],[discount_pct]]),2)</f>
        <v>1189.2</v>
      </c>
      <c r="L3170" t="str">
        <f>IF(ABS(tblTransactions[[#This Row],[net_sales_inr]]-tblTransactions[[#This Row],[Recalc_Net_Sales]])&lt;0.02,"OK","CHECK")</f>
        <v>OK</v>
      </c>
      <c r="M3170" s="14">
        <f>DATE(YEAR(tblTransactions[[#This Row],[date]]),MONTH(tblTransactions[[#This Row],[date]]),1)</f>
        <v>45717</v>
      </c>
      <c r="N3170" t="str">
        <f>IF(WEEKDAY(tblTransactions[[#This Row],[date]],2)&gt;5,"Weekend","Weekday")</f>
        <v>Weekday</v>
      </c>
      <c r="O3170" s="13" t="str">
        <f>IF(tblTransactions[[#This Row],[discount_pct]]=0,"0%",IF(tblTransactions[[#This Row],[discount_pct]]&lt;=10%,"1–
10%",IF(tblTransactions[[#This Row],[discount_pct]]&lt;=20%,"11–20%","&gt;20%")))</f>
        <v>0%</v>
      </c>
      <c r="P3170" s="13" t="str">
        <f>_xlfn.XLOOKUP(tblTransactions[[#This Row],[tenant_id]],tblTenants[tenant_id],tblTenants[zone],"NOT FOUND")</f>
        <v>Beauty &amp; Wellness</v>
      </c>
      <c r="Q3170" s="13" t="str">
        <f>_xlfn.XLOOKUP(tblTransactions[[#This Row],[tenant_id]],tblTenants[tenant_id],tblTenants[category],"NOT FOUND")</f>
        <v>Beauty</v>
      </c>
    </row>
    <row r="3171" spans="1:17">
      <c r="A3171" t="s">
        <v>3215</v>
      </c>
      <c r="B3171" s="2">
        <v>45742</v>
      </c>
      <c r="C3171">
        <v>18</v>
      </c>
      <c r="D3171" t="s">
        <v>36</v>
      </c>
      <c r="E3171" t="s">
        <v>12</v>
      </c>
      <c r="F3171" s="7">
        <v>845.65</v>
      </c>
      <c r="G3171" s="10">
        <v>0</v>
      </c>
      <c r="H3171" s="7">
        <v>845.65</v>
      </c>
      <c r="I3171">
        <v>5</v>
      </c>
      <c r="J3171" t="s">
        <v>13</v>
      </c>
      <c r="K3171" s="13">
        <f>ROUND(tblTransactions[[#This Row],[gross_sales_inr]]*(1-tblTransactions[[#This Row],[discount_pct]]),2)</f>
        <v>845.65</v>
      </c>
      <c r="L3171" t="str">
        <f>IF(ABS(tblTransactions[[#This Row],[net_sales_inr]]-tblTransactions[[#This Row],[Recalc_Net_Sales]])&lt;0.02,"OK","CHECK")</f>
        <v>OK</v>
      </c>
      <c r="M3171" s="14">
        <f>DATE(YEAR(tblTransactions[[#This Row],[date]]),MONTH(tblTransactions[[#This Row],[date]]),1)</f>
        <v>45717</v>
      </c>
      <c r="N3171" t="str">
        <f>IF(WEEKDAY(tblTransactions[[#This Row],[date]],2)&gt;5,"Weekend","Weekday")</f>
        <v>Weekday</v>
      </c>
      <c r="O3171" s="13" t="str">
        <f>IF(tblTransactions[[#This Row],[discount_pct]]=0,"0%",IF(tblTransactions[[#This Row],[discount_pct]]&lt;=10%,"1–
10%",IF(tblTransactions[[#This Row],[discount_pct]]&lt;=20%,"11–20%","&gt;20%")))</f>
        <v>0%</v>
      </c>
      <c r="P3171" s="13" t="str">
        <f>_xlfn.XLOOKUP(tblTransactions[[#This Row],[tenant_id]],tblTenants[tenant_id],tblTenants[zone],"NOT FOUND")</f>
        <v>Home &amp; Living</v>
      </c>
      <c r="Q3171" s="13" t="str">
        <f>_xlfn.XLOOKUP(tblTransactions[[#This Row],[tenant_id]],tblTenants[tenant_id],tblTenants[category],"NOT FOUND")</f>
        <v>Electronics</v>
      </c>
    </row>
    <row r="3172" spans="1:17">
      <c r="A3172" t="s">
        <v>3216</v>
      </c>
      <c r="B3172" s="2">
        <v>45729</v>
      </c>
      <c r="C3172">
        <v>20</v>
      </c>
      <c r="D3172" t="s">
        <v>25</v>
      </c>
      <c r="E3172" t="s">
        <v>32</v>
      </c>
      <c r="F3172" s="7">
        <v>1148.77</v>
      </c>
      <c r="G3172" s="10">
        <v>0.1</v>
      </c>
      <c r="H3172" s="7">
        <v>1033.8900000000001</v>
      </c>
      <c r="I3172">
        <v>1</v>
      </c>
      <c r="J3172" t="s">
        <v>13</v>
      </c>
      <c r="K3172" s="13">
        <f>ROUND(tblTransactions[[#This Row],[gross_sales_inr]]*(1-tblTransactions[[#This Row],[discount_pct]]),2)</f>
        <v>1033.8900000000001</v>
      </c>
      <c r="L3172" t="str">
        <f>IF(ABS(tblTransactions[[#This Row],[net_sales_inr]]-tblTransactions[[#This Row],[Recalc_Net_Sales]])&lt;0.02,"OK","CHECK")</f>
        <v>OK</v>
      </c>
      <c r="M3172" s="14">
        <f>DATE(YEAR(tblTransactions[[#This Row],[date]]),MONTH(tblTransactions[[#This Row],[date]]),1)</f>
        <v>45717</v>
      </c>
      <c r="N3172" t="str">
        <f>IF(WEEKDAY(tblTransactions[[#This Row],[date]],2)&gt;5,"Weekend","Weekday")</f>
        <v>Weekday</v>
      </c>
      <c r="O317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72" s="13" t="str">
        <f>_xlfn.XLOOKUP(tblTransactions[[#This Row],[tenant_id]],tblTenants[tenant_id],tblTenants[zone],"NOT FOUND")</f>
        <v>Beauty &amp; Wellness</v>
      </c>
      <c r="Q3172" s="13" t="str">
        <f>_xlfn.XLOOKUP(tblTransactions[[#This Row],[tenant_id]],tblTenants[tenant_id],tblTenants[category],"NOT FOUND")</f>
        <v>Beauty</v>
      </c>
    </row>
    <row r="3173" spans="1:17">
      <c r="A3173" t="s">
        <v>3217</v>
      </c>
      <c r="B3173" s="2">
        <v>45732</v>
      </c>
      <c r="C3173">
        <v>12</v>
      </c>
      <c r="D3173" t="s">
        <v>57</v>
      </c>
      <c r="E3173" t="s">
        <v>12</v>
      </c>
      <c r="F3173" s="7">
        <v>801.51</v>
      </c>
      <c r="G3173" s="10">
        <v>0.05</v>
      </c>
      <c r="H3173" s="7">
        <v>761.43</v>
      </c>
      <c r="I3173">
        <v>3</v>
      </c>
      <c r="J3173" t="s">
        <v>16</v>
      </c>
      <c r="K3173" s="13">
        <f>ROUND(tblTransactions[[#This Row],[gross_sales_inr]]*(1-tblTransactions[[#This Row],[discount_pct]]),2)</f>
        <v>761.43</v>
      </c>
      <c r="L3173" t="str">
        <f>IF(ABS(tblTransactions[[#This Row],[net_sales_inr]]-tblTransactions[[#This Row],[Recalc_Net_Sales]])&lt;0.02,"OK","CHECK")</f>
        <v>OK</v>
      </c>
      <c r="M3173" s="14">
        <f>DATE(YEAR(tblTransactions[[#This Row],[date]]),MONTH(tblTransactions[[#This Row],[date]]),1)</f>
        <v>45717</v>
      </c>
      <c r="N3173" t="str">
        <f>IF(WEEKDAY(tblTransactions[[#This Row],[date]],2)&gt;5,"Weekend","Weekday")</f>
        <v>Weekend</v>
      </c>
      <c r="O3173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73" s="13" t="str">
        <f>_xlfn.XLOOKUP(tblTransactions[[#This Row],[tenant_id]],tblTenants[tenant_id],tblTenants[zone],"NOT FOUND")</f>
        <v>Food Court</v>
      </c>
      <c r="Q3173" s="13" t="str">
        <f>_xlfn.XLOOKUP(tblTransactions[[#This Row],[tenant_id]],tblTenants[tenant_id],tblTenants[category],"NOT FOUND")</f>
        <v>Casual Dining</v>
      </c>
    </row>
    <row r="3174" spans="1:17">
      <c r="A3174" t="s">
        <v>3218</v>
      </c>
      <c r="B3174" s="2">
        <v>45797</v>
      </c>
      <c r="C3174">
        <v>14</v>
      </c>
      <c r="D3174" t="s">
        <v>34</v>
      </c>
      <c r="E3174" t="s">
        <v>12</v>
      </c>
      <c r="F3174" s="7">
        <v>4557</v>
      </c>
      <c r="G3174" s="10">
        <v>0.15</v>
      </c>
      <c r="H3174" s="7">
        <v>3873.45</v>
      </c>
      <c r="I3174">
        <v>2</v>
      </c>
      <c r="J3174" t="s">
        <v>16</v>
      </c>
      <c r="K3174" s="13">
        <f>ROUND(tblTransactions[[#This Row],[gross_sales_inr]]*(1-tblTransactions[[#This Row],[discount_pct]]),2)</f>
        <v>3873.45</v>
      </c>
      <c r="L3174" t="str">
        <f>IF(ABS(tblTransactions[[#This Row],[net_sales_inr]]-tblTransactions[[#This Row],[Recalc_Net_Sales]])&lt;0.02,"OK","CHECK")</f>
        <v>OK</v>
      </c>
      <c r="M3174" s="14">
        <f>DATE(YEAR(tblTransactions[[#This Row],[date]]),MONTH(tblTransactions[[#This Row],[date]]),1)</f>
        <v>45778</v>
      </c>
      <c r="N3174" t="str">
        <f>IF(WEEKDAY(tblTransactions[[#This Row],[date]],2)&gt;5,"Weekend","Weekday")</f>
        <v>Weekday</v>
      </c>
      <c r="O317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74" s="13" t="str">
        <f>_xlfn.XLOOKUP(tblTransactions[[#This Row],[tenant_id]],tblTenants[tenant_id],tblTenants[zone],"NOT FOUND")</f>
        <v>Home &amp; Living</v>
      </c>
      <c r="Q3174" s="13" t="str">
        <f>_xlfn.XLOOKUP(tblTransactions[[#This Row],[tenant_id]],tblTenants[tenant_id],tblTenants[category],"NOT FOUND")</f>
        <v>Electronics</v>
      </c>
    </row>
    <row r="3175" spans="1:17">
      <c r="A3175" t="s">
        <v>3219</v>
      </c>
      <c r="B3175" s="2">
        <v>45784</v>
      </c>
      <c r="C3175">
        <v>17</v>
      </c>
      <c r="D3175" t="s">
        <v>41</v>
      </c>
      <c r="E3175" t="s">
        <v>12</v>
      </c>
      <c r="F3175" s="7">
        <v>1636.55</v>
      </c>
      <c r="G3175" s="10">
        <v>0</v>
      </c>
      <c r="H3175" s="7">
        <v>1636.55</v>
      </c>
      <c r="I3175">
        <v>1</v>
      </c>
      <c r="J3175" t="s">
        <v>16</v>
      </c>
      <c r="K3175" s="13">
        <f>ROUND(tblTransactions[[#This Row],[gross_sales_inr]]*(1-tblTransactions[[#This Row],[discount_pct]]),2)</f>
        <v>1636.55</v>
      </c>
      <c r="L3175" t="str">
        <f>IF(ABS(tblTransactions[[#This Row],[net_sales_inr]]-tblTransactions[[#This Row],[Recalc_Net_Sales]])&lt;0.02,"OK","CHECK")</f>
        <v>OK</v>
      </c>
      <c r="M3175" s="14">
        <f>DATE(YEAR(tblTransactions[[#This Row],[date]]),MONTH(tblTransactions[[#This Row],[date]]),1)</f>
        <v>45778</v>
      </c>
      <c r="N3175" t="str">
        <f>IF(WEEKDAY(tblTransactions[[#This Row],[date]],2)&gt;5,"Weekend","Weekday")</f>
        <v>Weekday</v>
      </c>
      <c r="O3175" s="13" t="str">
        <f>IF(tblTransactions[[#This Row],[discount_pct]]=0,"0%",IF(tblTransactions[[#This Row],[discount_pct]]&lt;=10%,"1–
10%",IF(tblTransactions[[#This Row],[discount_pct]]&lt;=20%,"11–20%","&gt;20%")))</f>
        <v>0%</v>
      </c>
      <c r="P3175" s="13" t="str">
        <f>_xlfn.XLOOKUP(tblTransactions[[#This Row],[tenant_id]],tblTenants[tenant_id],tblTenants[zone],"NOT FOUND")</f>
        <v>Fashion Avenue</v>
      </c>
      <c r="Q3175" s="13" t="str">
        <f>_xlfn.XLOOKUP(tblTransactions[[#This Row],[tenant_id]],tblTenants[tenant_id],tblTenants[category],"NOT FOUND")</f>
        <v>Clothing</v>
      </c>
    </row>
    <row r="3176" spans="1:17">
      <c r="A3176" t="s">
        <v>3220</v>
      </c>
      <c r="B3176" s="2">
        <v>45818</v>
      </c>
      <c r="C3176">
        <v>12</v>
      </c>
      <c r="D3176" t="s">
        <v>41</v>
      </c>
      <c r="E3176" t="s">
        <v>12</v>
      </c>
      <c r="F3176" s="7">
        <v>1209.54</v>
      </c>
      <c r="G3176" s="10">
        <v>0.05</v>
      </c>
      <c r="H3176" s="7">
        <v>1149.06</v>
      </c>
      <c r="I3176">
        <v>2</v>
      </c>
      <c r="J3176" t="s">
        <v>13</v>
      </c>
      <c r="K3176" s="13">
        <f>ROUND(tblTransactions[[#This Row],[gross_sales_inr]]*(1-tblTransactions[[#This Row],[discount_pct]]),2)</f>
        <v>1149.06</v>
      </c>
      <c r="L3176" t="str">
        <f>IF(ABS(tblTransactions[[#This Row],[net_sales_inr]]-tblTransactions[[#This Row],[Recalc_Net_Sales]])&lt;0.02,"OK","CHECK")</f>
        <v>OK</v>
      </c>
      <c r="M3176" s="14">
        <f>DATE(YEAR(tblTransactions[[#This Row],[date]]),MONTH(tblTransactions[[#This Row],[date]]),1)</f>
        <v>45809</v>
      </c>
      <c r="N3176" t="str">
        <f>IF(WEEKDAY(tblTransactions[[#This Row],[date]],2)&gt;5,"Weekend","Weekday")</f>
        <v>Weekday</v>
      </c>
      <c r="O317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76" s="13" t="str">
        <f>_xlfn.XLOOKUP(tblTransactions[[#This Row],[tenant_id]],tblTenants[tenant_id],tblTenants[zone],"NOT FOUND")</f>
        <v>Fashion Avenue</v>
      </c>
      <c r="Q3176" s="13" t="str">
        <f>_xlfn.XLOOKUP(tblTransactions[[#This Row],[tenant_id]],tblTenants[tenant_id],tblTenants[category],"NOT FOUND")</f>
        <v>Clothing</v>
      </c>
    </row>
    <row r="3177" spans="1:17">
      <c r="A3177" t="s">
        <v>3221</v>
      </c>
      <c r="B3177" s="2">
        <v>45736</v>
      </c>
      <c r="C3177">
        <v>13</v>
      </c>
      <c r="D3177" t="s">
        <v>31</v>
      </c>
      <c r="E3177" t="s">
        <v>12</v>
      </c>
      <c r="F3177" s="7">
        <v>1234.3399999999999</v>
      </c>
      <c r="G3177" s="10">
        <v>0.05</v>
      </c>
      <c r="H3177" s="7">
        <v>1172.6199999999999</v>
      </c>
      <c r="I3177">
        <v>2</v>
      </c>
      <c r="J3177" t="s">
        <v>13</v>
      </c>
      <c r="K3177" s="13">
        <f>ROUND(tblTransactions[[#This Row],[gross_sales_inr]]*(1-tblTransactions[[#This Row],[discount_pct]]),2)</f>
        <v>1172.6199999999999</v>
      </c>
      <c r="L3177" t="str">
        <f>IF(ABS(tblTransactions[[#This Row],[net_sales_inr]]-tblTransactions[[#This Row],[Recalc_Net_Sales]])&lt;0.02,"OK","CHECK")</f>
        <v>OK</v>
      </c>
      <c r="M3177" s="14">
        <f>DATE(YEAR(tblTransactions[[#This Row],[date]]),MONTH(tblTransactions[[#This Row],[date]]),1)</f>
        <v>45717</v>
      </c>
      <c r="N3177" t="str">
        <f>IF(WEEKDAY(tblTransactions[[#This Row],[date]],2)&gt;5,"Weekend","Weekday")</f>
        <v>Weekday</v>
      </c>
      <c r="O3177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77" s="13" t="str">
        <f>_xlfn.XLOOKUP(tblTransactions[[#This Row],[tenant_id]],tblTenants[tenant_id],tblTenants[zone],"NOT FOUND")</f>
        <v>Entertainment</v>
      </c>
      <c r="Q3177" s="13" t="str">
        <f>_xlfn.XLOOKUP(tblTransactions[[#This Row],[tenant_id]],tblTenants[tenant_id],tblTenants[category],"NOT FOUND")</f>
        <v>Arcade</v>
      </c>
    </row>
    <row r="3178" spans="1:17">
      <c r="A3178" t="s">
        <v>3222</v>
      </c>
      <c r="B3178" s="2">
        <v>45683</v>
      </c>
      <c r="C3178">
        <v>10</v>
      </c>
      <c r="D3178" t="s">
        <v>55</v>
      </c>
      <c r="E3178" t="s">
        <v>12</v>
      </c>
      <c r="F3178" s="7">
        <v>553.30999999999995</v>
      </c>
      <c r="G3178" s="10">
        <v>0.15</v>
      </c>
      <c r="H3178" s="7">
        <v>470.31</v>
      </c>
      <c r="I3178">
        <v>5</v>
      </c>
      <c r="J3178" t="s">
        <v>13</v>
      </c>
      <c r="K3178" s="13">
        <f>ROUND(tblTransactions[[#This Row],[gross_sales_inr]]*(1-tblTransactions[[#This Row],[discount_pct]]),2)</f>
        <v>470.31</v>
      </c>
      <c r="L3178" t="str">
        <f>IF(ABS(tblTransactions[[#This Row],[net_sales_inr]]-tblTransactions[[#This Row],[Recalc_Net_Sales]])&lt;0.02,"OK","CHECK")</f>
        <v>OK</v>
      </c>
      <c r="M3178" s="14">
        <f>DATE(YEAR(tblTransactions[[#This Row],[date]]),MONTH(tblTransactions[[#This Row],[date]]),1)</f>
        <v>45658</v>
      </c>
      <c r="N3178" t="str">
        <f>IF(WEEKDAY(tblTransactions[[#This Row],[date]],2)&gt;5,"Weekend","Weekday")</f>
        <v>Weekend</v>
      </c>
      <c r="O317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78" s="13" t="str">
        <f>_xlfn.XLOOKUP(tblTransactions[[#This Row],[tenant_id]],tblTenants[tenant_id],tblTenants[zone],"NOT FOUND")</f>
        <v>Food Court</v>
      </c>
      <c r="Q3178" s="13" t="str">
        <f>_xlfn.XLOOKUP(tblTransactions[[#This Row],[tenant_id]],tblTenants[tenant_id],tblTenants[category],"NOT FOUND")</f>
        <v>Quick Service</v>
      </c>
    </row>
    <row r="3179" spans="1:17">
      <c r="A3179" t="s">
        <v>3223</v>
      </c>
      <c r="B3179" s="2">
        <v>45730</v>
      </c>
      <c r="C3179">
        <v>22</v>
      </c>
      <c r="D3179" t="s">
        <v>20</v>
      </c>
      <c r="E3179" t="s">
        <v>12</v>
      </c>
      <c r="F3179" s="7">
        <v>1024.0899999999999</v>
      </c>
      <c r="G3179" s="10">
        <v>0</v>
      </c>
      <c r="H3179" s="7">
        <v>1024.0899999999999</v>
      </c>
      <c r="I3179">
        <v>1</v>
      </c>
      <c r="J3179" t="s">
        <v>13</v>
      </c>
      <c r="K3179" s="13">
        <f>ROUND(tblTransactions[[#This Row],[gross_sales_inr]]*(1-tblTransactions[[#This Row],[discount_pct]]),2)</f>
        <v>1024.0899999999999</v>
      </c>
      <c r="L3179" t="str">
        <f>IF(ABS(tblTransactions[[#This Row],[net_sales_inr]]-tblTransactions[[#This Row],[Recalc_Net_Sales]])&lt;0.02,"OK","CHECK")</f>
        <v>OK</v>
      </c>
      <c r="M3179" s="14">
        <f>DATE(YEAR(tblTransactions[[#This Row],[date]]),MONTH(tblTransactions[[#This Row],[date]]),1)</f>
        <v>45717</v>
      </c>
      <c r="N3179" t="str">
        <f>IF(WEEKDAY(tblTransactions[[#This Row],[date]],2)&gt;5,"Weekend","Weekday")</f>
        <v>Weekday</v>
      </c>
      <c r="O3179" s="13" t="str">
        <f>IF(tblTransactions[[#This Row],[discount_pct]]=0,"0%",IF(tblTransactions[[#This Row],[discount_pct]]&lt;=10%,"1–
10%",IF(tblTransactions[[#This Row],[discount_pct]]&lt;=20%,"11–20%","&gt;20%")))</f>
        <v>0%</v>
      </c>
      <c r="P3179" s="13" t="str">
        <f>_xlfn.XLOOKUP(tblTransactions[[#This Row],[tenant_id]],tblTenants[tenant_id],tblTenants[zone],"NOT FOUND")</f>
        <v>Fashion Avenue</v>
      </c>
      <c r="Q3179" s="13" t="str">
        <f>_xlfn.XLOOKUP(tblTransactions[[#This Row],[tenant_id]],tblTenants[tenant_id],tblTenants[category],"NOT FOUND")</f>
        <v>Accessories</v>
      </c>
    </row>
    <row r="3180" spans="1:17">
      <c r="A3180" t="s">
        <v>3224</v>
      </c>
      <c r="B3180" s="2">
        <v>45753</v>
      </c>
      <c r="C3180">
        <v>17</v>
      </c>
      <c r="D3180" t="s">
        <v>27</v>
      </c>
      <c r="E3180" t="s">
        <v>32</v>
      </c>
      <c r="F3180" s="7">
        <v>1529.45</v>
      </c>
      <c r="G3180" s="10">
        <v>0.05</v>
      </c>
      <c r="H3180" s="7">
        <v>1452.98</v>
      </c>
      <c r="I3180">
        <v>1</v>
      </c>
      <c r="J3180" t="s">
        <v>16</v>
      </c>
      <c r="K3180" s="13">
        <f>ROUND(tblTransactions[[#This Row],[gross_sales_inr]]*(1-tblTransactions[[#This Row],[discount_pct]]),2)</f>
        <v>1452.98</v>
      </c>
      <c r="L3180" t="str">
        <f>IF(ABS(tblTransactions[[#This Row],[net_sales_inr]]-tblTransactions[[#This Row],[Recalc_Net_Sales]])&lt;0.02,"OK","CHECK")</f>
        <v>OK</v>
      </c>
      <c r="M3180" s="14">
        <f>DATE(YEAR(tblTransactions[[#This Row],[date]]),MONTH(tblTransactions[[#This Row],[date]]),1)</f>
        <v>45748</v>
      </c>
      <c r="N3180" t="str">
        <f>IF(WEEKDAY(tblTransactions[[#This Row],[date]],2)&gt;5,"Weekend","Weekday")</f>
        <v>Weekend</v>
      </c>
      <c r="O3180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80" s="13" t="str">
        <f>_xlfn.XLOOKUP(tblTransactions[[#This Row],[tenant_id]],tblTenants[tenant_id],tblTenants[zone],"NOT FOUND")</f>
        <v>Beauty &amp; Wellness</v>
      </c>
      <c r="Q3180" s="13" t="str">
        <f>_xlfn.XLOOKUP(tblTransactions[[#This Row],[tenant_id]],tblTenants[tenant_id],tblTenants[category],"NOT FOUND")</f>
        <v>Wellness</v>
      </c>
    </row>
    <row r="3181" spans="1:17">
      <c r="A3181" t="s">
        <v>3225</v>
      </c>
      <c r="B3181" s="2">
        <v>45806</v>
      </c>
      <c r="C3181">
        <v>16</v>
      </c>
      <c r="D3181" t="s">
        <v>59</v>
      </c>
      <c r="E3181" t="s">
        <v>32</v>
      </c>
      <c r="F3181" s="7">
        <v>1993.52</v>
      </c>
      <c r="G3181" s="10">
        <v>0.1</v>
      </c>
      <c r="H3181" s="7">
        <v>1794.17</v>
      </c>
      <c r="I3181">
        <v>4</v>
      </c>
      <c r="J3181" t="s">
        <v>13</v>
      </c>
      <c r="K3181" s="13">
        <f>ROUND(tblTransactions[[#This Row],[gross_sales_inr]]*(1-tblTransactions[[#This Row],[discount_pct]]),2)</f>
        <v>1794.17</v>
      </c>
      <c r="L3181" t="str">
        <f>IF(ABS(tblTransactions[[#This Row],[net_sales_inr]]-tblTransactions[[#This Row],[Recalc_Net_Sales]])&lt;0.02,"OK","CHECK")</f>
        <v>OK</v>
      </c>
      <c r="M3181" s="14">
        <f>DATE(YEAR(tblTransactions[[#This Row],[date]]),MONTH(tblTransactions[[#This Row],[date]]),1)</f>
        <v>45778</v>
      </c>
      <c r="N3181" t="str">
        <f>IF(WEEKDAY(tblTransactions[[#This Row],[date]],2)&gt;5,"Weekend","Weekday")</f>
        <v>Weekday</v>
      </c>
      <c r="O318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81" s="13" t="str">
        <f>_xlfn.XLOOKUP(tblTransactions[[#This Row],[tenant_id]],tblTenants[tenant_id],tblTenants[zone],"NOT FOUND")</f>
        <v>Fashion Avenue</v>
      </c>
      <c r="Q3181" s="13" t="str">
        <f>_xlfn.XLOOKUP(tblTransactions[[#This Row],[tenant_id]],tblTenants[tenant_id],tblTenants[category],"NOT FOUND")</f>
        <v>Footwear</v>
      </c>
    </row>
    <row r="3182" spans="1:17">
      <c r="A3182" t="s">
        <v>3226</v>
      </c>
      <c r="B3182" s="2">
        <v>45787</v>
      </c>
      <c r="C3182">
        <v>12</v>
      </c>
      <c r="D3182" t="s">
        <v>61</v>
      </c>
      <c r="E3182" t="s">
        <v>12</v>
      </c>
      <c r="F3182" s="7">
        <v>229.77</v>
      </c>
      <c r="G3182" s="10">
        <v>0.05</v>
      </c>
      <c r="H3182" s="7">
        <v>218.28</v>
      </c>
      <c r="I3182">
        <v>2</v>
      </c>
      <c r="J3182" t="s">
        <v>16</v>
      </c>
      <c r="K3182" s="13">
        <f>ROUND(tblTransactions[[#This Row],[gross_sales_inr]]*(1-tblTransactions[[#This Row],[discount_pct]]),2)</f>
        <v>218.28</v>
      </c>
      <c r="L3182" t="str">
        <f>IF(ABS(tblTransactions[[#This Row],[net_sales_inr]]-tblTransactions[[#This Row],[Recalc_Net_Sales]])&lt;0.02,"OK","CHECK")</f>
        <v>OK</v>
      </c>
      <c r="M3182" s="14">
        <f>DATE(YEAR(tblTransactions[[#This Row],[date]]),MONTH(tblTransactions[[#This Row],[date]]),1)</f>
        <v>45778</v>
      </c>
      <c r="N3182" t="str">
        <f>IF(WEEKDAY(tblTransactions[[#This Row],[date]],2)&gt;5,"Weekend","Weekday")</f>
        <v>Weekend</v>
      </c>
      <c r="O3182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82" s="13" t="str">
        <f>_xlfn.XLOOKUP(tblTransactions[[#This Row],[tenant_id]],tblTenants[tenant_id],tblTenants[zone],"NOT FOUND")</f>
        <v>Food Court</v>
      </c>
      <c r="Q3182" s="13" t="str">
        <f>_xlfn.XLOOKUP(tblTransactions[[#This Row],[tenant_id]],tblTenants[tenant_id],tblTenants[category],"NOT FOUND")</f>
        <v>Quick Service</v>
      </c>
    </row>
    <row r="3183" spans="1:17">
      <c r="A3183" t="s">
        <v>3227</v>
      </c>
      <c r="B3183" s="2">
        <v>45803</v>
      </c>
      <c r="C3183">
        <v>15</v>
      </c>
      <c r="D3183" t="s">
        <v>20</v>
      </c>
      <c r="E3183" t="s">
        <v>12</v>
      </c>
      <c r="F3183" s="7">
        <v>765.43</v>
      </c>
      <c r="G3183" s="10">
        <v>0.15</v>
      </c>
      <c r="H3183" s="7">
        <v>650.62</v>
      </c>
      <c r="I3183">
        <v>1</v>
      </c>
      <c r="J3183" t="s">
        <v>16</v>
      </c>
      <c r="K3183" s="13">
        <f>ROUND(tblTransactions[[#This Row],[gross_sales_inr]]*(1-tblTransactions[[#This Row],[discount_pct]]),2)</f>
        <v>650.62</v>
      </c>
      <c r="L3183" t="str">
        <f>IF(ABS(tblTransactions[[#This Row],[net_sales_inr]]-tblTransactions[[#This Row],[Recalc_Net_Sales]])&lt;0.02,"OK","CHECK")</f>
        <v>OK</v>
      </c>
      <c r="M3183" s="14">
        <f>DATE(YEAR(tblTransactions[[#This Row],[date]]),MONTH(tblTransactions[[#This Row],[date]]),1)</f>
        <v>45778</v>
      </c>
      <c r="N3183" t="str">
        <f>IF(WEEKDAY(tblTransactions[[#This Row],[date]],2)&gt;5,"Weekend","Weekday")</f>
        <v>Weekday</v>
      </c>
      <c r="O3183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83" s="13" t="str">
        <f>_xlfn.XLOOKUP(tblTransactions[[#This Row],[tenant_id]],tblTenants[tenant_id],tblTenants[zone],"NOT FOUND")</f>
        <v>Fashion Avenue</v>
      </c>
      <c r="Q3183" s="13" t="str">
        <f>_xlfn.XLOOKUP(tblTransactions[[#This Row],[tenant_id]],tblTenants[tenant_id],tblTenants[category],"NOT FOUND")</f>
        <v>Accessories</v>
      </c>
    </row>
    <row r="3184" spans="1:17">
      <c r="A3184" t="s">
        <v>3228</v>
      </c>
      <c r="B3184" s="2">
        <v>45779</v>
      </c>
      <c r="C3184">
        <v>20</v>
      </c>
      <c r="D3184" t="s">
        <v>104</v>
      </c>
      <c r="E3184" t="s">
        <v>12</v>
      </c>
      <c r="F3184" s="7">
        <v>2046.31</v>
      </c>
      <c r="G3184" s="10">
        <v>0.1</v>
      </c>
      <c r="H3184" s="7">
        <v>1841.68</v>
      </c>
      <c r="I3184">
        <v>2</v>
      </c>
      <c r="J3184" t="s">
        <v>16</v>
      </c>
      <c r="K3184" s="13">
        <f>ROUND(tblTransactions[[#This Row],[gross_sales_inr]]*(1-tblTransactions[[#This Row],[discount_pct]]),2)</f>
        <v>1841.68</v>
      </c>
      <c r="L3184" t="str">
        <f>IF(ABS(tblTransactions[[#This Row],[net_sales_inr]]-tblTransactions[[#This Row],[Recalc_Net_Sales]])&lt;0.02,"OK","CHECK")</f>
        <v>OK</v>
      </c>
      <c r="M3184" s="14">
        <f>DATE(YEAR(tblTransactions[[#This Row],[date]]),MONTH(tblTransactions[[#This Row],[date]]),1)</f>
        <v>45778</v>
      </c>
      <c r="N3184" t="str">
        <f>IF(WEEKDAY(tblTransactions[[#This Row],[date]],2)&gt;5,"Weekend","Weekday")</f>
        <v>Weekday</v>
      </c>
      <c r="O3184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84" s="13" t="str">
        <f>_xlfn.XLOOKUP(tblTransactions[[#This Row],[tenant_id]],tblTenants[tenant_id],tblTenants[zone],"NOT FOUND")</f>
        <v>Entertainment</v>
      </c>
      <c r="Q3184" s="13" t="str">
        <f>_xlfn.XLOOKUP(tblTransactions[[#This Row],[tenant_id]],tblTenants[tenant_id],tblTenants[category],"NOT FOUND")</f>
        <v>Family Entertainment</v>
      </c>
    </row>
    <row r="3185" spans="1:17">
      <c r="A3185" t="s">
        <v>3229</v>
      </c>
      <c r="B3185" s="2">
        <v>45779</v>
      </c>
      <c r="C3185">
        <v>16</v>
      </c>
      <c r="D3185" t="s">
        <v>87</v>
      </c>
      <c r="E3185" t="s">
        <v>51</v>
      </c>
      <c r="F3185" s="7">
        <v>930.44</v>
      </c>
      <c r="G3185" s="10">
        <v>0.05</v>
      </c>
      <c r="H3185" s="7">
        <v>883.92</v>
      </c>
      <c r="I3185">
        <v>1</v>
      </c>
      <c r="J3185" t="s">
        <v>13</v>
      </c>
      <c r="K3185" s="13">
        <f>ROUND(tblTransactions[[#This Row],[gross_sales_inr]]*(1-tblTransactions[[#This Row],[discount_pct]]),2)</f>
        <v>883.92</v>
      </c>
      <c r="L3185" t="str">
        <f>IF(ABS(tblTransactions[[#This Row],[net_sales_inr]]-tblTransactions[[#This Row],[Recalc_Net_Sales]])&lt;0.02,"OK","CHECK")</f>
        <v>OK</v>
      </c>
      <c r="M3185" s="14">
        <f>DATE(YEAR(tblTransactions[[#This Row],[date]]),MONTH(tblTransactions[[#This Row],[date]]),1)</f>
        <v>45778</v>
      </c>
      <c r="N3185" t="str">
        <f>IF(WEEKDAY(tblTransactions[[#This Row],[date]],2)&gt;5,"Weekend","Weekday")</f>
        <v>Weekday</v>
      </c>
      <c r="O318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85" s="13" t="str">
        <f>_xlfn.XLOOKUP(tblTransactions[[#This Row],[tenant_id]],tblTenants[tenant_id],tblTenants[zone],"NOT FOUND")</f>
        <v>Fashion Avenue</v>
      </c>
      <c r="Q3185" s="13" t="str">
        <f>_xlfn.XLOOKUP(tblTransactions[[#This Row],[tenant_id]],tblTenants[tenant_id],tblTenants[category],"NOT FOUND")</f>
        <v>Footwear</v>
      </c>
    </row>
    <row r="3186" spans="1:17">
      <c r="A3186" t="s">
        <v>3230</v>
      </c>
      <c r="B3186" s="2">
        <v>45659</v>
      </c>
      <c r="C3186">
        <v>15</v>
      </c>
      <c r="D3186" t="s">
        <v>80</v>
      </c>
      <c r="E3186" t="s">
        <v>32</v>
      </c>
      <c r="F3186" s="7">
        <v>1397.11</v>
      </c>
      <c r="G3186" s="10">
        <v>0.1</v>
      </c>
      <c r="H3186" s="7">
        <v>1257.4000000000001</v>
      </c>
      <c r="I3186">
        <v>2</v>
      </c>
      <c r="J3186" t="s">
        <v>13</v>
      </c>
      <c r="K3186" s="13">
        <f>ROUND(tblTransactions[[#This Row],[gross_sales_inr]]*(1-tblTransactions[[#This Row],[discount_pct]]),2)</f>
        <v>1257.4000000000001</v>
      </c>
      <c r="L3186" t="str">
        <f>IF(ABS(tblTransactions[[#This Row],[net_sales_inr]]-tblTransactions[[#This Row],[Recalc_Net_Sales]])&lt;0.02,"OK","CHECK")</f>
        <v>OK</v>
      </c>
      <c r="M3186" s="14">
        <f>DATE(YEAR(tblTransactions[[#This Row],[date]]),MONTH(tblTransactions[[#This Row],[date]]),1)</f>
        <v>45658</v>
      </c>
      <c r="N3186" t="str">
        <f>IF(WEEKDAY(tblTransactions[[#This Row],[date]],2)&gt;5,"Weekend","Weekday")</f>
        <v>Weekday</v>
      </c>
      <c r="O3186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86" s="13" t="str">
        <f>_xlfn.XLOOKUP(tblTransactions[[#This Row],[tenant_id]],tblTenants[tenant_id],tblTenants[zone],"NOT FOUND")</f>
        <v>Food Court</v>
      </c>
      <c r="Q3186" s="13" t="str">
        <f>_xlfn.XLOOKUP(tblTransactions[[#This Row],[tenant_id]],tblTenants[tenant_id],tblTenants[category],"NOT FOUND")</f>
        <v>Casual Dining</v>
      </c>
    </row>
    <row r="3187" spans="1:17">
      <c r="A3187" t="s">
        <v>3231</v>
      </c>
      <c r="B3187" s="2">
        <v>45662</v>
      </c>
      <c r="C3187">
        <v>10</v>
      </c>
      <c r="D3187" t="s">
        <v>53</v>
      </c>
      <c r="E3187" t="s">
        <v>12</v>
      </c>
      <c r="F3187" s="7">
        <v>1847.82</v>
      </c>
      <c r="G3187" s="10">
        <v>0.2</v>
      </c>
      <c r="H3187" s="7">
        <v>1478.26</v>
      </c>
      <c r="I3187">
        <v>2</v>
      </c>
      <c r="J3187" t="s">
        <v>16</v>
      </c>
      <c r="K3187" s="13">
        <f>ROUND(tblTransactions[[#This Row],[gross_sales_inr]]*(1-tblTransactions[[#This Row],[discount_pct]]),2)</f>
        <v>1478.26</v>
      </c>
      <c r="L3187" t="str">
        <f>IF(ABS(tblTransactions[[#This Row],[net_sales_inr]]-tblTransactions[[#This Row],[Recalc_Net_Sales]])&lt;0.02,"OK","CHECK")</f>
        <v>OK</v>
      </c>
      <c r="M3187" s="14">
        <f>DATE(YEAR(tblTransactions[[#This Row],[date]]),MONTH(tblTransactions[[#This Row],[date]]),1)</f>
        <v>45658</v>
      </c>
      <c r="N3187" t="str">
        <f>IF(WEEKDAY(tblTransactions[[#This Row],[date]],2)&gt;5,"Weekend","Weekday")</f>
        <v>Weekend</v>
      </c>
      <c r="O3187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87" s="13" t="str">
        <f>_xlfn.XLOOKUP(tblTransactions[[#This Row],[tenant_id]],tblTenants[tenant_id],tblTenants[zone],"NOT FOUND")</f>
        <v>Beauty &amp; Wellness</v>
      </c>
      <c r="Q3187" s="13" t="str">
        <f>_xlfn.XLOOKUP(tblTransactions[[#This Row],[tenant_id]],tblTenants[tenant_id],tblTenants[category],"NOT FOUND")</f>
        <v>Beauty</v>
      </c>
    </row>
    <row r="3188" spans="1:17">
      <c r="A3188" t="s">
        <v>3232</v>
      </c>
      <c r="B3188" s="2">
        <v>45682</v>
      </c>
      <c r="C3188">
        <v>16</v>
      </c>
      <c r="D3188" t="s">
        <v>11</v>
      </c>
      <c r="E3188" t="s">
        <v>12</v>
      </c>
      <c r="F3188" s="7">
        <v>3668.89</v>
      </c>
      <c r="G3188" s="10">
        <v>0.2</v>
      </c>
      <c r="H3188" s="7">
        <v>2935.11</v>
      </c>
      <c r="I3188">
        <v>1</v>
      </c>
      <c r="J3188" t="s">
        <v>16</v>
      </c>
      <c r="K3188" s="13">
        <f>ROUND(tblTransactions[[#This Row],[gross_sales_inr]]*(1-tblTransactions[[#This Row],[discount_pct]]),2)</f>
        <v>2935.11</v>
      </c>
      <c r="L3188" t="str">
        <f>IF(ABS(tblTransactions[[#This Row],[net_sales_inr]]-tblTransactions[[#This Row],[Recalc_Net_Sales]])&lt;0.02,"OK","CHECK")</f>
        <v>OK</v>
      </c>
      <c r="M3188" s="14">
        <f>DATE(YEAR(tblTransactions[[#This Row],[date]]),MONTH(tblTransactions[[#This Row],[date]]),1)</f>
        <v>45658</v>
      </c>
      <c r="N3188" t="str">
        <f>IF(WEEKDAY(tblTransactions[[#This Row],[date]],2)&gt;5,"Weekend","Weekday")</f>
        <v>Weekend</v>
      </c>
      <c r="O3188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88" s="13" t="str">
        <f>_xlfn.XLOOKUP(tblTransactions[[#This Row],[tenant_id]],tblTenants[tenant_id],tblTenants[zone],"NOT FOUND")</f>
        <v>Home &amp; Living</v>
      </c>
      <c r="Q3188" s="13" t="str">
        <f>_xlfn.XLOOKUP(tblTransactions[[#This Row],[tenant_id]],tblTenants[tenant_id],tblTenants[category],"NOT FOUND")</f>
        <v>Home Decor</v>
      </c>
    </row>
    <row r="3189" spans="1:17">
      <c r="A3189" t="s">
        <v>3233</v>
      </c>
      <c r="B3189" s="2">
        <v>45759</v>
      </c>
      <c r="C3189">
        <v>18</v>
      </c>
      <c r="D3189" t="s">
        <v>98</v>
      </c>
      <c r="E3189" t="s">
        <v>12</v>
      </c>
      <c r="F3189" s="7">
        <v>834.57</v>
      </c>
      <c r="G3189" s="10">
        <v>0</v>
      </c>
      <c r="H3189" s="7">
        <v>834.57</v>
      </c>
      <c r="I3189">
        <v>3</v>
      </c>
      <c r="J3189" t="s">
        <v>13</v>
      </c>
      <c r="K3189" s="13">
        <f>ROUND(tblTransactions[[#This Row],[gross_sales_inr]]*(1-tblTransactions[[#This Row],[discount_pct]]),2)</f>
        <v>834.57</v>
      </c>
      <c r="L3189" t="str">
        <f>IF(ABS(tblTransactions[[#This Row],[net_sales_inr]]-tblTransactions[[#This Row],[Recalc_Net_Sales]])&lt;0.02,"OK","CHECK")</f>
        <v>OK</v>
      </c>
      <c r="M3189" s="14">
        <f>DATE(YEAR(tblTransactions[[#This Row],[date]]),MONTH(tblTransactions[[#This Row],[date]]),1)</f>
        <v>45748</v>
      </c>
      <c r="N3189" t="str">
        <f>IF(WEEKDAY(tblTransactions[[#This Row],[date]],2)&gt;5,"Weekend","Weekday")</f>
        <v>Weekend</v>
      </c>
      <c r="O3189" s="13" t="str">
        <f>IF(tblTransactions[[#This Row],[discount_pct]]=0,"0%",IF(tblTransactions[[#This Row],[discount_pct]]&lt;=10%,"1–
10%",IF(tblTransactions[[#This Row],[discount_pct]]&lt;=20%,"11–20%","&gt;20%")))</f>
        <v>0%</v>
      </c>
      <c r="P3189" s="13" t="str">
        <f>_xlfn.XLOOKUP(tblTransactions[[#This Row],[tenant_id]],tblTenants[tenant_id],tblTenants[zone],"NOT FOUND")</f>
        <v>Fashion Avenue</v>
      </c>
      <c r="Q3189" s="13" t="str">
        <f>_xlfn.XLOOKUP(tblTransactions[[#This Row],[tenant_id]],tblTenants[tenant_id],tblTenants[category],"NOT FOUND")</f>
        <v>Accessories</v>
      </c>
    </row>
    <row r="3190" spans="1:17">
      <c r="A3190" t="s">
        <v>3234</v>
      </c>
      <c r="B3190" s="2">
        <v>45797</v>
      </c>
      <c r="C3190">
        <v>21</v>
      </c>
      <c r="D3190" t="s">
        <v>25</v>
      </c>
      <c r="E3190" t="s">
        <v>12</v>
      </c>
      <c r="F3190" s="7">
        <v>471.1</v>
      </c>
      <c r="G3190" s="10">
        <v>0</v>
      </c>
      <c r="H3190" s="7">
        <v>471.1</v>
      </c>
      <c r="I3190">
        <v>3</v>
      </c>
      <c r="J3190" t="s">
        <v>16</v>
      </c>
      <c r="K3190" s="13">
        <f>ROUND(tblTransactions[[#This Row],[gross_sales_inr]]*(1-tblTransactions[[#This Row],[discount_pct]]),2)</f>
        <v>471.1</v>
      </c>
      <c r="L3190" t="str">
        <f>IF(ABS(tblTransactions[[#This Row],[net_sales_inr]]-tblTransactions[[#This Row],[Recalc_Net_Sales]])&lt;0.02,"OK","CHECK")</f>
        <v>OK</v>
      </c>
      <c r="M3190" s="14">
        <f>DATE(YEAR(tblTransactions[[#This Row],[date]]),MONTH(tblTransactions[[#This Row],[date]]),1)</f>
        <v>45778</v>
      </c>
      <c r="N3190" t="str">
        <f>IF(WEEKDAY(tblTransactions[[#This Row],[date]],2)&gt;5,"Weekend","Weekday")</f>
        <v>Weekday</v>
      </c>
      <c r="O3190" s="13" t="str">
        <f>IF(tblTransactions[[#This Row],[discount_pct]]=0,"0%",IF(tblTransactions[[#This Row],[discount_pct]]&lt;=10%,"1–
10%",IF(tblTransactions[[#This Row],[discount_pct]]&lt;=20%,"11–20%","&gt;20%")))</f>
        <v>0%</v>
      </c>
      <c r="P3190" s="13" t="str">
        <f>_xlfn.XLOOKUP(tblTransactions[[#This Row],[tenant_id]],tblTenants[tenant_id],tblTenants[zone],"NOT FOUND")</f>
        <v>Beauty &amp; Wellness</v>
      </c>
      <c r="Q3190" s="13" t="str">
        <f>_xlfn.XLOOKUP(tblTransactions[[#This Row],[tenant_id]],tblTenants[tenant_id],tblTenants[category],"NOT FOUND")</f>
        <v>Beauty</v>
      </c>
    </row>
    <row r="3191" spans="1:17">
      <c r="A3191" t="s">
        <v>3235</v>
      </c>
      <c r="B3191" s="2">
        <v>45744</v>
      </c>
      <c r="C3191">
        <v>16</v>
      </c>
      <c r="D3191" t="s">
        <v>23</v>
      </c>
      <c r="E3191" t="s">
        <v>12</v>
      </c>
      <c r="F3191" s="7">
        <v>274.8</v>
      </c>
      <c r="G3191" s="10">
        <v>0.05</v>
      </c>
      <c r="H3191" s="7">
        <v>261.06</v>
      </c>
      <c r="I3191">
        <v>5</v>
      </c>
      <c r="J3191" t="s">
        <v>16</v>
      </c>
      <c r="K3191" s="13">
        <f>ROUND(tblTransactions[[#This Row],[gross_sales_inr]]*(1-tblTransactions[[#This Row],[discount_pct]]),2)</f>
        <v>261.06</v>
      </c>
      <c r="L3191" t="str">
        <f>IF(ABS(tblTransactions[[#This Row],[net_sales_inr]]-tblTransactions[[#This Row],[Recalc_Net_Sales]])&lt;0.02,"OK","CHECK")</f>
        <v>OK</v>
      </c>
      <c r="M3191" s="14">
        <f>DATE(YEAR(tblTransactions[[#This Row],[date]]),MONTH(tblTransactions[[#This Row],[date]]),1)</f>
        <v>45717</v>
      </c>
      <c r="N3191" t="str">
        <f>IF(WEEKDAY(tblTransactions[[#This Row],[date]],2)&gt;5,"Weekend","Weekday")</f>
        <v>Weekday</v>
      </c>
      <c r="O319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91" s="13" t="str">
        <f>_xlfn.XLOOKUP(tblTransactions[[#This Row],[tenant_id]],tblTenants[tenant_id],tblTenants[zone],"NOT FOUND")</f>
        <v>Entertainment</v>
      </c>
      <c r="Q3191" s="13" t="str">
        <f>_xlfn.XLOOKUP(tblTransactions[[#This Row],[tenant_id]],tblTenants[tenant_id],tblTenants[category],"NOT FOUND")</f>
        <v>Cinema</v>
      </c>
    </row>
    <row r="3192" spans="1:17">
      <c r="A3192" t="s">
        <v>3236</v>
      </c>
      <c r="B3192" s="2">
        <v>45673</v>
      </c>
      <c r="C3192">
        <v>13</v>
      </c>
      <c r="D3192" t="s">
        <v>63</v>
      </c>
      <c r="E3192" t="s">
        <v>12</v>
      </c>
      <c r="F3192" s="7">
        <v>264.24</v>
      </c>
      <c r="G3192" s="10">
        <v>0.2</v>
      </c>
      <c r="H3192" s="7">
        <v>211.39</v>
      </c>
      <c r="I3192">
        <v>6</v>
      </c>
      <c r="J3192" t="s">
        <v>13</v>
      </c>
      <c r="K3192" s="13">
        <f>ROUND(tblTransactions[[#This Row],[gross_sales_inr]]*(1-tblTransactions[[#This Row],[discount_pct]]),2)</f>
        <v>211.39</v>
      </c>
      <c r="L3192" t="str">
        <f>IF(ABS(tblTransactions[[#This Row],[net_sales_inr]]-tblTransactions[[#This Row],[Recalc_Net_Sales]])&lt;0.02,"OK","CHECK")</f>
        <v>OK</v>
      </c>
      <c r="M3192" s="14">
        <f>DATE(YEAR(tblTransactions[[#This Row],[date]]),MONTH(tblTransactions[[#This Row],[date]]),1)</f>
        <v>45658</v>
      </c>
      <c r="N3192" t="str">
        <f>IF(WEEKDAY(tblTransactions[[#This Row],[date]],2)&gt;5,"Weekend","Weekday")</f>
        <v>Weekday</v>
      </c>
      <c r="O3192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92" s="13" t="str">
        <f>_xlfn.XLOOKUP(tblTransactions[[#This Row],[tenant_id]],tblTenants[tenant_id],tblTenants[zone],"NOT FOUND")</f>
        <v>Entertainment</v>
      </c>
      <c r="Q3192" s="13" t="str">
        <f>_xlfn.XLOOKUP(tblTransactions[[#This Row],[tenant_id]],tblTenants[tenant_id],tblTenants[category],"NOT FOUND")</f>
        <v>Family Entertainment</v>
      </c>
    </row>
    <row r="3193" spans="1:17">
      <c r="A3193" t="s">
        <v>3237</v>
      </c>
      <c r="B3193" s="2">
        <v>45690</v>
      </c>
      <c r="C3193">
        <v>13</v>
      </c>
      <c r="D3193" t="s">
        <v>23</v>
      </c>
      <c r="E3193" t="s">
        <v>12</v>
      </c>
      <c r="F3193" s="7">
        <v>1101.46</v>
      </c>
      <c r="G3193" s="10">
        <v>0</v>
      </c>
      <c r="H3193" s="7">
        <v>1101.46</v>
      </c>
      <c r="I3193">
        <v>2</v>
      </c>
      <c r="J3193" t="s">
        <v>13</v>
      </c>
      <c r="K3193" s="13">
        <f>ROUND(tblTransactions[[#This Row],[gross_sales_inr]]*(1-tblTransactions[[#This Row],[discount_pct]]),2)</f>
        <v>1101.46</v>
      </c>
      <c r="L3193" t="str">
        <f>IF(ABS(tblTransactions[[#This Row],[net_sales_inr]]-tblTransactions[[#This Row],[Recalc_Net_Sales]])&lt;0.02,"OK","CHECK")</f>
        <v>OK</v>
      </c>
      <c r="M3193" s="14">
        <f>DATE(YEAR(tblTransactions[[#This Row],[date]]),MONTH(tblTransactions[[#This Row],[date]]),1)</f>
        <v>45689</v>
      </c>
      <c r="N3193" t="str">
        <f>IF(WEEKDAY(tblTransactions[[#This Row],[date]],2)&gt;5,"Weekend","Weekday")</f>
        <v>Weekend</v>
      </c>
      <c r="O3193" s="13" t="str">
        <f>IF(tblTransactions[[#This Row],[discount_pct]]=0,"0%",IF(tblTransactions[[#This Row],[discount_pct]]&lt;=10%,"1–
10%",IF(tblTransactions[[#This Row],[discount_pct]]&lt;=20%,"11–20%","&gt;20%")))</f>
        <v>0%</v>
      </c>
      <c r="P3193" s="13" t="str">
        <f>_xlfn.XLOOKUP(tblTransactions[[#This Row],[tenant_id]],tblTenants[tenant_id],tblTenants[zone],"NOT FOUND")</f>
        <v>Entertainment</v>
      </c>
      <c r="Q3193" s="13" t="str">
        <f>_xlfn.XLOOKUP(tblTransactions[[#This Row],[tenant_id]],tblTenants[tenant_id],tblTenants[category],"NOT FOUND")</f>
        <v>Cinema</v>
      </c>
    </row>
    <row r="3194" spans="1:17">
      <c r="A3194" t="s">
        <v>3238</v>
      </c>
      <c r="B3194" s="2">
        <v>45686</v>
      </c>
      <c r="C3194">
        <v>18</v>
      </c>
      <c r="D3194" t="s">
        <v>72</v>
      </c>
      <c r="E3194" t="s">
        <v>12</v>
      </c>
      <c r="F3194" s="7">
        <v>1057.3499999999999</v>
      </c>
      <c r="G3194" s="10">
        <v>0.2</v>
      </c>
      <c r="H3194" s="7">
        <v>845.88</v>
      </c>
      <c r="I3194">
        <v>2</v>
      </c>
      <c r="J3194" t="s">
        <v>16</v>
      </c>
      <c r="K3194" s="13">
        <f>ROUND(tblTransactions[[#This Row],[gross_sales_inr]]*(1-tblTransactions[[#This Row],[discount_pct]]),2)</f>
        <v>845.88</v>
      </c>
      <c r="L3194" t="str">
        <f>IF(ABS(tblTransactions[[#This Row],[net_sales_inr]]-tblTransactions[[#This Row],[Recalc_Net_Sales]])&lt;0.02,"OK","CHECK")</f>
        <v>OK</v>
      </c>
      <c r="M3194" s="14">
        <f>DATE(YEAR(tblTransactions[[#This Row],[date]]),MONTH(tblTransactions[[#This Row],[date]]),1)</f>
        <v>45658</v>
      </c>
      <c r="N3194" t="str">
        <f>IF(WEEKDAY(tblTransactions[[#This Row],[date]],2)&gt;5,"Weekend","Weekday")</f>
        <v>Weekday</v>
      </c>
      <c r="O3194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94" s="13" t="str">
        <f>_xlfn.XLOOKUP(tblTransactions[[#This Row],[tenant_id]],tblTenants[tenant_id],tblTenants[zone],"NOT FOUND")</f>
        <v>Entertainment</v>
      </c>
      <c r="Q3194" s="13" t="str">
        <f>_xlfn.XLOOKUP(tblTransactions[[#This Row],[tenant_id]],tblTenants[tenant_id],tblTenants[category],"NOT FOUND")</f>
        <v>Arcade</v>
      </c>
    </row>
    <row r="3195" spans="1:17">
      <c r="A3195" t="s">
        <v>3239</v>
      </c>
      <c r="B3195" s="2">
        <v>45750</v>
      </c>
      <c r="C3195">
        <v>12</v>
      </c>
      <c r="D3195" t="s">
        <v>72</v>
      </c>
      <c r="E3195" t="s">
        <v>12</v>
      </c>
      <c r="F3195" s="7">
        <v>511.17</v>
      </c>
      <c r="G3195" s="10">
        <v>0.1</v>
      </c>
      <c r="H3195" s="7">
        <v>460.05</v>
      </c>
      <c r="I3195">
        <v>2</v>
      </c>
      <c r="J3195" t="s">
        <v>16</v>
      </c>
      <c r="K3195" s="13">
        <f>ROUND(tblTransactions[[#This Row],[gross_sales_inr]]*(1-tblTransactions[[#This Row],[discount_pct]]),2)</f>
        <v>460.05</v>
      </c>
      <c r="L3195" t="str">
        <f>IF(ABS(tblTransactions[[#This Row],[net_sales_inr]]-tblTransactions[[#This Row],[Recalc_Net_Sales]])&lt;0.02,"OK","CHECK")</f>
        <v>OK</v>
      </c>
      <c r="M3195" s="14">
        <f>DATE(YEAR(tblTransactions[[#This Row],[date]]),MONTH(tblTransactions[[#This Row],[date]]),1)</f>
        <v>45748</v>
      </c>
      <c r="N3195" t="str">
        <f>IF(WEEKDAY(tblTransactions[[#This Row],[date]],2)&gt;5,"Weekend","Weekday")</f>
        <v>Weekday</v>
      </c>
      <c r="O3195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95" s="13" t="str">
        <f>_xlfn.XLOOKUP(tblTransactions[[#This Row],[tenant_id]],tblTenants[tenant_id],tblTenants[zone],"NOT FOUND")</f>
        <v>Entertainment</v>
      </c>
      <c r="Q3195" s="13" t="str">
        <f>_xlfn.XLOOKUP(tblTransactions[[#This Row],[tenant_id]],tblTenants[tenant_id],tblTenants[category],"NOT FOUND")</f>
        <v>Arcade</v>
      </c>
    </row>
    <row r="3196" spans="1:17">
      <c r="A3196" t="s">
        <v>3240</v>
      </c>
      <c r="B3196" s="2">
        <v>45705</v>
      </c>
      <c r="C3196">
        <v>18</v>
      </c>
      <c r="D3196" t="s">
        <v>57</v>
      </c>
      <c r="E3196" t="s">
        <v>12</v>
      </c>
      <c r="F3196" s="7">
        <v>1439.52</v>
      </c>
      <c r="G3196" s="10">
        <v>0.2</v>
      </c>
      <c r="H3196" s="7">
        <v>1151.6199999999999</v>
      </c>
      <c r="I3196">
        <v>3</v>
      </c>
      <c r="J3196" t="s">
        <v>13</v>
      </c>
      <c r="K3196" s="13">
        <f>ROUND(tblTransactions[[#This Row],[gross_sales_inr]]*(1-tblTransactions[[#This Row],[discount_pct]]),2)</f>
        <v>1151.6199999999999</v>
      </c>
      <c r="L3196" t="str">
        <f>IF(ABS(tblTransactions[[#This Row],[net_sales_inr]]-tblTransactions[[#This Row],[Recalc_Net_Sales]])&lt;0.02,"OK","CHECK")</f>
        <v>OK</v>
      </c>
      <c r="M3196" s="14">
        <f>DATE(YEAR(tblTransactions[[#This Row],[date]]),MONTH(tblTransactions[[#This Row],[date]]),1)</f>
        <v>45689</v>
      </c>
      <c r="N3196" t="str">
        <f>IF(WEEKDAY(tblTransactions[[#This Row],[date]],2)&gt;5,"Weekend","Weekday")</f>
        <v>Weekday</v>
      </c>
      <c r="O3196" s="13" t="str">
        <f>IF(tblTransactions[[#This Row],[discount_pct]]=0,"0%",IF(tblTransactions[[#This Row],[discount_pct]]&lt;=10%,"1–
10%",IF(tblTransactions[[#This Row],[discount_pct]]&lt;=20%,"11–20%","&gt;20%")))</f>
        <v>11–20%</v>
      </c>
      <c r="P3196" s="13" t="str">
        <f>_xlfn.XLOOKUP(tblTransactions[[#This Row],[tenant_id]],tblTenants[tenant_id],tblTenants[zone],"NOT FOUND")</f>
        <v>Food Court</v>
      </c>
      <c r="Q3196" s="13" t="str">
        <f>_xlfn.XLOOKUP(tblTransactions[[#This Row],[tenant_id]],tblTenants[tenant_id],tblTenants[category],"NOT FOUND")</f>
        <v>Casual Dining</v>
      </c>
    </row>
    <row r="3197" spans="1:17">
      <c r="A3197" t="s">
        <v>3241</v>
      </c>
      <c r="B3197" s="2">
        <v>45753</v>
      </c>
      <c r="C3197">
        <v>20</v>
      </c>
      <c r="D3197" t="s">
        <v>104</v>
      </c>
      <c r="E3197" t="s">
        <v>32</v>
      </c>
      <c r="F3197" s="7">
        <v>788.05</v>
      </c>
      <c r="G3197" s="10">
        <v>0</v>
      </c>
      <c r="H3197" s="7">
        <v>788.05</v>
      </c>
      <c r="I3197">
        <v>4</v>
      </c>
      <c r="J3197" t="s">
        <v>13</v>
      </c>
      <c r="K3197" s="13">
        <f>ROUND(tblTransactions[[#This Row],[gross_sales_inr]]*(1-tblTransactions[[#This Row],[discount_pct]]),2)</f>
        <v>788.05</v>
      </c>
      <c r="L3197" t="str">
        <f>IF(ABS(tblTransactions[[#This Row],[net_sales_inr]]-tblTransactions[[#This Row],[Recalc_Net_Sales]])&lt;0.02,"OK","CHECK")</f>
        <v>OK</v>
      </c>
      <c r="M3197" s="14">
        <f>DATE(YEAR(tblTransactions[[#This Row],[date]]),MONTH(tblTransactions[[#This Row],[date]]),1)</f>
        <v>45748</v>
      </c>
      <c r="N3197" t="str">
        <f>IF(WEEKDAY(tblTransactions[[#This Row],[date]],2)&gt;5,"Weekend","Weekday")</f>
        <v>Weekend</v>
      </c>
      <c r="O3197" s="13" t="str">
        <f>IF(tblTransactions[[#This Row],[discount_pct]]=0,"0%",IF(tblTransactions[[#This Row],[discount_pct]]&lt;=10%,"1–
10%",IF(tblTransactions[[#This Row],[discount_pct]]&lt;=20%,"11–20%","&gt;20%")))</f>
        <v>0%</v>
      </c>
      <c r="P3197" s="13" t="str">
        <f>_xlfn.XLOOKUP(tblTransactions[[#This Row],[tenant_id]],tblTenants[tenant_id],tblTenants[zone],"NOT FOUND")</f>
        <v>Entertainment</v>
      </c>
      <c r="Q3197" s="13" t="str">
        <f>_xlfn.XLOOKUP(tblTransactions[[#This Row],[tenant_id]],tblTenants[tenant_id],tblTenants[category],"NOT FOUND")</f>
        <v>Family Entertainment</v>
      </c>
    </row>
    <row r="3198" spans="1:17">
      <c r="A3198" t="s">
        <v>3242</v>
      </c>
      <c r="B3198" s="2">
        <v>45747</v>
      </c>
      <c r="C3198">
        <v>21</v>
      </c>
      <c r="D3198" t="s">
        <v>34</v>
      </c>
      <c r="E3198" t="s">
        <v>12</v>
      </c>
      <c r="F3198" s="7">
        <v>542.97</v>
      </c>
      <c r="G3198" s="10">
        <v>0</v>
      </c>
      <c r="H3198" s="7">
        <v>542.97</v>
      </c>
      <c r="I3198">
        <v>1</v>
      </c>
      <c r="J3198" t="s">
        <v>13</v>
      </c>
      <c r="K3198" s="13">
        <f>ROUND(tblTransactions[[#This Row],[gross_sales_inr]]*(1-tblTransactions[[#This Row],[discount_pct]]),2)</f>
        <v>542.97</v>
      </c>
      <c r="L3198" t="str">
        <f>IF(ABS(tblTransactions[[#This Row],[net_sales_inr]]-tblTransactions[[#This Row],[Recalc_Net_Sales]])&lt;0.02,"OK","CHECK")</f>
        <v>OK</v>
      </c>
      <c r="M3198" s="14">
        <f>DATE(YEAR(tblTransactions[[#This Row],[date]]),MONTH(tblTransactions[[#This Row],[date]]),1)</f>
        <v>45717</v>
      </c>
      <c r="N3198" t="str">
        <f>IF(WEEKDAY(tblTransactions[[#This Row],[date]],2)&gt;5,"Weekend","Weekday")</f>
        <v>Weekday</v>
      </c>
      <c r="O3198" s="13" t="str">
        <f>IF(tblTransactions[[#This Row],[discount_pct]]=0,"0%",IF(tblTransactions[[#This Row],[discount_pct]]&lt;=10%,"1–
10%",IF(tblTransactions[[#This Row],[discount_pct]]&lt;=20%,"11–20%","&gt;20%")))</f>
        <v>0%</v>
      </c>
      <c r="P3198" s="13" t="str">
        <f>_xlfn.XLOOKUP(tblTransactions[[#This Row],[tenant_id]],tblTenants[tenant_id],tblTenants[zone],"NOT FOUND")</f>
        <v>Home &amp; Living</v>
      </c>
      <c r="Q3198" s="13" t="str">
        <f>_xlfn.XLOOKUP(tblTransactions[[#This Row],[tenant_id]],tblTenants[tenant_id],tblTenants[category],"NOT FOUND")</f>
        <v>Electronics</v>
      </c>
    </row>
    <row r="3199" spans="1:17">
      <c r="A3199" t="s">
        <v>3243</v>
      </c>
      <c r="B3199" s="2">
        <v>45673</v>
      </c>
      <c r="C3199">
        <v>14</v>
      </c>
      <c r="D3199" t="s">
        <v>53</v>
      </c>
      <c r="E3199" t="s">
        <v>12</v>
      </c>
      <c r="F3199" s="7">
        <v>1226.3599999999999</v>
      </c>
      <c r="G3199" s="10">
        <v>0.1</v>
      </c>
      <c r="H3199" s="7">
        <v>1103.72</v>
      </c>
      <c r="I3199">
        <v>3</v>
      </c>
      <c r="J3199" t="s">
        <v>16</v>
      </c>
      <c r="K3199" s="13">
        <f>ROUND(tblTransactions[[#This Row],[gross_sales_inr]]*(1-tblTransactions[[#This Row],[discount_pct]]),2)</f>
        <v>1103.72</v>
      </c>
      <c r="L3199" t="str">
        <f>IF(ABS(tblTransactions[[#This Row],[net_sales_inr]]-tblTransactions[[#This Row],[Recalc_Net_Sales]])&lt;0.02,"OK","CHECK")</f>
        <v>OK</v>
      </c>
      <c r="M3199" s="14">
        <f>DATE(YEAR(tblTransactions[[#This Row],[date]]),MONTH(tblTransactions[[#This Row],[date]]),1)</f>
        <v>45658</v>
      </c>
      <c r="N3199" t="str">
        <f>IF(WEEKDAY(tblTransactions[[#This Row],[date]],2)&gt;5,"Weekend","Weekday")</f>
        <v>Weekday</v>
      </c>
      <c r="O3199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199" s="13" t="str">
        <f>_xlfn.XLOOKUP(tblTransactions[[#This Row],[tenant_id]],tblTenants[tenant_id],tblTenants[zone],"NOT FOUND")</f>
        <v>Beauty &amp; Wellness</v>
      </c>
      <c r="Q3199" s="13" t="str">
        <f>_xlfn.XLOOKUP(tblTransactions[[#This Row],[tenant_id]],tblTenants[tenant_id],tblTenants[category],"NOT FOUND")</f>
        <v>Beauty</v>
      </c>
    </row>
    <row r="3200" spans="1:17">
      <c r="A3200" t="s">
        <v>3244</v>
      </c>
      <c r="B3200" s="2">
        <v>45812</v>
      </c>
      <c r="C3200">
        <v>21</v>
      </c>
      <c r="D3200" t="s">
        <v>41</v>
      </c>
      <c r="E3200" t="s">
        <v>32</v>
      </c>
      <c r="F3200" s="7">
        <v>250.42</v>
      </c>
      <c r="G3200" s="10">
        <v>0</v>
      </c>
      <c r="H3200" s="7">
        <v>250.42</v>
      </c>
      <c r="I3200">
        <v>2</v>
      </c>
      <c r="J3200" t="s">
        <v>13</v>
      </c>
      <c r="K3200" s="13">
        <f>ROUND(tblTransactions[[#This Row],[gross_sales_inr]]*(1-tblTransactions[[#This Row],[discount_pct]]),2)</f>
        <v>250.42</v>
      </c>
      <c r="L3200" t="str">
        <f>IF(ABS(tblTransactions[[#This Row],[net_sales_inr]]-tblTransactions[[#This Row],[Recalc_Net_Sales]])&lt;0.02,"OK","CHECK")</f>
        <v>OK</v>
      </c>
      <c r="M3200" s="14">
        <f>DATE(YEAR(tblTransactions[[#This Row],[date]]),MONTH(tblTransactions[[#This Row],[date]]),1)</f>
        <v>45809</v>
      </c>
      <c r="N3200" t="str">
        <f>IF(WEEKDAY(tblTransactions[[#This Row],[date]],2)&gt;5,"Weekend","Weekday")</f>
        <v>Weekday</v>
      </c>
      <c r="O3200" s="13" t="str">
        <f>IF(tblTransactions[[#This Row],[discount_pct]]=0,"0%",IF(tblTransactions[[#This Row],[discount_pct]]&lt;=10%,"1–
10%",IF(tblTransactions[[#This Row],[discount_pct]]&lt;=20%,"11–20%","&gt;20%")))</f>
        <v>0%</v>
      </c>
      <c r="P3200" s="13" t="str">
        <f>_xlfn.XLOOKUP(tblTransactions[[#This Row],[tenant_id]],tblTenants[tenant_id],tblTenants[zone],"NOT FOUND")</f>
        <v>Fashion Avenue</v>
      </c>
      <c r="Q3200" s="13" t="str">
        <f>_xlfn.XLOOKUP(tblTransactions[[#This Row],[tenant_id]],tblTenants[tenant_id],tblTenants[category],"NOT FOUND")</f>
        <v>Clothing</v>
      </c>
    </row>
    <row r="3201" spans="1:17">
      <c r="A3201" t="s">
        <v>3245</v>
      </c>
      <c r="B3201" s="2">
        <v>45719</v>
      </c>
      <c r="C3201">
        <v>19</v>
      </c>
      <c r="D3201" t="s">
        <v>98</v>
      </c>
      <c r="E3201" t="s">
        <v>21</v>
      </c>
      <c r="F3201" s="7">
        <v>521.11</v>
      </c>
      <c r="G3201" s="10">
        <v>0.05</v>
      </c>
      <c r="H3201" s="7">
        <v>495.05</v>
      </c>
      <c r="I3201">
        <v>1</v>
      </c>
      <c r="J3201" t="s">
        <v>13</v>
      </c>
      <c r="K3201" s="13">
        <f>ROUND(tblTransactions[[#This Row],[gross_sales_inr]]*(1-tblTransactions[[#This Row],[discount_pct]]),2)</f>
        <v>495.05</v>
      </c>
      <c r="L3201" t="str">
        <f>IF(ABS(tblTransactions[[#This Row],[net_sales_inr]]-tblTransactions[[#This Row],[Recalc_Net_Sales]])&lt;0.02,"OK","CHECK")</f>
        <v>OK</v>
      </c>
      <c r="M3201" s="14">
        <f>DATE(YEAR(tblTransactions[[#This Row],[date]]),MONTH(tblTransactions[[#This Row],[date]]),1)</f>
        <v>45717</v>
      </c>
      <c r="N3201" t="str">
        <f>IF(WEEKDAY(tblTransactions[[#This Row],[date]],2)&gt;5,"Weekend","Weekday")</f>
        <v>Weekday</v>
      </c>
      <c r="O3201" s="13" t="str">
        <f>IF(tblTransactions[[#This Row],[discount_pct]]=0,"0%",IF(tblTransactions[[#This Row],[discount_pct]]&lt;=10%,"1–
10%",IF(tblTransactions[[#This Row],[discount_pct]]&lt;=20%,"11–20%","&gt;20%")))</f>
        <v>1–
10%</v>
      </c>
      <c r="P3201" s="13" t="str">
        <f>_xlfn.XLOOKUP(tblTransactions[[#This Row],[tenant_id]],tblTenants[tenant_id],tblTenants[zone],"NOT FOUND")</f>
        <v>Fashion Avenue</v>
      </c>
      <c r="Q3201" s="13" t="str">
        <f>_xlfn.XLOOKUP(tblTransactions[[#This Row],[tenant_id]],tblTenants[tenant_id],tblTenants[category],"NOT FOUND")</f>
        <v>Accessories</v>
      </c>
    </row>
  </sheetData>
  <conditionalFormatting sqref="O6">
    <cfRule type="duplicateValues" dxfId="4" priority="3"/>
  </conditionalFormatting>
  <conditionalFormatting sqref="A1:A1048576">
    <cfRule type="duplicateValues" dxfId="2" priority="2"/>
    <cfRule type="duplicateValues" dxfId="3" priority="1"/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B85A-0C13-4184-8ABC-1DCA1A242420}">
  <dimension ref="A3:B8"/>
  <sheetViews>
    <sheetView workbookViewId="0">
      <selection activeCell="M13" sqref="M13"/>
    </sheetView>
  </sheetViews>
  <sheetFormatPr defaultRowHeight="14.4"/>
  <cols>
    <col min="1" max="1" width="12.5546875" bestFit="1" customWidth="1"/>
    <col min="2" max="2" width="13.44140625" bestFit="1" customWidth="1"/>
  </cols>
  <sheetData>
    <row r="3" spans="1:2">
      <c r="A3" s="15" t="s">
        <v>3357</v>
      </c>
      <c r="B3" t="s">
        <v>3370</v>
      </c>
    </row>
    <row r="4" spans="1:2">
      <c r="A4" s="16" t="s">
        <v>3255</v>
      </c>
      <c r="B4" s="13">
        <v>246358</v>
      </c>
    </row>
    <row r="5" spans="1:2">
      <c r="A5" s="16" t="s">
        <v>3250</v>
      </c>
      <c r="B5" s="13">
        <v>342848</v>
      </c>
    </row>
    <row r="6" spans="1:2">
      <c r="A6" s="16" t="s">
        <v>3257</v>
      </c>
      <c r="B6" s="13">
        <v>193911</v>
      </c>
    </row>
    <row r="7" spans="1:2">
      <c r="A7" s="16" t="s">
        <v>3253</v>
      </c>
      <c r="B7" s="13">
        <v>289692</v>
      </c>
    </row>
    <row r="8" spans="1:2">
      <c r="A8" s="16" t="s">
        <v>3358</v>
      </c>
      <c r="B8" s="13">
        <v>1072809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21"/>
  <sheetViews>
    <sheetView workbookViewId="0">
      <pane ySplit="1" topLeftCell="A2" activePane="bottomLeft" state="frozen"/>
      <selection pane="bottomLeft" activeCell="B706" sqref="B706"/>
    </sheetView>
  </sheetViews>
  <sheetFormatPr defaultRowHeight="14.4"/>
  <cols>
    <col min="1" max="1" width="21" customWidth="1"/>
    <col min="2" max="2" width="15" customWidth="1"/>
    <col min="3" max="4" width="12" customWidth="1"/>
    <col min="5" max="5" width="15.21875" customWidth="1"/>
  </cols>
  <sheetData>
    <row r="1" spans="1:5" ht="30" customHeight="1">
      <c r="A1" s="3" t="s">
        <v>1</v>
      </c>
      <c r="B1" s="3" t="s">
        <v>3246</v>
      </c>
      <c r="C1" s="3" t="s">
        <v>3247</v>
      </c>
      <c r="D1" s="3" t="s">
        <v>3248</v>
      </c>
      <c r="E1" s="3" t="s">
        <v>3249</v>
      </c>
    </row>
    <row r="2" spans="1:5">
      <c r="A2" s="2">
        <v>45658</v>
      </c>
      <c r="B2" t="s">
        <v>3250</v>
      </c>
      <c r="C2">
        <v>1689</v>
      </c>
      <c r="D2" t="s">
        <v>3251</v>
      </c>
      <c r="E2" t="s">
        <v>3252</v>
      </c>
    </row>
    <row r="3" spans="1:5">
      <c r="A3" s="2">
        <v>45658</v>
      </c>
      <c r="B3" t="s">
        <v>3253</v>
      </c>
      <c r="C3">
        <v>1433</v>
      </c>
      <c r="D3" t="s">
        <v>3251</v>
      </c>
      <c r="E3" t="s">
        <v>3254</v>
      </c>
    </row>
    <row r="4" spans="1:5">
      <c r="A4" s="2">
        <v>45658</v>
      </c>
      <c r="B4" t="s">
        <v>3255</v>
      </c>
      <c r="C4">
        <v>1224</v>
      </c>
      <c r="D4" t="s">
        <v>3256</v>
      </c>
      <c r="E4" t="s">
        <v>3252</v>
      </c>
    </row>
    <row r="5" spans="1:5">
      <c r="A5" s="2">
        <v>45658</v>
      </c>
      <c r="B5" t="s">
        <v>3257</v>
      </c>
      <c r="C5">
        <v>929</v>
      </c>
      <c r="D5" t="s">
        <v>3251</v>
      </c>
      <c r="E5" t="s">
        <v>3252</v>
      </c>
    </row>
    <row r="6" spans="1:5">
      <c r="A6" s="2">
        <v>45659</v>
      </c>
      <c r="B6" t="s">
        <v>3250</v>
      </c>
      <c r="C6">
        <v>1692</v>
      </c>
      <c r="D6" t="s">
        <v>3256</v>
      </c>
      <c r="E6" t="s">
        <v>3252</v>
      </c>
    </row>
    <row r="7" spans="1:5">
      <c r="A7" s="2">
        <v>45659</v>
      </c>
      <c r="B7" t="s">
        <v>3253</v>
      </c>
      <c r="C7">
        <v>1216</v>
      </c>
      <c r="D7" t="s">
        <v>3256</v>
      </c>
      <c r="E7" t="s">
        <v>3252</v>
      </c>
    </row>
    <row r="8" spans="1:5">
      <c r="A8" s="2">
        <v>45659</v>
      </c>
      <c r="B8" t="s">
        <v>3255</v>
      </c>
      <c r="C8">
        <v>1165</v>
      </c>
      <c r="D8" t="s">
        <v>3251</v>
      </c>
      <c r="E8" t="s">
        <v>3252</v>
      </c>
    </row>
    <row r="9" spans="1:5">
      <c r="A9" s="2">
        <v>45659</v>
      </c>
      <c r="B9" t="s">
        <v>3257</v>
      </c>
      <c r="C9">
        <v>870</v>
      </c>
      <c r="D9" t="s">
        <v>3251</v>
      </c>
      <c r="E9" t="s">
        <v>3252</v>
      </c>
    </row>
    <row r="10" spans="1:5">
      <c r="A10" s="2">
        <v>45660</v>
      </c>
      <c r="B10" t="s">
        <v>3250</v>
      </c>
      <c r="C10">
        <v>1490</v>
      </c>
      <c r="D10" t="s">
        <v>3251</v>
      </c>
      <c r="E10" t="s">
        <v>3254</v>
      </c>
    </row>
    <row r="11" spans="1:5">
      <c r="A11" s="2">
        <v>45660</v>
      </c>
      <c r="B11" t="s">
        <v>3253</v>
      </c>
      <c r="C11">
        <v>1376</v>
      </c>
      <c r="D11" t="s">
        <v>3251</v>
      </c>
      <c r="E11" t="s">
        <v>3252</v>
      </c>
    </row>
    <row r="12" spans="1:5">
      <c r="A12" s="2">
        <v>45660</v>
      </c>
      <c r="B12" t="s">
        <v>3255</v>
      </c>
      <c r="C12">
        <v>1119</v>
      </c>
      <c r="D12" t="s">
        <v>3256</v>
      </c>
      <c r="E12" t="s">
        <v>3252</v>
      </c>
    </row>
    <row r="13" spans="1:5">
      <c r="A13" s="2">
        <v>45660</v>
      </c>
      <c r="B13" t="s">
        <v>3257</v>
      </c>
      <c r="C13">
        <v>881</v>
      </c>
      <c r="D13" t="s">
        <v>3256</v>
      </c>
      <c r="E13" t="s">
        <v>3252</v>
      </c>
    </row>
    <row r="14" spans="1:5">
      <c r="A14" s="2">
        <v>45661</v>
      </c>
      <c r="B14" t="s">
        <v>3250</v>
      </c>
      <c r="C14">
        <v>2594</v>
      </c>
      <c r="D14" t="s">
        <v>3256</v>
      </c>
      <c r="E14" t="s">
        <v>3252</v>
      </c>
    </row>
    <row r="15" spans="1:5">
      <c r="A15" s="2">
        <v>45661</v>
      </c>
      <c r="B15" t="s">
        <v>3253</v>
      </c>
      <c r="C15">
        <v>2178</v>
      </c>
      <c r="D15" t="s">
        <v>3251</v>
      </c>
      <c r="E15" t="s">
        <v>3252</v>
      </c>
    </row>
    <row r="16" spans="1:5">
      <c r="A16" s="2">
        <v>45661</v>
      </c>
      <c r="B16" t="s">
        <v>3255</v>
      </c>
      <c r="C16">
        <v>1943</v>
      </c>
      <c r="D16" t="s">
        <v>3251</v>
      </c>
      <c r="E16" t="s">
        <v>3252</v>
      </c>
    </row>
    <row r="17" spans="1:5">
      <c r="A17" s="2">
        <v>45661</v>
      </c>
      <c r="B17" t="s">
        <v>3257</v>
      </c>
      <c r="C17">
        <v>1456</v>
      </c>
      <c r="D17" t="s">
        <v>3256</v>
      </c>
      <c r="E17" t="s">
        <v>3252</v>
      </c>
    </row>
    <row r="18" spans="1:5">
      <c r="A18" s="2">
        <v>45662</v>
      </c>
      <c r="B18" t="s">
        <v>3250</v>
      </c>
      <c r="C18">
        <v>2258</v>
      </c>
      <c r="D18" t="s">
        <v>3258</v>
      </c>
      <c r="E18" t="s">
        <v>3252</v>
      </c>
    </row>
    <row r="19" spans="1:5">
      <c r="A19" s="2">
        <v>45662</v>
      </c>
      <c r="B19" t="s">
        <v>3253</v>
      </c>
      <c r="C19">
        <v>1948</v>
      </c>
      <c r="D19" t="s">
        <v>3251</v>
      </c>
      <c r="E19" t="s">
        <v>3252</v>
      </c>
    </row>
    <row r="20" spans="1:5">
      <c r="A20" s="2">
        <v>45662</v>
      </c>
      <c r="B20" t="s">
        <v>3255</v>
      </c>
      <c r="C20">
        <v>1707</v>
      </c>
      <c r="D20" t="s">
        <v>3256</v>
      </c>
      <c r="E20" t="s">
        <v>3252</v>
      </c>
    </row>
    <row r="21" spans="1:5">
      <c r="A21" s="2">
        <v>45662</v>
      </c>
      <c r="B21" t="s">
        <v>3257</v>
      </c>
      <c r="C21">
        <v>1346</v>
      </c>
      <c r="D21" t="s">
        <v>3251</v>
      </c>
      <c r="E21" t="s">
        <v>3252</v>
      </c>
    </row>
    <row r="22" spans="1:5">
      <c r="A22" s="2">
        <v>45663</v>
      </c>
      <c r="B22" t="s">
        <v>3250</v>
      </c>
      <c r="C22">
        <v>1650</v>
      </c>
      <c r="D22" t="s">
        <v>3251</v>
      </c>
      <c r="E22" t="s">
        <v>3252</v>
      </c>
    </row>
    <row r="23" spans="1:5">
      <c r="A23" s="2">
        <v>45663</v>
      </c>
      <c r="B23" t="s">
        <v>3253</v>
      </c>
      <c r="C23">
        <v>1479</v>
      </c>
      <c r="D23" t="s">
        <v>3256</v>
      </c>
      <c r="E23" t="s">
        <v>3252</v>
      </c>
    </row>
    <row r="24" spans="1:5">
      <c r="A24" s="2">
        <v>45663</v>
      </c>
      <c r="B24" t="s">
        <v>3255</v>
      </c>
      <c r="C24">
        <v>1264</v>
      </c>
      <c r="D24" t="s">
        <v>3251</v>
      </c>
      <c r="E24" t="s">
        <v>3252</v>
      </c>
    </row>
    <row r="25" spans="1:5">
      <c r="A25" s="2">
        <v>45663</v>
      </c>
      <c r="B25" t="s">
        <v>3257</v>
      </c>
      <c r="C25">
        <v>1097</v>
      </c>
      <c r="D25" t="s">
        <v>3256</v>
      </c>
      <c r="E25" t="s">
        <v>3254</v>
      </c>
    </row>
    <row r="26" spans="1:5">
      <c r="A26" s="2">
        <v>45664</v>
      </c>
      <c r="B26" t="s">
        <v>3250</v>
      </c>
      <c r="C26">
        <v>1687</v>
      </c>
      <c r="D26" t="s">
        <v>3251</v>
      </c>
      <c r="E26" t="s">
        <v>3252</v>
      </c>
    </row>
    <row r="27" spans="1:5">
      <c r="A27" s="2">
        <v>45664</v>
      </c>
      <c r="B27" t="s">
        <v>3253</v>
      </c>
      <c r="C27">
        <v>1433</v>
      </c>
      <c r="D27" t="s">
        <v>3251</v>
      </c>
      <c r="E27" t="s">
        <v>3252</v>
      </c>
    </row>
    <row r="28" spans="1:5">
      <c r="A28" s="2">
        <v>45664</v>
      </c>
      <c r="B28" t="s">
        <v>3255</v>
      </c>
      <c r="C28">
        <v>1161</v>
      </c>
      <c r="D28" t="s">
        <v>3258</v>
      </c>
      <c r="E28" t="s">
        <v>3252</v>
      </c>
    </row>
    <row r="29" spans="1:5">
      <c r="A29" s="2">
        <v>45664</v>
      </c>
      <c r="B29" t="s">
        <v>3257</v>
      </c>
      <c r="C29">
        <v>874</v>
      </c>
      <c r="D29" t="s">
        <v>3251</v>
      </c>
      <c r="E29" t="s">
        <v>3254</v>
      </c>
    </row>
    <row r="30" spans="1:5">
      <c r="A30" s="2">
        <v>45665</v>
      </c>
      <c r="B30" t="s">
        <v>3250</v>
      </c>
      <c r="C30">
        <v>1258</v>
      </c>
      <c r="D30" t="s">
        <v>3256</v>
      </c>
      <c r="E30" t="s">
        <v>3254</v>
      </c>
    </row>
    <row r="31" spans="1:5">
      <c r="A31" s="2">
        <v>45665</v>
      </c>
      <c r="B31" t="s">
        <v>3253</v>
      </c>
      <c r="C31">
        <v>1230</v>
      </c>
      <c r="D31" t="s">
        <v>3251</v>
      </c>
      <c r="E31" t="s">
        <v>3252</v>
      </c>
    </row>
    <row r="32" spans="1:5">
      <c r="A32" s="2">
        <v>45665</v>
      </c>
      <c r="B32" t="s">
        <v>3255</v>
      </c>
      <c r="C32">
        <v>905</v>
      </c>
      <c r="D32" t="s">
        <v>3251</v>
      </c>
      <c r="E32" t="s">
        <v>3252</v>
      </c>
    </row>
    <row r="33" spans="1:5">
      <c r="A33" s="2">
        <v>45665</v>
      </c>
      <c r="B33" t="s">
        <v>3257</v>
      </c>
      <c r="C33">
        <v>715</v>
      </c>
      <c r="D33" t="s">
        <v>3251</v>
      </c>
      <c r="E33" t="s">
        <v>3252</v>
      </c>
    </row>
    <row r="34" spans="1:5">
      <c r="A34" s="2">
        <v>45666</v>
      </c>
      <c r="B34" t="s">
        <v>3250</v>
      </c>
      <c r="C34">
        <v>1687</v>
      </c>
      <c r="D34" t="s">
        <v>3258</v>
      </c>
      <c r="E34" t="s">
        <v>3254</v>
      </c>
    </row>
    <row r="35" spans="1:5">
      <c r="A35" s="2">
        <v>45666</v>
      </c>
      <c r="B35" t="s">
        <v>3253</v>
      </c>
      <c r="C35">
        <v>1282</v>
      </c>
      <c r="D35" t="s">
        <v>3251</v>
      </c>
      <c r="E35" t="s">
        <v>3252</v>
      </c>
    </row>
    <row r="36" spans="1:5">
      <c r="A36" s="2">
        <v>45666</v>
      </c>
      <c r="B36" t="s">
        <v>3255</v>
      </c>
      <c r="C36">
        <v>1148</v>
      </c>
      <c r="D36" t="s">
        <v>3256</v>
      </c>
      <c r="E36" t="s">
        <v>3252</v>
      </c>
    </row>
    <row r="37" spans="1:5">
      <c r="A37" s="2">
        <v>45666</v>
      </c>
      <c r="B37" t="s">
        <v>3257</v>
      </c>
      <c r="C37">
        <v>945</v>
      </c>
      <c r="D37" t="s">
        <v>3258</v>
      </c>
      <c r="E37" t="s">
        <v>3252</v>
      </c>
    </row>
    <row r="38" spans="1:5">
      <c r="A38" s="2">
        <v>45667</v>
      </c>
      <c r="B38" t="s">
        <v>3250</v>
      </c>
      <c r="C38">
        <v>1379</v>
      </c>
      <c r="D38" t="s">
        <v>3251</v>
      </c>
      <c r="E38" t="s">
        <v>3252</v>
      </c>
    </row>
    <row r="39" spans="1:5">
      <c r="A39" s="2">
        <v>45667</v>
      </c>
      <c r="B39" t="s">
        <v>3253</v>
      </c>
      <c r="C39">
        <v>1258</v>
      </c>
      <c r="D39" t="s">
        <v>3251</v>
      </c>
      <c r="E39" t="s">
        <v>3252</v>
      </c>
    </row>
    <row r="40" spans="1:5">
      <c r="A40" s="2">
        <v>45667</v>
      </c>
      <c r="B40" t="s">
        <v>3255</v>
      </c>
      <c r="C40">
        <v>1048</v>
      </c>
      <c r="D40" t="s">
        <v>3251</v>
      </c>
      <c r="E40" t="s">
        <v>3252</v>
      </c>
    </row>
    <row r="41" spans="1:5">
      <c r="A41" s="2">
        <v>45667</v>
      </c>
      <c r="B41" t="s">
        <v>3257</v>
      </c>
      <c r="C41">
        <v>778</v>
      </c>
      <c r="D41" t="s">
        <v>3251</v>
      </c>
      <c r="E41" t="s">
        <v>3254</v>
      </c>
    </row>
    <row r="42" spans="1:5">
      <c r="A42" s="2">
        <v>45668</v>
      </c>
      <c r="B42" t="s">
        <v>3250</v>
      </c>
      <c r="C42">
        <v>2307</v>
      </c>
      <c r="D42" t="s">
        <v>3258</v>
      </c>
      <c r="E42" t="s">
        <v>3252</v>
      </c>
    </row>
    <row r="43" spans="1:5">
      <c r="A43" s="2">
        <v>45668</v>
      </c>
      <c r="B43" t="s">
        <v>3253</v>
      </c>
      <c r="C43">
        <v>2096</v>
      </c>
      <c r="D43" t="s">
        <v>3258</v>
      </c>
      <c r="E43" t="s">
        <v>3252</v>
      </c>
    </row>
    <row r="44" spans="1:5">
      <c r="A44" s="2">
        <v>45668</v>
      </c>
      <c r="B44" t="s">
        <v>3255</v>
      </c>
      <c r="C44">
        <v>1887</v>
      </c>
      <c r="D44" t="s">
        <v>3256</v>
      </c>
      <c r="E44" t="s">
        <v>3252</v>
      </c>
    </row>
    <row r="45" spans="1:5">
      <c r="A45" s="2">
        <v>45668</v>
      </c>
      <c r="B45" t="s">
        <v>3257</v>
      </c>
      <c r="C45">
        <v>1463</v>
      </c>
      <c r="D45" t="s">
        <v>3251</v>
      </c>
      <c r="E45" t="s">
        <v>3252</v>
      </c>
    </row>
    <row r="46" spans="1:5">
      <c r="A46" s="2">
        <v>45669</v>
      </c>
      <c r="B46" t="s">
        <v>3250</v>
      </c>
      <c r="C46">
        <v>2589</v>
      </c>
      <c r="D46" t="s">
        <v>3251</v>
      </c>
      <c r="E46" t="s">
        <v>3254</v>
      </c>
    </row>
    <row r="47" spans="1:5">
      <c r="A47" s="2">
        <v>45669</v>
      </c>
      <c r="B47" t="s">
        <v>3253</v>
      </c>
      <c r="C47">
        <v>2527</v>
      </c>
      <c r="D47" t="s">
        <v>3251</v>
      </c>
      <c r="E47" t="s">
        <v>3252</v>
      </c>
    </row>
    <row r="48" spans="1:5">
      <c r="A48" s="2">
        <v>45669</v>
      </c>
      <c r="B48" t="s">
        <v>3255</v>
      </c>
      <c r="C48">
        <v>2127</v>
      </c>
      <c r="D48" t="s">
        <v>3256</v>
      </c>
      <c r="E48" t="s">
        <v>3252</v>
      </c>
    </row>
    <row r="49" spans="1:5">
      <c r="A49" s="2">
        <v>45669</v>
      </c>
      <c r="B49" t="s">
        <v>3257</v>
      </c>
      <c r="C49">
        <v>1482</v>
      </c>
      <c r="D49" t="s">
        <v>3256</v>
      </c>
      <c r="E49" t="s">
        <v>3252</v>
      </c>
    </row>
    <row r="50" spans="1:5">
      <c r="A50" s="2">
        <v>45670</v>
      </c>
      <c r="B50" t="s">
        <v>3250</v>
      </c>
      <c r="C50">
        <v>1617</v>
      </c>
      <c r="D50" t="s">
        <v>3251</v>
      </c>
      <c r="E50" t="s">
        <v>3252</v>
      </c>
    </row>
    <row r="51" spans="1:5">
      <c r="A51" s="2">
        <v>45670</v>
      </c>
      <c r="B51" t="s">
        <v>3253</v>
      </c>
      <c r="C51">
        <v>1382</v>
      </c>
      <c r="D51" t="s">
        <v>3256</v>
      </c>
      <c r="E51" t="s">
        <v>3254</v>
      </c>
    </row>
    <row r="52" spans="1:5">
      <c r="A52" s="2">
        <v>45670</v>
      </c>
      <c r="B52" t="s">
        <v>3255</v>
      </c>
      <c r="C52">
        <v>1169</v>
      </c>
      <c r="D52" t="s">
        <v>3256</v>
      </c>
      <c r="E52" t="s">
        <v>3252</v>
      </c>
    </row>
    <row r="53" spans="1:5">
      <c r="A53" s="2">
        <v>45670</v>
      </c>
      <c r="B53" t="s">
        <v>3257</v>
      </c>
      <c r="C53">
        <v>877</v>
      </c>
      <c r="D53" t="s">
        <v>3256</v>
      </c>
      <c r="E53" t="s">
        <v>3252</v>
      </c>
    </row>
    <row r="54" spans="1:5">
      <c r="A54" s="2">
        <v>45671</v>
      </c>
      <c r="B54" t="s">
        <v>3250</v>
      </c>
      <c r="C54">
        <v>1357</v>
      </c>
      <c r="D54" t="s">
        <v>3251</v>
      </c>
      <c r="E54" t="s">
        <v>3252</v>
      </c>
    </row>
    <row r="55" spans="1:5">
      <c r="A55" s="2">
        <v>45671</v>
      </c>
      <c r="B55" t="s">
        <v>3253</v>
      </c>
      <c r="C55">
        <v>1116</v>
      </c>
      <c r="D55" t="s">
        <v>3251</v>
      </c>
      <c r="E55" t="s">
        <v>3252</v>
      </c>
    </row>
    <row r="56" spans="1:5">
      <c r="A56" s="2">
        <v>45671</v>
      </c>
      <c r="B56" t="s">
        <v>3255</v>
      </c>
      <c r="C56">
        <v>1000</v>
      </c>
      <c r="D56" t="s">
        <v>3258</v>
      </c>
      <c r="E56" t="s">
        <v>3252</v>
      </c>
    </row>
    <row r="57" spans="1:5">
      <c r="A57" s="2">
        <v>45671</v>
      </c>
      <c r="B57" t="s">
        <v>3257</v>
      </c>
      <c r="C57">
        <v>736</v>
      </c>
      <c r="D57" t="s">
        <v>3251</v>
      </c>
      <c r="E57" t="s">
        <v>3252</v>
      </c>
    </row>
    <row r="58" spans="1:5">
      <c r="A58" s="2">
        <v>45672</v>
      </c>
      <c r="B58" t="s">
        <v>3250</v>
      </c>
      <c r="C58">
        <v>1578</v>
      </c>
      <c r="D58" t="s">
        <v>3251</v>
      </c>
      <c r="E58" t="s">
        <v>3252</v>
      </c>
    </row>
    <row r="59" spans="1:5">
      <c r="A59" s="2">
        <v>45672</v>
      </c>
      <c r="B59" t="s">
        <v>3253</v>
      </c>
      <c r="C59">
        <v>1584</v>
      </c>
      <c r="D59" t="s">
        <v>3251</v>
      </c>
      <c r="E59" t="s">
        <v>3252</v>
      </c>
    </row>
    <row r="60" spans="1:5">
      <c r="A60" s="2">
        <v>45672</v>
      </c>
      <c r="B60" t="s">
        <v>3255</v>
      </c>
      <c r="C60">
        <v>1181</v>
      </c>
      <c r="D60" t="s">
        <v>3251</v>
      </c>
      <c r="E60" t="s">
        <v>3252</v>
      </c>
    </row>
    <row r="61" spans="1:5">
      <c r="A61" s="2">
        <v>45672</v>
      </c>
      <c r="B61" t="s">
        <v>3257</v>
      </c>
      <c r="C61">
        <v>953</v>
      </c>
      <c r="D61" t="s">
        <v>3251</v>
      </c>
      <c r="E61" t="s">
        <v>3252</v>
      </c>
    </row>
    <row r="62" spans="1:5">
      <c r="A62" s="2">
        <v>45673</v>
      </c>
      <c r="B62" t="s">
        <v>3250</v>
      </c>
      <c r="C62">
        <v>1335</v>
      </c>
      <c r="D62" t="s">
        <v>3251</v>
      </c>
      <c r="E62" t="s">
        <v>3252</v>
      </c>
    </row>
    <row r="63" spans="1:5">
      <c r="A63" s="2">
        <v>45673</v>
      </c>
      <c r="B63" t="s">
        <v>3253</v>
      </c>
      <c r="C63">
        <v>1228</v>
      </c>
      <c r="D63" t="s">
        <v>3251</v>
      </c>
      <c r="E63" t="s">
        <v>3252</v>
      </c>
    </row>
    <row r="64" spans="1:5">
      <c r="A64" s="2">
        <v>45673</v>
      </c>
      <c r="B64" t="s">
        <v>3255</v>
      </c>
      <c r="C64">
        <v>1069</v>
      </c>
      <c r="D64" t="s">
        <v>3256</v>
      </c>
      <c r="E64" t="s">
        <v>3252</v>
      </c>
    </row>
    <row r="65" spans="1:5">
      <c r="A65" s="2">
        <v>45673</v>
      </c>
      <c r="B65" t="s">
        <v>3257</v>
      </c>
      <c r="C65">
        <v>930</v>
      </c>
      <c r="D65" t="s">
        <v>3251</v>
      </c>
      <c r="E65" t="s">
        <v>3252</v>
      </c>
    </row>
    <row r="66" spans="1:5">
      <c r="A66" s="2">
        <v>45674</v>
      </c>
      <c r="B66" t="s">
        <v>3250</v>
      </c>
      <c r="C66">
        <v>2306</v>
      </c>
      <c r="D66" t="s">
        <v>3251</v>
      </c>
      <c r="E66" t="s">
        <v>3252</v>
      </c>
    </row>
    <row r="67" spans="1:5">
      <c r="A67" s="2">
        <v>45674</v>
      </c>
      <c r="B67" t="s">
        <v>3253</v>
      </c>
      <c r="C67">
        <v>1728</v>
      </c>
      <c r="D67" t="s">
        <v>3256</v>
      </c>
      <c r="E67" t="s">
        <v>3252</v>
      </c>
    </row>
    <row r="68" spans="1:5">
      <c r="A68" s="2">
        <v>45674</v>
      </c>
      <c r="B68" t="s">
        <v>3255</v>
      </c>
      <c r="C68">
        <v>1429</v>
      </c>
      <c r="D68" t="s">
        <v>3258</v>
      </c>
      <c r="E68" t="s">
        <v>3252</v>
      </c>
    </row>
    <row r="69" spans="1:5">
      <c r="A69" s="2">
        <v>45674</v>
      </c>
      <c r="B69" t="s">
        <v>3257</v>
      </c>
      <c r="C69">
        <v>1111</v>
      </c>
      <c r="D69" t="s">
        <v>3251</v>
      </c>
      <c r="E69" t="s">
        <v>3254</v>
      </c>
    </row>
    <row r="70" spans="1:5">
      <c r="A70" s="2">
        <v>45675</v>
      </c>
      <c r="B70" t="s">
        <v>3250</v>
      </c>
      <c r="C70">
        <v>2634</v>
      </c>
      <c r="D70" t="s">
        <v>3251</v>
      </c>
      <c r="E70" t="s">
        <v>3254</v>
      </c>
    </row>
    <row r="71" spans="1:5">
      <c r="A71" s="2">
        <v>45675</v>
      </c>
      <c r="B71" t="s">
        <v>3253</v>
      </c>
      <c r="C71">
        <v>2306</v>
      </c>
      <c r="D71" t="s">
        <v>3256</v>
      </c>
      <c r="E71" t="s">
        <v>3252</v>
      </c>
    </row>
    <row r="72" spans="1:5">
      <c r="A72" s="2">
        <v>45675</v>
      </c>
      <c r="B72" t="s">
        <v>3255</v>
      </c>
      <c r="C72">
        <v>1953</v>
      </c>
      <c r="D72" t="s">
        <v>3251</v>
      </c>
      <c r="E72" t="s">
        <v>3252</v>
      </c>
    </row>
    <row r="73" spans="1:5">
      <c r="A73" s="2">
        <v>45675</v>
      </c>
      <c r="B73" t="s">
        <v>3257</v>
      </c>
      <c r="C73">
        <v>1447</v>
      </c>
      <c r="D73" t="s">
        <v>3251</v>
      </c>
      <c r="E73" t="s">
        <v>3252</v>
      </c>
    </row>
    <row r="74" spans="1:5">
      <c r="A74" s="2">
        <v>45676</v>
      </c>
      <c r="B74" t="s">
        <v>3250</v>
      </c>
      <c r="C74">
        <v>3651</v>
      </c>
      <c r="D74" t="s">
        <v>3251</v>
      </c>
      <c r="E74" t="s">
        <v>3252</v>
      </c>
    </row>
    <row r="75" spans="1:5">
      <c r="A75" s="2">
        <v>45676</v>
      </c>
      <c r="B75" t="s">
        <v>3253</v>
      </c>
      <c r="C75">
        <v>2682</v>
      </c>
      <c r="D75" t="s">
        <v>3251</v>
      </c>
      <c r="E75" t="s">
        <v>3252</v>
      </c>
    </row>
    <row r="76" spans="1:5">
      <c r="A76" s="2">
        <v>45676</v>
      </c>
      <c r="B76" t="s">
        <v>3255</v>
      </c>
      <c r="C76">
        <v>2243</v>
      </c>
      <c r="D76" t="s">
        <v>3256</v>
      </c>
      <c r="E76" t="s">
        <v>3254</v>
      </c>
    </row>
    <row r="77" spans="1:5">
      <c r="A77" s="2">
        <v>45676</v>
      </c>
      <c r="B77" t="s">
        <v>3257</v>
      </c>
      <c r="C77">
        <v>1903</v>
      </c>
      <c r="D77" t="s">
        <v>3251</v>
      </c>
      <c r="E77" t="s">
        <v>3252</v>
      </c>
    </row>
    <row r="78" spans="1:5">
      <c r="A78" s="2">
        <v>45677</v>
      </c>
      <c r="B78" t="s">
        <v>3250</v>
      </c>
      <c r="C78">
        <v>1630</v>
      </c>
      <c r="D78" t="s">
        <v>3256</v>
      </c>
      <c r="E78" t="s">
        <v>3252</v>
      </c>
    </row>
    <row r="79" spans="1:5">
      <c r="A79" s="2">
        <v>45677</v>
      </c>
      <c r="B79" t="s">
        <v>3253</v>
      </c>
      <c r="C79">
        <v>1460</v>
      </c>
      <c r="D79" t="s">
        <v>3256</v>
      </c>
      <c r="E79" t="s">
        <v>3254</v>
      </c>
    </row>
    <row r="80" spans="1:5">
      <c r="A80" s="2">
        <v>45677</v>
      </c>
      <c r="B80" t="s">
        <v>3255</v>
      </c>
      <c r="C80">
        <v>1225</v>
      </c>
      <c r="D80" t="s">
        <v>3251</v>
      </c>
      <c r="E80" t="s">
        <v>3252</v>
      </c>
    </row>
    <row r="81" spans="1:5">
      <c r="A81" s="2">
        <v>45677</v>
      </c>
      <c r="B81" t="s">
        <v>3257</v>
      </c>
      <c r="C81">
        <v>846</v>
      </c>
      <c r="D81" t="s">
        <v>3251</v>
      </c>
      <c r="E81" t="s">
        <v>3252</v>
      </c>
    </row>
    <row r="82" spans="1:5">
      <c r="A82" s="2">
        <v>45678</v>
      </c>
      <c r="B82" t="s">
        <v>3250</v>
      </c>
      <c r="C82">
        <v>1661</v>
      </c>
      <c r="D82" t="s">
        <v>3251</v>
      </c>
      <c r="E82" t="s">
        <v>3252</v>
      </c>
    </row>
    <row r="83" spans="1:5">
      <c r="A83" s="2">
        <v>45678</v>
      </c>
      <c r="B83" t="s">
        <v>3253</v>
      </c>
      <c r="C83">
        <v>1552</v>
      </c>
      <c r="D83" t="s">
        <v>3251</v>
      </c>
      <c r="E83" t="s">
        <v>3252</v>
      </c>
    </row>
    <row r="84" spans="1:5">
      <c r="A84" s="2">
        <v>45678</v>
      </c>
      <c r="B84" t="s">
        <v>3255</v>
      </c>
      <c r="C84">
        <v>1197</v>
      </c>
      <c r="D84" t="s">
        <v>3251</v>
      </c>
      <c r="E84" t="s">
        <v>3252</v>
      </c>
    </row>
    <row r="85" spans="1:5">
      <c r="A85" s="2">
        <v>45678</v>
      </c>
      <c r="B85" t="s">
        <v>3257</v>
      </c>
      <c r="C85">
        <v>936</v>
      </c>
      <c r="D85" t="s">
        <v>3258</v>
      </c>
      <c r="E85" t="s">
        <v>3252</v>
      </c>
    </row>
    <row r="86" spans="1:5">
      <c r="A86" s="2">
        <v>45679</v>
      </c>
      <c r="B86" t="s">
        <v>3250</v>
      </c>
      <c r="C86">
        <v>2109</v>
      </c>
      <c r="D86" t="s">
        <v>3251</v>
      </c>
      <c r="E86" t="s">
        <v>3252</v>
      </c>
    </row>
    <row r="87" spans="1:5">
      <c r="A87" s="2">
        <v>45679</v>
      </c>
      <c r="B87" t="s">
        <v>3253</v>
      </c>
      <c r="C87">
        <v>1717</v>
      </c>
      <c r="D87" t="s">
        <v>3256</v>
      </c>
      <c r="E87" t="s">
        <v>3252</v>
      </c>
    </row>
    <row r="88" spans="1:5">
      <c r="A88" s="2">
        <v>45679</v>
      </c>
      <c r="B88" t="s">
        <v>3255</v>
      </c>
      <c r="C88">
        <v>1436</v>
      </c>
      <c r="D88" t="s">
        <v>3251</v>
      </c>
      <c r="E88" t="s">
        <v>3252</v>
      </c>
    </row>
    <row r="89" spans="1:5">
      <c r="A89" s="2">
        <v>45679</v>
      </c>
      <c r="B89" t="s">
        <v>3257</v>
      </c>
      <c r="C89">
        <v>1054</v>
      </c>
      <c r="D89" t="s">
        <v>3256</v>
      </c>
      <c r="E89" t="s">
        <v>3252</v>
      </c>
    </row>
    <row r="90" spans="1:5">
      <c r="A90" s="2">
        <v>45680</v>
      </c>
      <c r="B90" t="s">
        <v>3250</v>
      </c>
      <c r="C90">
        <v>1742</v>
      </c>
      <c r="D90" t="s">
        <v>3251</v>
      </c>
      <c r="E90" t="s">
        <v>3252</v>
      </c>
    </row>
    <row r="91" spans="1:5">
      <c r="A91" s="2">
        <v>45680</v>
      </c>
      <c r="B91" t="s">
        <v>3253</v>
      </c>
      <c r="C91">
        <v>1439</v>
      </c>
      <c r="D91" t="s">
        <v>3258</v>
      </c>
      <c r="E91" t="s">
        <v>3254</v>
      </c>
    </row>
    <row r="92" spans="1:5">
      <c r="A92" s="2">
        <v>45680</v>
      </c>
      <c r="B92" t="s">
        <v>3255</v>
      </c>
      <c r="C92">
        <v>1114</v>
      </c>
      <c r="D92" t="s">
        <v>3256</v>
      </c>
      <c r="E92" t="s">
        <v>3252</v>
      </c>
    </row>
    <row r="93" spans="1:5">
      <c r="A93" s="2">
        <v>45680</v>
      </c>
      <c r="B93" t="s">
        <v>3257</v>
      </c>
      <c r="C93">
        <v>955</v>
      </c>
      <c r="D93" t="s">
        <v>3256</v>
      </c>
      <c r="E93" t="s">
        <v>3252</v>
      </c>
    </row>
    <row r="94" spans="1:5">
      <c r="A94" s="2">
        <v>45681</v>
      </c>
      <c r="B94" t="s">
        <v>3250</v>
      </c>
      <c r="C94">
        <v>1539</v>
      </c>
      <c r="D94" t="s">
        <v>3251</v>
      </c>
      <c r="E94" t="s">
        <v>3252</v>
      </c>
    </row>
    <row r="95" spans="1:5">
      <c r="A95" s="2">
        <v>45681</v>
      </c>
      <c r="B95" t="s">
        <v>3253</v>
      </c>
      <c r="C95">
        <v>1337</v>
      </c>
      <c r="D95" t="s">
        <v>3251</v>
      </c>
      <c r="E95" t="s">
        <v>3252</v>
      </c>
    </row>
    <row r="96" spans="1:5">
      <c r="A96" s="2">
        <v>45681</v>
      </c>
      <c r="B96" t="s">
        <v>3255</v>
      </c>
      <c r="C96">
        <v>1042</v>
      </c>
      <c r="D96" t="s">
        <v>3251</v>
      </c>
      <c r="E96" t="s">
        <v>3252</v>
      </c>
    </row>
    <row r="97" spans="1:5">
      <c r="A97" s="2">
        <v>45681</v>
      </c>
      <c r="B97" t="s">
        <v>3257</v>
      </c>
      <c r="C97">
        <v>940</v>
      </c>
      <c r="D97" t="s">
        <v>3251</v>
      </c>
      <c r="E97" t="s">
        <v>3252</v>
      </c>
    </row>
    <row r="98" spans="1:5">
      <c r="A98" s="2">
        <v>45682</v>
      </c>
      <c r="B98" t="s">
        <v>3250</v>
      </c>
      <c r="C98">
        <v>2673</v>
      </c>
      <c r="D98" t="s">
        <v>3251</v>
      </c>
      <c r="E98" t="s">
        <v>3254</v>
      </c>
    </row>
    <row r="99" spans="1:5">
      <c r="A99" s="2">
        <v>45682</v>
      </c>
      <c r="B99" t="s">
        <v>3253</v>
      </c>
      <c r="C99">
        <v>2231</v>
      </c>
      <c r="D99" t="s">
        <v>3251</v>
      </c>
      <c r="E99" t="s">
        <v>3252</v>
      </c>
    </row>
    <row r="100" spans="1:5">
      <c r="A100" s="2">
        <v>45682</v>
      </c>
      <c r="B100" t="s">
        <v>3255</v>
      </c>
      <c r="C100">
        <v>1942</v>
      </c>
      <c r="D100" t="s">
        <v>3251</v>
      </c>
      <c r="E100" t="s">
        <v>3252</v>
      </c>
    </row>
    <row r="101" spans="1:5">
      <c r="A101" s="2">
        <v>45682</v>
      </c>
      <c r="B101" t="s">
        <v>3257</v>
      </c>
      <c r="C101">
        <v>1477</v>
      </c>
      <c r="D101" t="s">
        <v>3251</v>
      </c>
      <c r="E101" t="s">
        <v>3252</v>
      </c>
    </row>
    <row r="102" spans="1:5">
      <c r="A102" s="2">
        <v>45683</v>
      </c>
      <c r="B102" t="s">
        <v>3250</v>
      </c>
      <c r="C102">
        <v>2668</v>
      </c>
      <c r="D102" t="s">
        <v>3251</v>
      </c>
      <c r="E102" t="s">
        <v>3252</v>
      </c>
    </row>
    <row r="103" spans="1:5">
      <c r="A103" s="2">
        <v>45683</v>
      </c>
      <c r="B103" t="s">
        <v>3253</v>
      </c>
      <c r="C103">
        <v>2148</v>
      </c>
      <c r="D103" t="s">
        <v>3251</v>
      </c>
      <c r="E103" t="s">
        <v>3252</v>
      </c>
    </row>
    <row r="104" spans="1:5">
      <c r="A104" s="2">
        <v>45683</v>
      </c>
      <c r="B104" t="s">
        <v>3255</v>
      </c>
      <c r="C104">
        <v>1861</v>
      </c>
      <c r="D104" t="s">
        <v>3258</v>
      </c>
      <c r="E104" t="s">
        <v>3252</v>
      </c>
    </row>
    <row r="105" spans="1:5">
      <c r="A105" s="2">
        <v>45683</v>
      </c>
      <c r="B105" t="s">
        <v>3257</v>
      </c>
      <c r="C105">
        <v>1576</v>
      </c>
      <c r="D105" t="s">
        <v>3251</v>
      </c>
      <c r="E105" t="s">
        <v>3252</v>
      </c>
    </row>
    <row r="106" spans="1:5">
      <c r="A106" s="2">
        <v>45684</v>
      </c>
      <c r="B106" t="s">
        <v>3250</v>
      </c>
      <c r="C106">
        <v>1886</v>
      </c>
      <c r="D106" t="s">
        <v>3251</v>
      </c>
      <c r="E106" t="s">
        <v>3252</v>
      </c>
    </row>
    <row r="107" spans="1:5">
      <c r="A107" s="2">
        <v>45684</v>
      </c>
      <c r="B107" t="s">
        <v>3253</v>
      </c>
      <c r="C107">
        <v>1511</v>
      </c>
      <c r="D107" t="s">
        <v>3251</v>
      </c>
      <c r="E107" t="s">
        <v>3252</v>
      </c>
    </row>
    <row r="108" spans="1:5">
      <c r="A108" s="2">
        <v>45684</v>
      </c>
      <c r="B108" t="s">
        <v>3255</v>
      </c>
      <c r="C108">
        <v>1271</v>
      </c>
      <c r="D108" t="s">
        <v>3251</v>
      </c>
      <c r="E108" t="s">
        <v>3252</v>
      </c>
    </row>
    <row r="109" spans="1:5">
      <c r="A109" s="2">
        <v>45684</v>
      </c>
      <c r="B109" t="s">
        <v>3257</v>
      </c>
      <c r="C109">
        <v>936</v>
      </c>
      <c r="D109" t="s">
        <v>3251</v>
      </c>
      <c r="E109" t="s">
        <v>3252</v>
      </c>
    </row>
    <row r="110" spans="1:5">
      <c r="A110" s="2">
        <v>45685</v>
      </c>
      <c r="B110" t="s">
        <v>3250</v>
      </c>
      <c r="C110">
        <v>1498</v>
      </c>
      <c r="D110" t="s">
        <v>3258</v>
      </c>
      <c r="E110" t="s">
        <v>3252</v>
      </c>
    </row>
    <row r="111" spans="1:5">
      <c r="A111" s="2">
        <v>45685</v>
      </c>
      <c r="B111" t="s">
        <v>3253</v>
      </c>
      <c r="C111">
        <v>1150</v>
      </c>
      <c r="D111" t="s">
        <v>3258</v>
      </c>
      <c r="E111" t="s">
        <v>3252</v>
      </c>
    </row>
    <row r="112" spans="1:5">
      <c r="A112" s="2">
        <v>45685</v>
      </c>
      <c r="B112" t="s">
        <v>3255</v>
      </c>
      <c r="C112">
        <v>1029</v>
      </c>
      <c r="D112" t="s">
        <v>3256</v>
      </c>
      <c r="E112" t="s">
        <v>3254</v>
      </c>
    </row>
    <row r="113" spans="1:5">
      <c r="A113" s="2">
        <v>45685</v>
      </c>
      <c r="B113" t="s">
        <v>3257</v>
      </c>
      <c r="C113">
        <v>830</v>
      </c>
      <c r="D113" t="s">
        <v>3251</v>
      </c>
      <c r="E113" t="s">
        <v>3252</v>
      </c>
    </row>
    <row r="114" spans="1:5">
      <c r="A114" s="2">
        <v>45686</v>
      </c>
      <c r="B114" t="s">
        <v>3250</v>
      </c>
      <c r="C114">
        <v>1680</v>
      </c>
      <c r="D114" t="s">
        <v>3251</v>
      </c>
      <c r="E114" t="s">
        <v>3252</v>
      </c>
    </row>
    <row r="115" spans="1:5">
      <c r="A115" s="2">
        <v>45686</v>
      </c>
      <c r="B115" t="s">
        <v>3253</v>
      </c>
      <c r="C115">
        <v>1530</v>
      </c>
      <c r="D115" t="s">
        <v>3258</v>
      </c>
      <c r="E115" t="s">
        <v>3252</v>
      </c>
    </row>
    <row r="116" spans="1:5">
      <c r="A116" s="2">
        <v>45686</v>
      </c>
      <c r="B116" t="s">
        <v>3255</v>
      </c>
      <c r="C116">
        <v>1235</v>
      </c>
      <c r="D116" t="s">
        <v>3251</v>
      </c>
      <c r="E116" t="s">
        <v>3254</v>
      </c>
    </row>
    <row r="117" spans="1:5">
      <c r="A117" s="2">
        <v>45686</v>
      </c>
      <c r="B117" t="s">
        <v>3257</v>
      </c>
      <c r="C117">
        <v>882</v>
      </c>
      <c r="D117" t="s">
        <v>3256</v>
      </c>
      <c r="E117" t="s">
        <v>3252</v>
      </c>
    </row>
    <row r="118" spans="1:5">
      <c r="A118" s="2">
        <v>45687</v>
      </c>
      <c r="B118" t="s">
        <v>3250</v>
      </c>
      <c r="C118">
        <v>1107</v>
      </c>
      <c r="D118" t="s">
        <v>3256</v>
      </c>
      <c r="E118" t="s">
        <v>3252</v>
      </c>
    </row>
    <row r="119" spans="1:5">
      <c r="A119" s="2">
        <v>45687</v>
      </c>
      <c r="B119" t="s">
        <v>3253</v>
      </c>
      <c r="C119">
        <v>976</v>
      </c>
      <c r="D119" t="s">
        <v>3256</v>
      </c>
      <c r="E119" t="s">
        <v>3252</v>
      </c>
    </row>
    <row r="120" spans="1:5">
      <c r="A120" s="2">
        <v>45687</v>
      </c>
      <c r="B120" t="s">
        <v>3255</v>
      </c>
      <c r="C120">
        <v>821</v>
      </c>
      <c r="D120" t="s">
        <v>3251</v>
      </c>
      <c r="E120" t="s">
        <v>3252</v>
      </c>
    </row>
    <row r="121" spans="1:5">
      <c r="A121" s="2">
        <v>45687</v>
      </c>
      <c r="B121" t="s">
        <v>3257</v>
      </c>
      <c r="C121">
        <v>688</v>
      </c>
      <c r="D121" t="s">
        <v>3256</v>
      </c>
      <c r="E121" t="s">
        <v>3252</v>
      </c>
    </row>
    <row r="122" spans="1:5">
      <c r="A122" s="2">
        <v>45688</v>
      </c>
      <c r="B122" t="s">
        <v>3250</v>
      </c>
      <c r="C122">
        <v>1396</v>
      </c>
      <c r="D122" t="s">
        <v>3251</v>
      </c>
      <c r="E122" t="s">
        <v>3252</v>
      </c>
    </row>
    <row r="123" spans="1:5">
      <c r="A123" s="2">
        <v>45688</v>
      </c>
      <c r="B123" t="s">
        <v>3253</v>
      </c>
      <c r="C123">
        <v>1323</v>
      </c>
      <c r="D123" t="s">
        <v>3258</v>
      </c>
      <c r="E123" t="s">
        <v>3252</v>
      </c>
    </row>
    <row r="124" spans="1:5">
      <c r="A124" s="2">
        <v>45688</v>
      </c>
      <c r="B124" t="s">
        <v>3255</v>
      </c>
      <c r="C124">
        <v>1105</v>
      </c>
      <c r="D124" t="s">
        <v>3251</v>
      </c>
      <c r="E124" t="s">
        <v>3254</v>
      </c>
    </row>
    <row r="125" spans="1:5">
      <c r="A125" s="2">
        <v>45688</v>
      </c>
      <c r="B125" t="s">
        <v>3257</v>
      </c>
      <c r="C125">
        <v>842</v>
      </c>
      <c r="D125" t="s">
        <v>3256</v>
      </c>
      <c r="E125" t="s">
        <v>3252</v>
      </c>
    </row>
    <row r="126" spans="1:5">
      <c r="A126" s="2">
        <v>45689</v>
      </c>
      <c r="B126" t="s">
        <v>3250</v>
      </c>
      <c r="C126">
        <v>2524</v>
      </c>
      <c r="D126" t="s">
        <v>3258</v>
      </c>
      <c r="E126" t="s">
        <v>3252</v>
      </c>
    </row>
    <row r="127" spans="1:5">
      <c r="A127" s="2">
        <v>45689</v>
      </c>
      <c r="B127" t="s">
        <v>3253</v>
      </c>
      <c r="C127">
        <v>2117</v>
      </c>
      <c r="D127" t="s">
        <v>3256</v>
      </c>
      <c r="E127" t="s">
        <v>3252</v>
      </c>
    </row>
    <row r="128" spans="1:5">
      <c r="A128" s="2">
        <v>45689</v>
      </c>
      <c r="B128" t="s">
        <v>3255</v>
      </c>
      <c r="C128">
        <v>1846</v>
      </c>
      <c r="D128" t="s">
        <v>3251</v>
      </c>
      <c r="E128" t="s">
        <v>3252</v>
      </c>
    </row>
    <row r="129" spans="1:5">
      <c r="A129" s="2">
        <v>45689</v>
      </c>
      <c r="B129" t="s">
        <v>3257</v>
      </c>
      <c r="C129">
        <v>1485</v>
      </c>
      <c r="D129" t="s">
        <v>3258</v>
      </c>
      <c r="E129" t="s">
        <v>3252</v>
      </c>
    </row>
    <row r="130" spans="1:5">
      <c r="A130" s="2">
        <v>45690</v>
      </c>
      <c r="B130" t="s">
        <v>3250</v>
      </c>
      <c r="C130">
        <v>2453</v>
      </c>
      <c r="D130" t="s">
        <v>3256</v>
      </c>
      <c r="E130" t="s">
        <v>3252</v>
      </c>
    </row>
    <row r="131" spans="1:5">
      <c r="A131" s="2">
        <v>45690</v>
      </c>
      <c r="B131" t="s">
        <v>3253</v>
      </c>
      <c r="C131">
        <v>2197</v>
      </c>
      <c r="D131" t="s">
        <v>3258</v>
      </c>
      <c r="E131" t="s">
        <v>3252</v>
      </c>
    </row>
    <row r="132" spans="1:5">
      <c r="A132" s="2">
        <v>45690</v>
      </c>
      <c r="B132" t="s">
        <v>3255</v>
      </c>
      <c r="C132">
        <v>1940</v>
      </c>
      <c r="D132" t="s">
        <v>3251</v>
      </c>
      <c r="E132" t="s">
        <v>3252</v>
      </c>
    </row>
    <row r="133" spans="1:5">
      <c r="A133" s="2">
        <v>45690</v>
      </c>
      <c r="B133" t="s">
        <v>3257</v>
      </c>
      <c r="C133">
        <v>1515</v>
      </c>
      <c r="D133" t="s">
        <v>3251</v>
      </c>
      <c r="E133" t="s">
        <v>3252</v>
      </c>
    </row>
    <row r="134" spans="1:5">
      <c r="A134" s="2">
        <v>45691</v>
      </c>
      <c r="B134" t="s">
        <v>3250</v>
      </c>
      <c r="C134">
        <v>2071</v>
      </c>
      <c r="D134" t="s">
        <v>3251</v>
      </c>
      <c r="E134" t="s">
        <v>3252</v>
      </c>
    </row>
    <row r="135" spans="1:5">
      <c r="A135" s="2">
        <v>45691</v>
      </c>
      <c r="B135" t="s">
        <v>3253</v>
      </c>
      <c r="C135">
        <v>1835</v>
      </c>
      <c r="D135" t="s">
        <v>3251</v>
      </c>
      <c r="E135" t="s">
        <v>3252</v>
      </c>
    </row>
    <row r="136" spans="1:5">
      <c r="A136" s="2">
        <v>45691</v>
      </c>
      <c r="B136" t="s">
        <v>3255</v>
      </c>
      <c r="C136">
        <v>1508</v>
      </c>
      <c r="D136" t="s">
        <v>3256</v>
      </c>
      <c r="E136" t="s">
        <v>3252</v>
      </c>
    </row>
    <row r="137" spans="1:5">
      <c r="A137" s="2">
        <v>45691</v>
      </c>
      <c r="B137" t="s">
        <v>3257</v>
      </c>
      <c r="C137">
        <v>1179</v>
      </c>
      <c r="D137" t="s">
        <v>3251</v>
      </c>
      <c r="E137" t="s">
        <v>3252</v>
      </c>
    </row>
    <row r="138" spans="1:5">
      <c r="A138" s="2">
        <v>45692</v>
      </c>
      <c r="B138" t="s">
        <v>3250</v>
      </c>
      <c r="C138">
        <v>1166</v>
      </c>
      <c r="D138" t="s">
        <v>3251</v>
      </c>
      <c r="E138" t="s">
        <v>3252</v>
      </c>
    </row>
    <row r="139" spans="1:5">
      <c r="A139" s="2">
        <v>45692</v>
      </c>
      <c r="B139" t="s">
        <v>3253</v>
      </c>
      <c r="C139">
        <v>1072</v>
      </c>
      <c r="D139" t="s">
        <v>3251</v>
      </c>
      <c r="E139" t="s">
        <v>3252</v>
      </c>
    </row>
    <row r="140" spans="1:5">
      <c r="A140" s="2">
        <v>45692</v>
      </c>
      <c r="B140" t="s">
        <v>3255</v>
      </c>
      <c r="C140">
        <v>1025</v>
      </c>
      <c r="D140" t="s">
        <v>3251</v>
      </c>
      <c r="E140" t="s">
        <v>3252</v>
      </c>
    </row>
    <row r="141" spans="1:5">
      <c r="A141" s="2">
        <v>45692</v>
      </c>
      <c r="B141" t="s">
        <v>3257</v>
      </c>
      <c r="C141">
        <v>696</v>
      </c>
      <c r="D141" t="s">
        <v>3251</v>
      </c>
      <c r="E141" t="s">
        <v>3252</v>
      </c>
    </row>
    <row r="142" spans="1:5">
      <c r="A142" s="2">
        <v>45693</v>
      </c>
      <c r="B142" t="s">
        <v>3250</v>
      </c>
      <c r="C142">
        <v>1525</v>
      </c>
      <c r="D142" t="s">
        <v>3256</v>
      </c>
      <c r="E142" t="s">
        <v>3252</v>
      </c>
    </row>
    <row r="143" spans="1:5">
      <c r="A143" s="2">
        <v>45693</v>
      </c>
      <c r="B143" t="s">
        <v>3253</v>
      </c>
      <c r="C143">
        <v>1345</v>
      </c>
      <c r="D143" t="s">
        <v>3256</v>
      </c>
      <c r="E143" t="s">
        <v>3252</v>
      </c>
    </row>
    <row r="144" spans="1:5">
      <c r="A144" s="2">
        <v>45693</v>
      </c>
      <c r="B144" t="s">
        <v>3255</v>
      </c>
      <c r="C144">
        <v>1171</v>
      </c>
      <c r="D144" t="s">
        <v>3251</v>
      </c>
      <c r="E144" t="s">
        <v>3252</v>
      </c>
    </row>
    <row r="145" spans="1:5">
      <c r="A145" s="2">
        <v>45693</v>
      </c>
      <c r="B145" t="s">
        <v>3257</v>
      </c>
      <c r="C145">
        <v>870</v>
      </c>
      <c r="D145" t="s">
        <v>3251</v>
      </c>
      <c r="E145" t="s">
        <v>3252</v>
      </c>
    </row>
    <row r="146" spans="1:5">
      <c r="A146" s="2">
        <v>45694</v>
      </c>
      <c r="B146" t="s">
        <v>3250</v>
      </c>
      <c r="C146">
        <v>1798</v>
      </c>
      <c r="D146" t="s">
        <v>3256</v>
      </c>
      <c r="E146" t="s">
        <v>3252</v>
      </c>
    </row>
    <row r="147" spans="1:5">
      <c r="A147" s="2">
        <v>45694</v>
      </c>
      <c r="B147" t="s">
        <v>3253</v>
      </c>
      <c r="C147">
        <v>1457</v>
      </c>
      <c r="D147" t="s">
        <v>3251</v>
      </c>
      <c r="E147" t="s">
        <v>3252</v>
      </c>
    </row>
    <row r="148" spans="1:5">
      <c r="A148" s="2">
        <v>45694</v>
      </c>
      <c r="B148" t="s">
        <v>3255</v>
      </c>
      <c r="C148">
        <v>1196</v>
      </c>
      <c r="D148" t="s">
        <v>3256</v>
      </c>
      <c r="E148" t="s">
        <v>3252</v>
      </c>
    </row>
    <row r="149" spans="1:5">
      <c r="A149" s="2">
        <v>45694</v>
      </c>
      <c r="B149" t="s">
        <v>3257</v>
      </c>
      <c r="C149">
        <v>964</v>
      </c>
      <c r="D149" t="s">
        <v>3256</v>
      </c>
      <c r="E149" t="s">
        <v>3252</v>
      </c>
    </row>
    <row r="150" spans="1:5">
      <c r="A150" s="2">
        <v>45695</v>
      </c>
      <c r="B150" t="s">
        <v>3250</v>
      </c>
      <c r="C150">
        <v>1866</v>
      </c>
      <c r="D150" t="s">
        <v>3251</v>
      </c>
      <c r="E150" t="s">
        <v>3252</v>
      </c>
    </row>
    <row r="151" spans="1:5">
      <c r="A151" s="2">
        <v>45695</v>
      </c>
      <c r="B151" t="s">
        <v>3253</v>
      </c>
      <c r="C151">
        <v>1472</v>
      </c>
      <c r="D151" t="s">
        <v>3251</v>
      </c>
      <c r="E151" t="s">
        <v>3252</v>
      </c>
    </row>
    <row r="152" spans="1:5">
      <c r="A152" s="2">
        <v>45695</v>
      </c>
      <c r="B152" t="s">
        <v>3255</v>
      </c>
      <c r="C152">
        <v>1252</v>
      </c>
      <c r="D152" t="s">
        <v>3251</v>
      </c>
      <c r="E152" t="s">
        <v>3252</v>
      </c>
    </row>
    <row r="153" spans="1:5">
      <c r="A153" s="2">
        <v>45695</v>
      </c>
      <c r="B153" t="s">
        <v>3257</v>
      </c>
      <c r="C153">
        <v>904</v>
      </c>
      <c r="D153" t="s">
        <v>3251</v>
      </c>
      <c r="E153" t="s">
        <v>3252</v>
      </c>
    </row>
    <row r="154" spans="1:5">
      <c r="A154" s="2">
        <v>45696</v>
      </c>
      <c r="B154" t="s">
        <v>3250</v>
      </c>
      <c r="C154">
        <v>2133</v>
      </c>
      <c r="D154" t="s">
        <v>3251</v>
      </c>
      <c r="E154" t="s">
        <v>3252</v>
      </c>
    </row>
    <row r="155" spans="1:5">
      <c r="A155" s="2">
        <v>45696</v>
      </c>
      <c r="B155" t="s">
        <v>3253</v>
      </c>
      <c r="C155">
        <v>2032</v>
      </c>
      <c r="D155" t="s">
        <v>3251</v>
      </c>
      <c r="E155" t="s">
        <v>3252</v>
      </c>
    </row>
    <row r="156" spans="1:5">
      <c r="A156" s="2">
        <v>45696</v>
      </c>
      <c r="B156" t="s">
        <v>3255</v>
      </c>
      <c r="C156">
        <v>1532</v>
      </c>
      <c r="D156" t="s">
        <v>3251</v>
      </c>
      <c r="E156" t="s">
        <v>3252</v>
      </c>
    </row>
    <row r="157" spans="1:5">
      <c r="A157" s="2">
        <v>45696</v>
      </c>
      <c r="B157" t="s">
        <v>3257</v>
      </c>
      <c r="C157">
        <v>1261</v>
      </c>
      <c r="D157" t="s">
        <v>3258</v>
      </c>
      <c r="E157" t="s">
        <v>3252</v>
      </c>
    </row>
    <row r="158" spans="1:5">
      <c r="A158" s="2">
        <v>45697</v>
      </c>
      <c r="B158" t="s">
        <v>3250</v>
      </c>
      <c r="C158">
        <v>2731</v>
      </c>
      <c r="D158" t="s">
        <v>3256</v>
      </c>
      <c r="E158" t="s">
        <v>3252</v>
      </c>
    </row>
    <row r="159" spans="1:5">
      <c r="A159" s="2">
        <v>45697</v>
      </c>
      <c r="B159" t="s">
        <v>3253</v>
      </c>
      <c r="C159">
        <v>2186</v>
      </c>
      <c r="D159" t="s">
        <v>3251</v>
      </c>
      <c r="E159" t="s">
        <v>3252</v>
      </c>
    </row>
    <row r="160" spans="1:5">
      <c r="A160" s="2">
        <v>45697</v>
      </c>
      <c r="B160" t="s">
        <v>3255</v>
      </c>
      <c r="C160">
        <v>2029</v>
      </c>
      <c r="D160" t="s">
        <v>3251</v>
      </c>
      <c r="E160" t="s">
        <v>3252</v>
      </c>
    </row>
    <row r="161" spans="1:5">
      <c r="A161" s="2">
        <v>45697</v>
      </c>
      <c r="B161" t="s">
        <v>3257</v>
      </c>
      <c r="C161">
        <v>1643</v>
      </c>
      <c r="D161" t="s">
        <v>3251</v>
      </c>
      <c r="E161" t="s">
        <v>3252</v>
      </c>
    </row>
    <row r="162" spans="1:5">
      <c r="A162" s="2">
        <v>45698</v>
      </c>
      <c r="B162" t="s">
        <v>3250</v>
      </c>
      <c r="C162">
        <v>1709</v>
      </c>
      <c r="D162" t="s">
        <v>3256</v>
      </c>
      <c r="E162" t="s">
        <v>3252</v>
      </c>
    </row>
    <row r="163" spans="1:5">
      <c r="A163" s="2">
        <v>45698</v>
      </c>
      <c r="B163" t="s">
        <v>3253</v>
      </c>
      <c r="C163">
        <v>1615</v>
      </c>
      <c r="D163" t="s">
        <v>3251</v>
      </c>
      <c r="E163" t="s">
        <v>3252</v>
      </c>
    </row>
    <row r="164" spans="1:5">
      <c r="A164" s="2">
        <v>45698</v>
      </c>
      <c r="B164" t="s">
        <v>3255</v>
      </c>
      <c r="C164">
        <v>1216</v>
      </c>
      <c r="D164" t="s">
        <v>3258</v>
      </c>
      <c r="E164" t="s">
        <v>3252</v>
      </c>
    </row>
    <row r="165" spans="1:5">
      <c r="A165" s="2">
        <v>45698</v>
      </c>
      <c r="B165" t="s">
        <v>3257</v>
      </c>
      <c r="C165">
        <v>986</v>
      </c>
      <c r="D165" t="s">
        <v>3251</v>
      </c>
      <c r="E165" t="s">
        <v>3252</v>
      </c>
    </row>
    <row r="166" spans="1:5">
      <c r="A166" s="2">
        <v>45699</v>
      </c>
      <c r="B166" t="s">
        <v>3250</v>
      </c>
      <c r="C166">
        <v>1651</v>
      </c>
      <c r="D166" t="s">
        <v>3256</v>
      </c>
      <c r="E166" t="s">
        <v>3252</v>
      </c>
    </row>
    <row r="167" spans="1:5">
      <c r="A167" s="2">
        <v>45699</v>
      </c>
      <c r="B167" t="s">
        <v>3253</v>
      </c>
      <c r="C167">
        <v>1316</v>
      </c>
      <c r="D167" t="s">
        <v>3251</v>
      </c>
      <c r="E167" t="s">
        <v>3252</v>
      </c>
    </row>
    <row r="168" spans="1:5">
      <c r="A168" s="2">
        <v>45699</v>
      </c>
      <c r="B168" t="s">
        <v>3255</v>
      </c>
      <c r="C168">
        <v>1086</v>
      </c>
      <c r="D168" t="s">
        <v>3251</v>
      </c>
      <c r="E168" t="s">
        <v>3252</v>
      </c>
    </row>
    <row r="169" spans="1:5">
      <c r="A169" s="2">
        <v>45699</v>
      </c>
      <c r="B169" t="s">
        <v>3257</v>
      </c>
      <c r="C169">
        <v>846</v>
      </c>
      <c r="D169" t="s">
        <v>3251</v>
      </c>
      <c r="E169" t="s">
        <v>3252</v>
      </c>
    </row>
    <row r="170" spans="1:5">
      <c r="A170" s="2">
        <v>45700</v>
      </c>
      <c r="B170" t="s">
        <v>3250</v>
      </c>
      <c r="C170">
        <v>1347</v>
      </c>
      <c r="D170" t="s">
        <v>3251</v>
      </c>
      <c r="E170" t="s">
        <v>3252</v>
      </c>
    </row>
    <row r="171" spans="1:5">
      <c r="A171" s="2">
        <v>45700</v>
      </c>
      <c r="B171" t="s">
        <v>3253</v>
      </c>
      <c r="C171">
        <v>1165</v>
      </c>
      <c r="D171" t="s">
        <v>3251</v>
      </c>
      <c r="E171" t="s">
        <v>3252</v>
      </c>
    </row>
    <row r="172" spans="1:5">
      <c r="A172" s="2">
        <v>45700</v>
      </c>
      <c r="B172" t="s">
        <v>3255</v>
      </c>
      <c r="C172">
        <v>901</v>
      </c>
      <c r="D172" t="s">
        <v>3251</v>
      </c>
      <c r="E172" t="s">
        <v>3252</v>
      </c>
    </row>
    <row r="173" spans="1:5">
      <c r="A173" s="2">
        <v>45700</v>
      </c>
      <c r="B173" t="s">
        <v>3257</v>
      </c>
      <c r="C173">
        <v>704</v>
      </c>
      <c r="D173" t="s">
        <v>3256</v>
      </c>
      <c r="E173" t="s">
        <v>3252</v>
      </c>
    </row>
    <row r="174" spans="1:5">
      <c r="A174" s="2">
        <v>45701</v>
      </c>
      <c r="B174" t="s">
        <v>3250</v>
      </c>
      <c r="C174">
        <v>1574</v>
      </c>
      <c r="D174" t="s">
        <v>3256</v>
      </c>
      <c r="E174" t="s">
        <v>3252</v>
      </c>
    </row>
    <row r="175" spans="1:5">
      <c r="A175" s="2">
        <v>45701</v>
      </c>
      <c r="B175" t="s">
        <v>3253</v>
      </c>
      <c r="C175">
        <v>1359</v>
      </c>
      <c r="D175" t="s">
        <v>3251</v>
      </c>
      <c r="E175" t="s">
        <v>3252</v>
      </c>
    </row>
    <row r="176" spans="1:5">
      <c r="A176" s="2">
        <v>45701</v>
      </c>
      <c r="B176" t="s">
        <v>3255</v>
      </c>
      <c r="C176">
        <v>1186</v>
      </c>
      <c r="D176" t="s">
        <v>3251</v>
      </c>
      <c r="E176" t="s">
        <v>3252</v>
      </c>
    </row>
    <row r="177" spans="1:5">
      <c r="A177" s="2">
        <v>45701</v>
      </c>
      <c r="B177" t="s">
        <v>3257</v>
      </c>
      <c r="C177">
        <v>914</v>
      </c>
      <c r="D177" t="s">
        <v>3251</v>
      </c>
      <c r="E177" t="s">
        <v>3252</v>
      </c>
    </row>
    <row r="178" spans="1:5">
      <c r="A178" s="2">
        <v>45702</v>
      </c>
      <c r="B178" t="s">
        <v>3250</v>
      </c>
      <c r="C178">
        <v>1865</v>
      </c>
      <c r="D178" t="s">
        <v>3251</v>
      </c>
      <c r="E178" t="s">
        <v>3252</v>
      </c>
    </row>
    <row r="179" spans="1:5">
      <c r="A179" s="2">
        <v>45702</v>
      </c>
      <c r="B179" t="s">
        <v>3253</v>
      </c>
      <c r="C179">
        <v>1406</v>
      </c>
      <c r="D179" t="s">
        <v>3251</v>
      </c>
      <c r="E179" t="s">
        <v>3252</v>
      </c>
    </row>
    <row r="180" spans="1:5">
      <c r="A180" s="2">
        <v>45702</v>
      </c>
      <c r="B180" t="s">
        <v>3255</v>
      </c>
      <c r="C180">
        <v>1154</v>
      </c>
      <c r="D180" t="s">
        <v>3251</v>
      </c>
      <c r="E180" t="s">
        <v>3252</v>
      </c>
    </row>
    <row r="181" spans="1:5">
      <c r="A181" s="2">
        <v>45702</v>
      </c>
      <c r="B181" t="s">
        <v>3257</v>
      </c>
      <c r="C181">
        <v>910</v>
      </c>
      <c r="D181" t="s">
        <v>3251</v>
      </c>
      <c r="E181" t="s">
        <v>3252</v>
      </c>
    </row>
    <row r="182" spans="1:5">
      <c r="A182" s="2">
        <v>45703</v>
      </c>
      <c r="B182" t="s">
        <v>3250</v>
      </c>
      <c r="C182">
        <v>2796</v>
      </c>
      <c r="D182" t="s">
        <v>3251</v>
      </c>
      <c r="E182" t="s">
        <v>3252</v>
      </c>
    </row>
    <row r="183" spans="1:5">
      <c r="A183" s="2">
        <v>45703</v>
      </c>
      <c r="B183" t="s">
        <v>3253</v>
      </c>
      <c r="C183">
        <v>2459</v>
      </c>
      <c r="D183" t="s">
        <v>3251</v>
      </c>
      <c r="E183" t="s">
        <v>3252</v>
      </c>
    </row>
    <row r="184" spans="1:5">
      <c r="A184" s="2">
        <v>45703</v>
      </c>
      <c r="B184" t="s">
        <v>3255</v>
      </c>
      <c r="C184">
        <v>1988</v>
      </c>
      <c r="D184" t="s">
        <v>3258</v>
      </c>
      <c r="E184" t="s">
        <v>3252</v>
      </c>
    </row>
    <row r="185" spans="1:5">
      <c r="A185" s="2">
        <v>45703</v>
      </c>
      <c r="B185" t="s">
        <v>3257</v>
      </c>
      <c r="C185">
        <v>1612</v>
      </c>
      <c r="D185" t="s">
        <v>3251</v>
      </c>
      <c r="E185" t="s">
        <v>3252</v>
      </c>
    </row>
    <row r="186" spans="1:5">
      <c r="A186" s="2">
        <v>45704</v>
      </c>
      <c r="B186" t="s">
        <v>3250</v>
      </c>
      <c r="C186">
        <v>2410</v>
      </c>
      <c r="D186" t="s">
        <v>3251</v>
      </c>
      <c r="E186" t="s">
        <v>3252</v>
      </c>
    </row>
    <row r="187" spans="1:5">
      <c r="A187" s="2">
        <v>45704</v>
      </c>
      <c r="B187" t="s">
        <v>3253</v>
      </c>
      <c r="C187">
        <v>1948</v>
      </c>
      <c r="D187" t="s">
        <v>3256</v>
      </c>
      <c r="E187" t="s">
        <v>3252</v>
      </c>
    </row>
    <row r="188" spans="1:5">
      <c r="A188" s="2">
        <v>45704</v>
      </c>
      <c r="B188" t="s">
        <v>3255</v>
      </c>
      <c r="C188">
        <v>1611</v>
      </c>
      <c r="D188" t="s">
        <v>3256</v>
      </c>
      <c r="E188" t="s">
        <v>3252</v>
      </c>
    </row>
    <row r="189" spans="1:5">
      <c r="A189" s="2">
        <v>45704</v>
      </c>
      <c r="B189" t="s">
        <v>3257</v>
      </c>
      <c r="C189">
        <v>1445</v>
      </c>
      <c r="D189" t="s">
        <v>3256</v>
      </c>
      <c r="E189" t="s">
        <v>3252</v>
      </c>
    </row>
    <row r="190" spans="1:5">
      <c r="A190" s="2">
        <v>45705</v>
      </c>
      <c r="B190" t="s">
        <v>3250</v>
      </c>
      <c r="C190">
        <v>1501</v>
      </c>
      <c r="D190" t="s">
        <v>3258</v>
      </c>
      <c r="E190" t="s">
        <v>3252</v>
      </c>
    </row>
    <row r="191" spans="1:5">
      <c r="A191" s="2">
        <v>45705</v>
      </c>
      <c r="B191" t="s">
        <v>3253</v>
      </c>
      <c r="C191">
        <v>1419</v>
      </c>
      <c r="D191" t="s">
        <v>3256</v>
      </c>
      <c r="E191" t="s">
        <v>3252</v>
      </c>
    </row>
    <row r="192" spans="1:5">
      <c r="A192" s="2">
        <v>45705</v>
      </c>
      <c r="B192" t="s">
        <v>3255</v>
      </c>
      <c r="C192">
        <v>1271</v>
      </c>
      <c r="D192" t="s">
        <v>3256</v>
      </c>
      <c r="E192" t="s">
        <v>3252</v>
      </c>
    </row>
    <row r="193" spans="1:5">
      <c r="A193" s="2">
        <v>45705</v>
      </c>
      <c r="B193" t="s">
        <v>3257</v>
      </c>
      <c r="C193">
        <v>903</v>
      </c>
      <c r="D193" t="s">
        <v>3251</v>
      </c>
      <c r="E193" t="s">
        <v>3252</v>
      </c>
    </row>
    <row r="194" spans="1:5">
      <c r="A194" s="2">
        <v>45706</v>
      </c>
      <c r="B194" t="s">
        <v>3250</v>
      </c>
      <c r="C194">
        <v>1816</v>
      </c>
      <c r="D194" t="s">
        <v>3258</v>
      </c>
      <c r="E194" t="s">
        <v>3252</v>
      </c>
    </row>
    <row r="195" spans="1:5">
      <c r="A195" s="2">
        <v>45706</v>
      </c>
      <c r="B195" t="s">
        <v>3253</v>
      </c>
      <c r="C195">
        <v>1435</v>
      </c>
      <c r="D195" t="s">
        <v>3256</v>
      </c>
      <c r="E195" t="s">
        <v>3252</v>
      </c>
    </row>
    <row r="196" spans="1:5">
      <c r="A196" s="2">
        <v>45706</v>
      </c>
      <c r="B196" t="s">
        <v>3255</v>
      </c>
      <c r="C196">
        <v>1108</v>
      </c>
      <c r="D196" t="s">
        <v>3251</v>
      </c>
      <c r="E196" t="s">
        <v>3252</v>
      </c>
    </row>
    <row r="197" spans="1:5">
      <c r="A197" s="2">
        <v>45706</v>
      </c>
      <c r="B197" t="s">
        <v>3257</v>
      </c>
      <c r="C197">
        <v>925</v>
      </c>
      <c r="D197" t="s">
        <v>3251</v>
      </c>
      <c r="E197" t="s">
        <v>3252</v>
      </c>
    </row>
    <row r="198" spans="1:5">
      <c r="A198" s="2">
        <v>45707</v>
      </c>
      <c r="B198" t="s">
        <v>3250</v>
      </c>
      <c r="C198">
        <v>1822</v>
      </c>
      <c r="D198" t="s">
        <v>3258</v>
      </c>
      <c r="E198" t="s">
        <v>3252</v>
      </c>
    </row>
    <row r="199" spans="1:5">
      <c r="A199" s="2">
        <v>45707</v>
      </c>
      <c r="B199" t="s">
        <v>3253</v>
      </c>
      <c r="C199">
        <v>1558</v>
      </c>
      <c r="D199" t="s">
        <v>3256</v>
      </c>
      <c r="E199" t="s">
        <v>3252</v>
      </c>
    </row>
    <row r="200" spans="1:5">
      <c r="A200" s="2">
        <v>45707</v>
      </c>
      <c r="B200" t="s">
        <v>3255</v>
      </c>
      <c r="C200">
        <v>1376</v>
      </c>
      <c r="D200" t="s">
        <v>3251</v>
      </c>
      <c r="E200" t="s">
        <v>3252</v>
      </c>
    </row>
    <row r="201" spans="1:5">
      <c r="A201" s="2">
        <v>45707</v>
      </c>
      <c r="B201" t="s">
        <v>3257</v>
      </c>
      <c r="C201">
        <v>980</v>
      </c>
      <c r="D201" t="s">
        <v>3258</v>
      </c>
      <c r="E201" t="s">
        <v>3252</v>
      </c>
    </row>
    <row r="202" spans="1:5">
      <c r="A202" s="2">
        <v>45708</v>
      </c>
      <c r="B202" t="s">
        <v>3250</v>
      </c>
      <c r="C202">
        <v>1830</v>
      </c>
      <c r="D202" t="s">
        <v>3251</v>
      </c>
      <c r="E202" t="s">
        <v>3252</v>
      </c>
    </row>
    <row r="203" spans="1:5">
      <c r="A203" s="2">
        <v>45708</v>
      </c>
      <c r="B203" t="s">
        <v>3253</v>
      </c>
      <c r="C203">
        <v>1551</v>
      </c>
      <c r="D203" t="s">
        <v>3251</v>
      </c>
      <c r="E203" t="s">
        <v>3252</v>
      </c>
    </row>
    <row r="204" spans="1:5">
      <c r="A204" s="2">
        <v>45708</v>
      </c>
      <c r="B204" t="s">
        <v>3255</v>
      </c>
      <c r="C204">
        <v>1301</v>
      </c>
      <c r="D204" t="s">
        <v>3256</v>
      </c>
      <c r="E204" t="s">
        <v>3252</v>
      </c>
    </row>
    <row r="205" spans="1:5">
      <c r="A205" s="2">
        <v>45708</v>
      </c>
      <c r="B205" t="s">
        <v>3257</v>
      </c>
      <c r="C205">
        <v>1029</v>
      </c>
      <c r="D205" t="s">
        <v>3256</v>
      </c>
      <c r="E205" t="s">
        <v>3252</v>
      </c>
    </row>
    <row r="206" spans="1:5">
      <c r="A206" s="2">
        <v>45709</v>
      </c>
      <c r="B206" t="s">
        <v>3250</v>
      </c>
      <c r="C206">
        <v>1413</v>
      </c>
      <c r="D206" t="s">
        <v>3251</v>
      </c>
      <c r="E206" t="s">
        <v>3252</v>
      </c>
    </row>
    <row r="207" spans="1:5">
      <c r="A207" s="2">
        <v>45709</v>
      </c>
      <c r="B207" t="s">
        <v>3253</v>
      </c>
      <c r="C207">
        <v>1116</v>
      </c>
      <c r="D207" t="s">
        <v>3256</v>
      </c>
      <c r="E207" t="s">
        <v>3252</v>
      </c>
    </row>
    <row r="208" spans="1:5">
      <c r="A208" s="2">
        <v>45709</v>
      </c>
      <c r="B208" t="s">
        <v>3255</v>
      </c>
      <c r="C208">
        <v>959</v>
      </c>
      <c r="D208" t="s">
        <v>3251</v>
      </c>
      <c r="E208" t="s">
        <v>3252</v>
      </c>
    </row>
    <row r="209" spans="1:5">
      <c r="A209" s="2">
        <v>45709</v>
      </c>
      <c r="B209" t="s">
        <v>3257</v>
      </c>
      <c r="C209">
        <v>778</v>
      </c>
      <c r="D209" t="s">
        <v>3256</v>
      </c>
      <c r="E209" t="s">
        <v>3252</v>
      </c>
    </row>
    <row r="210" spans="1:5">
      <c r="A210" s="2">
        <v>45710</v>
      </c>
      <c r="B210" t="s">
        <v>3250</v>
      </c>
      <c r="C210">
        <v>2742</v>
      </c>
      <c r="D210" t="s">
        <v>3258</v>
      </c>
      <c r="E210" t="s">
        <v>3252</v>
      </c>
    </row>
    <row r="211" spans="1:5">
      <c r="A211" s="2">
        <v>45710</v>
      </c>
      <c r="B211" t="s">
        <v>3253</v>
      </c>
      <c r="C211">
        <v>2539</v>
      </c>
      <c r="D211" t="s">
        <v>3251</v>
      </c>
      <c r="E211" t="s">
        <v>3252</v>
      </c>
    </row>
    <row r="212" spans="1:5">
      <c r="A212" s="2">
        <v>45710</v>
      </c>
      <c r="B212" t="s">
        <v>3255</v>
      </c>
      <c r="C212">
        <v>1781</v>
      </c>
      <c r="D212" t="s">
        <v>3251</v>
      </c>
      <c r="E212" t="s">
        <v>3252</v>
      </c>
    </row>
    <row r="213" spans="1:5">
      <c r="A213" s="2">
        <v>45710</v>
      </c>
      <c r="B213" t="s">
        <v>3257</v>
      </c>
      <c r="C213">
        <v>1787</v>
      </c>
      <c r="D213" t="s">
        <v>3251</v>
      </c>
      <c r="E213" t="s">
        <v>3252</v>
      </c>
    </row>
    <row r="214" spans="1:5">
      <c r="A214" s="2">
        <v>45711</v>
      </c>
      <c r="B214" t="s">
        <v>3250</v>
      </c>
      <c r="C214">
        <v>2281</v>
      </c>
      <c r="D214" t="s">
        <v>3251</v>
      </c>
      <c r="E214" t="s">
        <v>3252</v>
      </c>
    </row>
    <row r="215" spans="1:5">
      <c r="A215" s="2">
        <v>45711</v>
      </c>
      <c r="B215" t="s">
        <v>3253</v>
      </c>
      <c r="C215">
        <v>1936</v>
      </c>
      <c r="D215" t="s">
        <v>3251</v>
      </c>
      <c r="E215" t="s">
        <v>3252</v>
      </c>
    </row>
    <row r="216" spans="1:5">
      <c r="A216" s="2">
        <v>45711</v>
      </c>
      <c r="B216" t="s">
        <v>3255</v>
      </c>
      <c r="C216">
        <v>1713</v>
      </c>
      <c r="D216" t="s">
        <v>3251</v>
      </c>
      <c r="E216" t="s">
        <v>3252</v>
      </c>
    </row>
    <row r="217" spans="1:5">
      <c r="A217" s="2">
        <v>45711</v>
      </c>
      <c r="B217" t="s">
        <v>3257</v>
      </c>
      <c r="C217">
        <v>1205</v>
      </c>
      <c r="D217" t="s">
        <v>3256</v>
      </c>
      <c r="E217" t="s">
        <v>3252</v>
      </c>
    </row>
    <row r="218" spans="1:5">
      <c r="A218" s="2">
        <v>45712</v>
      </c>
      <c r="B218" t="s">
        <v>3250</v>
      </c>
      <c r="C218">
        <v>2076</v>
      </c>
      <c r="D218" t="s">
        <v>3251</v>
      </c>
      <c r="E218" t="s">
        <v>3252</v>
      </c>
    </row>
    <row r="219" spans="1:5">
      <c r="A219" s="2">
        <v>45712</v>
      </c>
      <c r="B219" t="s">
        <v>3253</v>
      </c>
      <c r="C219">
        <v>1724</v>
      </c>
      <c r="D219" t="s">
        <v>3251</v>
      </c>
      <c r="E219" t="s">
        <v>3252</v>
      </c>
    </row>
    <row r="220" spans="1:5">
      <c r="A220" s="2">
        <v>45712</v>
      </c>
      <c r="B220" t="s">
        <v>3255</v>
      </c>
      <c r="C220">
        <v>1351</v>
      </c>
      <c r="D220" t="s">
        <v>3251</v>
      </c>
      <c r="E220" t="s">
        <v>3252</v>
      </c>
    </row>
    <row r="221" spans="1:5">
      <c r="A221" s="2">
        <v>45712</v>
      </c>
      <c r="B221" t="s">
        <v>3257</v>
      </c>
      <c r="C221">
        <v>1135</v>
      </c>
      <c r="D221" t="s">
        <v>3251</v>
      </c>
      <c r="E221" t="s">
        <v>3252</v>
      </c>
    </row>
    <row r="222" spans="1:5">
      <c r="A222" s="2">
        <v>45713</v>
      </c>
      <c r="B222" t="s">
        <v>3250</v>
      </c>
      <c r="C222">
        <v>1728</v>
      </c>
      <c r="D222" t="s">
        <v>3251</v>
      </c>
      <c r="E222" t="s">
        <v>3252</v>
      </c>
    </row>
    <row r="223" spans="1:5">
      <c r="A223" s="2">
        <v>45713</v>
      </c>
      <c r="B223" t="s">
        <v>3253</v>
      </c>
      <c r="C223">
        <v>1385</v>
      </c>
      <c r="D223" t="s">
        <v>3251</v>
      </c>
      <c r="E223" t="s">
        <v>3252</v>
      </c>
    </row>
    <row r="224" spans="1:5">
      <c r="A224" s="2">
        <v>45713</v>
      </c>
      <c r="B224" t="s">
        <v>3255</v>
      </c>
      <c r="C224">
        <v>1096</v>
      </c>
      <c r="D224" t="s">
        <v>3256</v>
      </c>
      <c r="E224" t="s">
        <v>3252</v>
      </c>
    </row>
    <row r="225" spans="1:5">
      <c r="A225" s="2">
        <v>45713</v>
      </c>
      <c r="B225" t="s">
        <v>3257</v>
      </c>
      <c r="C225">
        <v>951</v>
      </c>
      <c r="D225" t="s">
        <v>3251</v>
      </c>
      <c r="E225" t="s">
        <v>3252</v>
      </c>
    </row>
    <row r="226" spans="1:5">
      <c r="A226" s="2">
        <v>45714</v>
      </c>
      <c r="B226" t="s">
        <v>3250</v>
      </c>
      <c r="C226">
        <v>1278</v>
      </c>
      <c r="D226" t="s">
        <v>3251</v>
      </c>
      <c r="E226" t="s">
        <v>3252</v>
      </c>
    </row>
    <row r="227" spans="1:5">
      <c r="A227" s="2">
        <v>45714</v>
      </c>
      <c r="B227" t="s">
        <v>3253</v>
      </c>
      <c r="C227">
        <v>1061</v>
      </c>
      <c r="D227" t="s">
        <v>3258</v>
      </c>
      <c r="E227" t="s">
        <v>3252</v>
      </c>
    </row>
    <row r="228" spans="1:5">
      <c r="A228" s="2">
        <v>45714</v>
      </c>
      <c r="B228" t="s">
        <v>3255</v>
      </c>
      <c r="C228">
        <v>841</v>
      </c>
      <c r="D228" t="s">
        <v>3251</v>
      </c>
      <c r="E228" t="s">
        <v>3252</v>
      </c>
    </row>
    <row r="229" spans="1:5">
      <c r="A229" s="2">
        <v>45714</v>
      </c>
      <c r="B229" t="s">
        <v>3257</v>
      </c>
      <c r="C229">
        <v>737</v>
      </c>
      <c r="D229" t="s">
        <v>3251</v>
      </c>
      <c r="E229" t="s">
        <v>3252</v>
      </c>
    </row>
    <row r="230" spans="1:5">
      <c r="A230" s="2">
        <v>45715</v>
      </c>
      <c r="B230" t="s">
        <v>3250</v>
      </c>
      <c r="C230">
        <v>1141</v>
      </c>
      <c r="D230" t="s">
        <v>3256</v>
      </c>
      <c r="E230" t="s">
        <v>3252</v>
      </c>
    </row>
    <row r="231" spans="1:5">
      <c r="A231" s="2">
        <v>45715</v>
      </c>
      <c r="B231" t="s">
        <v>3253</v>
      </c>
      <c r="C231">
        <v>893</v>
      </c>
      <c r="D231" t="s">
        <v>3251</v>
      </c>
      <c r="E231" t="s">
        <v>3252</v>
      </c>
    </row>
    <row r="232" spans="1:5">
      <c r="A232" s="2">
        <v>45715</v>
      </c>
      <c r="B232" t="s">
        <v>3255</v>
      </c>
      <c r="C232">
        <v>822</v>
      </c>
      <c r="D232" t="s">
        <v>3251</v>
      </c>
      <c r="E232" t="s">
        <v>3252</v>
      </c>
    </row>
    <row r="233" spans="1:5">
      <c r="A233" s="2">
        <v>45715</v>
      </c>
      <c r="B233" t="s">
        <v>3257</v>
      </c>
      <c r="C233">
        <v>691</v>
      </c>
      <c r="D233" t="s">
        <v>3251</v>
      </c>
      <c r="E233" t="s">
        <v>3252</v>
      </c>
    </row>
    <row r="234" spans="1:5">
      <c r="A234" s="2">
        <v>45716</v>
      </c>
      <c r="B234" t="s">
        <v>3250</v>
      </c>
      <c r="C234">
        <v>1698</v>
      </c>
      <c r="D234" t="s">
        <v>3251</v>
      </c>
      <c r="E234" t="s">
        <v>3252</v>
      </c>
    </row>
    <row r="235" spans="1:5">
      <c r="A235" s="2">
        <v>45716</v>
      </c>
      <c r="B235" t="s">
        <v>3253</v>
      </c>
      <c r="C235">
        <v>1490</v>
      </c>
      <c r="D235" t="s">
        <v>3258</v>
      </c>
      <c r="E235" t="s">
        <v>3252</v>
      </c>
    </row>
    <row r="236" spans="1:5">
      <c r="A236" s="2">
        <v>45716</v>
      </c>
      <c r="B236" t="s">
        <v>3255</v>
      </c>
      <c r="C236">
        <v>1198</v>
      </c>
      <c r="D236" t="s">
        <v>3256</v>
      </c>
      <c r="E236" t="s">
        <v>3252</v>
      </c>
    </row>
    <row r="237" spans="1:5">
      <c r="A237" s="2">
        <v>45716</v>
      </c>
      <c r="B237" t="s">
        <v>3257</v>
      </c>
      <c r="C237">
        <v>939</v>
      </c>
      <c r="D237" t="s">
        <v>3256</v>
      </c>
      <c r="E237" t="s">
        <v>3252</v>
      </c>
    </row>
    <row r="238" spans="1:5">
      <c r="A238" s="2">
        <v>45717</v>
      </c>
      <c r="B238" t="s">
        <v>3250</v>
      </c>
      <c r="C238">
        <v>2723</v>
      </c>
      <c r="D238" t="s">
        <v>3251</v>
      </c>
      <c r="E238" t="s">
        <v>3252</v>
      </c>
    </row>
    <row r="239" spans="1:5">
      <c r="A239" s="2">
        <v>45717</v>
      </c>
      <c r="B239" t="s">
        <v>3253</v>
      </c>
      <c r="C239">
        <v>2160</v>
      </c>
      <c r="D239" t="s">
        <v>3258</v>
      </c>
      <c r="E239" t="s">
        <v>3252</v>
      </c>
    </row>
    <row r="240" spans="1:5">
      <c r="A240" s="2">
        <v>45717</v>
      </c>
      <c r="B240" t="s">
        <v>3255</v>
      </c>
      <c r="C240">
        <v>1912</v>
      </c>
      <c r="D240" t="s">
        <v>3251</v>
      </c>
      <c r="E240" t="s">
        <v>3252</v>
      </c>
    </row>
    <row r="241" spans="1:5">
      <c r="A241" s="2">
        <v>45717</v>
      </c>
      <c r="B241" t="s">
        <v>3257</v>
      </c>
      <c r="C241">
        <v>1543</v>
      </c>
      <c r="D241" t="s">
        <v>3258</v>
      </c>
      <c r="E241" t="s">
        <v>3252</v>
      </c>
    </row>
    <row r="242" spans="1:5">
      <c r="A242" s="2">
        <v>45718</v>
      </c>
      <c r="B242" t="s">
        <v>3250</v>
      </c>
      <c r="C242">
        <v>2448</v>
      </c>
      <c r="D242" t="s">
        <v>3251</v>
      </c>
      <c r="E242" t="s">
        <v>3252</v>
      </c>
    </row>
    <row r="243" spans="1:5">
      <c r="A243" s="2">
        <v>45718</v>
      </c>
      <c r="B243" t="s">
        <v>3253</v>
      </c>
      <c r="C243">
        <v>2046</v>
      </c>
      <c r="D243" t="s">
        <v>3251</v>
      </c>
      <c r="E243" t="s">
        <v>3252</v>
      </c>
    </row>
    <row r="244" spans="1:5">
      <c r="A244" s="2">
        <v>45718</v>
      </c>
      <c r="B244" t="s">
        <v>3255</v>
      </c>
      <c r="C244">
        <v>1812</v>
      </c>
      <c r="D244" t="s">
        <v>3251</v>
      </c>
      <c r="E244" t="s">
        <v>3252</v>
      </c>
    </row>
    <row r="245" spans="1:5">
      <c r="A245" s="2">
        <v>45718</v>
      </c>
      <c r="B245" t="s">
        <v>3257</v>
      </c>
      <c r="C245">
        <v>1415</v>
      </c>
      <c r="D245" t="s">
        <v>3251</v>
      </c>
      <c r="E245" t="s">
        <v>3252</v>
      </c>
    </row>
    <row r="246" spans="1:5">
      <c r="A246" s="2">
        <v>45719</v>
      </c>
      <c r="B246" t="s">
        <v>3250</v>
      </c>
      <c r="C246">
        <v>1704</v>
      </c>
      <c r="D246" t="s">
        <v>3256</v>
      </c>
      <c r="E246" t="s">
        <v>3252</v>
      </c>
    </row>
    <row r="247" spans="1:5">
      <c r="A247" s="2">
        <v>45719</v>
      </c>
      <c r="B247" t="s">
        <v>3253</v>
      </c>
      <c r="C247">
        <v>1304</v>
      </c>
      <c r="D247" t="s">
        <v>3251</v>
      </c>
      <c r="E247" t="s">
        <v>3252</v>
      </c>
    </row>
    <row r="248" spans="1:5">
      <c r="A248" s="2">
        <v>45719</v>
      </c>
      <c r="B248" t="s">
        <v>3255</v>
      </c>
      <c r="C248">
        <v>1151</v>
      </c>
      <c r="D248" t="s">
        <v>3251</v>
      </c>
      <c r="E248" t="s">
        <v>3252</v>
      </c>
    </row>
    <row r="249" spans="1:5">
      <c r="A249" s="2">
        <v>45719</v>
      </c>
      <c r="B249" t="s">
        <v>3257</v>
      </c>
      <c r="C249">
        <v>910</v>
      </c>
      <c r="D249" t="s">
        <v>3251</v>
      </c>
      <c r="E249" t="s">
        <v>3252</v>
      </c>
    </row>
    <row r="250" spans="1:5">
      <c r="A250" s="2">
        <v>45720</v>
      </c>
      <c r="B250" t="s">
        <v>3250</v>
      </c>
      <c r="C250">
        <v>1415</v>
      </c>
      <c r="D250" t="s">
        <v>3251</v>
      </c>
      <c r="E250" t="s">
        <v>3252</v>
      </c>
    </row>
    <row r="251" spans="1:5">
      <c r="A251" s="2">
        <v>45720</v>
      </c>
      <c r="B251" t="s">
        <v>3253</v>
      </c>
      <c r="C251">
        <v>1122</v>
      </c>
      <c r="D251" t="s">
        <v>3251</v>
      </c>
      <c r="E251" t="s">
        <v>3252</v>
      </c>
    </row>
    <row r="252" spans="1:5">
      <c r="A252" s="2">
        <v>45720</v>
      </c>
      <c r="B252" t="s">
        <v>3255</v>
      </c>
      <c r="C252">
        <v>1053</v>
      </c>
      <c r="D252" t="s">
        <v>3256</v>
      </c>
      <c r="E252" t="s">
        <v>3252</v>
      </c>
    </row>
    <row r="253" spans="1:5">
      <c r="A253" s="2">
        <v>45720</v>
      </c>
      <c r="B253" t="s">
        <v>3257</v>
      </c>
      <c r="C253">
        <v>756</v>
      </c>
      <c r="D253" t="s">
        <v>3251</v>
      </c>
      <c r="E253" t="s">
        <v>3252</v>
      </c>
    </row>
    <row r="254" spans="1:5">
      <c r="A254" s="2">
        <v>45721</v>
      </c>
      <c r="B254" t="s">
        <v>3250</v>
      </c>
      <c r="C254">
        <v>1653</v>
      </c>
      <c r="D254" t="s">
        <v>3251</v>
      </c>
      <c r="E254" t="s">
        <v>3252</v>
      </c>
    </row>
    <row r="255" spans="1:5">
      <c r="A255" s="2">
        <v>45721</v>
      </c>
      <c r="B255" t="s">
        <v>3253</v>
      </c>
      <c r="C255">
        <v>1502</v>
      </c>
      <c r="D255" t="s">
        <v>3251</v>
      </c>
      <c r="E255" t="s">
        <v>3252</v>
      </c>
    </row>
    <row r="256" spans="1:5">
      <c r="A256" s="2">
        <v>45721</v>
      </c>
      <c r="B256" t="s">
        <v>3255</v>
      </c>
      <c r="C256">
        <v>1360</v>
      </c>
      <c r="D256" t="s">
        <v>3258</v>
      </c>
      <c r="E256" t="s">
        <v>3252</v>
      </c>
    </row>
    <row r="257" spans="1:5">
      <c r="A257" s="2">
        <v>45721</v>
      </c>
      <c r="B257" t="s">
        <v>3257</v>
      </c>
      <c r="C257">
        <v>990</v>
      </c>
      <c r="D257" t="s">
        <v>3251</v>
      </c>
      <c r="E257" t="s">
        <v>3252</v>
      </c>
    </row>
    <row r="258" spans="1:5">
      <c r="A258" s="2">
        <v>45722</v>
      </c>
      <c r="B258" t="s">
        <v>3250</v>
      </c>
      <c r="C258">
        <v>1730</v>
      </c>
      <c r="D258" t="s">
        <v>3251</v>
      </c>
      <c r="E258" t="s">
        <v>3252</v>
      </c>
    </row>
    <row r="259" spans="1:5">
      <c r="A259" s="2">
        <v>45722</v>
      </c>
      <c r="B259" t="s">
        <v>3253</v>
      </c>
      <c r="C259">
        <v>1441</v>
      </c>
      <c r="D259" t="s">
        <v>3258</v>
      </c>
      <c r="E259" t="s">
        <v>3252</v>
      </c>
    </row>
    <row r="260" spans="1:5">
      <c r="A260" s="2">
        <v>45722</v>
      </c>
      <c r="B260" t="s">
        <v>3255</v>
      </c>
      <c r="C260">
        <v>1249</v>
      </c>
      <c r="D260" t="s">
        <v>3251</v>
      </c>
      <c r="E260" t="s">
        <v>3252</v>
      </c>
    </row>
    <row r="261" spans="1:5">
      <c r="A261" s="2">
        <v>45722</v>
      </c>
      <c r="B261" t="s">
        <v>3257</v>
      </c>
      <c r="C261">
        <v>1009</v>
      </c>
      <c r="D261" t="s">
        <v>3251</v>
      </c>
      <c r="E261" t="s">
        <v>3252</v>
      </c>
    </row>
    <row r="262" spans="1:5">
      <c r="A262" s="2">
        <v>45723</v>
      </c>
      <c r="B262" t="s">
        <v>3250</v>
      </c>
      <c r="C262">
        <v>1222</v>
      </c>
      <c r="D262" t="s">
        <v>3251</v>
      </c>
      <c r="E262" t="s">
        <v>3252</v>
      </c>
    </row>
    <row r="263" spans="1:5">
      <c r="A263" s="2">
        <v>45723</v>
      </c>
      <c r="B263" t="s">
        <v>3253</v>
      </c>
      <c r="C263">
        <v>932</v>
      </c>
      <c r="D263" t="s">
        <v>3256</v>
      </c>
      <c r="E263" t="s">
        <v>3252</v>
      </c>
    </row>
    <row r="264" spans="1:5">
      <c r="A264" s="2">
        <v>45723</v>
      </c>
      <c r="B264" t="s">
        <v>3255</v>
      </c>
      <c r="C264">
        <v>841</v>
      </c>
      <c r="D264" t="s">
        <v>3256</v>
      </c>
      <c r="E264" t="s">
        <v>3252</v>
      </c>
    </row>
    <row r="265" spans="1:5">
      <c r="A265" s="2">
        <v>45723</v>
      </c>
      <c r="B265" t="s">
        <v>3257</v>
      </c>
      <c r="C265">
        <v>713</v>
      </c>
      <c r="D265" t="s">
        <v>3251</v>
      </c>
      <c r="E265" t="s">
        <v>3252</v>
      </c>
    </row>
    <row r="266" spans="1:5">
      <c r="A266" s="2">
        <v>45724</v>
      </c>
      <c r="B266" t="s">
        <v>3250</v>
      </c>
      <c r="C266">
        <v>2524</v>
      </c>
      <c r="D266" t="s">
        <v>3251</v>
      </c>
      <c r="E266" t="s">
        <v>3252</v>
      </c>
    </row>
    <row r="267" spans="1:5">
      <c r="A267" s="2">
        <v>45724</v>
      </c>
      <c r="B267" t="s">
        <v>3253</v>
      </c>
      <c r="C267">
        <v>2196</v>
      </c>
      <c r="D267" t="s">
        <v>3251</v>
      </c>
      <c r="E267" t="s">
        <v>3252</v>
      </c>
    </row>
    <row r="268" spans="1:5">
      <c r="A268" s="2">
        <v>45724</v>
      </c>
      <c r="B268" t="s">
        <v>3255</v>
      </c>
      <c r="C268">
        <v>2093</v>
      </c>
      <c r="D268" t="s">
        <v>3258</v>
      </c>
      <c r="E268" t="s">
        <v>3252</v>
      </c>
    </row>
    <row r="269" spans="1:5">
      <c r="A269" s="2">
        <v>45724</v>
      </c>
      <c r="B269" t="s">
        <v>3257</v>
      </c>
      <c r="C269">
        <v>1570</v>
      </c>
      <c r="D269" t="s">
        <v>3256</v>
      </c>
      <c r="E269" t="s">
        <v>3252</v>
      </c>
    </row>
    <row r="270" spans="1:5">
      <c r="A270" s="2">
        <v>45725</v>
      </c>
      <c r="B270" t="s">
        <v>3250</v>
      </c>
      <c r="C270">
        <v>2990</v>
      </c>
      <c r="D270" t="s">
        <v>3251</v>
      </c>
      <c r="E270" t="s">
        <v>3252</v>
      </c>
    </row>
    <row r="271" spans="1:5">
      <c r="A271" s="2">
        <v>45725</v>
      </c>
      <c r="B271" t="s">
        <v>3253</v>
      </c>
      <c r="C271">
        <v>2597</v>
      </c>
      <c r="D271" t="s">
        <v>3251</v>
      </c>
      <c r="E271" t="s">
        <v>3252</v>
      </c>
    </row>
    <row r="272" spans="1:5">
      <c r="A272" s="2">
        <v>45725</v>
      </c>
      <c r="B272" t="s">
        <v>3255</v>
      </c>
      <c r="C272">
        <v>2159</v>
      </c>
      <c r="D272" t="s">
        <v>3251</v>
      </c>
      <c r="E272" t="s">
        <v>3252</v>
      </c>
    </row>
    <row r="273" spans="1:5">
      <c r="A273" s="2">
        <v>45725</v>
      </c>
      <c r="B273" t="s">
        <v>3257</v>
      </c>
      <c r="C273">
        <v>1657</v>
      </c>
      <c r="D273" t="s">
        <v>3251</v>
      </c>
      <c r="E273" t="s">
        <v>3252</v>
      </c>
    </row>
    <row r="274" spans="1:5">
      <c r="A274" s="2">
        <v>45726</v>
      </c>
      <c r="B274" t="s">
        <v>3250</v>
      </c>
      <c r="C274">
        <v>1603</v>
      </c>
      <c r="D274" t="s">
        <v>3256</v>
      </c>
      <c r="E274" t="s">
        <v>3252</v>
      </c>
    </row>
    <row r="275" spans="1:5">
      <c r="A275" s="2">
        <v>45726</v>
      </c>
      <c r="B275" t="s">
        <v>3253</v>
      </c>
      <c r="C275">
        <v>1508</v>
      </c>
      <c r="D275" t="s">
        <v>3256</v>
      </c>
      <c r="E275" t="s">
        <v>3252</v>
      </c>
    </row>
    <row r="276" spans="1:5">
      <c r="A276" s="2">
        <v>45726</v>
      </c>
      <c r="B276" t="s">
        <v>3255</v>
      </c>
      <c r="C276">
        <v>1265</v>
      </c>
      <c r="D276" t="s">
        <v>3258</v>
      </c>
      <c r="E276" t="s">
        <v>3252</v>
      </c>
    </row>
    <row r="277" spans="1:5">
      <c r="A277" s="2">
        <v>45726</v>
      </c>
      <c r="B277" t="s">
        <v>3257</v>
      </c>
      <c r="C277">
        <v>990</v>
      </c>
      <c r="D277" t="s">
        <v>3251</v>
      </c>
      <c r="E277" t="s">
        <v>3252</v>
      </c>
    </row>
    <row r="278" spans="1:5">
      <c r="A278" s="2">
        <v>45727</v>
      </c>
      <c r="B278" t="s">
        <v>3250</v>
      </c>
      <c r="C278">
        <v>1582</v>
      </c>
      <c r="D278" t="s">
        <v>3251</v>
      </c>
      <c r="E278" t="s">
        <v>3252</v>
      </c>
    </row>
    <row r="279" spans="1:5">
      <c r="A279" s="2">
        <v>45727</v>
      </c>
      <c r="B279" t="s">
        <v>3253</v>
      </c>
      <c r="C279">
        <v>1416</v>
      </c>
      <c r="D279" t="s">
        <v>3258</v>
      </c>
      <c r="E279" t="s">
        <v>3252</v>
      </c>
    </row>
    <row r="280" spans="1:5">
      <c r="A280" s="2">
        <v>45727</v>
      </c>
      <c r="B280" t="s">
        <v>3255</v>
      </c>
      <c r="C280">
        <v>1200</v>
      </c>
      <c r="D280" t="s">
        <v>3251</v>
      </c>
      <c r="E280" t="s">
        <v>3252</v>
      </c>
    </row>
    <row r="281" spans="1:5">
      <c r="A281" s="2">
        <v>45727</v>
      </c>
      <c r="B281" t="s">
        <v>3257</v>
      </c>
      <c r="C281">
        <v>1026</v>
      </c>
      <c r="D281" t="s">
        <v>3251</v>
      </c>
      <c r="E281" t="s">
        <v>3252</v>
      </c>
    </row>
    <row r="282" spans="1:5">
      <c r="A282" s="2">
        <v>45728</v>
      </c>
      <c r="B282" t="s">
        <v>3250</v>
      </c>
      <c r="C282">
        <v>1654</v>
      </c>
      <c r="D282" t="s">
        <v>3256</v>
      </c>
      <c r="E282" t="s">
        <v>3252</v>
      </c>
    </row>
    <row r="283" spans="1:5">
      <c r="A283" s="2">
        <v>45728</v>
      </c>
      <c r="B283" t="s">
        <v>3253</v>
      </c>
      <c r="C283">
        <v>1364</v>
      </c>
      <c r="D283" t="s">
        <v>3256</v>
      </c>
      <c r="E283" t="s">
        <v>3252</v>
      </c>
    </row>
    <row r="284" spans="1:5">
      <c r="A284" s="2">
        <v>45728</v>
      </c>
      <c r="B284" t="s">
        <v>3255</v>
      </c>
      <c r="C284">
        <v>1165</v>
      </c>
      <c r="D284" t="s">
        <v>3251</v>
      </c>
      <c r="E284" t="s">
        <v>3252</v>
      </c>
    </row>
    <row r="285" spans="1:5">
      <c r="A285" s="2">
        <v>45728</v>
      </c>
      <c r="B285" t="s">
        <v>3257</v>
      </c>
      <c r="C285">
        <v>861</v>
      </c>
      <c r="D285" t="s">
        <v>3251</v>
      </c>
      <c r="E285" t="s">
        <v>3252</v>
      </c>
    </row>
    <row r="286" spans="1:5">
      <c r="A286" s="2">
        <v>45729</v>
      </c>
      <c r="B286" t="s">
        <v>3250</v>
      </c>
      <c r="C286">
        <v>1560</v>
      </c>
      <c r="D286" t="s">
        <v>3251</v>
      </c>
      <c r="E286" t="s">
        <v>3252</v>
      </c>
    </row>
    <row r="287" spans="1:5">
      <c r="A287" s="2">
        <v>45729</v>
      </c>
      <c r="B287" t="s">
        <v>3253</v>
      </c>
      <c r="C287">
        <v>1517</v>
      </c>
      <c r="D287" t="s">
        <v>3251</v>
      </c>
      <c r="E287" t="s">
        <v>3252</v>
      </c>
    </row>
    <row r="288" spans="1:5">
      <c r="A288" s="2">
        <v>45729</v>
      </c>
      <c r="B288" t="s">
        <v>3255</v>
      </c>
      <c r="C288">
        <v>1294</v>
      </c>
      <c r="D288" t="s">
        <v>3251</v>
      </c>
      <c r="E288" t="s">
        <v>3252</v>
      </c>
    </row>
    <row r="289" spans="1:5">
      <c r="A289" s="2">
        <v>45729</v>
      </c>
      <c r="B289" t="s">
        <v>3257</v>
      </c>
      <c r="C289">
        <v>923</v>
      </c>
      <c r="D289" t="s">
        <v>3251</v>
      </c>
      <c r="E289" t="s">
        <v>3252</v>
      </c>
    </row>
    <row r="290" spans="1:5">
      <c r="A290" s="2">
        <v>45730</v>
      </c>
      <c r="B290" t="s">
        <v>3250</v>
      </c>
      <c r="C290">
        <v>1735</v>
      </c>
      <c r="D290" t="s">
        <v>3256</v>
      </c>
      <c r="E290" t="s">
        <v>3252</v>
      </c>
    </row>
    <row r="291" spans="1:5">
      <c r="A291" s="2">
        <v>45730</v>
      </c>
      <c r="B291" t="s">
        <v>3253</v>
      </c>
      <c r="C291">
        <v>1516</v>
      </c>
      <c r="D291" t="s">
        <v>3256</v>
      </c>
      <c r="E291" t="s">
        <v>3252</v>
      </c>
    </row>
    <row r="292" spans="1:5">
      <c r="A292" s="2">
        <v>45730</v>
      </c>
      <c r="B292" t="s">
        <v>3255</v>
      </c>
      <c r="C292">
        <v>1148</v>
      </c>
      <c r="D292" t="s">
        <v>3251</v>
      </c>
      <c r="E292" t="s">
        <v>3252</v>
      </c>
    </row>
    <row r="293" spans="1:5">
      <c r="A293" s="2">
        <v>45730</v>
      </c>
      <c r="B293" t="s">
        <v>3257</v>
      </c>
      <c r="C293">
        <v>968</v>
      </c>
      <c r="D293" t="s">
        <v>3251</v>
      </c>
      <c r="E293" t="s">
        <v>3252</v>
      </c>
    </row>
    <row r="294" spans="1:5">
      <c r="A294" s="2">
        <v>45731</v>
      </c>
      <c r="B294" t="s">
        <v>3250</v>
      </c>
      <c r="C294">
        <v>2632</v>
      </c>
      <c r="D294" t="s">
        <v>3251</v>
      </c>
      <c r="E294" t="s">
        <v>3252</v>
      </c>
    </row>
    <row r="295" spans="1:5">
      <c r="A295" s="2">
        <v>45731</v>
      </c>
      <c r="B295" t="s">
        <v>3253</v>
      </c>
      <c r="C295">
        <v>2124</v>
      </c>
      <c r="D295" t="s">
        <v>3256</v>
      </c>
      <c r="E295" t="s">
        <v>3252</v>
      </c>
    </row>
    <row r="296" spans="1:5">
      <c r="A296" s="2">
        <v>45731</v>
      </c>
      <c r="B296" t="s">
        <v>3255</v>
      </c>
      <c r="C296">
        <v>1830</v>
      </c>
      <c r="D296" t="s">
        <v>3256</v>
      </c>
      <c r="E296" t="s">
        <v>3252</v>
      </c>
    </row>
    <row r="297" spans="1:5">
      <c r="A297" s="2">
        <v>45731</v>
      </c>
      <c r="B297" t="s">
        <v>3257</v>
      </c>
      <c r="C297">
        <v>1482</v>
      </c>
      <c r="D297" t="s">
        <v>3258</v>
      </c>
      <c r="E297" t="s">
        <v>3252</v>
      </c>
    </row>
    <row r="298" spans="1:5">
      <c r="A298" s="2">
        <v>45732</v>
      </c>
      <c r="B298" t="s">
        <v>3250</v>
      </c>
      <c r="C298">
        <v>2808</v>
      </c>
      <c r="D298" t="s">
        <v>3256</v>
      </c>
      <c r="E298" t="s">
        <v>3252</v>
      </c>
    </row>
    <row r="299" spans="1:5">
      <c r="A299" s="2">
        <v>45732</v>
      </c>
      <c r="B299" t="s">
        <v>3253</v>
      </c>
      <c r="C299">
        <v>2245</v>
      </c>
      <c r="D299" t="s">
        <v>3251</v>
      </c>
      <c r="E299" t="s">
        <v>3252</v>
      </c>
    </row>
    <row r="300" spans="1:5">
      <c r="A300" s="2">
        <v>45732</v>
      </c>
      <c r="B300" t="s">
        <v>3255</v>
      </c>
      <c r="C300">
        <v>1683</v>
      </c>
      <c r="D300" t="s">
        <v>3256</v>
      </c>
      <c r="E300" t="s">
        <v>3252</v>
      </c>
    </row>
    <row r="301" spans="1:5">
      <c r="A301" s="2">
        <v>45732</v>
      </c>
      <c r="B301" t="s">
        <v>3257</v>
      </c>
      <c r="C301">
        <v>1475</v>
      </c>
      <c r="D301" t="s">
        <v>3251</v>
      </c>
      <c r="E301" t="s">
        <v>3252</v>
      </c>
    </row>
    <row r="302" spans="1:5">
      <c r="A302" s="2">
        <v>45733</v>
      </c>
      <c r="B302" t="s">
        <v>3250</v>
      </c>
      <c r="C302">
        <v>1704</v>
      </c>
      <c r="D302" t="s">
        <v>3256</v>
      </c>
      <c r="E302" t="s">
        <v>3252</v>
      </c>
    </row>
    <row r="303" spans="1:5">
      <c r="A303" s="2">
        <v>45733</v>
      </c>
      <c r="B303" t="s">
        <v>3253</v>
      </c>
      <c r="C303">
        <v>1383</v>
      </c>
      <c r="D303" t="s">
        <v>3251</v>
      </c>
      <c r="E303" t="s">
        <v>3252</v>
      </c>
    </row>
    <row r="304" spans="1:5">
      <c r="A304" s="2">
        <v>45733</v>
      </c>
      <c r="B304" t="s">
        <v>3255</v>
      </c>
      <c r="C304">
        <v>1090</v>
      </c>
      <c r="D304" t="s">
        <v>3258</v>
      </c>
      <c r="E304" t="s">
        <v>3252</v>
      </c>
    </row>
    <row r="305" spans="1:5">
      <c r="A305" s="2">
        <v>45733</v>
      </c>
      <c r="B305" t="s">
        <v>3257</v>
      </c>
      <c r="C305">
        <v>870</v>
      </c>
      <c r="D305" t="s">
        <v>3256</v>
      </c>
      <c r="E305" t="s">
        <v>3252</v>
      </c>
    </row>
    <row r="306" spans="1:5">
      <c r="A306" s="2">
        <v>45734</v>
      </c>
      <c r="B306" t="s">
        <v>3250</v>
      </c>
      <c r="C306">
        <v>1675</v>
      </c>
      <c r="D306" t="s">
        <v>3256</v>
      </c>
      <c r="E306" t="s">
        <v>3252</v>
      </c>
    </row>
    <row r="307" spans="1:5">
      <c r="A307" s="2">
        <v>45734</v>
      </c>
      <c r="B307" t="s">
        <v>3253</v>
      </c>
      <c r="C307">
        <v>1297</v>
      </c>
      <c r="D307" t="s">
        <v>3258</v>
      </c>
      <c r="E307" t="s">
        <v>3252</v>
      </c>
    </row>
    <row r="308" spans="1:5">
      <c r="A308" s="2">
        <v>45734</v>
      </c>
      <c r="B308" t="s">
        <v>3255</v>
      </c>
      <c r="C308">
        <v>1126</v>
      </c>
      <c r="D308" t="s">
        <v>3256</v>
      </c>
      <c r="E308" t="s">
        <v>3252</v>
      </c>
    </row>
    <row r="309" spans="1:5">
      <c r="A309" s="2">
        <v>45734</v>
      </c>
      <c r="B309" t="s">
        <v>3257</v>
      </c>
      <c r="C309">
        <v>875</v>
      </c>
      <c r="D309" t="s">
        <v>3251</v>
      </c>
      <c r="E309" t="s">
        <v>3252</v>
      </c>
    </row>
    <row r="310" spans="1:5">
      <c r="A310" s="2">
        <v>45735</v>
      </c>
      <c r="B310" t="s">
        <v>3250</v>
      </c>
      <c r="C310">
        <v>1979</v>
      </c>
      <c r="D310" t="s">
        <v>3251</v>
      </c>
      <c r="E310" t="s">
        <v>3252</v>
      </c>
    </row>
    <row r="311" spans="1:5">
      <c r="A311" s="2">
        <v>45735</v>
      </c>
      <c r="B311" t="s">
        <v>3253</v>
      </c>
      <c r="C311">
        <v>1390</v>
      </c>
      <c r="D311" t="s">
        <v>3251</v>
      </c>
      <c r="E311" t="s">
        <v>3252</v>
      </c>
    </row>
    <row r="312" spans="1:5">
      <c r="A312" s="2">
        <v>45735</v>
      </c>
      <c r="B312" t="s">
        <v>3255</v>
      </c>
      <c r="C312">
        <v>1205</v>
      </c>
      <c r="D312" t="s">
        <v>3251</v>
      </c>
      <c r="E312" t="s">
        <v>3252</v>
      </c>
    </row>
    <row r="313" spans="1:5">
      <c r="A313" s="2">
        <v>45735</v>
      </c>
      <c r="B313" t="s">
        <v>3257</v>
      </c>
      <c r="C313">
        <v>1004</v>
      </c>
      <c r="D313" t="s">
        <v>3251</v>
      </c>
      <c r="E313" t="s">
        <v>3252</v>
      </c>
    </row>
    <row r="314" spans="1:5">
      <c r="A314" s="2">
        <v>45736</v>
      </c>
      <c r="B314" t="s">
        <v>3250</v>
      </c>
      <c r="C314">
        <v>1691</v>
      </c>
      <c r="D314" t="s">
        <v>3251</v>
      </c>
      <c r="E314" t="s">
        <v>3252</v>
      </c>
    </row>
    <row r="315" spans="1:5">
      <c r="A315" s="2">
        <v>45736</v>
      </c>
      <c r="B315" t="s">
        <v>3253</v>
      </c>
      <c r="C315">
        <v>1456</v>
      </c>
      <c r="D315" t="s">
        <v>3251</v>
      </c>
      <c r="E315" t="s">
        <v>3252</v>
      </c>
    </row>
    <row r="316" spans="1:5">
      <c r="A316" s="2">
        <v>45736</v>
      </c>
      <c r="B316" t="s">
        <v>3255</v>
      </c>
      <c r="C316">
        <v>1255</v>
      </c>
      <c r="D316" t="s">
        <v>3251</v>
      </c>
      <c r="E316" t="s">
        <v>3252</v>
      </c>
    </row>
    <row r="317" spans="1:5">
      <c r="A317" s="2">
        <v>45736</v>
      </c>
      <c r="B317" t="s">
        <v>3257</v>
      </c>
      <c r="C317">
        <v>882</v>
      </c>
      <c r="D317" t="s">
        <v>3256</v>
      </c>
      <c r="E317" t="s">
        <v>3252</v>
      </c>
    </row>
    <row r="318" spans="1:5">
      <c r="A318" s="2">
        <v>45737</v>
      </c>
      <c r="B318" t="s">
        <v>3250</v>
      </c>
      <c r="C318">
        <v>1592</v>
      </c>
      <c r="D318" t="s">
        <v>3251</v>
      </c>
      <c r="E318" t="s">
        <v>3252</v>
      </c>
    </row>
    <row r="319" spans="1:5">
      <c r="A319" s="2">
        <v>45737</v>
      </c>
      <c r="B319" t="s">
        <v>3253</v>
      </c>
      <c r="C319">
        <v>1298</v>
      </c>
      <c r="D319" t="s">
        <v>3251</v>
      </c>
      <c r="E319" t="s">
        <v>3252</v>
      </c>
    </row>
    <row r="320" spans="1:5">
      <c r="A320" s="2">
        <v>45737</v>
      </c>
      <c r="B320" t="s">
        <v>3255</v>
      </c>
      <c r="C320">
        <v>1150</v>
      </c>
      <c r="D320" t="s">
        <v>3251</v>
      </c>
      <c r="E320" t="s">
        <v>3252</v>
      </c>
    </row>
    <row r="321" spans="1:5">
      <c r="A321" s="2">
        <v>45737</v>
      </c>
      <c r="B321" t="s">
        <v>3257</v>
      </c>
      <c r="C321">
        <v>940</v>
      </c>
      <c r="D321" t="s">
        <v>3251</v>
      </c>
      <c r="E321" t="s">
        <v>3252</v>
      </c>
    </row>
    <row r="322" spans="1:5">
      <c r="A322" s="2">
        <v>45738</v>
      </c>
      <c r="B322" t="s">
        <v>3250</v>
      </c>
      <c r="C322">
        <v>2879</v>
      </c>
      <c r="D322" t="s">
        <v>3251</v>
      </c>
      <c r="E322" t="s">
        <v>3252</v>
      </c>
    </row>
    <row r="323" spans="1:5">
      <c r="A323" s="2">
        <v>45738</v>
      </c>
      <c r="B323" t="s">
        <v>3253</v>
      </c>
      <c r="C323">
        <v>2184</v>
      </c>
      <c r="D323" t="s">
        <v>3251</v>
      </c>
      <c r="E323" t="s">
        <v>3252</v>
      </c>
    </row>
    <row r="324" spans="1:5">
      <c r="A324" s="2">
        <v>45738</v>
      </c>
      <c r="B324" t="s">
        <v>3255</v>
      </c>
      <c r="C324">
        <v>2040</v>
      </c>
      <c r="D324" t="s">
        <v>3256</v>
      </c>
      <c r="E324" t="s">
        <v>3252</v>
      </c>
    </row>
    <row r="325" spans="1:5">
      <c r="A325" s="2">
        <v>45738</v>
      </c>
      <c r="B325" t="s">
        <v>3257</v>
      </c>
      <c r="C325">
        <v>1612</v>
      </c>
      <c r="D325" t="s">
        <v>3258</v>
      </c>
      <c r="E325" t="s">
        <v>3252</v>
      </c>
    </row>
    <row r="326" spans="1:5">
      <c r="A326" s="2">
        <v>45739</v>
      </c>
      <c r="B326" t="s">
        <v>3250</v>
      </c>
      <c r="C326">
        <v>2754</v>
      </c>
      <c r="D326" t="s">
        <v>3258</v>
      </c>
      <c r="E326" t="s">
        <v>3252</v>
      </c>
    </row>
    <row r="327" spans="1:5">
      <c r="A327" s="2">
        <v>45739</v>
      </c>
      <c r="B327" t="s">
        <v>3253</v>
      </c>
      <c r="C327">
        <v>2326</v>
      </c>
      <c r="D327" t="s">
        <v>3251</v>
      </c>
      <c r="E327" t="s">
        <v>3252</v>
      </c>
    </row>
    <row r="328" spans="1:5">
      <c r="A328" s="2">
        <v>45739</v>
      </c>
      <c r="B328" t="s">
        <v>3255</v>
      </c>
      <c r="C328">
        <v>2226</v>
      </c>
      <c r="D328" t="s">
        <v>3251</v>
      </c>
      <c r="E328" t="s">
        <v>3252</v>
      </c>
    </row>
    <row r="329" spans="1:5">
      <c r="A329" s="2">
        <v>45739</v>
      </c>
      <c r="B329" t="s">
        <v>3257</v>
      </c>
      <c r="C329">
        <v>1435</v>
      </c>
      <c r="D329" t="s">
        <v>3256</v>
      </c>
      <c r="E329" t="s">
        <v>3252</v>
      </c>
    </row>
    <row r="330" spans="1:5">
      <c r="A330" s="2">
        <v>45740</v>
      </c>
      <c r="B330" t="s">
        <v>3250</v>
      </c>
      <c r="C330">
        <v>1417</v>
      </c>
      <c r="D330" t="s">
        <v>3251</v>
      </c>
      <c r="E330" t="s">
        <v>3252</v>
      </c>
    </row>
    <row r="331" spans="1:5">
      <c r="A331" s="2">
        <v>45740</v>
      </c>
      <c r="B331" t="s">
        <v>3253</v>
      </c>
      <c r="C331">
        <v>1233</v>
      </c>
      <c r="D331" t="s">
        <v>3251</v>
      </c>
      <c r="E331" t="s">
        <v>3252</v>
      </c>
    </row>
    <row r="332" spans="1:5">
      <c r="A332" s="2">
        <v>45740</v>
      </c>
      <c r="B332" t="s">
        <v>3255</v>
      </c>
      <c r="C332">
        <v>1103</v>
      </c>
      <c r="D332" t="s">
        <v>3251</v>
      </c>
      <c r="E332" t="s">
        <v>3252</v>
      </c>
    </row>
    <row r="333" spans="1:5">
      <c r="A333" s="2">
        <v>45740</v>
      </c>
      <c r="B333" t="s">
        <v>3257</v>
      </c>
      <c r="C333">
        <v>785</v>
      </c>
      <c r="D333" t="s">
        <v>3251</v>
      </c>
      <c r="E333" t="s">
        <v>3252</v>
      </c>
    </row>
    <row r="334" spans="1:5">
      <c r="A334" s="2">
        <v>45741</v>
      </c>
      <c r="B334" t="s">
        <v>3250</v>
      </c>
      <c r="C334">
        <v>1337</v>
      </c>
      <c r="D334" t="s">
        <v>3256</v>
      </c>
      <c r="E334" t="s">
        <v>3252</v>
      </c>
    </row>
    <row r="335" spans="1:5">
      <c r="A335" s="2">
        <v>45741</v>
      </c>
      <c r="B335" t="s">
        <v>3253</v>
      </c>
      <c r="C335">
        <v>1099</v>
      </c>
      <c r="D335" t="s">
        <v>3251</v>
      </c>
      <c r="E335" t="s">
        <v>3252</v>
      </c>
    </row>
    <row r="336" spans="1:5">
      <c r="A336" s="2">
        <v>45741</v>
      </c>
      <c r="B336" t="s">
        <v>3255</v>
      </c>
      <c r="C336">
        <v>913</v>
      </c>
      <c r="D336" t="s">
        <v>3251</v>
      </c>
      <c r="E336" t="s">
        <v>3252</v>
      </c>
    </row>
    <row r="337" spans="1:5">
      <c r="A337" s="2">
        <v>45741</v>
      </c>
      <c r="B337" t="s">
        <v>3257</v>
      </c>
      <c r="C337">
        <v>729</v>
      </c>
      <c r="D337" t="s">
        <v>3251</v>
      </c>
      <c r="E337" t="s">
        <v>3252</v>
      </c>
    </row>
    <row r="338" spans="1:5">
      <c r="A338" s="2">
        <v>45742</v>
      </c>
      <c r="B338" t="s">
        <v>3250</v>
      </c>
      <c r="C338">
        <v>1557</v>
      </c>
      <c r="D338" t="s">
        <v>3251</v>
      </c>
      <c r="E338" t="s">
        <v>3252</v>
      </c>
    </row>
    <row r="339" spans="1:5">
      <c r="A339" s="2">
        <v>45742</v>
      </c>
      <c r="B339" t="s">
        <v>3253</v>
      </c>
      <c r="C339">
        <v>1416</v>
      </c>
      <c r="D339" t="s">
        <v>3251</v>
      </c>
      <c r="E339" t="s">
        <v>3252</v>
      </c>
    </row>
    <row r="340" spans="1:5">
      <c r="A340" s="2">
        <v>45742</v>
      </c>
      <c r="B340" t="s">
        <v>3255</v>
      </c>
      <c r="C340">
        <v>1146</v>
      </c>
      <c r="D340" t="s">
        <v>3256</v>
      </c>
      <c r="E340" t="s">
        <v>3252</v>
      </c>
    </row>
    <row r="341" spans="1:5">
      <c r="A341" s="2">
        <v>45742</v>
      </c>
      <c r="B341" t="s">
        <v>3257</v>
      </c>
      <c r="C341">
        <v>979</v>
      </c>
      <c r="D341" t="s">
        <v>3256</v>
      </c>
      <c r="E341" t="s">
        <v>3252</v>
      </c>
    </row>
    <row r="342" spans="1:5">
      <c r="A342" s="2">
        <v>45743</v>
      </c>
      <c r="B342" t="s">
        <v>3250</v>
      </c>
      <c r="C342">
        <v>1469</v>
      </c>
      <c r="D342" t="s">
        <v>3251</v>
      </c>
      <c r="E342" t="s">
        <v>3252</v>
      </c>
    </row>
    <row r="343" spans="1:5">
      <c r="A343" s="2">
        <v>45743</v>
      </c>
      <c r="B343" t="s">
        <v>3253</v>
      </c>
      <c r="C343">
        <v>1094</v>
      </c>
      <c r="D343" t="s">
        <v>3251</v>
      </c>
      <c r="E343" t="s">
        <v>3252</v>
      </c>
    </row>
    <row r="344" spans="1:5">
      <c r="A344" s="2">
        <v>45743</v>
      </c>
      <c r="B344" t="s">
        <v>3255</v>
      </c>
      <c r="C344">
        <v>984</v>
      </c>
      <c r="D344" t="s">
        <v>3256</v>
      </c>
      <c r="E344" t="s">
        <v>3252</v>
      </c>
    </row>
    <row r="345" spans="1:5">
      <c r="A345" s="2">
        <v>45743</v>
      </c>
      <c r="B345" t="s">
        <v>3257</v>
      </c>
      <c r="C345">
        <v>782</v>
      </c>
      <c r="D345" t="s">
        <v>3251</v>
      </c>
      <c r="E345" t="s">
        <v>3252</v>
      </c>
    </row>
    <row r="346" spans="1:5">
      <c r="A346" s="2">
        <v>45744</v>
      </c>
      <c r="B346" t="s">
        <v>3250</v>
      </c>
      <c r="C346">
        <v>2006</v>
      </c>
      <c r="D346" t="s">
        <v>3251</v>
      </c>
      <c r="E346" t="s">
        <v>3252</v>
      </c>
    </row>
    <row r="347" spans="1:5">
      <c r="A347" s="2">
        <v>45744</v>
      </c>
      <c r="B347" t="s">
        <v>3253</v>
      </c>
      <c r="C347">
        <v>1687</v>
      </c>
      <c r="D347" t="s">
        <v>3251</v>
      </c>
      <c r="E347" t="s">
        <v>3252</v>
      </c>
    </row>
    <row r="348" spans="1:5">
      <c r="A348" s="2">
        <v>45744</v>
      </c>
      <c r="B348" t="s">
        <v>3255</v>
      </c>
      <c r="C348">
        <v>1454</v>
      </c>
      <c r="D348" t="s">
        <v>3258</v>
      </c>
      <c r="E348" t="s">
        <v>3252</v>
      </c>
    </row>
    <row r="349" spans="1:5">
      <c r="A349" s="2">
        <v>45744</v>
      </c>
      <c r="B349" t="s">
        <v>3257</v>
      </c>
      <c r="C349">
        <v>1204</v>
      </c>
      <c r="D349" t="s">
        <v>3258</v>
      </c>
      <c r="E349" t="s">
        <v>3252</v>
      </c>
    </row>
    <row r="350" spans="1:5">
      <c r="A350" s="2">
        <v>45745</v>
      </c>
      <c r="B350" t="s">
        <v>3250</v>
      </c>
      <c r="C350">
        <v>2866</v>
      </c>
      <c r="D350" t="s">
        <v>3251</v>
      </c>
      <c r="E350" t="s">
        <v>3252</v>
      </c>
    </row>
    <row r="351" spans="1:5">
      <c r="A351" s="2">
        <v>45745</v>
      </c>
      <c r="B351" t="s">
        <v>3253</v>
      </c>
      <c r="C351">
        <v>2338</v>
      </c>
      <c r="D351" t="s">
        <v>3251</v>
      </c>
      <c r="E351" t="s">
        <v>3252</v>
      </c>
    </row>
    <row r="352" spans="1:5">
      <c r="A352" s="2">
        <v>45745</v>
      </c>
      <c r="B352" t="s">
        <v>3255</v>
      </c>
      <c r="C352">
        <v>2087</v>
      </c>
      <c r="D352" t="s">
        <v>3258</v>
      </c>
      <c r="E352" t="s">
        <v>3252</v>
      </c>
    </row>
    <row r="353" spans="1:5">
      <c r="A353" s="2">
        <v>45745</v>
      </c>
      <c r="B353" t="s">
        <v>3257</v>
      </c>
      <c r="C353">
        <v>1635</v>
      </c>
      <c r="D353" t="s">
        <v>3251</v>
      </c>
      <c r="E353" t="s">
        <v>3252</v>
      </c>
    </row>
    <row r="354" spans="1:5">
      <c r="A354" s="2">
        <v>45746</v>
      </c>
      <c r="B354" t="s">
        <v>3250</v>
      </c>
      <c r="C354">
        <v>3012</v>
      </c>
      <c r="D354" t="s">
        <v>3251</v>
      </c>
      <c r="E354" t="s">
        <v>3252</v>
      </c>
    </row>
    <row r="355" spans="1:5">
      <c r="A355" s="2">
        <v>45746</v>
      </c>
      <c r="B355" t="s">
        <v>3253</v>
      </c>
      <c r="C355">
        <v>2547</v>
      </c>
      <c r="D355" t="s">
        <v>3258</v>
      </c>
      <c r="E355" t="s">
        <v>3252</v>
      </c>
    </row>
    <row r="356" spans="1:5">
      <c r="A356" s="2">
        <v>45746</v>
      </c>
      <c r="B356" t="s">
        <v>3255</v>
      </c>
      <c r="C356">
        <v>2175</v>
      </c>
      <c r="D356" t="s">
        <v>3256</v>
      </c>
      <c r="E356" t="s">
        <v>3252</v>
      </c>
    </row>
    <row r="357" spans="1:5">
      <c r="A357" s="2">
        <v>45746</v>
      </c>
      <c r="B357" t="s">
        <v>3257</v>
      </c>
      <c r="C357">
        <v>1526</v>
      </c>
      <c r="D357" t="s">
        <v>3251</v>
      </c>
      <c r="E357" t="s">
        <v>3252</v>
      </c>
    </row>
    <row r="358" spans="1:5">
      <c r="A358" s="2">
        <v>45747</v>
      </c>
      <c r="B358" t="s">
        <v>3250</v>
      </c>
      <c r="C358">
        <v>1630</v>
      </c>
      <c r="D358" t="s">
        <v>3251</v>
      </c>
      <c r="E358" t="s">
        <v>3252</v>
      </c>
    </row>
    <row r="359" spans="1:5">
      <c r="A359" s="2">
        <v>45747</v>
      </c>
      <c r="B359" t="s">
        <v>3253</v>
      </c>
      <c r="C359">
        <v>1560</v>
      </c>
      <c r="D359" t="s">
        <v>3256</v>
      </c>
      <c r="E359" t="s">
        <v>3252</v>
      </c>
    </row>
    <row r="360" spans="1:5">
      <c r="A360" s="2">
        <v>45747</v>
      </c>
      <c r="B360" t="s">
        <v>3255</v>
      </c>
      <c r="C360">
        <v>1383</v>
      </c>
      <c r="D360" t="s">
        <v>3256</v>
      </c>
      <c r="E360" t="s">
        <v>3252</v>
      </c>
    </row>
    <row r="361" spans="1:5">
      <c r="A361" s="2">
        <v>45747</v>
      </c>
      <c r="B361" t="s">
        <v>3257</v>
      </c>
      <c r="C361">
        <v>993</v>
      </c>
      <c r="D361" t="s">
        <v>3251</v>
      </c>
      <c r="E361" t="s">
        <v>3252</v>
      </c>
    </row>
    <row r="362" spans="1:5">
      <c r="A362" s="2">
        <v>45748</v>
      </c>
      <c r="B362" t="s">
        <v>3250</v>
      </c>
      <c r="C362">
        <v>1576</v>
      </c>
      <c r="D362" t="s">
        <v>3256</v>
      </c>
      <c r="E362" t="s">
        <v>3254</v>
      </c>
    </row>
    <row r="363" spans="1:5">
      <c r="A363" s="2">
        <v>45748</v>
      </c>
      <c r="B363" t="s">
        <v>3253</v>
      </c>
      <c r="C363">
        <v>1304</v>
      </c>
      <c r="D363" t="s">
        <v>3251</v>
      </c>
      <c r="E363" t="s">
        <v>3254</v>
      </c>
    </row>
    <row r="364" spans="1:5">
      <c r="A364" s="2">
        <v>45748</v>
      </c>
      <c r="B364" t="s">
        <v>3255</v>
      </c>
      <c r="C364">
        <v>1247</v>
      </c>
      <c r="D364" t="s">
        <v>3251</v>
      </c>
      <c r="E364" t="s">
        <v>3252</v>
      </c>
    </row>
    <row r="365" spans="1:5">
      <c r="A365" s="2">
        <v>45748</v>
      </c>
      <c r="B365" t="s">
        <v>3257</v>
      </c>
      <c r="C365">
        <v>928</v>
      </c>
      <c r="D365" t="s">
        <v>3251</v>
      </c>
      <c r="E365" t="s">
        <v>3252</v>
      </c>
    </row>
    <row r="366" spans="1:5">
      <c r="A366" s="2">
        <v>45749</v>
      </c>
      <c r="B366" t="s">
        <v>3250</v>
      </c>
      <c r="C366">
        <v>1349</v>
      </c>
      <c r="D366" t="s">
        <v>3251</v>
      </c>
      <c r="E366" t="s">
        <v>3252</v>
      </c>
    </row>
    <row r="367" spans="1:5">
      <c r="A367" s="2">
        <v>45749</v>
      </c>
      <c r="B367" t="s">
        <v>3253</v>
      </c>
      <c r="C367">
        <v>1116</v>
      </c>
      <c r="D367" t="s">
        <v>3251</v>
      </c>
      <c r="E367" t="s">
        <v>3252</v>
      </c>
    </row>
    <row r="368" spans="1:5">
      <c r="A368" s="2">
        <v>45749</v>
      </c>
      <c r="B368" t="s">
        <v>3255</v>
      </c>
      <c r="C368">
        <v>945</v>
      </c>
      <c r="D368" t="s">
        <v>3251</v>
      </c>
      <c r="E368" t="s">
        <v>3252</v>
      </c>
    </row>
    <row r="369" spans="1:5">
      <c r="A369" s="2">
        <v>45749</v>
      </c>
      <c r="B369" t="s">
        <v>3257</v>
      </c>
      <c r="C369">
        <v>815</v>
      </c>
      <c r="D369" t="s">
        <v>3251</v>
      </c>
      <c r="E369" t="s">
        <v>3252</v>
      </c>
    </row>
    <row r="370" spans="1:5">
      <c r="A370" s="2">
        <v>45750</v>
      </c>
      <c r="B370" t="s">
        <v>3250</v>
      </c>
      <c r="C370">
        <v>1675</v>
      </c>
      <c r="D370" t="s">
        <v>3256</v>
      </c>
      <c r="E370" t="s">
        <v>3252</v>
      </c>
    </row>
    <row r="371" spans="1:5">
      <c r="A371" s="2">
        <v>45750</v>
      </c>
      <c r="B371" t="s">
        <v>3253</v>
      </c>
      <c r="C371">
        <v>1541</v>
      </c>
      <c r="D371" t="s">
        <v>3251</v>
      </c>
      <c r="E371" t="s">
        <v>3252</v>
      </c>
    </row>
    <row r="372" spans="1:5">
      <c r="A372" s="2">
        <v>45750</v>
      </c>
      <c r="B372" t="s">
        <v>3255</v>
      </c>
      <c r="C372">
        <v>1215</v>
      </c>
      <c r="D372" t="s">
        <v>3251</v>
      </c>
      <c r="E372" t="s">
        <v>3252</v>
      </c>
    </row>
    <row r="373" spans="1:5">
      <c r="A373" s="2">
        <v>45750</v>
      </c>
      <c r="B373" t="s">
        <v>3257</v>
      </c>
      <c r="C373">
        <v>962</v>
      </c>
      <c r="D373" t="s">
        <v>3258</v>
      </c>
      <c r="E373" t="s">
        <v>3252</v>
      </c>
    </row>
    <row r="374" spans="1:5">
      <c r="A374" s="2">
        <v>45751</v>
      </c>
      <c r="B374" t="s">
        <v>3250</v>
      </c>
      <c r="C374">
        <v>1560</v>
      </c>
      <c r="D374" t="s">
        <v>3251</v>
      </c>
      <c r="E374" t="s">
        <v>3252</v>
      </c>
    </row>
    <row r="375" spans="1:5">
      <c r="A375" s="2">
        <v>45751</v>
      </c>
      <c r="B375" t="s">
        <v>3253</v>
      </c>
      <c r="C375">
        <v>1366</v>
      </c>
      <c r="D375" t="s">
        <v>3251</v>
      </c>
      <c r="E375" t="s">
        <v>3252</v>
      </c>
    </row>
    <row r="376" spans="1:5">
      <c r="A376" s="2">
        <v>45751</v>
      </c>
      <c r="B376" t="s">
        <v>3255</v>
      </c>
      <c r="C376">
        <v>1142</v>
      </c>
      <c r="D376" t="s">
        <v>3256</v>
      </c>
      <c r="E376" t="s">
        <v>3254</v>
      </c>
    </row>
    <row r="377" spans="1:5">
      <c r="A377" s="2">
        <v>45751</v>
      </c>
      <c r="B377" t="s">
        <v>3257</v>
      </c>
      <c r="C377">
        <v>854</v>
      </c>
      <c r="D377" t="s">
        <v>3251</v>
      </c>
      <c r="E377" t="s">
        <v>3252</v>
      </c>
    </row>
    <row r="378" spans="1:5">
      <c r="A378" s="2">
        <v>45752</v>
      </c>
      <c r="B378" t="s">
        <v>3250</v>
      </c>
      <c r="C378">
        <v>2251</v>
      </c>
      <c r="D378" t="s">
        <v>3256</v>
      </c>
      <c r="E378" t="s">
        <v>3254</v>
      </c>
    </row>
    <row r="379" spans="1:5">
      <c r="A379" s="2">
        <v>45752</v>
      </c>
      <c r="B379" t="s">
        <v>3253</v>
      </c>
      <c r="C379">
        <v>1977</v>
      </c>
      <c r="D379" t="s">
        <v>3251</v>
      </c>
      <c r="E379" t="s">
        <v>3252</v>
      </c>
    </row>
    <row r="380" spans="1:5">
      <c r="A380" s="2">
        <v>45752</v>
      </c>
      <c r="B380" t="s">
        <v>3255</v>
      </c>
      <c r="C380">
        <v>1736</v>
      </c>
      <c r="D380" t="s">
        <v>3258</v>
      </c>
      <c r="E380" t="s">
        <v>3252</v>
      </c>
    </row>
    <row r="381" spans="1:5">
      <c r="A381" s="2">
        <v>45752</v>
      </c>
      <c r="B381" t="s">
        <v>3257</v>
      </c>
      <c r="C381">
        <v>1377</v>
      </c>
      <c r="D381" t="s">
        <v>3256</v>
      </c>
      <c r="E381" t="s">
        <v>3252</v>
      </c>
    </row>
    <row r="382" spans="1:5">
      <c r="A382" s="2">
        <v>45753</v>
      </c>
      <c r="B382" t="s">
        <v>3250</v>
      </c>
      <c r="C382">
        <v>2270</v>
      </c>
      <c r="D382" t="s">
        <v>3256</v>
      </c>
      <c r="E382" t="s">
        <v>3252</v>
      </c>
    </row>
    <row r="383" spans="1:5">
      <c r="A383" s="2">
        <v>45753</v>
      </c>
      <c r="B383" t="s">
        <v>3253</v>
      </c>
      <c r="C383">
        <v>2025</v>
      </c>
      <c r="D383" t="s">
        <v>3251</v>
      </c>
      <c r="E383" t="s">
        <v>3252</v>
      </c>
    </row>
    <row r="384" spans="1:5">
      <c r="A384" s="2">
        <v>45753</v>
      </c>
      <c r="B384" t="s">
        <v>3255</v>
      </c>
      <c r="C384">
        <v>1668</v>
      </c>
      <c r="D384" t="s">
        <v>3251</v>
      </c>
      <c r="E384" t="s">
        <v>3252</v>
      </c>
    </row>
    <row r="385" spans="1:5">
      <c r="A385" s="2">
        <v>45753</v>
      </c>
      <c r="B385" t="s">
        <v>3257</v>
      </c>
      <c r="C385">
        <v>1337</v>
      </c>
      <c r="D385" t="s">
        <v>3251</v>
      </c>
      <c r="E385" t="s">
        <v>3252</v>
      </c>
    </row>
    <row r="386" spans="1:5">
      <c r="A386" s="2">
        <v>45754</v>
      </c>
      <c r="B386" t="s">
        <v>3250</v>
      </c>
      <c r="C386">
        <v>1688</v>
      </c>
      <c r="D386" t="s">
        <v>3251</v>
      </c>
      <c r="E386" t="s">
        <v>3252</v>
      </c>
    </row>
    <row r="387" spans="1:5">
      <c r="A387" s="2">
        <v>45754</v>
      </c>
      <c r="B387" t="s">
        <v>3253</v>
      </c>
      <c r="C387">
        <v>1503</v>
      </c>
      <c r="D387" t="s">
        <v>3251</v>
      </c>
      <c r="E387" t="s">
        <v>3252</v>
      </c>
    </row>
    <row r="388" spans="1:5">
      <c r="A388" s="2">
        <v>45754</v>
      </c>
      <c r="B388" t="s">
        <v>3255</v>
      </c>
      <c r="C388">
        <v>1239</v>
      </c>
      <c r="D388" t="s">
        <v>3258</v>
      </c>
      <c r="E388" t="s">
        <v>3252</v>
      </c>
    </row>
    <row r="389" spans="1:5">
      <c r="A389" s="2">
        <v>45754</v>
      </c>
      <c r="B389" t="s">
        <v>3257</v>
      </c>
      <c r="C389">
        <v>1019</v>
      </c>
      <c r="D389" t="s">
        <v>3256</v>
      </c>
      <c r="E389" t="s">
        <v>3252</v>
      </c>
    </row>
    <row r="390" spans="1:5">
      <c r="A390" s="2">
        <v>45755</v>
      </c>
      <c r="B390" t="s">
        <v>3250</v>
      </c>
      <c r="C390">
        <v>1857</v>
      </c>
      <c r="D390" t="s">
        <v>3251</v>
      </c>
      <c r="E390" t="s">
        <v>3252</v>
      </c>
    </row>
    <row r="391" spans="1:5">
      <c r="A391" s="2">
        <v>45755</v>
      </c>
      <c r="B391" t="s">
        <v>3253</v>
      </c>
      <c r="C391">
        <v>1406</v>
      </c>
      <c r="D391" t="s">
        <v>3251</v>
      </c>
      <c r="E391" t="s">
        <v>3252</v>
      </c>
    </row>
    <row r="392" spans="1:5">
      <c r="A392" s="2">
        <v>45755</v>
      </c>
      <c r="B392" t="s">
        <v>3255</v>
      </c>
      <c r="C392">
        <v>1215</v>
      </c>
      <c r="D392" t="s">
        <v>3251</v>
      </c>
      <c r="E392" t="s">
        <v>3252</v>
      </c>
    </row>
    <row r="393" spans="1:5">
      <c r="A393" s="2">
        <v>45755</v>
      </c>
      <c r="B393" t="s">
        <v>3257</v>
      </c>
      <c r="C393">
        <v>909</v>
      </c>
      <c r="D393" t="s">
        <v>3256</v>
      </c>
      <c r="E393" t="s">
        <v>3252</v>
      </c>
    </row>
    <row r="394" spans="1:5">
      <c r="A394" s="2">
        <v>45756</v>
      </c>
      <c r="B394" t="s">
        <v>3250</v>
      </c>
      <c r="C394">
        <v>1532</v>
      </c>
      <c r="D394" t="s">
        <v>3256</v>
      </c>
      <c r="E394" t="s">
        <v>3252</v>
      </c>
    </row>
    <row r="395" spans="1:5">
      <c r="A395" s="2">
        <v>45756</v>
      </c>
      <c r="B395" t="s">
        <v>3253</v>
      </c>
      <c r="C395">
        <v>1360</v>
      </c>
      <c r="D395" t="s">
        <v>3256</v>
      </c>
      <c r="E395" t="s">
        <v>3254</v>
      </c>
    </row>
    <row r="396" spans="1:5">
      <c r="A396" s="2">
        <v>45756</v>
      </c>
      <c r="B396" t="s">
        <v>3255</v>
      </c>
      <c r="C396">
        <v>1150</v>
      </c>
      <c r="D396" t="s">
        <v>3258</v>
      </c>
      <c r="E396" t="s">
        <v>3252</v>
      </c>
    </row>
    <row r="397" spans="1:5">
      <c r="A397" s="2">
        <v>45756</v>
      </c>
      <c r="B397" t="s">
        <v>3257</v>
      </c>
      <c r="C397">
        <v>921</v>
      </c>
      <c r="D397" t="s">
        <v>3251</v>
      </c>
      <c r="E397" t="s">
        <v>3252</v>
      </c>
    </row>
    <row r="398" spans="1:5">
      <c r="A398" s="2">
        <v>45757</v>
      </c>
      <c r="B398" t="s">
        <v>3250</v>
      </c>
      <c r="C398">
        <v>1618</v>
      </c>
      <c r="D398" t="s">
        <v>3251</v>
      </c>
      <c r="E398" t="s">
        <v>3254</v>
      </c>
    </row>
    <row r="399" spans="1:5">
      <c r="A399" s="2">
        <v>45757</v>
      </c>
      <c r="B399" t="s">
        <v>3253</v>
      </c>
      <c r="C399">
        <v>1301</v>
      </c>
      <c r="D399" t="s">
        <v>3251</v>
      </c>
      <c r="E399" t="s">
        <v>3252</v>
      </c>
    </row>
    <row r="400" spans="1:5">
      <c r="A400" s="2">
        <v>45757</v>
      </c>
      <c r="B400" t="s">
        <v>3255</v>
      </c>
      <c r="C400">
        <v>1062</v>
      </c>
      <c r="D400" t="s">
        <v>3251</v>
      </c>
      <c r="E400" t="s">
        <v>3252</v>
      </c>
    </row>
    <row r="401" spans="1:5">
      <c r="A401" s="2">
        <v>45757</v>
      </c>
      <c r="B401" t="s">
        <v>3257</v>
      </c>
      <c r="C401">
        <v>876</v>
      </c>
      <c r="D401" t="s">
        <v>3251</v>
      </c>
      <c r="E401" t="s">
        <v>3252</v>
      </c>
    </row>
    <row r="402" spans="1:5">
      <c r="A402" s="2">
        <v>45758</v>
      </c>
      <c r="B402" t="s">
        <v>3250</v>
      </c>
      <c r="C402">
        <v>1698</v>
      </c>
      <c r="D402" t="s">
        <v>3256</v>
      </c>
      <c r="E402" t="s">
        <v>3252</v>
      </c>
    </row>
    <row r="403" spans="1:5">
      <c r="A403" s="2">
        <v>45758</v>
      </c>
      <c r="B403" t="s">
        <v>3253</v>
      </c>
      <c r="C403">
        <v>1462</v>
      </c>
      <c r="D403" t="s">
        <v>3251</v>
      </c>
      <c r="E403" t="s">
        <v>3252</v>
      </c>
    </row>
    <row r="404" spans="1:5">
      <c r="A404" s="2">
        <v>45758</v>
      </c>
      <c r="B404" t="s">
        <v>3255</v>
      </c>
      <c r="C404">
        <v>1231</v>
      </c>
      <c r="D404" t="s">
        <v>3251</v>
      </c>
      <c r="E404" t="s">
        <v>3252</v>
      </c>
    </row>
    <row r="405" spans="1:5">
      <c r="A405" s="2">
        <v>45758</v>
      </c>
      <c r="B405" t="s">
        <v>3257</v>
      </c>
      <c r="C405">
        <v>947</v>
      </c>
      <c r="D405" t="s">
        <v>3251</v>
      </c>
      <c r="E405" t="s">
        <v>3252</v>
      </c>
    </row>
    <row r="406" spans="1:5">
      <c r="A406" s="2">
        <v>45759</v>
      </c>
      <c r="B406" t="s">
        <v>3250</v>
      </c>
      <c r="C406">
        <v>2578</v>
      </c>
      <c r="D406" t="s">
        <v>3256</v>
      </c>
      <c r="E406" t="s">
        <v>3252</v>
      </c>
    </row>
    <row r="407" spans="1:5">
      <c r="A407" s="2">
        <v>45759</v>
      </c>
      <c r="B407" t="s">
        <v>3253</v>
      </c>
      <c r="C407">
        <v>2239</v>
      </c>
      <c r="D407" t="s">
        <v>3251</v>
      </c>
      <c r="E407" t="s">
        <v>3252</v>
      </c>
    </row>
    <row r="408" spans="1:5">
      <c r="A408" s="2">
        <v>45759</v>
      </c>
      <c r="B408" t="s">
        <v>3255</v>
      </c>
      <c r="C408">
        <v>1766</v>
      </c>
      <c r="D408" t="s">
        <v>3251</v>
      </c>
      <c r="E408" t="s">
        <v>3252</v>
      </c>
    </row>
    <row r="409" spans="1:5">
      <c r="A409" s="2">
        <v>45759</v>
      </c>
      <c r="B409" t="s">
        <v>3257</v>
      </c>
      <c r="C409">
        <v>1408</v>
      </c>
      <c r="D409" t="s">
        <v>3256</v>
      </c>
      <c r="E409" t="s">
        <v>3254</v>
      </c>
    </row>
    <row r="410" spans="1:5">
      <c r="A410" s="2">
        <v>45760</v>
      </c>
      <c r="B410" t="s">
        <v>3250</v>
      </c>
      <c r="C410">
        <v>2691</v>
      </c>
      <c r="D410" t="s">
        <v>3251</v>
      </c>
      <c r="E410" t="s">
        <v>3254</v>
      </c>
    </row>
    <row r="411" spans="1:5">
      <c r="A411" s="2">
        <v>45760</v>
      </c>
      <c r="B411" t="s">
        <v>3253</v>
      </c>
      <c r="C411">
        <v>2231</v>
      </c>
      <c r="D411" t="s">
        <v>3251</v>
      </c>
      <c r="E411" t="s">
        <v>3252</v>
      </c>
    </row>
    <row r="412" spans="1:5">
      <c r="A412" s="2">
        <v>45760</v>
      </c>
      <c r="B412" t="s">
        <v>3255</v>
      </c>
      <c r="C412">
        <v>1883</v>
      </c>
      <c r="D412" t="s">
        <v>3256</v>
      </c>
      <c r="E412" t="s">
        <v>3252</v>
      </c>
    </row>
    <row r="413" spans="1:5">
      <c r="A413" s="2">
        <v>45760</v>
      </c>
      <c r="B413" t="s">
        <v>3257</v>
      </c>
      <c r="C413">
        <v>1480</v>
      </c>
      <c r="D413" t="s">
        <v>3251</v>
      </c>
      <c r="E413" t="s">
        <v>3252</v>
      </c>
    </row>
    <row r="414" spans="1:5">
      <c r="A414" s="2">
        <v>45761</v>
      </c>
      <c r="B414" t="s">
        <v>3250</v>
      </c>
      <c r="C414">
        <v>1426</v>
      </c>
      <c r="D414" t="s">
        <v>3256</v>
      </c>
      <c r="E414" t="s">
        <v>3254</v>
      </c>
    </row>
    <row r="415" spans="1:5">
      <c r="A415" s="2">
        <v>45761</v>
      </c>
      <c r="B415" t="s">
        <v>3253</v>
      </c>
      <c r="C415">
        <v>1209</v>
      </c>
      <c r="D415" t="s">
        <v>3256</v>
      </c>
      <c r="E415" t="s">
        <v>3252</v>
      </c>
    </row>
    <row r="416" spans="1:5">
      <c r="A416" s="2">
        <v>45761</v>
      </c>
      <c r="B416" t="s">
        <v>3255</v>
      </c>
      <c r="C416">
        <v>1041</v>
      </c>
      <c r="D416" t="s">
        <v>3251</v>
      </c>
      <c r="E416" t="s">
        <v>3252</v>
      </c>
    </row>
    <row r="417" spans="1:5">
      <c r="A417" s="2">
        <v>45761</v>
      </c>
      <c r="B417" t="s">
        <v>3257</v>
      </c>
      <c r="C417">
        <v>883</v>
      </c>
      <c r="D417" t="s">
        <v>3251</v>
      </c>
      <c r="E417" t="s">
        <v>3252</v>
      </c>
    </row>
    <row r="418" spans="1:5">
      <c r="A418" s="2">
        <v>45762</v>
      </c>
      <c r="B418" t="s">
        <v>3250</v>
      </c>
      <c r="C418">
        <v>1519</v>
      </c>
      <c r="D418" t="s">
        <v>3251</v>
      </c>
      <c r="E418" t="s">
        <v>3254</v>
      </c>
    </row>
    <row r="419" spans="1:5">
      <c r="A419" s="2">
        <v>45762</v>
      </c>
      <c r="B419" t="s">
        <v>3253</v>
      </c>
      <c r="C419">
        <v>1256</v>
      </c>
      <c r="D419" t="s">
        <v>3251</v>
      </c>
      <c r="E419" t="s">
        <v>3252</v>
      </c>
    </row>
    <row r="420" spans="1:5">
      <c r="A420" s="2">
        <v>45762</v>
      </c>
      <c r="B420" t="s">
        <v>3255</v>
      </c>
      <c r="C420">
        <v>1101</v>
      </c>
      <c r="D420" t="s">
        <v>3258</v>
      </c>
      <c r="E420" t="s">
        <v>3254</v>
      </c>
    </row>
    <row r="421" spans="1:5">
      <c r="A421" s="2">
        <v>45762</v>
      </c>
      <c r="B421" t="s">
        <v>3257</v>
      </c>
      <c r="C421">
        <v>830</v>
      </c>
      <c r="D421" t="s">
        <v>3251</v>
      </c>
      <c r="E421" t="s">
        <v>3252</v>
      </c>
    </row>
    <row r="422" spans="1:5">
      <c r="A422" s="2">
        <v>45763</v>
      </c>
      <c r="B422" t="s">
        <v>3250</v>
      </c>
      <c r="C422">
        <v>1752</v>
      </c>
      <c r="D422" t="s">
        <v>3256</v>
      </c>
      <c r="E422" t="s">
        <v>3252</v>
      </c>
    </row>
    <row r="423" spans="1:5">
      <c r="A423" s="2">
        <v>45763</v>
      </c>
      <c r="B423" t="s">
        <v>3253</v>
      </c>
      <c r="C423">
        <v>1295</v>
      </c>
      <c r="D423" t="s">
        <v>3256</v>
      </c>
      <c r="E423" t="s">
        <v>3252</v>
      </c>
    </row>
    <row r="424" spans="1:5">
      <c r="A424" s="2">
        <v>45763</v>
      </c>
      <c r="B424" t="s">
        <v>3255</v>
      </c>
      <c r="C424">
        <v>1084</v>
      </c>
      <c r="D424" t="s">
        <v>3251</v>
      </c>
      <c r="E424" t="s">
        <v>3252</v>
      </c>
    </row>
    <row r="425" spans="1:5">
      <c r="A425" s="2">
        <v>45763</v>
      </c>
      <c r="B425" t="s">
        <v>3257</v>
      </c>
      <c r="C425">
        <v>1030</v>
      </c>
      <c r="D425" t="s">
        <v>3256</v>
      </c>
      <c r="E425" t="s">
        <v>3254</v>
      </c>
    </row>
    <row r="426" spans="1:5">
      <c r="A426" s="2">
        <v>45764</v>
      </c>
      <c r="B426" t="s">
        <v>3250</v>
      </c>
      <c r="C426">
        <v>1466</v>
      </c>
      <c r="D426" t="s">
        <v>3251</v>
      </c>
      <c r="E426" t="s">
        <v>3252</v>
      </c>
    </row>
    <row r="427" spans="1:5">
      <c r="A427" s="2">
        <v>45764</v>
      </c>
      <c r="B427" t="s">
        <v>3253</v>
      </c>
      <c r="C427">
        <v>1247</v>
      </c>
      <c r="D427" t="s">
        <v>3256</v>
      </c>
      <c r="E427" t="s">
        <v>3252</v>
      </c>
    </row>
    <row r="428" spans="1:5">
      <c r="A428" s="2">
        <v>45764</v>
      </c>
      <c r="B428" t="s">
        <v>3255</v>
      </c>
      <c r="C428">
        <v>1075</v>
      </c>
      <c r="D428" t="s">
        <v>3251</v>
      </c>
      <c r="E428" t="s">
        <v>3252</v>
      </c>
    </row>
    <row r="429" spans="1:5">
      <c r="A429" s="2">
        <v>45764</v>
      </c>
      <c r="B429" t="s">
        <v>3257</v>
      </c>
      <c r="C429">
        <v>893</v>
      </c>
      <c r="D429" t="s">
        <v>3251</v>
      </c>
      <c r="E429" t="s">
        <v>3252</v>
      </c>
    </row>
    <row r="430" spans="1:5">
      <c r="A430" s="2">
        <v>45765</v>
      </c>
      <c r="B430" t="s">
        <v>3250</v>
      </c>
      <c r="C430">
        <v>1511</v>
      </c>
      <c r="D430" t="s">
        <v>3251</v>
      </c>
      <c r="E430" t="s">
        <v>3252</v>
      </c>
    </row>
    <row r="431" spans="1:5">
      <c r="A431" s="2">
        <v>45765</v>
      </c>
      <c r="B431" t="s">
        <v>3253</v>
      </c>
      <c r="C431">
        <v>1216</v>
      </c>
      <c r="D431" t="s">
        <v>3256</v>
      </c>
      <c r="E431" t="s">
        <v>3252</v>
      </c>
    </row>
    <row r="432" spans="1:5">
      <c r="A432" s="2">
        <v>45765</v>
      </c>
      <c r="B432" t="s">
        <v>3255</v>
      </c>
      <c r="C432">
        <v>1045</v>
      </c>
      <c r="D432" t="s">
        <v>3251</v>
      </c>
      <c r="E432" t="s">
        <v>3252</v>
      </c>
    </row>
    <row r="433" spans="1:5">
      <c r="A433" s="2">
        <v>45765</v>
      </c>
      <c r="B433" t="s">
        <v>3257</v>
      </c>
      <c r="C433">
        <v>813</v>
      </c>
      <c r="D433" t="s">
        <v>3251</v>
      </c>
      <c r="E433" t="s">
        <v>3252</v>
      </c>
    </row>
    <row r="434" spans="1:5">
      <c r="A434" s="2">
        <v>45766</v>
      </c>
      <c r="B434" t="s">
        <v>3250</v>
      </c>
      <c r="C434">
        <v>2935</v>
      </c>
      <c r="D434" t="s">
        <v>3256</v>
      </c>
      <c r="E434" t="s">
        <v>3252</v>
      </c>
    </row>
    <row r="435" spans="1:5">
      <c r="A435" s="2">
        <v>45766</v>
      </c>
      <c r="B435" t="s">
        <v>3253</v>
      </c>
      <c r="C435">
        <v>2499</v>
      </c>
      <c r="D435" t="s">
        <v>3251</v>
      </c>
      <c r="E435" t="s">
        <v>3252</v>
      </c>
    </row>
    <row r="436" spans="1:5">
      <c r="A436" s="2">
        <v>45766</v>
      </c>
      <c r="B436" t="s">
        <v>3255</v>
      </c>
      <c r="C436">
        <v>2295</v>
      </c>
      <c r="D436" t="s">
        <v>3251</v>
      </c>
      <c r="E436" t="s">
        <v>3252</v>
      </c>
    </row>
    <row r="437" spans="1:5">
      <c r="A437" s="2">
        <v>45766</v>
      </c>
      <c r="B437" t="s">
        <v>3257</v>
      </c>
      <c r="C437">
        <v>1700</v>
      </c>
      <c r="D437" t="s">
        <v>3251</v>
      </c>
      <c r="E437" t="s">
        <v>3254</v>
      </c>
    </row>
    <row r="438" spans="1:5">
      <c r="A438" s="2">
        <v>45767</v>
      </c>
      <c r="B438" t="s">
        <v>3250</v>
      </c>
      <c r="C438">
        <v>3242</v>
      </c>
      <c r="D438" t="s">
        <v>3251</v>
      </c>
      <c r="E438" t="s">
        <v>3252</v>
      </c>
    </row>
    <row r="439" spans="1:5">
      <c r="A439" s="2">
        <v>45767</v>
      </c>
      <c r="B439" t="s">
        <v>3253</v>
      </c>
      <c r="C439">
        <v>2670</v>
      </c>
      <c r="D439" t="s">
        <v>3258</v>
      </c>
      <c r="E439" t="s">
        <v>3254</v>
      </c>
    </row>
    <row r="440" spans="1:5">
      <c r="A440" s="2">
        <v>45767</v>
      </c>
      <c r="B440" t="s">
        <v>3255</v>
      </c>
      <c r="C440">
        <v>2137</v>
      </c>
      <c r="D440" t="s">
        <v>3251</v>
      </c>
      <c r="E440" t="s">
        <v>3252</v>
      </c>
    </row>
    <row r="441" spans="1:5">
      <c r="A441" s="2">
        <v>45767</v>
      </c>
      <c r="B441" t="s">
        <v>3257</v>
      </c>
      <c r="C441">
        <v>1689</v>
      </c>
      <c r="D441" t="s">
        <v>3256</v>
      </c>
      <c r="E441" t="s">
        <v>3252</v>
      </c>
    </row>
    <row r="442" spans="1:5">
      <c r="A442" s="2">
        <v>45768</v>
      </c>
      <c r="B442" t="s">
        <v>3250</v>
      </c>
      <c r="C442">
        <v>1939</v>
      </c>
      <c r="D442" t="s">
        <v>3258</v>
      </c>
      <c r="E442" t="s">
        <v>3254</v>
      </c>
    </row>
    <row r="443" spans="1:5">
      <c r="A443" s="2">
        <v>45768</v>
      </c>
      <c r="B443" t="s">
        <v>3253</v>
      </c>
      <c r="C443">
        <v>1645</v>
      </c>
      <c r="D443" t="s">
        <v>3251</v>
      </c>
      <c r="E443" t="s">
        <v>3252</v>
      </c>
    </row>
    <row r="444" spans="1:5">
      <c r="A444" s="2">
        <v>45768</v>
      </c>
      <c r="B444" t="s">
        <v>3255</v>
      </c>
      <c r="C444">
        <v>1403</v>
      </c>
      <c r="D444" t="s">
        <v>3256</v>
      </c>
      <c r="E444" t="s">
        <v>3252</v>
      </c>
    </row>
    <row r="445" spans="1:5">
      <c r="A445" s="2">
        <v>45768</v>
      </c>
      <c r="B445" t="s">
        <v>3257</v>
      </c>
      <c r="C445">
        <v>1008</v>
      </c>
      <c r="D445" t="s">
        <v>3251</v>
      </c>
      <c r="E445" t="s">
        <v>3252</v>
      </c>
    </row>
    <row r="446" spans="1:5">
      <c r="A446" s="2">
        <v>45769</v>
      </c>
      <c r="B446" t="s">
        <v>3250</v>
      </c>
      <c r="C446">
        <v>1161</v>
      </c>
      <c r="D446" t="s">
        <v>3251</v>
      </c>
      <c r="E446" t="s">
        <v>3252</v>
      </c>
    </row>
    <row r="447" spans="1:5">
      <c r="A447" s="2">
        <v>45769</v>
      </c>
      <c r="B447" t="s">
        <v>3253</v>
      </c>
      <c r="C447">
        <v>977</v>
      </c>
      <c r="D447" t="s">
        <v>3251</v>
      </c>
      <c r="E447" t="s">
        <v>3252</v>
      </c>
    </row>
    <row r="448" spans="1:5">
      <c r="A448" s="2">
        <v>45769</v>
      </c>
      <c r="B448" t="s">
        <v>3255</v>
      </c>
      <c r="C448">
        <v>895</v>
      </c>
      <c r="D448" t="s">
        <v>3256</v>
      </c>
      <c r="E448" t="s">
        <v>3252</v>
      </c>
    </row>
    <row r="449" spans="1:5">
      <c r="A449" s="2">
        <v>45769</v>
      </c>
      <c r="B449" t="s">
        <v>3257</v>
      </c>
      <c r="C449">
        <v>705</v>
      </c>
      <c r="D449" t="s">
        <v>3251</v>
      </c>
      <c r="E449" t="s">
        <v>3252</v>
      </c>
    </row>
    <row r="450" spans="1:5">
      <c r="A450" s="2">
        <v>45770</v>
      </c>
      <c r="B450" t="s">
        <v>3250</v>
      </c>
      <c r="C450">
        <v>1612</v>
      </c>
      <c r="D450" t="s">
        <v>3258</v>
      </c>
      <c r="E450" t="s">
        <v>3252</v>
      </c>
    </row>
    <row r="451" spans="1:5">
      <c r="A451" s="2">
        <v>45770</v>
      </c>
      <c r="B451" t="s">
        <v>3253</v>
      </c>
      <c r="C451">
        <v>1280</v>
      </c>
      <c r="D451" t="s">
        <v>3251</v>
      </c>
      <c r="E451" t="s">
        <v>3252</v>
      </c>
    </row>
    <row r="452" spans="1:5">
      <c r="A452" s="2">
        <v>45770</v>
      </c>
      <c r="B452" t="s">
        <v>3255</v>
      </c>
      <c r="C452">
        <v>1135</v>
      </c>
      <c r="D452" t="s">
        <v>3256</v>
      </c>
      <c r="E452" t="s">
        <v>3252</v>
      </c>
    </row>
    <row r="453" spans="1:5">
      <c r="A453" s="2">
        <v>45770</v>
      </c>
      <c r="B453" t="s">
        <v>3257</v>
      </c>
      <c r="C453">
        <v>896</v>
      </c>
      <c r="D453" t="s">
        <v>3251</v>
      </c>
      <c r="E453" t="s">
        <v>3252</v>
      </c>
    </row>
    <row r="454" spans="1:5">
      <c r="A454" s="2">
        <v>45771</v>
      </c>
      <c r="B454" t="s">
        <v>3250</v>
      </c>
      <c r="C454">
        <v>1945</v>
      </c>
      <c r="D454" t="s">
        <v>3256</v>
      </c>
      <c r="E454" t="s">
        <v>3252</v>
      </c>
    </row>
    <row r="455" spans="1:5">
      <c r="A455" s="2">
        <v>45771</v>
      </c>
      <c r="B455" t="s">
        <v>3253</v>
      </c>
      <c r="C455">
        <v>1749</v>
      </c>
      <c r="D455" t="s">
        <v>3251</v>
      </c>
      <c r="E455" t="s">
        <v>3252</v>
      </c>
    </row>
    <row r="456" spans="1:5">
      <c r="A456" s="2">
        <v>45771</v>
      </c>
      <c r="B456" t="s">
        <v>3255</v>
      </c>
      <c r="C456">
        <v>1424</v>
      </c>
      <c r="D456" t="s">
        <v>3256</v>
      </c>
      <c r="E456" t="s">
        <v>3252</v>
      </c>
    </row>
    <row r="457" spans="1:5">
      <c r="A457" s="2">
        <v>45771</v>
      </c>
      <c r="B457" t="s">
        <v>3257</v>
      </c>
      <c r="C457">
        <v>1157</v>
      </c>
      <c r="D457" t="s">
        <v>3256</v>
      </c>
      <c r="E457" t="s">
        <v>3254</v>
      </c>
    </row>
    <row r="458" spans="1:5">
      <c r="A458" s="2">
        <v>45772</v>
      </c>
      <c r="B458" t="s">
        <v>3250</v>
      </c>
      <c r="C458">
        <v>1897</v>
      </c>
      <c r="D458" t="s">
        <v>3258</v>
      </c>
      <c r="E458" t="s">
        <v>3252</v>
      </c>
    </row>
    <row r="459" spans="1:5">
      <c r="A459" s="2">
        <v>45772</v>
      </c>
      <c r="B459" t="s">
        <v>3253</v>
      </c>
      <c r="C459">
        <v>1633</v>
      </c>
      <c r="D459" t="s">
        <v>3251</v>
      </c>
      <c r="E459" t="s">
        <v>3252</v>
      </c>
    </row>
    <row r="460" spans="1:5">
      <c r="A460" s="2">
        <v>45772</v>
      </c>
      <c r="B460" t="s">
        <v>3255</v>
      </c>
      <c r="C460">
        <v>1414</v>
      </c>
      <c r="D460" t="s">
        <v>3251</v>
      </c>
      <c r="E460" t="s">
        <v>3252</v>
      </c>
    </row>
    <row r="461" spans="1:5">
      <c r="A461" s="2">
        <v>45772</v>
      </c>
      <c r="B461" t="s">
        <v>3257</v>
      </c>
      <c r="C461">
        <v>969</v>
      </c>
      <c r="D461" t="s">
        <v>3251</v>
      </c>
      <c r="E461" t="s">
        <v>3252</v>
      </c>
    </row>
    <row r="462" spans="1:5">
      <c r="A462" s="2">
        <v>45773</v>
      </c>
      <c r="B462" t="s">
        <v>3250</v>
      </c>
      <c r="C462">
        <v>2766</v>
      </c>
      <c r="D462" t="s">
        <v>3251</v>
      </c>
      <c r="E462" t="s">
        <v>3252</v>
      </c>
    </row>
    <row r="463" spans="1:5">
      <c r="A463" s="2">
        <v>45773</v>
      </c>
      <c r="B463" t="s">
        <v>3253</v>
      </c>
      <c r="C463">
        <v>2536</v>
      </c>
      <c r="D463" t="s">
        <v>3251</v>
      </c>
      <c r="E463" t="s">
        <v>3252</v>
      </c>
    </row>
    <row r="464" spans="1:5">
      <c r="A464" s="2">
        <v>45773</v>
      </c>
      <c r="B464" t="s">
        <v>3255</v>
      </c>
      <c r="C464">
        <v>1920</v>
      </c>
      <c r="D464" t="s">
        <v>3256</v>
      </c>
      <c r="E464" t="s">
        <v>3252</v>
      </c>
    </row>
    <row r="465" spans="1:5">
      <c r="A465" s="2">
        <v>45773</v>
      </c>
      <c r="B465" t="s">
        <v>3257</v>
      </c>
      <c r="C465">
        <v>1556</v>
      </c>
      <c r="D465" t="s">
        <v>3258</v>
      </c>
      <c r="E465" t="s">
        <v>3252</v>
      </c>
    </row>
    <row r="466" spans="1:5">
      <c r="A466" s="2">
        <v>45774</v>
      </c>
      <c r="B466" t="s">
        <v>3250</v>
      </c>
      <c r="C466">
        <v>2432</v>
      </c>
      <c r="D466" t="s">
        <v>3251</v>
      </c>
      <c r="E466" t="s">
        <v>3252</v>
      </c>
    </row>
    <row r="467" spans="1:5">
      <c r="A467" s="2">
        <v>45774</v>
      </c>
      <c r="B467" t="s">
        <v>3253</v>
      </c>
      <c r="C467">
        <v>1951</v>
      </c>
      <c r="D467" t="s">
        <v>3256</v>
      </c>
      <c r="E467" t="s">
        <v>3252</v>
      </c>
    </row>
    <row r="468" spans="1:5">
      <c r="A468" s="2">
        <v>45774</v>
      </c>
      <c r="B468" t="s">
        <v>3255</v>
      </c>
      <c r="C468">
        <v>1832</v>
      </c>
      <c r="D468" t="s">
        <v>3258</v>
      </c>
      <c r="E468" t="s">
        <v>3252</v>
      </c>
    </row>
    <row r="469" spans="1:5">
      <c r="A469" s="2">
        <v>45774</v>
      </c>
      <c r="B469" t="s">
        <v>3257</v>
      </c>
      <c r="C469">
        <v>1542</v>
      </c>
      <c r="D469" t="s">
        <v>3251</v>
      </c>
      <c r="E469" t="s">
        <v>3252</v>
      </c>
    </row>
    <row r="470" spans="1:5">
      <c r="A470" s="2">
        <v>45775</v>
      </c>
      <c r="B470" t="s">
        <v>3250</v>
      </c>
      <c r="C470">
        <v>1442</v>
      </c>
      <c r="D470" t="s">
        <v>3256</v>
      </c>
      <c r="E470" t="s">
        <v>3252</v>
      </c>
    </row>
    <row r="471" spans="1:5">
      <c r="A471" s="2">
        <v>45775</v>
      </c>
      <c r="B471" t="s">
        <v>3253</v>
      </c>
      <c r="C471">
        <v>1202</v>
      </c>
      <c r="D471" t="s">
        <v>3256</v>
      </c>
      <c r="E471" t="s">
        <v>3254</v>
      </c>
    </row>
    <row r="472" spans="1:5">
      <c r="A472" s="2">
        <v>45775</v>
      </c>
      <c r="B472" t="s">
        <v>3255</v>
      </c>
      <c r="C472">
        <v>1015</v>
      </c>
      <c r="D472" t="s">
        <v>3251</v>
      </c>
      <c r="E472" t="s">
        <v>3252</v>
      </c>
    </row>
    <row r="473" spans="1:5">
      <c r="A473" s="2">
        <v>45775</v>
      </c>
      <c r="B473" t="s">
        <v>3257</v>
      </c>
      <c r="C473">
        <v>750</v>
      </c>
      <c r="D473" t="s">
        <v>3256</v>
      </c>
      <c r="E473" t="s">
        <v>3252</v>
      </c>
    </row>
    <row r="474" spans="1:5">
      <c r="A474" s="2">
        <v>45776</v>
      </c>
      <c r="B474" t="s">
        <v>3250</v>
      </c>
      <c r="C474">
        <v>1321</v>
      </c>
      <c r="D474" t="s">
        <v>3251</v>
      </c>
      <c r="E474" t="s">
        <v>3252</v>
      </c>
    </row>
    <row r="475" spans="1:5">
      <c r="A475" s="2">
        <v>45776</v>
      </c>
      <c r="B475" t="s">
        <v>3253</v>
      </c>
      <c r="C475">
        <v>1015</v>
      </c>
      <c r="D475" t="s">
        <v>3251</v>
      </c>
      <c r="E475" t="s">
        <v>3252</v>
      </c>
    </row>
    <row r="476" spans="1:5">
      <c r="A476" s="2">
        <v>45776</v>
      </c>
      <c r="B476" t="s">
        <v>3255</v>
      </c>
      <c r="C476">
        <v>851</v>
      </c>
      <c r="D476" t="s">
        <v>3251</v>
      </c>
      <c r="E476" t="s">
        <v>3252</v>
      </c>
    </row>
    <row r="477" spans="1:5">
      <c r="A477" s="2">
        <v>45776</v>
      </c>
      <c r="B477" t="s">
        <v>3257</v>
      </c>
      <c r="C477">
        <v>745</v>
      </c>
      <c r="D477" t="s">
        <v>3256</v>
      </c>
      <c r="E477" t="s">
        <v>3252</v>
      </c>
    </row>
    <row r="478" spans="1:5">
      <c r="A478" s="2">
        <v>45777</v>
      </c>
      <c r="B478" t="s">
        <v>3250</v>
      </c>
      <c r="C478">
        <v>1786</v>
      </c>
      <c r="D478" t="s">
        <v>3256</v>
      </c>
      <c r="E478" t="s">
        <v>3252</v>
      </c>
    </row>
    <row r="479" spans="1:5">
      <c r="A479" s="2">
        <v>45777</v>
      </c>
      <c r="B479" t="s">
        <v>3253</v>
      </c>
      <c r="C479">
        <v>1400</v>
      </c>
      <c r="D479" t="s">
        <v>3251</v>
      </c>
      <c r="E479" t="s">
        <v>3254</v>
      </c>
    </row>
    <row r="480" spans="1:5">
      <c r="A480" s="2">
        <v>45777</v>
      </c>
      <c r="B480" t="s">
        <v>3255</v>
      </c>
      <c r="C480">
        <v>1210</v>
      </c>
      <c r="D480" t="s">
        <v>3258</v>
      </c>
      <c r="E480" t="s">
        <v>3252</v>
      </c>
    </row>
    <row r="481" spans="1:5">
      <c r="A481" s="2">
        <v>45777</v>
      </c>
      <c r="B481" t="s">
        <v>3257</v>
      </c>
      <c r="C481">
        <v>988</v>
      </c>
      <c r="D481" t="s">
        <v>3256</v>
      </c>
      <c r="E481" t="s">
        <v>3252</v>
      </c>
    </row>
    <row r="482" spans="1:5">
      <c r="A482" s="2">
        <v>45778</v>
      </c>
      <c r="B482" t="s">
        <v>3250</v>
      </c>
      <c r="C482">
        <v>1588</v>
      </c>
      <c r="D482" t="s">
        <v>3258</v>
      </c>
      <c r="E482" t="s">
        <v>3252</v>
      </c>
    </row>
    <row r="483" spans="1:5">
      <c r="A483" s="2">
        <v>45778</v>
      </c>
      <c r="B483" t="s">
        <v>3253</v>
      </c>
      <c r="C483">
        <v>1270</v>
      </c>
      <c r="D483" t="s">
        <v>3251</v>
      </c>
      <c r="E483" t="s">
        <v>3252</v>
      </c>
    </row>
    <row r="484" spans="1:5">
      <c r="A484" s="2">
        <v>45778</v>
      </c>
      <c r="B484" t="s">
        <v>3255</v>
      </c>
      <c r="C484">
        <v>1198</v>
      </c>
      <c r="D484" t="s">
        <v>3256</v>
      </c>
      <c r="E484" t="s">
        <v>3252</v>
      </c>
    </row>
    <row r="485" spans="1:5">
      <c r="A485" s="2">
        <v>45778</v>
      </c>
      <c r="B485" t="s">
        <v>3257</v>
      </c>
      <c r="C485">
        <v>926</v>
      </c>
      <c r="D485" t="s">
        <v>3251</v>
      </c>
      <c r="E485" t="s">
        <v>3252</v>
      </c>
    </row>
    <row r="486" spans="1:5">
      <c r="A486" s="2">
        <v>45779</v>
      </c>
      <c r="B486" t="s">
        <v>3250</v>
      </c>
      <c r="C486">
        <v>1495</v>
      </c>
      <c r="D486" t="s">
        <v>3251</v>
      </c>
      <c r="E486" t="s">
        <v>3252</v>
      </c>
    </row>
    <row r="487" spans="1:5">
      <c r="A487" s="2">
        <v>45779</v>
      </c>
      <c r="B487" t="s">
        <v>3253</v>
      </c>
      <c r="C487">
        <v>1263</v>
      </c>
      <c r="D487" t="s">
        <v>3251</v>
      </c>
      <c r="E487" t="s">
        <v>3252</v>
      </c>
    </row>
    <row r="488" spans="1:5">
      <c r="A488" s="2">
        <v>45779</v>
      </c>
      <c r="B488" t="s">
        <v>3255</v>
      </c>
      <c r="C488">
        <v>1002</v>
      </c>
      <c r="D488" t="s">
        <v>3251</v>
      </c>
      <c r="E488" t="s">
        <v>3252</v>
      </c>
    </row>
    <row r="489" spans="1:5">
      <c r="A489" s="2">
        <v>45779</v>
      </c>
      <c r="B489" t="s">
        <v>3257</v>
      </c>
      <c r="C489">
        <v>842</v>
      </c>
      <c r="D489" t="s">
        <v>3251</v>
      </c>
      <c r="E489" t="s">
        <v>3252</v>
      </c>
    </row>
    <row r="490" spans="1:5">
      <c r="A490" s="2">
        <v>45780</v>
      </c>
      <c r="B490" t="s">
        <v>3250</v>
      </c>
      <c r="C490">
        <v>2650</v>
      </c>
      <c r="D490" t="s">
        <v>3256</v>
      </c>
      <c r="E490" t="s">
        <v>3252</v>
      </c>
    </row>
    <row r="491" spans="1:5">
      <c r="A491" s="2">
        <v>45780</v>
      </c>
      <c r="B491" t="s">
        <v>3253</v>
      </c>
      <c r="C491">
        <v>2197</v>
      </c>
      <c r="D491" t="s">
        <v>3256</v>
      </c>
      <c r="E491" t="s">
        <v>3252</v>
      </c>
    </row>
    <row r="492" spans="1:5">
      <c r="A492" s="2">
        <v>45780</v>
      </c>
      <c r="B492" t="s">
        <v>3255</v>
      </c>
      <c r="C492">
        <v>1860</v>
      </c>
      <c r="D492" t="s">
        <v>3256</v>
      </c>
      <c r="E492" t="s">
        <v>3252</v>
      </c>
    </row>
    <row r="493" spans="1:5">
      <c r="A493" s="2">
        <v>45780</v>
      </c>
      <c r="B493" t="s">
        <v>3257</v>
      </c>
      <c r="C493">
        <v>1285</v>
      </c>
      <c r="D493" t="s">
        <v>3251</v>
      </c>
      <c r="E493" t="s">
        <v>3252</v>
      </c>
    </row>
    <row r="494" spans="1:5">
      <c r="A494" s="2">
        <v>45781</v>
      </c>
      <c r="B494" t="s">
        <v>3250</v>
      </c>
      <c r="C494">
        <v>2873</v>
      </c>
      <c r="D494" t="s">
        <v>3251</v>
      </c>
      <c r="E494" t="s">
        <v>3252</v>
      </c>
    </row>
    <row r="495" spans="1:5">
      <c r="A495" s="2">
        <v>45781</v>
      </c>
      <c r="B495" t="s">
        <v>3253</v>
      </c>
      <c r="C495">
        <v>2393</v>
      </c>
      <c r="D495" t="s">
        <v>3258</v>
      </c>
      <c r="E495" t="s">
        <v>3252</v>
      </c>
    </row>
    <row r="496" spans="1:5">
      <c r="A496" s="2">
        <v>45781</v>
      </c>
      <c r="B496" t="s">
        <v>3255</v>
      </c>
      <c r="C496">
        <v>2132</v>
      </c>
      <c r="D496" t="s">
        <v>3251</v>
      </c>
      <c r="E496" t="s">
        <v>3252</v>
      </c>
    </row>
    <row r="497" spans="1:5">
      <c r="A497" s="2">
        <v>45781</v>
      </c>
      <c r="B497" t="s">
        <v>3257</v>
      </c>
      <c r="C497">
        <v>1547</v>
      </c>
      <c r="D497" t="s">
        <v>3251</v>
      </c>
      <c r="E497" t="s">
        <v>3252</v>
      </c>
    </row>
    <row r="498" spans="1:5">
      <c r="A498" s="2">
        <v>45782</v>
      </c>
      <c r="B498" t="s">
        <v>3250</v>
      </c>
      <c r="C498">
        <v>1273</v>
      </c>
      <c r="D498" t="s">
        <v>3251</v>
      </c>
      <c r="E498" t="s">
        <v>3252</v>
      </c>
    </row>
    <row r="499" spans="1:5">
      <c r="A499" s="2">
        <v>45782</v>
      </c>
      <c r="B499" t="s">
        <v>3253</v>
      </c>
      <c r="C499">
        <v>1011</v>
      </c>
      <c r="D499" t="s">
        <v>3256</v>
      </c>
      <c r="E499" t="s">
        <v>3252</v>
      </c>
    </row>
    <row r="500" spans="1:5">
      <c r="A500" s="2">
        <v>45782</v>
      </c>
      <c r="B500" t="s">
        <v>3255</v>
      </c>
      <c r="C500">
        <v>869</v>
      </c>
      <c r="D500" t="s">
        <v>3258</v>
      </c>
      <c r="E500" t="s">
        <v>3252</v>
      </c>
    </row>
    <row r="501" spans="1:5">
      <c r="A501" s="2">
        <v>45782</v>
      </c>
      <c r="B501" t="s">
        <v>3257</v>
      </c>
      <c r="C501">
        <v>765</v>
      </c>
      <c r="D501" t="s">
        <v>3251</v>
      </c>
      <c r="E501" t="s">
        <v>3252</v>
      </c>
    </row>
    <row r="502" spans="1:5">
      <c r="A502" s="2">
        <v>45783</v>
      </c>
      <c r="B502" t="s">
        <v>3250</v>
      </c>
      <c r="C502">
        <v>1566</v>
      </c>
      <c r="D502" t="s">
        <v>3258</v>
      </c>
      <c r="E502" t="s">
        <v>3252</v>
      </c>
    </row>
    <row r="503" spans="1:5">
      <c r="A503" s="2">
        <v>45783</v>
      </c>
      <c r="B503" t="s">
        <v>3253</v>
      </c>
      <c r="C503">
        <v>1501</v>
      </c>
      <c r="D503" t="s">
        <v>3251</v>
      </c>
      <c r="E503" t="s">
        <v>3252</v>
      </c>
    </row>
    <row r="504" spans="1:5">
      <c r="A504" s="2">
        <v>45783</v>
      </c>
      <c r="B504" t="s">
        <v>3255</v>
      </c>
      <c r="C504">
        <v>1277</v>
      </c>
      <c r="D504" t="s">
        <v>3258</v>
      </c>
      <c r="E504" t="s">
        <v>3252</v>
      </c>
    </row>
    <row r="505" spans="1:5">
      <c r="A505" s="2">
        <v>45783</v>
      </c>
      <c r="B505" t="s">
        <v>3257</v>
      </c>
      <c r="C505">
        <v>1029</v>
      </c>
      <c r="D505" t="s">
        <v>3251</v>
      </c>
      <c r="E505" t="s">
        <v>3252</v>
      </c>
    </row>
    <row r="506" spans="1:5">
      <c r="A506" s="2">
        <v>45784</v>
      </c>
      <c r="B506" t="s">
        <v>3250</v>
      </c>
      <c r="C506">
        <v>1550</v>
      </c>
      <c r="D506" t="s">
        <v>3251</v>
      </c>
      <c r="E506" t="s">
        <v>3252</v>
      </c>
    </row>
    <row r="507" spans="1:5">
      <c r="A507" s="2">
        <v>45784</v>
      </c>
      <c r="B507" t="s">
        <v>3253</v>
      </c>
      <c r="C507">
        <v>1387</v>
      </c>
      <c r="D507" t="s">
        <v>3258</v>
      </c>
      <c r="E507" t="s">
        <v>3252</v>
      </c>
    </row>
    <row r="508" spans="1:5">
      <c r="A508" s="2">
        <v>45784</v>
      </c>
      <c r="B508" t="s">
        <v>3255</v>
      </c>
      <c r="C508">
        <v>1179</v>
      </c>
      <c r="D508" t="s">
        <v>3256</v>
      </c>
      <c r="E508" t="s">
        <v>3252</v>
      </c>
    </row>
    <row r="509" spans="1:5">
      <c r="A509" s="2">
        <v>45784</v>
      </c>
      <c r="B509" t="s">
        <v>3257</v>
      </c>
      <c r="C509">
        <v>917</v>
      </c>
      <c r="D509" t="s">
        <v>3256</v>
      </c>
      <c r="E509" t="s">
        <v>3252</v>
      </c>
    </row>
    <row r="510" spans="1:5">
      <c r="A510" s="2">
        <v>45785</v>
      </c>
      <c r="B510" t="s">
        <v>3250</v>
      </c>
      <c r="C510">
        <v>1931</v>
      </c>
      <c r="D510" t="s">
        <v>3258</v>
      </c>
      <c r="E510" t="s">
        <v>3252</v>
      </c>
    </row>
    <row r="511" spans="1:5">
      <c r="A511" s="2">
        <v>45785</v>
      </c>
      <c r="B511" t="s">
        <v>3253</v>
      </c>
      <c r="C511">
        <v>1889</v>
      </c>
      <c r="D511" t="s">
        <v>3251</v>
      </c>
      <c r="E511" t="s">
        <v>3252</v>
      </c>
    </row>
    <row r="512" spans="1:5">
      <c r="A512" s="2">
        <v>45785</v>
      </c>
      <c r="B512" t="s">
        <v>3255</v>
      </c>
      <c r="C512">
        <v>1674</v>
      </c>
      <c r="D512" t="s">
        <v>3251</v>
      </c>
      <c r="E512" t="s">
        <v>3252</v>
      </c>
    </row>
    <row r="513" spans="1:5">
      <c r="A513" s="2">
        <v>45785</v>
      </c>
      <c r="B513" t="s">
        <v>3257</v>
      </c>
      <c r="C513">
        <v>1236</v>
      </c>
      <c r="D513" t="s">
        <v>3251</v>
      </c>
      <c r="E513" t="s">
        <v>3252</v>
      </c>
    </row>
    <row r="514" spans="1:5">
      <c r="A514" s="2">
        <v>45786</v>
      </c>
      <c r="B514" t="s">
        <v>3250</v>
      </c>
      <c r="C514">
        <v>1569</v>
      </c>
      <c r="D514" t="s">
        <v>3251</v>
      </c>
      <c r="E514" t="s">
        <v>3252</v>
      </c>
    </row>
    <row r="515" spans="1:5">
      <c r="A515" s="2">
        <v>45786</v>
      </c>
      <c r="B515" t="s">
        <v>3253</v>
      </c>
      <c r="C515">
        <v>1432</v>
      </c>
      <c r="D515" t="s">
        <v>3256</v>
      </c>
      <c r="E515" t="s">
        <v>3252</v>
      </c>
    </row>
    <row r="516" spans="1:5">
      <c r="A516" s="2">
        <v>45786</v>
      </c>
      <c r="B516" t="s">
        <v>3255</v>
      </c>
      <c r="C516">
        <v>1088</v>
      </c>
      <c r="D516" t="s">
        <v>3251</v>
      </c>
      <c r="E516" t="s">
        <v>3252</v>
      </c>
    </row>
    <row r="517" spans="1:5">
      <c r="A517" s="2">
        <v>45786</v>
      </c>
      <c r="B517" t="s">
        <v>3257</v>
      </c>
      <c r="C517">
        <v>933</v>
      </c>
      <c r="D517" t="s">
        <v>3256</v>
      </c>
      <c r="E517" t="s">
        <v>3252</v>
      </c>
    </row>
    <row r="518" spans="1:5">
      <c r="A518" s="2">
        <v>45787</v>
      </c>
      <c r="B518" t="s">
        <v>3250</v>
      </c>
      <c r="C518">
        <v>2835</v>
      </c>
      <c r="D518" t="s">
        <v>3251</v>
      </c>
      <c r="E518" t="s">
        <v>3252</v>
      </c>
    </row>
    <row r="519" spans="1:5">
      <c r="A519" s="2">
        <v>45787</v>
      </c>
      <c r="B519" t="s">
        <v>3253</v>
      </c>
      <c r="C519">
        <v>2320</v>
      </c>
      <c r="D519" t="s">
        <v>3251</v>
      </c>
      <c r="E519" t="s">
        <v>3252</v>
      </c>
    </row>
    <row r="520" spans="1:5">
      <c r="A520" s="2">
        <v>45787</v>
      </c>
      <c r="B520" t="s">
        <v>3255</v>
      </c>
      <c r="C520">
        <v>2090</v>
      </c>
      <c r="D520" t="s">
        <v>3251</v>
      </c>
      <c r="E520" t="s">
        <v>3252</v>
      </c>
    </row>
    <row r="521" spans="1:5">
      <c r="A521" s="2">
        <v>45787</v>
      </c>
      <c r="B521" t="s">
        <v>3257</v>
      </c>
      <c r="C521">
        <v>1581</v>
      </c>
      <c r="D521" t="s">
        <v>3258</v>
      </c>
      <c r="E521" t="s">
        <v>3252</v>
      </c>
    </row>
    <row r="522" spans="1:5">
      <c r="A522" s="2">
        <v>45788</v>
      </c>
      <c r="B522" t="s">
        <v>3250</v>
      </c>
      <c r="C522">
        <v>2598</v>
      </c>
      <c r="D522" t="s">
        <v>3251</v>
      </c>
      <c r="E522" t="s">
        <v>3252</v>
      </c>
    </row>
    <row r="523" spans="1:5">
      <c r="A523" s="2">
        <v>45788</v>
      </c>
      <c r="B523" t="s">
        <v>3253</v>
      </c>
      <c r="C523">
        <v>2113</v>
      </c>
      <c r="D523" t="s">
        <v>3251</v>
      </c>
      <c r="E523" t="s">
        <v>3252</v>
      </c>
    </row>
    <row r="524" spans="1:5">
      <c r="A524" s="2">
        <v>45788</v>
      </c>
      <c r="B524" t="s">
        <v>3255</v>
      </c>
      <c r="C524">
        <v>1895</v>
      </c>
      <c r="D524" t="s">
        <v>3256</v>
      </c>
      <c r="E524" t="s">
        <v>3252</v>
      </c>
    </row>
    <row r="525" spans="1:5">
      <c r="A525" s="2">
        <v>45788</v>
      </c>
      <c r="B525" t="s">
        <v>3257</v>
      </c>
      <c r="C525">
        <v>1404</v>
      </c>
      <c r="D525" t="s">
        <v>3258</v>
      </c>
      <c r="E525" t="s">
        <v>3252</v>
      </c>
    </row>
    <row r="526" spans="1:5">
      <c r="A526" s="2">
        <v>45789</v>
      </c>
      <c r="B526" t="s">
        <v>3250</v>
      </c>
      <c r="C526">
        <v>1917</v>
      </c>
      <c r="D526" t="s">
        <v>3251</v>
      </c>
      <c r="E526" t="s">
        <v>3252</v>
      </c>
    </row>
    <row r="527" spans="1:5">
      <c r="A527" s="2">
        <v>45789</v>
      </c>
      <c r="B527" t="s">
        <v>3253</v>
      </c>
      <c r="C527">
        <v>1616</v>
      </c>
      <c r="D527" t="s">
        <v>3256</v>
      </c>
      <c r="E527" t="s">
        <v>3252</v>
      </c>
    </row>
    <row r="528" spans="1:5">
      <c r="A528" s="2">
        <v>45789</v>
      </c>
      <c r="B528" t="s">
        <v>3255</v>
      </c>
      <c r="C528">
        <v>1392</v>
      </c>
      <c r="D528" t="s">
        <v>3256</v>
      </c>
      <c r="E528" t="s">
        <v>3252</v>
      </c>
    </row>
    <row r="529" spans="1:5">
      <c r="A529" s="2">
        <v>45789</v>
      </c>
      <c r="B529" t="s">
        <v>3257</v>
      </c>
      <c r="C529">
        <v>1175</v>
      </c>
      <c r="D529" t="s">
        <v>3256</v>
      </c>
      <c r="E529" t="s">
        <v>3252</v>
      </c>
    </row>
    <row r="530" spans="1:5">
      <c r="A530" s="2">
        <v>45790</v>
      </c>
      <c r="B530" t="s">
        <v>3250</v>
      </c>
      <c r="C530">
        <v>2119</v>
      </c>
      <c r="D530" t="s">
        <v>3251</v>
      </c>
      <c r="E530" t="s">
        <v>3252</v>
      </c>
    </row>
    <row r="531" spans="1:5">
      <c r="A531" s="2">
        <v>45790</v>
      </c>
      <c r="B531" t="s">
        <v>3253</v>
      </c>
      <c r="C531">
        <v>1812</v>
      </c>
      <c r="D531" t="s">
        <v>3256</v>
      </c>
      <c r="E531" t="s">
        <v>3252</v>
      </c>
    </row>
    <row r="532" spans="1:5">
      <c r="A532" s="2">
        <v>45790</v>
      </c>
      <c r="B532" t="s">
        <v>3255</v>
      </c>
      <c r="C532">
        <v>1461</v>
      </c>
      <c r="D532" t="s">
        <v>3251</v>
      </c>
      <c r="E532" t="s">
        <v>3252</v>
      </c>
    </row>
    <row r="533" spans="1:5">
      <c r="A533" s="2">
        <v>45790</v>
      </c>
      <c r="B533" t="s">
        <v>3257</v>
      </c>
      <c r="C533">
        <v>1214</v>
      </c>
      <c r="D533" t="s">
        <v>3256</v>
      </c>
      <c r="E533" t="s">
        <v>3252</v>
      </c>
    </row>
    <row r="534" spans="1:5">
      <c r="A534" s="2">
        <v>45791</v>
      </c>
      <c r="B534" t="s">
        <v>3250</v>
      </c>
      <c r="C534">
        <v>1534</v>
      </c>
      <c r="D534" t="s">
        <v>3251</v>
      </c>
      <c r="E534" t="s">
        <v>3252</v>
      </c>
    </row>
    <row r="535" spans="1:5">
      <c r="A535" s="2">
        <v>45791</v>
      </c>
      <c r="B535" t="s">
        <v>3253</v>
      </c>
      <c r="C535">
        <v>1285</v>
      </c>
      <c r="D535" t="s">
        <v>3256</v>
      </c>
      <c r="E535" t="s">
        <v>3252</v>
      </c>
    </row>
    <row r="536" spans="1:5">
      <c r="A536" s="2">
        <v>45791</v>
      </c>
      <c r="B536" t="s">
        <v>3255</v>
      </c>
      <c r="C536">
        <v>1185</v>
      </c>
      <c r="D536" t="s">
        <v>3251</v>
      </c>
      <c r="E536" t="s">
        <v>3252</v>
      </c>
    </row>
    <row r="537" spans="1:5">
      <c r="A537" s="2">
        <v>45791</v>
      </c>
      <c r="B537" t="s">
        <v>3257</v>
      </c>
      <c r="C537">
        <v>922</v>
      </c>
      <c r="D537" t="s">
        <v>3256</v>
      </c>
      <c r="E537" t="s">
        <v>3252</v>
      </c>
    </row>
    <row r="538" spans="1:5">
      <c r="A538" s="2">
        <v>45792</v>
      </c>
      <c r="B538" t="s">
        <v>3250</v>
      </c>
      <c r="C538">
        <v>1579</v>
      </c>
      <c r="D538" t="s">
        <v>3251</v>
      </c>
      <c r="E538" t="s">
        <v>3252</v>
      </c>
    </row>
    <row r="539" spans="1:5">
      <c r="A539" s="2">
        <v>45792</v>
      </c>
      <c r="B539" t="s">
        <v>3253</v>
      </c>
      <c r="C539">
        <v>1245</v>
      </c>
      <c r="D539" t="s">
        <v>3251</v>
      </c>
      <c r="E539" t="s">
        <v>3252</v>
      </c>
    </row>
    <row r="540" spans="1:5">
      <c r="A540" s="2">
        <v>45792</v>
      </c>
      <c r="B540" t="s">
        <v>3255</v>
      </c>
      <c r="C540">
        <v>1242</v>
      </c>
      <c r="D540" t="s">
        <v>3251</v>
      </c>
      <c r="E540" t="s">
        <v>3252</v>
      </c>
    </row>
    <row r="541" spans="1:5">
      <c r="A541" s="2">
        <v>45792</v>
      </c>
      <c r="B541" t="s">
        <v>3257</v>
      </c>
      <c r="C541">
        <v>920</v>
      </c>
      <c r="D541" t="s">
        <v>3256</v>
      </c>
      <c r="E541" t="s">
        <v>3252</v>
      </c>
    </row>
    <row r="542" spans="1:5">
      <c r="A542" s="2">
        <v>45793</v>
      </c>
      <c r="B542" t="s">
        <v>3250</v>
      </c>
      <c r="C542">
        <v>1766</v>
      </c>
      <c r="D542" t="s">
        <v>3251</v>
      </c>
      <c r="E542" t="s">
        <v>3252</v>
      </c>
    </row>
    <row r="543" spans="1:5">
      <c r="A543" s="2">
        <v>45793</v>
      </c>
      <c r="B543" t="s">
        <v>3253</v>
      </c>
      <c r="C543">
        <v>1497</v>
      </c>
      <c r="D543" t="s">
        <v>3251</v>
      </c>
      <c r="E543" t="s">
        <v>3252</v>
      </c>
    </row>
    <row r="544" spans="1:5">
      <c r="A544" s="2">
        <v>45793</v>
      </c>
      <c r="B544" t="s">
        <v>3255</v>
      </c>
      <c r="C544">
        <v>1242</v>
      </c>
      <c r="D544" t="s">
        <v>3251</v>
      </c>
      <c r="E544" t="s">
        <v>3252</v>
      </c>
    </row>
    <row r="545" spans="1:5">
      <c r="A545" s="2">
        <v>45793</v>
      </c>
      <c r="B545" t="s">
        <v>3257</v>
      </c>
      <c r="C545">
        <v>927</v>
      </c>
      <c r="D545" t="s">
        <v>3251</v>
      </c>
      <c r="E545" t="s">
        <v>3252</v>
      </c>
    </row>
    <row r="546" spans="1:5">
      <c r="A546" s="2">
        <v>45794</v>
      </c>
      <c r="B546" t="s">
        <v>3250</v>
      </c>
      <c r="C546">
        <v>2451</v>
      </c>
      <c r="D546" t="s">
        <v>3251</v>
      </c>
      <c r="E546" t="s">
        <v>3252</v>
      </c>
    </row>
    <row r="547" spans="1:5">
      <c r="A547" s="2">
        <v>45794</v>
      </c>
      <c r="B547" t="s">
        <v>3253</v>
      </c>
      <c r="C547">
        <v>2065</v>
      </c>
      <c r="D547" t="s">
        <v>3256</v>
      </c>
      <c r="E547" t="s">
        <v>3252</v>
      </c>
    </row>
    <row r="548" spans="1:5">
      <c r="A548" s="2">
        <v>45794</v>
      </c>
      <c r="B548" t="s">
        <v>3255</v>
      </c>
      <c r="C548">
        <v>1754</v>
      </c>
      <c r="D548" t="s">
        <v>3256</v>
      </c>
      <c r="E548" t="s">
        <v>3252</v>
      </c>
    </row>
    <row r="549" spans="1:5">
      <c r="A549" s="2">
        <v>45794</v>
      </c>
      <c r="B549" t="s">
        <v>3257</v>
      </c>
      <c r="C549">
        <v>1371</v>
      </c>
      <c r="D549" t="s">
        <v>3256</v>
      </c>
      <c r="E549" t="s">
        <v>3252</v>
      </c>
    </row>
    <row r="550" spans="1:5">
      <c r="A550" s="2">
        <v>45795</v>
      </c>
      <c r="B550" t="s">
        <v>3250</v>
      </c>
      <c r="C550">
        <v>2761</v>
      </c>
      <c r="D550" t="s">
        <v>3251</v>
      </c>
      <c r="E550" t="s">
        <v>3252</v>
      </c>
    </row>
    <row r="551" spans="1:5">
      <c r="A551" s="2">
        <v>45795</v>
      </c>
      <c r="B551" t="s">
        <v>3253</v>
      </c>
      <c r="C551">
        <v>2162</v>
      </c>
      <c r="D551" t="s">
        <v>3251</v>
      </c>
      <c r="E551" t="s">
        <v>3252</v>
      </c>
    </row>
    <row r="552" spans="1:5">
      <c r="A552" s="2">
        <v>45795</v>
      </c>
      <c r="B552" t="s">
        <v>3255</v>
      </c>
      <c r="C552">
        <v>1665</v>
      </c>
      <c r="D552" t="s">
        <v>3256</v>
      </c>
      <c r="E552" t="s">
        <v>3252</v>
      </c>
    </row>
    <row r="553" spans="1:5">
      <c r="A553" s="2">
        <v>45795</v>
      </c>
      <c r="B553" t="s">
        <v>3257</v>
      </c>
      <c r="C553">
        <v>1602</v>
      </c>
      <c r="D553" t="s">
        <v>3251</v>
      </c>
      <c r="E553" t="s">
        <v>3252</v>
      </c>
    </row>
    <row r="554" spans="1:5">
      <c r="A554" s="2">
        <v>45796</v>
      </c>
      <c r="B554" t="s">
        <v>3250</v>
      </c>
      <c r="C554">
        <v>1691</v>
      </c>
      <c r="D554" t="s">
        <v>3251</v>
      </c>
      <c r="E554" t="s">
        <v>3252</v>
      </c>
    </row>
    <row r="555" spans="1:5">
      <c r="A555" s="2">
        <v>45796</v>
      </c>
      <c r="B555" t="s">
        <v>3253</v>
      </c>
      <c r="C555">
        <v>1250</v>
      </c>
      <c r="D555" t="s">
        <v>3251</v>
      </c>
      <c r="E555" t="s">
        <v>3252</v>
      </c>
    </row>
    <row r="556" spans="1:5">
      <c r="A556" s="2">
        <v>45796</v>
      </c>
      <c r="B556" t="s">
        <v>3255</v>
      </c>
      <c r="C556">
        <v>1195</v>
      </c>
      <c r="D556" t="s">
        <v>3258</v>
      </c>
      <c r="E556" t="s">
        <v>3252</v>
      </c>
    </row>
    <row r="557" spans="1:5">
      <c r="A557" s="2">
        <v>45796</v>
      </c>
      <c r="B557" t="s">
        <v>3257</v>
      </c>
      <c r="C557">
        <v>986</v>
      </c>
      <c r="D557" t="s">
        <v>3256</v>
      </c>
      <c r="E557" t="s">
        <v>3252</v>
      </c>
    </row>
    <row r="558" spans="1:5">
      <c r="A558" s="2">
        <v>45797</v>
      </c>
      <c r="B558" t="s">
        <v>3250</v>
      </c>
      <c r="C558">
        <v>1151</v>
      </c>
      <c r="D558" t="s">
        <v>3251</v>
      </c>
      <c r="E558" t="s">
        <v>3252</v>
      </c>
    </row>
    <row r="559" spans="1:5">
      <c r="A559" s="2">
        <v>45797</v>
      </c>
      <c r="B559" t="s">
        <v>3253</v>
      </c>
      <c r="C559">
        <v>1025</v>
      </c>
      <c r="D559" t="s">
        <v>3258</v>
      </c>
      <c r="E559" t="s">
        <v>3252</v>
      </c>
    </row>
    <row r="560" spans="1:5">
      <c r="A560" s="2">
        <v>45797</v>
      </c>
      <c r="B560" t="s">
        <v>3255</v>
      </c>
      <c r="C560">
        <v>864</v>
      </c>
      <c r="D560" t="s">
        <v>3251</v>
      </c>
      <c r="E560" t="s">
        <v>3252</v>
      </c>
    </row>
    <row r="561" spans="1:5">
      <c r="A561" s="2">
        <v>45797</v>
      </c>
      <c r="B561" t="s">
        <v>3257</v>
      </c>
      <c r="C561">
        <v>733</v>
      </c>
      <c r="D561" t="s">
        <v>3251</v>
      </c>
      <c r="E561" t="s">
        <v>3252</v>
      </c>
    </row>
    <row r="562" spans="1:5">
      <c r="A562" s="2">
        <v>45798</v>
      </c>
      <c r="B562" t="s">
        <v>3250</v>
      </c>
      <c r="C562">
        <v>1224</v>
      </c>
      <c r="D562" t="s">
        <v>3251</v>
      </c>
      <c r="E562" t="s">
        <v>3252</v>
      </c>
    </row>
    <row r="563" spans="1:5">
      <c r="A563" s="2">
        <v>45798</v>
      </c>
      <c r="B563" t="s">
        <v>3253</v>
      </c>
      <c r="C563">
        <v>1017</v>
      </c>
      <c r="D563" t="s">
        <v>3251</v>
      </c>
      <c r="E563" t="s">
        <v>3252</v>
      </c>
    </row>
    <row r="564" spans="1:5">
      <c r="A564" s="2">
        <v>45798</v>
      </c>
      <c r="B564" t="s">
        <v>3255</v>
      </c>
      <c r="C564">
        <v>804</v>
      </c>
      <c r="D564" t="s">
        <v>3251</v>
      </c>
      <c r="E564" t="s">
        <v>3252</v>
      </c>
    </row>
    <row r="565" spans="1:5">
      <c r="A565" s="2">
        <v>45798</v>
      </c>
      <c r="B565" t="s">
        <v>3257</v>
      </c>
      <c r="C565">
        <v>636</v>
      </c>
      <c r="D565" t="s">
        <v>3256</v>
      </c>
      <c r="E565" t="s">
        <v>3252</v>
      </c>
    </row>
    <row r="566" spans="1:5">
      <c r="A566" s="2">
        <v>45799</v>
      </c>
      <c r="B566" t="s">
        <v>3250</v>
      </c>
      <c r="C566">
        <v>1221</v>
      </c>
      <c r="D566" t="s">
        <v>3256</v>
      </c>
      <c r="E566" t="s">
        <v>3252</v>
      </c>
    </row>
    <row r="567" spans="1:5">
      <c r="A567" s="2">
        <v>45799</v>
      </c>
      <c r="B567" t="s">
        <v>3253</v>
      </c>
      <c r="C567">
        <v>1066</v>
      </c>
      <c r="D567" t="s">
        <v>3251</v>
      </c>
      <c r="E567" t="s">
        <v>3252</v>
      </c>
    </row>
    <row r="568" spans="1:5">
      <c r="A568" s="2">
        <v>45799</v>
      </c>
      <c r="B568" t="s">
        <v>3255</v>
      </c>
      <c r="C568">
        <v>931</v>
      </c>
      <c r="D568" t="s">
        <v>3251</v>
      </c>
      <c r="E568" t="s">
        <v>3252</v>
      </c>
    </row>
    <row r="569" spans="1:5">
      <c r="A569" s="2">
        <v>45799</v>
      </c>
      <c r="B569" t="s">
        <v>3257</v>
      </c>
      <c r="C569">
        <v>769</v>
      </c>
      <c r="D569" t="s">
        <v>3258</v>
      </c>
      <c r="E569" t="s">
        <v>3252</v>
      </c>
    </row>
    <row r="570" spans="1:5">
      <c r="A570" s="2">
        <v>45800</v>
      </c>
      <c r="B570" t="s">
        <v>3250</v>
      </c>
      <c r="C570">
        <v>1210</v>
      </c>
      <c r="D570" t="s">
        <v>3251</v>
      </c>
      <c r="E570" t="s">
        <v>3252</v>
      </c>
    </row>
    <row r="571" spans="1:5">
      <c r="A571" s="2">
        <v>45800</v>
      </c>
      <c r="B571" t="s">
        <v>3253</v>
      </c>
      <c r="C571">
        <v>1085</v>
      </c>
      <c r="D571" t="s">
        <v>3251</v>
      </c>
      <c r="E571" t="s">
        <v>3252</v>
      </c>
    </row>
    <row r="572" spans="1:5">
      <c r="A572" s="2">
        <v>45800</v>
      </c>
      <c r="B572" t="s">
        <v>3255</v>
      </c>
      <c r="C572">
        <v>873</v>
      </c>
      <c r="D572" t="s">
        <v>3258</v>
      </c>
      <c r="E572" t="s">
        <v>3252</v>
      </c>
    </row>
    <row r="573" spans="1:5">
      <c r="A573" s="2">
        <v>45800</v>
      </c>
      <c r="B573" t="s">
        <v>3257</v>
      </c>
      <c r="C573">
        <v>696</v>
      </c>
      <c r="D573" t="s">
        <v>3256</v>
      </c>
      <c r="E573" t="s">
        <v>3252</v>
      </c>
    </row>
    <row r="574" spans="1:5">
      <c r="A574" s="2">
        <v>45801</v>
      </c>
      <c r="B574" t="s">
        <v>3250</v>
      </c>
      <c r="C574">
        <v>2494</v>
      </c>
      <c r="D574" t="s">
        <v>3251</v>
      </c>
      <c r="E574" t="s">
        <v>3252</v>
      </c>
    </row>
    <row r="575" spans="1:5">
      <c r="A575" s="2">
        <v>45801</v>
      </c>
      <c r="B575" t="s">
        <v>3253</v>
      </c>
      <c r="C575">
        <v>2272</v>
      </c>
      <c r="D575" t="s">
        <v>3251</v>
      </c>
      <c r="E575" t="s">
        <v>3252</v>
      </c>
    </row>
    <row r="576" spans="1:5">
      <c r="A576" s="2">
        <v>45801</v>
      </c>
      <c r="B576" t="s">
        <v>3255</v>
      </c>
      <c r="C576">
        <v>1824</v>
      </c>
      <c r="D576" t="s">
        <v>3251</v>
      </c>
      <c r="E576" t="s">
        <v>3252</v>
      </c>
    </row>
    <row r="577" spans="1:5">
      <c r="A577" s="2">
        <v>45801</v>
      </c>
      <c r="B577" t="s">
        <v>3257</v>
      </c>
      <c r="C577">
        <v>1396</v>
      </c>
      <c r="D577" t="s">
        <v>3256</v>
      </c>
      <c r="E577" t="s">
        <v>3252</v>
      </c>
    </row>
    <row r="578" spans="1:5">
      <c r="A578" s="2">
        <v>45802</v>
      </c>
      <c r="B578" t="s">
        <v>3250</v>
      </c>
      <c r="C578">
        <v>2444</v>
      </c>
      <c r="D578" t="s">
        <v>3258</v>
      </c>
      <c r="E578" t="s">
        <v>3252</v>
      </c>
    </row>
    <row r="579" spans="1:5">
      <c r="A579" s="2">
        <v>45802</v>
      </c>
      <c r="B579" t="s">
        <v>3253</v>
      </c>
      <c r="C579">
        <v>2147</v>
      </c>
      <c r="D579" t="s">
        <v>3251</v>
      </c>
      <c r="E579" t="s">
        <v>3252</v>
      </c>
    </row>
    <row r="580" spans="1:5">
      <c r="A580" s="2">
        <v>45802</v>
      </c>
      <c r="B580" t="s">
        <v>3255</v>
      </c>
      <c r="C580">
        <v>1670</v>
      </c>
      <c r="D580" t="s">
        <v>3251</v>
      </c>
      <c r="E580" t="s">
        <v>3252</v>
      </c>
    </row>
    <row r="581" spans="1:5">
      <c r="A581" s="2">
        <v>45802</v>
      </c>
      <c r="B581" t="s">
        <v>3257</v>
      </c>
      <c r="C581">
        <v>1404</v>
      </c>
      <c r="D581" t="s">
        <v>3256</v>
      </c>
      <c r="E581" t="s">
        <v>3252</v>
      </c>
    </row>
    <row r="582" spans="1:5">
      <c r="A582" s="2">
        <v>45803</v>
      </c>
      <c r="B582" t="s">
        <v>3250</v>
      </c>
      <c r="C582">
        <v>1510</v>
      </c>
      <c r="D582" t="s">
        <v>3251</v>
      </c>
      <c r="E582" t="s">
        <v>3252</v>
      </c>
    </row>
    <row r="583" spans="1:5">
      <c r="A583" s="2">
        <v>45803</v>
      </c>
      <c r="B583" t="s">
        <v>3253</v>
      </c>
      <c r="C583">
        <v>1376</v>
      </c>
      <c r="D583" t="s">
        <v>3251</v>
      </c>
      <c r="E583" t="s">
        <v>3252</v>
      </c>
    </row>
    <row r="584" spans="1:5">
      <c r="A584" s="2">
        <v>45803</v>
      </c>
      <c r="B584" t="s">
        <v>3255</v>
      </c>
      <c r="C584">
        <v>1041</v>
      </c>
      <c r="D584" t="s">
        <v>3251</v>
      </c>
      <c r="E584" t="s">
        <v>3252</v>
      </c>
    </row>
    <row r="585" spans="1:5">
      <c r="A585" s="2">
        <v>45803</v>
      </c>
      <c r="B585" t="s">
        <v>3257</v>
      </c>
      <c r="C585">
        <v>970</v>
      </c>
      <c r="D585" t="s">
        <v>3251</v>
      </c>
      <c r="E585" t="s">
        <v>3252</v>
      </c>
    </row>
    <row r="586" spans="1:5">
      <c r="A586" s="2">
        <v>45804</v>
      </c>
      <c r="B586" t="s">
        <v>3250</v>
      </c>
      <c r="C586">
        <v>1684</v>
      </c>
      <c r="D586" t="s">
        <v>3251</v>
      </c>
      <c r="E586" t="s">
        <v>3252</v>
      </c>
    </row>
    <row r="587" spans="1:5">
      <c r="A587" s="2">
        <v>45804</v>
      </c>
      <c r="B587" t="s">
        <v>3253</v>
      </c>
      <c r="C587">
        <v>1353</v>
      </c>
      <c r="D587" t="s">
        <v>3251</v>
      </c>
      <c r="E587" t="s">
        <v>3252</v>
      </c>
    </row>
    <row r="588" spans="1:5">
      <c r="A588" s="2">
        <v>45804</v>
      </c>
      <c r="B588" t="s">
        <v>3255</v>
      </c>
      <c r="C588">
        <v>1314</v>
      </c>
      <c r="D588" t="s">
        <v>3251</v>
      </c>
      <c r="E588" t="s">
        <v>3252</v>
      </c>
    </row>
    <row r="589" spans="1:5">
      <c r="A589" s="2">
        <v>45804</v>
      </c>
      <c r="B589" t="s">
        <v>3257</v>
      </c>
      <c r="C589">
        <v>959</v>
      </c>
      <c r="D589" t="s">
        <v>3251</v>
      </c>
      <c r="E589" t="s">
        <v>3252</v>
      </c>
    </row>
    <row r="590" spans="1:5">
      <c r="A590" s="2">
        <v>45805</v>
      </c>
      <c r="B590" t="s">
        <v>3250</v>
      </c>
      <c r="C590">
        <v>1326</v>
      </c>
      <c r="D590" t="s">
        <v>3256</v>
      </c>
      <c r="E590" t="s">
        <v>3252</v>
      </c>
    </row>
    <row r="591" spans="1:5">
      <c r="A591" s="2">
        <v>45805</v>
      </c>
      <c r="B591" t="s">
        <v>3253</v>
      </c>
      <c r="C591">
        <v>1150</v>
      </c>
      <c r="D591" t="s">
        <v>3251</v>
      </c>
      <c r="E591" t="s">
        <v>3252</v>
      </c>
    </row>
    <row r="592" spans="1:5">
      <c r="A592" s="2">
        <v>45805</v>
      </c>
      <c r="B592" t="s">
        <v>3255</v>
      </c>
      <c r="C592">
        <v>977</v>
      </c>
      <c r="D592" t="s">
        <v>3258</v>
      </c>
      <c r="E592" t="s">
        <v>3252</v>
      </c>
    </row>
    <row r="593" spans="1:5">
      <c r="A593" s="2">
        <v>45805</v>
      </c>
      <c r="B593" t="s">
        <v>3257</v>
      </c>
      <c r="C593">
        <v>812</v>
      </c>
      <c r="D593" t="s">
        <v>3256</v>
      </c>
      <c r="E593" t="s">
        <v>3252</v>
      </c>
    </row>
    <row r="594" spans="1:5">
      <c r="A594" s="2">
        <v>45806</v>
      </c>
      <c r="B594" t="s">
        <v>3250</v>
      </c>
      <c r="C594">
        <v>1712</v>
      </c>
      <c r="D594" t="s">
        <v>3251</v>
      </c>
      <c r="E594" t="s">
        <v>3252</v>
      </c>
    </row>
    <row r="595" spans="1:5">
      <c r="A595" s="2">
        <v>45806</v>
      </c>
      <c r="B595" t="s">
        <v>3253</v>
      </c>
      <c r="C595">
        <v>1270</v>
      </c>
      <c r="D595" t="s">
        <v>3251</v>
      </c>
      <c r="E595" t="s">
        <v>3252</v>
      </c>
    </row>
    <row r="596" spans="1:5">
      <c r="A596" s="2">
        <v>45806</v>
      </c>
      <c r="B596" t="s">
        <v>3255</v>
      </c>
      <c r="C596">
        <v>1243</v>
      </c>
      <c r="D596" t="s">
        <v>3251</v>
      </c>
      <c r="E596" t="s">
        <v>3252</v>
      </c>
    </row>
    <row r="597" spans="1:5">
      <c r="A597" s="2">
        <v>45806</v>
      </c>
      <c r="B597" t="s">
        <v>3257</v>
      </c>
      <c r="C597">
        <v>920</v>
      </c>
      <c r="D597" t="s">
        <v>3258</v>
      </c>
      <c r="E597" t="s">
        <v>3252</v>
      </c>
    </row>
    <row r="598" spans="1:5">
      <c r="A598" s="2">
        <v>45807</v>
      </c>
      <c r="B598" t="s">
        <v>3250</v>
      </c>
      <c r="C598">
        <v>1574</v>
      </c>
      <c r="D598" t="s">
        <v>3251</v>
      </c>
      <c r="E598" t="s">
        <v>3252</v>
      </c>
    </row>
    <row r="599" spans="1:5">
      <c r="A599" s="2">
        <v>45807</v>
      </c>
      <c r="B599" t="s">
        <v>3253</v>
      </c>
      <c r="C599">
        <v>1306</v>
      </c>
      <c r="D599" t="s">
        <v>3251</v>
      </c>
      <c r="E599" t="s">
        <v>3252</v>
      </c>
    </row>
    <row r="600" spans="1:5">
      <c r="A600" s="2">
        <v>45807</v>
      </c>
      <c r="B600" t="s">
        <v>3255</v>
      </c>
      <c r="C600">
        <v>1077</v>
      </c>
      <c r="D600" t="s">
        <v>3251</v>
      </c>
      <c r="E600" t="s">
        <v>3252</v>
      </c>
    </row>
    <row r="601" spans="1:5">
      <c r="A601" s="2">
        <v>45807</v>
      </c>
      <c r="B601" t="s">
        <v>3257</v>
      </c>
      <c r="C601">
        <v>1000</v>
      </c>
      <c r="D601" t="s">
        <v>3256</v>
      </c>
      <c r="E601" t="s">
        <v>3252</v>
      </c>
    </row>
    <row r="602" spans="1:5">
      <c r="A602" s="2">
        <v>45808</v>
      </c>
      <c r="B602" t="s">
        <v>3250</v>
      </c>
      <c r="C602">
        <v>2681</v>
      </c>
      <c r="D602" t="s">
        <v>3251</v>
      </c>
      <c r="E602" t="s">
        <v>3252</v>
      </c>
    </row>
    <row r="603" spans="1:5">
      <c r="A603" s="2">
        <v>45808</v>
      </c>
      <c r="B603" t="s">
        <v>3253</v>
      </c>
      <c r="C603">
        <v>2357</v>
      </c>
      <c r="D603" t="s">
        <v>3256</v>
      </c>
      <c r="E603" t="s">
        <v>3252</v>
      </c>
    </row>
    <row r="604" spans="1:5">
      <c r="A604" s="2">
        <v>45808</v>
      </c>
      <c r="B604" t="s">
        <v>3255</v>
      </c>
      <c r="C604">
        <v>2121</v>
      </c>
      <c r="D604" t="s">
        <v>3258</v>
      </c>
      <c r="E604" t="s">
        <v>3252</v>
      </c>
    </row>
    <row r="605" spans="1:5">
      <c r="A605" s="2">
        <v>45808</v>
      </c>
      <c r="B605" t="s">
        <v>3257</v>
      </c>
      <c r="C605">
        <v>1656</v>
      </c>
      <c r="D605" t="s">
        <v>3256</v>
      </c>
      <c r="E605" t="s">
        <v>3252</v>
      </c>
    </row>
    <row r="606" spans="1:5">
      <c r="A606" s="2">
        <v>45809</v>
      </c>
      <c r="B606" t="s">
        <v>3250</v>
      </c>
      <c r="C606">
        <v>3107</v>
      </c>
      <c r="D606" t="s">
        <v>3256</v>
      </c>
      <c r="E606" t="s">
        <v>3252</v>
      </c>
    </row>
    <row r="607" spans="1:5">
      <c r="A607" s="2">
        <v>45809</v>
      </c>
      <c r="B607" t="s">
        <v>3253</v>
      </c>
      <c r="C607">
        <v>2416</v>
      </c>
      <c r="D607" t="s">
        <v>3251</v>
      </c>
      <c r="E607" t="s">
        <v>3252</v>
      </c>
    </row>
    <row r="608" spans="1:5">
      <c r="A608" s="2">
        <v>45809</v>
      </c>
      <c r="B608" t="s">
        <v>3255</v>
      </c>
      <c r="C608">
        <v>2208</v>
      </c>
      <c r="D608" t="s">
        <v>3251</v>
      </c>
      <c r="E608" t="s">
        <v>3252</v>
      </c>
    </row>
    <row r="609" spans="1:5">
      <c r="A609" s="2">
        <v>45809</v>
      </c>
      <c r="B609" t="s">
        <v>3257</v>
      </c>
      <c r="C609">
        <v>1740</v>
      </c>
      <c r="D609" t="s">
        <v>3258</v>
      </c>
      <c r="E609" t="s">
        <v>3252</v>
      </c>
    </row>
    <row r="610" spans="1:5">
      <c r="A610" s="2">
        <v>45810</v>
      </c>
      <c r="B610" t="s">
        <v>3250</v>
      </c>
      <c r="C610">
        <v>1326</v>
      </c>
      <c r="D610" t="s">
        <v>3256</v>
      </c>
      <c r="E610" t="s">
        <v>3252</v>
      </c>
    </row>
    <row r="611" spans="1:5">
      <c r="A611" s="2">
        <v>45810</v>
      </c>
      <c r="B611" t="s">
        <v>3253</v>
      </c>
      <c r="C611">
        <v>1056</v>
      </c>
      <c r="D611" t="s">
        <v>3256</v>
      </c>
      <c r="E611" t="s">
        <v>3252</v>
      </c>
    </row>
    <row r="612" spans="1:5">
      <c r="A612" s="2">
        <v>45810</v>
      </c>
      <c r="B612" t="s">
        <v>3255</v>
      </c>
      <c r="C612">
        <v>931</v>
      </c>
      <c r="D612" t="s">
        <v>3256</v>
      </c>
      <c r="E612" t="s">
        <v>3252</v>
      </c>
    </row>
    <row r="613" spans="1:5">
      <c r="A613" s="2">
        <v>45810</v>
      </c>
      <c r="B613" t="s">
        <v>3257</v>
      </c>
      <c r="C613">
        <v>694</v>
      </c>
      <c r="D613" t="s">
        <v>3251</v>
      </c>
      <c r="E613" t="s">
        <v>3252</v>
      </c>
    </row>
    <row r="614" spans="1:5">
      <c r="A614" s="2">
        <v>45811</v>
      </c>
      <c r="B614" t="s">
        <v>3250</v>
      </c>
      <c r="C614">
        <v>1325</v>
      </c>
      <c r="D614" t="s">
        <v>3251</v>
      </c>
      <c r="E614" t="s">
        <v>3252</v>
      </c>
    </row>
    <row r="615" spans="1:5">
      <c r="A615" s="2">
        <v>45811</v>
      </c>
      <c r="B615" t="s">
        <v>3253</v>
      </c>
      <c r="C615">
        <v>1180</v>
      </c>
      <c r="D615" t="s">
        <v>3251</v>
      </c>
      <c r="E615" t="s">
        <v>3252</v>
      </c>
    </row>
    <row r="616" spans="1:5">
      <c r="A616" s="2">
        <v>45811</v>
      </c>
      <c r="B616" t="s">
        <v>3255</v>
      </c>
      <c r="C616">
        <v>916</v>
      </c>
      <c r="D616" t="s">
        <v>3258</v>
      </c>
      <c r="E616" t="s">
        <v>3252</v>
      </c>
    </row>
    <row r="617" spans="1:5">
      <c r="A617" s="2">
        <v>45811</v>
      </c>
      <c r="B617" t="s">
        <v>3257</v>
      </c>
      <c r="C617">
        <v>790</v>
      </c>
      <c r="D617" t="s">
        <v>3256</v>
      </c>
      <c r="E617" t="s">
        <v>3252</v>
      </c>
    </row>
    <row r="618" spans="1:5">
      <c r="A618" s="2">
        <v>45812</v>
      </c>
      <c r="B618" t="s">
        <v>3250</v>
      </c>
      <c r="C618">
        <v>1533</v>
      </c>
      <c r="D618" t="s">
        <v>3251</v>
      </c>
      <c r="E618" t="s">
        <v>3252</v>
      </c>
    </row>
    <row r="619" spans="1:5">
      <c r="A619" s="2">
        <v>45812</v>
      </c>
      <c r="B619" t="s">
        <v>3253</v>
      </c>
      <c r="C619">
        <v>1334</v>
      </c>
      <c r="D619" t="s">
        <v>3258</v>
      </c>
      <c r="E619" t="s">
        <v>3252</v>
      </c>
    </row>
    <row r="620" spans="1:5">
      <c r="A620" s="2">
        <v>45812</v>
      </c>
      <c r="B620" t="s">
        <v>3255</v>
      </c>
      <c r="C620">
        <v>1157</v>
      </c>
      <c r="D620" t="s">
        <v>3258</v>
      </c>
      <c r="E620" t="s">
        <v>3252</v>
      </c>
    </row>
    <row r="621" spans="1:5">
      <c r="A621" s="2">
        <v>45812</v>
      </c>
      <c r="B621" t="s">
        <v>3257</v>
      </c>
      <c r="C621">
        <v>976</v>
      </c>
      <c r="D621" t="s">
        <v>3251</v>
      </c>
      <c r="E621" t="s">
        <v>3252</v>
      </c>
    </row>
    <row r="622" spans="1:5">
      <c r="A622" s="2">
        <v>45813</v>
      </c>
      <c r="B622" t="s">
        <v>3250</v>
      </c>
      <c r="C622">
        <v>1755</v>
      </c>
      <c r="D622" t="s">
        <v>3258</v>
      </c>
      <c r="E622" t="s">
        <v>3252</v>
      </c>
    </row>
    <row r="623" spans="1:5">
      <c r="A623" s="2">
        <v>45813</v>
      </c>
      <c r="B623" t="s">
        <v>3253</v>
      </c>
      <c r="C623">
        <v>1311</v>
      </c>
      <c r="D623" t="s">
        <v>3251</v>
      </c>
      <c r="E623" t="s">
        <v>3252</v>
      </c>
    </row>
    <row r="624" spans="1:5">
      <c r="A624" s="2">
        <v>45813</v>
      </c>
      <c r="B624" t="s">
        <v>3255</v>
      </c>
      <c r="C624">
        <v>1157</v>
      </c>
      <c r="D624" t="s">
        <v>3251</v>
      </c>
      <c r="E624" t="s">
        <v>3252</v>
      </c>
    </row>
    <row r="625" spans="1:5">
      <c r="A625" s="2">
        <v>45813</v>
      </c>
      <c r="B625" t="s">
        <v>3257</v>
      </c>
      <c r="C625">
        <v>874</v>
      </c>
      <c r="D625" t="s">
        <v>3251</v>
      </c>
      <c r="E625" t="s">
        <v>3252</v>
      </c>
    </row>
    <row r="626" spans="1:5">
      <c r="A626" s="2">
        <v>45814</v>
      </c>
      <c r="B626" t="s">
        <v>3250</v>
      </c>
      <c r="C626">
        <v>1308</v>
      </c>
      <c r="D626" t="s">
        <v>3251</v>
      </c>
      <c r="E626" t="s">
        <v>3252</v>
      </c>
    </row>
    <row r="627" spans="1:5">
      <c r="A627" s="2">
        <v>45814</v>
      </c>
      <c r="B627" t="s">
        <v>3253</v>
      </c>
      <c r="C627">
        <v>1084</v>
      </c>
      <c r="D627" t="s">
        <v>3251</v>
      </c>
      <c r="E627" t="s">
        <v>3252</v>
      </c>
    </row>
    <row r="628" spans="1:5">
      <c r="A628" s="2">
        <v>45814</v>
      </c>
      <c r="B628" t="s">
        <v>3255</v>
      </c>
      <c r="C628">
        <v>980</v>
      </c>
      <c r="D628" t="s">
        <v>3256</v>
      </c>
      <c r="E628" t="s">
        <v>3252</v>
      </c>
    </row>
    <row r="629" spans="1:5">
      <c r="A629" s="2">
        <v>45814</v>
      </c>
      <c r="B629" t="s">
        <v>3257</v>
      </c>
      <c r="C629">
        <v>704</v>
      </c>
      <c r="D629" t="s">
        <v>3251</v>
      </c>
      <c r="E629" t="s">
        <v>3252</v>
      </c>
    </row>
    <row r="630" spans="1:5">
      <c r="A630" s="2">
        <v>45815</v>
      </c>
      <c r="B630" t="s">
        <v>3250</v>
      </c>
      <c r="C630">
        <v>2284</v>
      </c>
      <c r="D630" t="s">
        <v>3251</v>
      </c>
      <c r="E630" t="s">
        <v>3252</v>
      </c>
    </row>
    <row r="631" spans="1:5">
      <c r="A631" s="2">
        <v>45815</v>
      </c>
      <c r="B631" t="s">
        <v>3253</v>
      </c>
      <c r="C631">
        <v>2156</v>
      </c>
      <c r="D631" t="s">
        <v>3251</v>
      </c>
      <c r="E631" t="s">
        <v>3252</v>
      </c>
    </row>
    <row r="632" spans="1:5">
      <c r="A632" s="2">
        <v>45815</v>
      </c>
      <c r="B632" t="s">
        <v>3255</v>
      </c>
      <c r="C632">
        <v>1785</v>
      </c>
      <c r="D632" t="s">
        <v>3256</v>
      </c>
      <c r="E632" t="s">
        <v>3252</v>
      </c>
    </row>
    <row r="633" spans="1:5">
      <c r="A633" s="2">
        <v>45815</v>
      </c>
      <c r="B633" t="s">
        <v>3257</v>
      </c>
      <c r="C633">
        <v>1371</v>
      </c>
      <c r="D633" t="s">
        <v>3251</v>
      </c>
      <c r="E633" t="s">
        <v>3252</v>
      </c>
    </row>
    <row r="634" spans="1:5">
      <c r="A634" s="2">
        <v>45816</v>
      </c>
      <c r="B634" t="s">
        <v>3250</v>
      </c>
      <c r="C634">
        <v>2823</v>
      </c>
      <c r="D634" t="s">
        <v>3256</v>
      </c>
      <c r="E634" t="s">
        <v>3252</v>
      </c>
    </row>
    <row r="635" spans="1:5">
      <c r="A635" s="2">
        <v>45816</v>
      </c>
      <c r="B635" t="s">
        <v>3253</v>
      </c>
      <c r="C635">
        <v>2429</v>
      </c>
      <c r="D635" t="s">
        <v>3256</v>
      </c>
      <c r="E635" t="s">
        <v>3252</v>
      </c>
    </row>
    <row r="636" spans="1:5">
      <c r="A636" s="2">
        <v>45816</v>
      </c>
      <c r="B636" t="s">
        <v>3255</v>
      </c>
      <c r="C636">
        <v>2029</v>
      </c>
      <c r="D636" t="s">
        <v>3251</v>
      </c>
      <c r="E636" t="s">
        <v>3252</v>
      </c>
    </row>
    <row r="637" spans="1:5">
      <c r="A637" s="2">
        <v>45816</v>
      </c>
      <c r="B637" t="s">
        <v>3257</v>
      </c>
      <c r="C637">
        <v>1665</v>
      </c>
      <c r="D637" t="s">
        <v>3256</v>
      </c>
      <c r="E637" t="s">
        <v>3252</v>
      </c>
    </row>
    <row r="638" spans="1:5">
      <c r="A638" s="2">
        <v>45817</v>
      </c>
      <c r="B638" t="s">
        <v>3250</v>
      </c>
      <c r="C638">
        <v>1941</v>
      </c>
      <c r="D638" t="s">
        <v>3251</v>
      </c>
      <c r="E638" t="s">
        <v>3252</v>
      </c>
    </row>
    <row r="639" spans="1:5">
      <c r="A639" s="2">
        <v>45817</v>
      </c>
      <c r="B639" t="s">
        <v>3253</v>
      </c>
      <c r="C639">
        <v>1692</v>
      </c>
      <c r="D639" t="s">
        <v>3256</v>
      </c>
      <c r="E639" t="s">
        <v>3252</v>
      </c>
    </row>
    <row r="640" spans="1:5">
      <c r="A640" s="2">
        <v>45817</v>
      </c>
      <c r="B640" t="s">
        <v>3255</v>
      </c>
      <c r="C640">
        <v>1538</v>
      </c>
      <c r="D640" t="s">
        <v>3256</v>
      </c>
      <c r="E640" t="s">
        <v>3252</v>
      </c>
    </row>
    <row r="641" spans="1:5">
      <c r="A641" s="2">
        <v>45817</v>
      </c>
      <c r="B641" t="s">
        <v>3257</v>
      </c>
      <c r="C641">
        <v>1209</v>
      </c>
      <c r="D641" t="s">
        <v>3251</v>
      </c>
      <c r="E641" t="s">
        <v>3252</v>
      </c>
    </row>
    <row r="642" spans="1:5">
      <c r="A642" s="2">
        <v>45818</v>
      </c>
      <c r="B642" t="s">
        <v>3250</v>
      </c>
      <c r="C642">
        <v>1557</v>
      </c>
      <c r="D642" t="s">
        <v>3251</v>
      </c>
      <c r="E642" t="s">
        <v>3252</v>
      </c>
    </row>
    <row r="643" spans="1:5">
      <c r="A643" s="2">
        <v>45818</v>
      </c>
      <c r="B643" t="s">
        <v>3253</v>
      </c>
      <c r="C643">
        <v>1286</v>
      </c>
      <c r="D643" t="s">
        <v>3256</v>
      </c>
      <c r="E643" t="s">
        <v>3252</v>
      </c>
    </row>
    <row r="644" spans="1:5">
      <c r="A644" s="2">
        <v>45818</v>
      </c>
      <c r="B644" t="s">
        <v>3255</v>
      </c>
      <c r="C644">
        <v>979</v>
      </c>
      <c r="D644" t="s">
        <v>3251</v>
      </c>
      <c r="E644" t="s">
        <v>3252</v>
      </c>
    </row>
    <row r="645" spans="1:5">
      <c r="A645" s="2">
        <v>45818</v>
      </c>
      <c r="B645" t="s">
        <v>3257</v>
      </c>
      <c r="C645">
        <v>860</v>
      </c>
      <c r="D645" t="s">
        <v>3258</v>
      </c>
      <c r="E645" t="s">
        <v>3252</v>
      </c>
    </row>
    <row r="646" spans="1:5">
      <c r="A646" s="2">
        <v>45819</v>
      </c>
      <c r="B646" t="s">
        <v>3250</v>
      </c>
      <c r="C646">
        <v>1609</v>
      </c>
      <c r="D646" t="s">
        <v>3251</v>
      </c>
      <c r="E646" t="s">
        <v>3252</v>
      </c>
    </row>
    <row r="647" spans="1:5">
      <c r="A647" s="2">
        <v>45819</v>
      </c>
      <c r="B647" t="s">
        <v>3253</v>
      </c>
      <c r="C647">
        <v>1441</v>
      </c>
      <c r="D647" t="s">
        <v>3251</v>
      </c>
      <c r="E647" t="s">
        <v>3252</v>
      </c>
    </row>
    <row r="648" spans="1:5">
      <c r="A648" s="2">
        <v>45819</v>
      </c>
      <c r="B648" t="s">
        <v>3255</v>
      </c>
      <c r="C648">
        <v>1254</v>
      </c>
      <c r="D648" t="s">
        <v>3251</v>
      </c>
      <c r="E648" t="s">
        <v>3252</v>
      </c>
    </row>
    <row r="649" spans="1:5">
      <c r="A649" s="2">
        <v>45819</v>
      </c>
      <c r="B649" t="s">
        <v>3257</v>
      </c>
      <c r="C649">
        <v>901</v>
      </c>
      <c r="D649" t="s">
        <v>3258</v>
      </c>
      <c r="E649" t="s">
        <v>3252</v>
      </c>
    </row>
    <row r="650" spans="1:5">
      <c r="A650" s="2">
        <v>45820</v>
      </c>
      <c r="B650" t="s">
        <v>3250</v>
      </c>
      <c r="C650">
        <v>1875</v>
      </c>
      <c r="D650" t="s">
        <v>3256</v>
      </c>
      <c r="E650" t="s">
        <v>3252</v>
      </c>
    </row>
    <row r="651" spans="1:5">
      <c r="A651" s="2">
        <v>45820</v>
      </c>
      <c r="B651" t="s">
        <v>3253</v>
      </c>
      <c r="C651">
        <v>1532</v>
      </c>
      <c r="D651" t="s">
        <v>3256</v>
      </c>
      <c r="E651" t="s">
        <v>3252</v>
      </c>
    </row>
    <row r="652" spans="1:5">
      <c r="A652" s="2">
        <v>45820</v>
      </c>
      <c r="B652" t="s">
        <v>3255</v>
      </c>
      <c r="C652">
        <v>1343</v>
      </c>
      <c r="D652" t="s">
        <v>3256</v>
      </c>
      <c r="E652" t="s">
        <v>3252</v>
      </c>
    </row>
    <row r="653" spans="1:5">
      <c r="A653" s="2">
        <v>45820</v>
      </c>
      <c r="B653" t="s">
        <v>3257</v>
      </c>
      <c r="C653">
        <v>1048</v>
      </c>
      <c r="D653" t="s">
        <v>3251</v>
      </c>
      <c r="E653" t="s">
        <v>3252</v>
      </c>
    </row>
    <row r="654" spans="1:5">
      <c r="A654" s="2">
        <v>45821</v>
      </c>
      <c r="B654" t="s">
        <v>3250</v>
      </c>
      <c r="C654">
        <v>1297</v>
      </c>
      <c r="D654" t="s">
        <v>3251</v>
      </c>
      <c r="E654" t="s">
        <v>3252</v>
      </c>
    </row>
    <row r="655" spans="1:5">
      <c r="A655" s="2">
        <v>45821</v>
      </c>
      <c r="B655" t="s">
        <v>3253</v>
      </c>
      <c r="C655">
        <v>1046</v>
      </c>
      <c r="D655" t="s">
        <v>3251</v>
      </c>
      <c r="E655" t="s">
        <v>3252</v>
      </c>
    </row>
    <row r="656" spans="1:5">
      <c r="A656" s="2">
        <v>45821</v>
      </c>
      <c r="B656" t="s">
        <v>3255</v>
      </c>
      <c r="C656">
        <v>918</v>
      </c>
      <c r="D656" t="s">
        <v>3251</v>
      </c>
      <c r="E656" t="s">
        <v>3252</v>
      </c>
    </row>
    <row r="657" spans="1:5">
      <c r="A657" s="2">
        <v>45821</v>
      </c>
      <c r="B657" t="s">
        <v>3257</v>
      </c>
      <c r="C657">
        <v>734</v>
      </c>
      <c r="D657" t="s">
        <v>3251</v>
      </c>
      <c r="E657" t="s">
        <v>3252</v>
      </c>
    </row>
    <row r="658" spans="1:5">
      <c r="A658" s="2">
        <v>45822</v>
      </c>
      <c r="B658" t="s">
        <v>3250</v>
      </c>
      <c r="C658">
        <v>2639</v>
      </c>
      <c r="D658" t="s">
        <v>3256</v>
      </c>
      <c r="E658" t="s">
        <v>3252</v>
      </c>
    </row>
    <row r="659" spans="1:5">
      <c r="A659" s="2">
        <v>45822</v>
      </c>
      <c r="B659" t="s">
        <v>3253</v>
      </c>
      <c r="C659">
        <v>2291</v>
      </c>
      <c r="D659" t="s">
        <v>3251</v>
      </c>
      <c r="E659" t="s">
        <v>3252</v>
      </c>
    </row>
    <row r="660" spans="1:5">
      <c r="A660" s="2">
        <v>45822</v>
      </c>
      <c r="B660" t="s">
        <v>3255</v>
      </c>
      <c r="C660">
        <v>2062</v>
      </c>
      <c r="D660" t="s">
        <v>3251</v>
      </c>
      <c r="E660" t="s">
        <v>3252</v>
      </c>
    </row>
    <row r="661" spans="1:5">
      <c r="A661" s="2">
        <v>45822</v>
      </c>
      <c r="B661" t="s">
        <v>3257</v>
      </c>
      <c r="C661">
        <v>1660</v>
      </c>
      <c r="D661" t="s">
        <v>3256</v>
      </c>
      <c r="E661" t="s">
        <v>3252</v>
      </c>
    </row>
    <row r="662" spans="1:5">
      <c r="A662" s="2">
        <v>45823</v>
      </c>
      <c r="B662" t="s">
        <v>3250</v>
      </c>
      <c r="C662">
        <v>2506</v>
      </c>
      <c r="D662" t="s">
        <v>3251</v>
      </c>
      <c r="E662" t="s">
        <v>3252</v>
      </c>
    </row>
    <row r="663" spans="1:5">
      <c r="A663" s="2">
        <v>45823</v>
      </c>
      <c r="B663" t="s">
        <v>3253</v>
      </c>
      <c r="C663">
        <v>2306</v>
      </c>
      <c r="D663" t="s">
        <v>3251</v>
      </c>
      <c r="E663" t="s">
        <v>3252</v>
      </c>
    </row>
    <row r="664" spans="1:5">
      <c r="A664" s="2">
        <v>45823</v>
      </c>
      <c r="B664" t="s">
        <v>3255</v>
      </c>
      <c r="C664">
        <v>2021</v>
      </c>
      <c r="D664" t="s">
        <v>3251</v>
      </c>
      <c r="E664" t="s">
        <v>3252</v>
      </c>
    </row>
    <row r="665" spans="1:5">
      <c r="A665" s="2">
        <v>45823</v>
      </c>
      <c r="B665" t="s">
        <v>3257</v>
      </c>
      <c r="C665">
        <v>1382</v>
      </c>
      <c r="D665" t="s">
        <v>3251</v>
      </c>
      <c r="E665" t="s">
        <v>3252</v>
      </c>
    </row>
    <row r="666" spans="1:5">
      <c r="A666" s="2">
        <v>45824</v>
      </c>
      <c r="B666" t="s">
        <v>3250</v>
      </c>
      <c r="C666">
        <v>1333</v>
      </c>
      <c r="D666" t="s">
        <v>3256</v>
      </c>
      <c r="E666" t="s">
        <v>3252</v>
      </c>
    </row>
    <row r="667" spans="1:5">
      <c r="A667" s="2">
        <v>45824</v>
      </c>
      <c r="B667" t="s">
        <v>3253</v>
      </c>
      <c r="C667">
        <v>1108</v>
      </c>
      <c r="D667" t="s">
        <v>3251</v>
      </c>
      <c r="E667" t="s">
        <v>3252</v>
      </c>
    </row>
    <row r="668" spans="1:5">
      <c r="A668" s="2">
        <v>45824</v>
      </c>
      <c r="B668" t="s">
        <v>3255</v>
      </c>
      <c r="C668">
        <v>989</v>
      </c>
      <c r="D668" t="s">
        <v>3251</v>
      </c>
      <c r="E668" t="s">
        <v>3252</v>
      </c>
    </row>
    <row r="669" spans="1:5">
      <c r="A669" s="2">
        <v>45824</v>
      </c>
      <c r="B669" t="s">
        <v>3257</v>
      </c>
      <c r="C669">
        <v>813</v>
      </c>
      <c r="D669" t="s">
        <v>3251</v>
      </c>
      <c r="E669" t="s">
        <v>3252</v>
      </c>
    </row>
    <row r="670" spans="1:5">
      <c r="A670" s="2">
        <v>45825</v>
      </c>
      <c r="B670" t="s">
        <v>3250</v>
      </c>
      <c r="C670">
        <v>2166</v>
      </c>
      <c r="D670" t="s">
        <v>3256</v>
      </c>
      <c r="E670" t="s">
        <v>3252</v>
      </c>
    </row>
    <row r="671" spans="1:5">
      <c r="A671" s="2">
        <v>45825</v>
      </c>
      <c r="B671" t="s">
        <v>3253</v>
      </c>
      <c r="C671">
        <v>1748</v>
      </c>
      <c r="D671" t="s">
        <v>3251</v>
      </c>
      <c r="E671" t="s">
        <v>3252</v>
      </c>
    </row>
    <row r="672" spans="1:5">
      <c r="A672" s="2">
        <v>45825</v>
      </c>
      <c r="B672" t="s">
        <v>3255</v>
      </c>
      <c r="C672">
        <v>1682</v>
      </c>
      <c r="D672" t="s">
        <v>3258</v>
      </c>
      <c r="E672" t="s">
        <v>3252</v>
      </c>
    </row>
    <row r="673" spans="1:5">
      <c r="A673" s="2">
        <v>45825</v>
      </c>
      <c r="B673" t="s">
        <v>3257</v>
      </c>
      <c r="C673">
        <v>1162</v>
      </c>
      <c r="D673" t="s">
        <v>3251</v>
      </c>
      <c r="E673" t="s">
        <v>3252</v>
      </c>
    </row>
    <row r="674" spans="1:5">
      <c r="A674" s="2">
        <v>45826</v>
      </c>
      <c r="B674" t="s">
        <v>3250</v>
      </c>
      <c r="C674">
        <v>1500</v>
      </c>
      <c r="D674" t="s">
        <v>3251</v>
      </c>
      <c r="E674" t="s">
        <v>3252</v>
      </c>
    </row>
    <row r="675" spans="1:5">
      <c r="A675" s="2">
        <v>45826</v>
      </c>
      <c r="B675" t="s">
        <v>3253</v>
      </c>
      <c r="C675">
        <v>1185</v>
      </c>
      <c r="D675" t="s">
        <v>3251</v>
      </c>
      <c r="E675" t="s">
        <v>3252</v>
      </c>
    </row>
    <row r="676" spans="1:5">
      <c r="A676" s="2">
        <v>45826</v>
      </c>
      <c r="B676" t="s">
        <v>3255</v>
      </c>
      <c r="C676">
        <v>955</v>
      </c>
      <c r="D676" t="s">
        <v>3251</v>
      </c>
      <c r="E676" t="s">
        <v>3252</v>
      </c>
    </row>
    <row r="677" spans="1:5">
      <c r="A677" s="2">
        <v>45826</v>
      </c>
      <c r="B677" t="s">
        <v>3257</v>
      </c>
      <c r="C677">
        <v>834</v>
      </c>
      <c r="D677" t="s">
        <v>3258</v>
      </c>
      <c r="E677" t="s">
        <v>3252</v>
      </c>
    </row>
    <row r="678" spans="1:5">
      <c r="A678" s="2">
        <v>45827</v>
      </c>
      <c r="B678" t="s">
        <v>3250</v>
      </c>
      <c r="C678">
        <v>1320</v>
      </c>
      <c r="D678" t="s">
        <v>3251</v>
      </c>
      <c r="E678" t="s">
        <v>3252</v>
      </c>
    </row>
    <row r="679" spans="1:5">
      <c r="A679" s="2">
        <v>45827</v>
      </c>
      <c r="B679" t="s">
        <v>3253</v>
      </c>
      <c r="C679">
        <v>1006</v>
      </c>
      <c r="D679" t="s">
        <v>3251</v>
      </c>
      <c r="E679" t="s">
        <v>3252</v>
      </c>
    </row>
    <row r="680" spans="1:5">
      <c r="A680" s="2">
        <v>45827</v>
      </c>
      <c r="B680" t="s">
        <v>3255</v>
      </c>
      <c r="C680">
        <v>947</v>
      </c>
      <c r="D680" t="s">
        <v>3256</v>
      </c>
      <c r="E680" t="s">
        <v>3252</v>
      </c>
    </row>
    <row r="681" spans="1:5">
      <c r="A681" s="2">
        <v>45827</v>
      </c>
      <c r="B681" t="s">
        <v>3257</v>
      </c>
      <c r="C681">
        <v>663</v>
      </c>
      <c r="D681" t="s">
        <v>3251</v>
      </c>
      <c r="E681" t="s">
        <v>3252</v>
      </c>
    </row>
    <row r="682" spans="1:5">
      <c r="A682" s="2">
        <v>45828</v>
      </c>
      <c r="B682" t="s">
        <v>3250</v>
      </c>
      <c r="C682">
        <v>1552</v>
      </c>
      <c r="D682" t="s">
        <v>3258</v>
      </c>
      <c r="E682" t="s">
        <v>3252</v>
      </c>
    </row>
    <row r="683" spans="1:5">
      <c r="A683" s="2">
        <v>45828</v>
      </c>
      <c r="B683" t="s">
        <v>3253</v>
      </c>
      <c r="C683">
        <v>1290</v>
      </c>
      <c r="D683" t="s">
        <v>3256</v>
      </c>
      <c r="E683" t="s">
        <v>3252</v>
      </c>
    </row>
    <row r="684" spans="1:5">
      <c r="A684" s="2">
        <v>45828</v>
      </c>
      <c r="B684" t="s">
        <v>3255</v>
      </c>
      <c r="C684">
        <v>1148</v>
      </c>
      <c r="D684" t="s">
        <v>3256</v>
      </c>
      <c r="E684" t="s">
        <v>3252</v>
      </c>
    </row>
    <row r="685" spans="1:5">
      <c r="A685" s="2">
        <v>45828</v>
      </c>
      <c r="B685" t="s">
        <v>3257</v>
      </c>
      <c r="C685">
        <v>861</v>
      </c>
      <c r="D685" t="s">
        <v>3256</v>
      </c>
      <c r="E685" t="s">
        <v>3252</v>
      </c>
    </row>
    <row r="686" spans="1:5">
      <c r="A686" s="2">
        <v>45829</v>
      </c>
      <c r="B686" t="s">
        <v>3250</v>
      </c>
      <c r="C686">
        <v>2375</v>
      </c>
      <c r="D686" t="s">
        <v>3251</v>
      </c>
      <c r="E686" t="s">
        <v>3252</v>
      </c>
    </row>
    <row r="687" spans="1:5">
      <c r="A687" s="2">
        <v>45829</v>
      </c>
      <c r="B687" t="s">
        <v>3253</v>
      </c>
      <c r="C687">
        <v>1961</v>
      </c>
      <c r="D687" t="s">
        <v>3256</v>
      </c>
      <c r="E687" t="s">
        <v>3252</v>
      </c>
    </row>
    <row r="688" spans="1:5">
      <c r="A688" s="2">
        <v>45829</v>
      </c>
      <c r="B688" t="s">
        <v>3255</v>
      </c>
      <c r="C688">
        <v>1504</v>
      </c>
      <c r="D688" t="s">
        <v>3251</v>
      </c>
      <c r="E688" t="s">
        <v>3252</v>
      </c>
    </row>
    <row r="689" spans="1:5">
      <c r="A689" s="2">
        <v>45829</v>
      </c>
      <c r="B689" t="s">
        <v>3257</v>
      </c>
      <c r="C689">
        <v>1323</v>
      </c>
      <c r="D689" t="s">
        <v>3251</v>
      </c>
      <c r="E689" t="s">
        <v>3252</v>
      </c>
    </row>
    <row r="690" spans="1:5">
      <c r="A690" s="2">
        <v>45830</v>
      </c>
      <c r="B690" t="s">
        <v>3250</v>
      </c>
      <c r="C690">
        <v>2691</v>
      </c>
      <c r="D690" t="s">
        <v>3258</v>
      </c>
      <c r="E690" t="s">
        <v>3252</v>
      </c>
    </row>
    <row r="691" spans="1:5">
      <c r="A691" s="2">
        <v>45830</v>
      </c>
      <c r="B691" t="s">
        <v>3253</v>
      </c>
      <c r="C691">
        <v>2433</v>
      </c>
      <c r="D691" t="s">
        <v>3251</v>
      </c>
      <c r="E691" t="s">
        <v>3252</v>
      </c>
    </row>
    <row r="692" spans="1:5">
      <c r="A692" s="2">
        <v>45830</v>
      </c>
      <c r="B692" t="s">
        <v>3255</v>
      </c>
      <c r="C692">
        <v>1954</v>
      </c>
      <c r="D692" t="s">
        <v>3256</v>
      </c>
      <c r="E692" t="s">
        <v>3252</v>
      </c>
    </row>
    <row r="693" spans="1:5">
      <c r="A693" s="2">
        <v>45830</v>
      </c>
      <c r="B693" t="s">
        <v>3257</v>
      </c>
      <c r="C693">
        <v>1609</v>
      </c>
      <c r="D693" t="s">
        <v>3251</v>
      </c>
      <c r="E693" t="s">
        <v>3252</v>
      </c>
    </row>
    <row r="694" spans="1:5">
      <c r="A694" s="2">
        <v>45831</v>
      </c>
      <c r="B694" t="s">
        <v>3250</v>
      </c>
      <c r="C694">
        <v>1688</v>
      </c>
      <c r="D694" t="s">
        <v>3251</v>
      </c>
      <c r="E694" t="s">
        <v>3252</v>
      </c>
    </row>
    <row r="695" spans="1:5">
      <c r="A695" s="2">
        <v>45831</v>
      </c>
      <c r="B695" t="s">
        <v>3253</v>
      </c>
      <c r="C695">
        <v>1553</v>
      </c>
      <c r="D695" t="s">
        <v>3258</v>
      </c>
      <c r="E695" t="s">
        <v>3252</v>
      </c>
    </row>
    <row r="696" spans="1:5">
      <c r="A696" s="2">
        <v>45831</v>
      </c>
      <c r="B696" t="s">
        <v>3255</v>
      </c>
      <c r="C696">
        <v>1213</v>
      </c>
      <c r="D696" t="s">
        <v>3258</v>
      </c>
      <c r="E696" t="s">
        <v>3252</v>
      </c>
    </row>
    <row r="697" spans="1:5">
      <c r="A697" s="2">
        <v>45831</v>
      </c>
      <c r="B697" t="s">
        <v>3257</v>
      </c>
      <c r="C697">
        <v>1030</v>
      </c>
      <c r="D697" t="s">
        <v>3251</v>
      </c>
      <c r="E697" t="s">
        <v>3252</v>
      </c>
    </row>
    <row r="698" spans="1:5">
      <c r="A698" s="2">
        <v>45832</v>
      </c>
      <c r="B698" t="s">
        <v>3250</v>
      </c>
      <c r="C698">
        <v>1428</v>
      </c>
      <c r="D698" t="s">
        <v>3251</v>
      </c>
      <c r="E698" t="s">
        <v>3252</v>
      </c>
    </row>
    <row r="699" spans="1:5">
      <c r="A699" s="2">
        <v>45832</v>
      </c>
      <c r="B699" t="s">
        <v>3253</v>
      </c>
      <c r="C699">
        <v>1185</v>
      </c>
      <c r="D699" t="s">
        <v>3256</v>
      </c>
      <c r="E699" t="s">
        <v>3252</v>
      </c>
    </row>
    <row r="700" spans="1:5">
      <c r="A700" s="2">
        <v>45832</v>
      </c>
      <c r="B700" t="s">
        <v>3255</v>
      </c>
      <c r="C700">
        <v>992</v>
      </c>
      <c r="D700" t="s">
        <v>3256</v>
      </c>
      <c r="E700" t="s">
        <v>3252</v>
      </c>
    </row>
    <row r="701" spans="1:5">
      <c r="A701" s="2">
        <v>45832</v>
      </c>
      <c r="B701" t="s">
        <v>3257</v>
      </c>
      <c r="C701">
        <v>751</v>
      </c>
      <c r="D701" t="s">
        <v>3251</v>
      </c>
      <c r="E701" t="s">
        <v>3252</v>
      </c>
    </row>
    <row r="702" spans="1:5">
      <c r="A702" s="2">
        <v>45833</v>
      </c>
      <c r="B702" t="s">
        <v>3250</v>
      </c>
      <c r="C702">
        <v>1706</v>
      </c>
      <c r="D702" t="s">
        <v>3256</v>
      </c>
      <c r="E702" t="s">
        <v>3252</v>
      </c>
    </row>
    <row r="703" spans="1:5">
      <c r="A703" s="2">
        <v>45833</v>
      </c>
      <c r="B703" t="s">
        <v>3253</v>
      </c>
      <c r="C703">
        <v>1288</v>
      </c>
      <c r="D703" t="s">
        <v>3251</v>
      </c>
      <c r="E703" t="s">
        <v>3252</v>
      </c>
    </row>
    <row r="704" spans="1:5">
      <c r="A704" s="2">
        <v>45833</v>
      </c>
      <c r="B704" t="s">
        <v>3255</v>
      </c>
      <c r="C704">
        <v>1176</v>
      </c>
      <c r="D704" t="s">
        <v>3251</v>
      </c>
      <c r="E704" t="s">
        <v>3252</v>
      </c>
    </row>
    <row r="705" spans="1:5">
      <c r="A705" s="2">
        <v>45833</v>
      </c>
      <c r="B705" t="s">
        <v>3257</v>
      </c>
      <c r="C705">
        <v>901</v>
      </c>
      <c r="D705" t="s">
        <v>3251</v>
      </c>
      <c r="E705" t="s">
        <v>3252</v>
      </c>
    </row>
    <row r="706" spans="1:5">
      <c r="A706" s="2">
        <v>45834</v>
      </c>
      <c r="B706" t="s">
        <v>3250</v>
      </c>
      <c r="C706">
        <v>1515</v>
      </c>
      <c r="D706" t="s">
        <v>3251</v>
      </c>
      <c r="E706" t="s">
        <v>3252</v>
      </c>
    </row>
    <row r="707" spans="1:5">
      <c r="A707" s="2">
        <v>45834</v>
      </c>
      <c r="B707" t="s">
        <v>3253</v>
      </c>
      <c r="C707">
        <v>1306</v>
      </c>
      <c r="D707" t="s">
        <v>3251</v>
      </c>
      <c r="E707" t="s">
        <v>3252</v>
      </c>
    </row>
    <row r="708" spans="1:5">
      <c r="A708" s="2">
        <v>45834</v>
      </c>
      <c r="B708" t="s">
        <v>3255</v>
      </c>
      <c r="C708">
        <v>1039</v>
      </c>
      <c r="D708" t="s">
        <v>3251</v>
      </c>
      <c r="E708" t="s">
        <v>3252</v>
      </c>
    </row>
    <row r="709" spans="1:5">
      <c r="A709" s="2">
        <v>45834</v>
      </c>
      <c r="B709" t="s">
        <v>3257</v>
      </c>
      <c r="C709">
        <v>886</v>
      </c>
      <c r="D709" t="s">
        <v>3251</v>
      </c>
      <c r="E709" t="s">
        <v>3252</v>
      </c>
    </row>
    <row r="710" spans="1:5">
      <c r="A710" s="2">
        <v>45835</v>
      </c>
      <c r="B710" t="s">
        <v>3250</v>
      </c>
      <c r="C710">
        <v>1385</v>
      </c>
      <c r="D710" t="s">
        <v>3251</v>
      </c>
      <c r="E710" t="s">
        <v>3252</v>
      </c>
    </row>
    <row r="711" spans="1:5">
      <c r="A711" s="2">
        <v>45835</v>
      </c>
      <c r="B711" t="s">
        <v>3253</v>
      </c>
      <c r="C711">
        <v>1211</v>
      </c>
      <c r="D711" t="s">
        <v>3256</v>
      </c>
      <c r="E711" t="s">
        <v>3252</v>
      </c>
    </row>
    <row r="712" spans="1:5">
      <c r="A712" s="2">
        <v>45835</v>
      </c>
      <c r="B712" t="s">
        <v>3255</v>
      </c>
      <c r="C712">
        <v>977</v>
      </c>
      <c r="D712" t="s">
        <v>3251</v>
      </c>
      <c r="E712" t="s">
        <v>3252</v>
      </c>
    </row>
    <row r="713" spans="1:5">
      <c r="A713" s="2">
        <v>45835</v>
      </c>
      <c r="B713" t="s">
        <v>3257</v>
      </c>
      <c r="C713">
        <v>746</v>
      </c>
      <c r="D713" t="s">
        <v>3258</v>
      </c>
      <c r="E713" t="s">
        <v>3252</v>
      </c>
    </row>
    <row r="714" spans="1:5">
      <c r="A714" s="2">
        <v>45836</v>
      </c>
      <c r="B714" t="s">
        <v>3250</v>
      </c>
      <c r="C714">
        <v>2673</v>
      </c>
      <c r="D714" t="s">
        <v>3251</v>
      </c>
      <c r="E714" t="s">
        <v>3252</v>
      </c>
    </row>
    <row r="715" spans="1:5">
      <c r="A715" s="2">
        <v>45836</v>
      </c>
      <c r="B715" t="s">
        <v>3253</v>
      </c>
      <c r="C715">
        <v>2167</v>
      </c>
      <c r="D715" t="s">
        <v>3256</v>
      </c>
      <c r="E715" t="s">
        <v>3252</v>
      </c>
    </row>
    <row r="716" spans="1:5">
      <c r="A716" s="2">
        <v>45836</v>
      </c>
      <c r="B716" t="s">
        <v>3255</v>
      </c>
      <c r="C716">
        <v>1785</v>
      </c>
      <c r="D716" t="s">
        <v>3258</v>
      </c>
      <c r="E716" t="s">
        <v>3252</v>
      </c>
    </row>
    <row r="717" spans="1:5">
      <c r="A717" s="2">
        <v>45836</v>
      </c>
      <c r="B717" t="s">
        <v>3257</v>
      </c>
      <c r="C717">
        <v>1350</v>
      </c>
      <c r="D717" t="s">
        <v>3251</v>
      </c>
      <c r="E717" t="s">
        <v>3252</v>
      </c>
    </row>
    <row r="718" spans="1:5">
      <c r="A718" s="2">
        <v>45837</v>
      </c>
      <c r="B718" t="s">
        <v>3250</v>
      </c>
      <c r="C718">
        <v>3316</v>
      </c>
      <c r="D718" t="s">
        <v>3251</v>
      </c>
      <c r="E718" t="s">
        <v>3252</v>
      </c>
    </row>
    <row r="719" spans="1:5">
      <c r="A719" s="2">
        <v>45837</v>
      </c>
      <c r="B719" t="s">
        <v>3253</v>
      </c>
      <c r="C719">
        <v>2706</v>
      </c>
      <c r="D719" t="s">
        <v>3251</v>
      </c>
      <c r="E719" t="s">
        <v>3252</v>
      </c>
    </row>
    <row r="720" spans="1:5">
      <c r="A720" s="2">
        <v>45837</v>
      </c>
      <c r="B720" t="s">
        <v>3255</v>
      </c>
      <c r="C720">
        <v>2174</v>
      </c>
      <c r="D720" t="s">
        <v>3251</v>
      </c>
      <c r="E720" t="s">
        <v>3252</v>
      </c>
    </row>
    <row r="721" spans="1:5">
      <c r="A721" s="2">
        <v>45837</v>
      </c>
      <c r="B721" t="s">
        <v>3257</v>
      </c>
      <c r="C721">
        <v>1566</v>
      </c>
      <c r="D721" t="s">
        <v>3256</v>
      </c>
      <c r="E721" t="s">
        <v>3252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pane ySplit="1" topLeftCell="A8" activePane="bottomLeft" state="frozen"/>
      <selection pane="bottomLeft" activeCell="G9" sqref="G9"/>
    </sheetView>
  </sheetViews>
  <sheetFormatPr defaultRowHeight="14.4"/>
  <cols>
    <col min="1" max="1" width="12" customWidth="1"/>
    <col min="2" max="2" width="14.21875" customWidth="1"/>
    <col min="3" max="3" width="19" customWidth="1"/>
    <col min="4" max="4" width="22" customWidth="1"/>
    <col min="5" max="5" width="17" customWidth="1"/>
    <col min="6" max="6" width="18" style="7" customWidth="1"/>
    <col min="7" max="7" width="12.6640625" customWidth="1"/>
  </cols>
  <sheetData>
    <row r="1" spans="1:7" ht="30" customHeight="1">
      <c r="A1" s="3" t="s">
        <v>3</v>
      </c>
      <c r="B1" s="3" t="s">
        <v>3259</v>
      </c>
      <c r="C1" s="3" t="s">
        <v>3260</v>
      </c>
      <c r="D1" s="3" t="s">
        <v>3261</v>
      </c>
      <c r="E1" s="4" t="s">
        <v>3262</v>
      </c>
      <c r="F1" s="5" t="s">
        <v>3263</v>
      </c>
      <c r="G1" s="11" t="s">
        <v>3356</v>
      </c>
    </row>
    <row r="2" spans="1:7">
      <c r="A2" t="s">
        <v>41</v>
      </c>
      <c r="B2" t="s">
        <v>3264</v>
      </c>
      <c r="C2" t="s">
        <v>3265</v>
      </c>
      <c r="D2" t="s">
        <v>3266</v>
      </c>
      <c r="E2">
        <v>3352</v>
      </c>
      <c r="F2" s="7">
        <v>317000</v>
      </c>
      <c r="G2" s="7">
        <f>tblTenants[[#This Row],[monthly_rent_inr]]/tblTenants[[#This Row],[store_size_sqft]]</f>
        <v>94.570405727923628</v>
      </c>
    </row>
    <row r="3" spans="1:7">
      <c r="A3" t="s">
        <v>61</v>
      </c>
      <c r="B3" t="s">
        <v>3267</v>
      </c>
      <c r="C3" t="s">
        <v>3268</v>
      </c>
      <c r="D3" t="s">
        <v>3269</v>
      </c>
      <c r="E3">
        <v>2073</v>
      </c>
      <c r="F3" s="7">
        <v>395000</v>
      </c>
      <c r="G3" s="7">
        <f>tblTenants[[#This Row],[monthly_rent_inr]]/tblTenants[[#This Row],[store_size_sqft]]</f>
        <v>190.54510371442353</v>
      </c>
    </row>
    <row r="4" spans="1:7">
      <c r="A4" t="s">
        <v>23</v>
      </c>
      <c r="B4" t="s">
        <v>3270</v>
      </c>
      <c r="C4" t="s">
        <v>3271</v>
      </c>
      <c r="D4" t="s">
        <v>3272</v>
      </c>
      <c r="E4">
        <v>3065</v>
      </c>
      <c r="F4" s="7">
        <v>142000</v>
      </c>
      <c r="G4" s="7">
        <f>tblTenants[[#This Row],[monthly_rent_inr]]/tblTenants[[#This Row],[store_size_sqft]]</f>
        <v>46.329526916802607</v>
      </c>
    </row>
    <row r="5" spans="1:7">
      <c r="A5" t="s">
        <v>204</v>
      </c>
      <c r="B5" t="s">
        <v>3273</v>
      </c>
      <c r="C5" t="s">
        <v>3274</v>
      </c>
      <c r="D5" t="s">
        <v>3275</v>
      </c>
      <c r="E5">
        <v>2424</v>
      </c>
      <c r="F5" s="7">
        <v>440000</v>
      </c>
      <c r="G5" s="7">
        <f>tblTenants[[#This Row],[monthly_rent_inr]]/tblTenants[[#This Row],[store_size_sqft]]</f>
        <v>181.51815181518151</v>
      </c>
    </row>
    <row r="6" spans="1:7">
      <c r="A6" t="s">
        <v>48</v>
      </c>
      <c r="B6" t="s">
        <v>3276</v>
      </c>
      <c r="C6" t="s">
        <v>3277</v>
      </c>
      <c r="D6" t="s">
        <v>3278</v>
      </c>
      <c r="E6">
        <v>3304</v>
      </c>
      <c r="F6" s="7">
        <v>341000</v>
      </c>
      <c r="G6" s="7">
        <f>tblTenants[[#This Row],[monthly_rent_inr]]/tblTenants[[#This Row],[store_size_sqft]]</f>
        <v>103.20823244552058</v>
      </c>
    </row>
    <row r="7" spans="1:7">
      <c r="A7" t="s">
        <v>98</v>
      </c>
      <c r="B7" t="s">
        <v>3279</v>
      </c>
      <c r="C7" t="s">
        <v>3265</v>
      </c>
      <c r="D7" t="s">
        <v>3280</v>
      </c>
      <c r="E7">
        <v>2374</v>
      </c>
      <c r="F7" s="7">
        <v>114000</v>
      </c>
      <c r="G7" s="7">
        <f>tblTenants[[#This Row],[monthly_rent_inr]]/tblTenants[[#This Row],[store_size_sqft]]</f>
        <v>48.020219039595617</v>
      </c>
    </row>
    <row r="8" spans="1:7">
      <c r="A8" t="s">
        <v>43</v>
      </c>
      <c r="B8" t="s">
        <v>3281</v>
      </c>
      <c r="C8" t="s">
        <v>3268</v>
      </c>
      <c r="D8" t="s">
        <v>3282</v>
      </c>
      <c r="E8">
        <v>2138</v>
      </c>
      <c r="F8" s="7">
        <v>257000</v>
      </c>
      <c r="G8" s="7">
        <f>tblTenants[[#This Row],[monthly_rent_inr]]/tblTenants[[#This Row],[store_size_sqft]]</f>
        <v>120.20579981290926</v>
      </c>
    </row>
    <row r="9" spans="1:7">
      <c r="A9" t="s">
        <v>31</v>
      </c>
      <c r="B9" t="s">
        <v>3283</v>
      </c>
      <c r="C9" t="s">
        <v>3271</v>
      </c>
      <c r="D9" t="s">
        <v>3284</v>
      </c>
      <c r="E9">
        <v>1134</v>
      </c>
      <c r="F9" s="7">
        <v>421000</v>
      </c>
      <c r="G9" s="7">
        <f>tblTenants[[#This Row],[monthly_rent_inr]]/tblTenants[[#This Row],[store_size_sqft]]</f>
        <v>371.25220458553792</v>
      </c>
    </row>
    <row r="10" spans="1:7">
      <c r="A10" t="s">
        <v>36</v>
      </c>
      <c r="B10" t="s">
        <v>3285</v>
      </c>
      <c r="C10" t="s">
        <v>3274</v>
      </c>
      <c r="D10" t="s">
        <v>3286</v>
      </c>
      <c r="E10">
        <v>2864</v>
      </c>
      <c r="F10" s="7">
        <v>219000</v>
      </c>
      <c r="G10" s="7">
        <f>tblTenants[[#This Row],[monthly_rent_inr]]/tblTenants[[#This Row],[store_size_sqft]]</f>
        <v>76.466480446927378</v>
      </c>
    </row>
    <row r="11" spans="1:7">
      <c r="A11" t="s">
        <v>27</v>
      </c>
      <c r="B11" t="s">
        <v>3287</v>
      </c>
      <c r="C11" t="s">
        <v>3277</v>
      </c>
      <c r="D11" t="s">
        <v>3278</v>
      </c>
      <c r="E11">
        <v>2495</v>
      </c>
      <c r="F11" s="7">
        <v>235000</v>
      </c>
      <c r="G11" s="7">
        <f>tblTenants[[#This Row],[monthly_rent_inr]]/tblTenants[[#This Row],[store_size_sqft]]</f>
        <v>94.188376753507015</v>
      </c>
    </row>
    <row r="12" spans="1:7">
      <c r="A12" t="s">
        <v>59</v>
      </c>
      <c r="B12" t="s">
        <v>3288</v>
      </c>
      <c r="C12" t="s">
        <v>3265</v>
      </c>
      <c r="D12" t="s">
        <v>3289</v>
      </c>
      <c r="E12">
        <v>1302</v>
      </c>
      <c r="F12" s="7">
        <v>100000</v>
      </c>
      <c r="G12" s="7">
        <f>tblTenants[[#This Row],[monthly_rent_inr]]/tblTenants[[#This Row],[store_size_sqft]]</f>
        <v>76.804915514592935</v>
      </c>
    </row>
    <row r="13" spans="1:7">
      <c r="A13" t="s">
        <v>55</v>
      </c>
      <c r="B13" t="s">
        <v>3290</v>
      </c>
      <c r="C13" t="s">
        <v>3268</v>
      </c>
      <c r="D13" t="s">
        <v>3269</v>
      </c>
      <c r="E13">
        <v>3779</v>
      </c>
      <c r="F13" s="7">
        <v>89000</v>
      </c>
      <c r="G13" s="7">
        <f>tblTenants[[#This Row],[monthly_rent_inr]]/tblTenants[[#This Row],[store_size_sqft]]</f>
        <v>23.551204022228102</v>
      </c>
    </row>
    <row r="14" spans="1:7">
      <c r="A14" t="s">
        <v>104</v>
      </c>
      <c r="B14" t="s">
        <v>3291</v>
      </c>
      <c r="C14" t="s">
        <v>3271</v>
      </c>
      <c r="D14" t="s">
        <v>3292</v>
      </c>
      <c r="E14">
        <v>3553</v>
      </c>
      <c r="F14" s="7">
        <v>171000</v>
      </c>
      <c r="G14" s="7">
        <f>tblTenants[[#This Row],[monthly_rent_inr]]/tblTenants[[#This Row],[store_size_sqft]]</f>
        <v>48.128342245989302</v>
      </c>
    </row>
    <row r="15" spans="1:7">
      <c r="A15" t="s">
        <v>34</v>
      </c>
      <c r="B15" t="s">
        <v>3293</v>
      </c>
      <c r="C15" t="s">
        <v>3274</v>
      </c>
      <c r="D15" t="s">
        <v>3286</v>
      </c>
      <c r="E15">
        <v>1069</v>
      </c>
      <c r="F15" s="7">
        <v>356000</v>
      </c>
      <c r="G15" s="7">
        <f>tblTenants[[#This Row],[monthly_rent_inr]]/tblTenants[[#This Row],[store_size_sqft]]</f>
        <v>333.02151543498599</v>
      </c>
    </row>
    <row r="16" spans="1:7">
      <c r="A16" t="s">
        <v>122</v>
      </c>
      <c r="B16" t="s">
        <v>3294</v>
      </c>
      <c r="C16" t="s">
        <v>3277</v>
      </c>
      <c r="D16" t="s">
        <v>3278</v>
      </c>
      <c r="E16">
        <v>1779</v>
      </c>
      <c r="F16" s="7">
        <v>91000</v>
      </c>
      <c r="G16" s="7">
        <f>tblTenants[[#This Row],[monthly_rent_inr]]/tblTenants[[#This Row],[store_size_sqft]]</f>
        <v>51.15233277121979</v>
      </c>
    </row>
    <row r="17" spans="1:7">
      <c r="A17" t="s">
        <v>20</v>
      </c>
      <c r="B17" t="s">
        <v>3295</v>
      </c>
      <c r="C17" t="s">
        <v>3265</v>
      </c>
      <c r="D17" t="s">
        <v>3280</v>
      </c>
      <c r="E17">
        <v>2121</v>
      </c>
      <c r="F17" s="7">
        <v>408000</v>
      </c>
      <c r="G17" s="7">
        <f>tblTenants[[#This Row],[monthly_rent_inr]]/tblTenants[[#This Row],[store_size_sqft]]</f>
        <v>192.36209335219237</v>
      </c>
    </row>
    <row r="18" spans="1:7">
      <c r="A18" t="s">
        <v>57</v>
      </c>
      <c r="B18" t="s">
        <v>3296</v>
      </c>
      <c r="C18" t="s">
        <v>3268</v>
      </c>
      <c r="D18" t="s">
        <v>3282</v>
      </c>
      <c r="E18">
        <v>3368</v>
      </c>
      <c r="F18" s="7">
        <v>357000</v>
      </c>
      <c r="G18" s="7">
        <f>tblTenants[[#This Row],[monthly_rent_inr]]/tblTenants[[#This Row],[store_size_sqft]]</f>
        <v>105.99762470308788</v>
      </c>
    </row>
    <row r="19" spans="1:7">
      <c r="A19" t="s">
        <v>29</v>
      </c>
      <c r="B19" t="s">
        <v>3297</v>
      </c>
      <c r="C19" t="s">
        <v>3271</v>
      </c>
      <c r="D19" t="s">
        <v>3272</v>
      </c>
      <c r="E19">
        <v>1814</v>
      </c>
      <c r="F19" s="7">
        <v>244000</v>
      </c>
      <c r="G19" s="7">
        <f>tblTenants[[#This Row],[monthly_rent_inr]]/tblTenants[[#This Row],[store_size_sqft]]</f>
        <v>134.50937155457552</v>
      </c>
    </row>
    <row r="20" spans="1:7">
      <c r="A20" t="s">
        <v>11</v>
      </c>
      <c r="B20" t="s">
        <v>3298</v>
      </c>
      <c r="C20" t="s">
        <v>3274</v>
      </c>
      <c r="D20" t="s">
        <v>3275</v>
      </c>
      <c r="E20">
        <v>614</v>
      </c>
      <c r="F20" s="7">
        <v>275000</v>
      </c>
      <c r="G20" s="7">
        <f>tblTenants[[#This Row],[monthly_rent_inr]]/tblTenants[[#This Row],[store_size_sqft]]</f>
        <v>447.88273615635177</v>
      </c>
    </row>
    <row r="21" spans="1:7">
      <c r="A21" t="s">
        <v>25</v>
      </c>
      <c r="B21" t="s">
        <v>3299</v>
      </c>
      <c r="C21" t="s">
        <v>3277</v>
      </c>
      <c r="D21" t="s">
        <v>3300</v>
      </c>
      <c r="E21">
        <v>3237</v>
      </c>
      <c r="F21" s="7">
        <v>327000</v>
      </c>
      <c r="G21" s="7">
        <f>tblTenants[[#This Row],[monthly_rent_inr]]/tblTenants[[#This Row],[store_size_sqft]]</f>
        <v>101.0194624652456</v>
      </c>
    </row>
    <row r="22" spans="1:7">
      <c r="A22" t="s">
        <v>15</v>
      </c>
      <c r="B22" t="s">
        <v>3301</v>
      </c>
      <c r="C22" t="s">
        <v>3265</v>
      </c>
      <c r="D22" t="s">
        <v>3280</v>
      </c>
      <c r="E22">
        <v>3242</v>
      </c>
      <c r="F22" s="7">
        <v>206000</v>
      </c>
      <c r="G22" s="7">
        <f>tblTenants[[#This Row],[monthly_rent_inr]]/tblTenants[[#This Row],[store_size_sqft]]</f>
        <v>63.5410240592227</v>
      </c>
    </row>
    <row r="23" spans="1:7">
      <c r="A23" t="s">
        <v>80</v>
      </c>
      <c r="B23" t="s">
        <v>3302</v>
      </c>
      <c r="C23" t="s">
        <v>3268</v>
      </c>
      <c r="D23" t="s">
        <v>3282</v>
      </c>
      <c r="E23">
        <v>1990</v>
      </c>
      <c r="F23" s="7">
        <v>190000</v>
      </c>
      <c r="G23" s="7">
        <f>tblTenants[[#This Row],[monthly_rent_inr]]/tblTenants[[#This Row],[store_size_sqft]]</f>
        <v>95.477386934673362</v>
      </c>
    </row>
    <row r="24" spans="1:7">
      <c r="A24" t="s">
        <v>63</v>
      </c>
      <c r="B24" t="s">
        <v>3303</v>
      </c>
      <c r="C24" t="s">
        <v>3271</v>
      </c>
      <c r="D24" t="s">
        <v>3292</v>
      </c>
      <c r="E24">
        <v>1839</v>
      </c>
      <c r="F24" s="7">
        <v>94000</v>
      </c>
      <c r="G24" s="7">
        <f>tblTenants[[#This Row],[monthly_rent_inr]]/tblTenants[[#This Row],[store_size_sqft]]</f>
        <v>51.114736269711798</v>
      </c>
    </row>
    <row r="25" spans="1:7">
      <c r="A25" t="s">
        <v>45</v>
      </c>
      <c r="B25" t="s">
        <v>3304</v>
      </c>
      <c r="C25" t="s">
        <v>3274</v>
      </c>
      <c r="D25" t="s">
        <v>3275</v>
      </c>
      <c r="E25">
        <v>3433</v>
      </c>
      <c r="F25" s="7">
        <v>137000</v>
      </c>
      <c r="G25" s="7">
        <f>tblTenants[[#This Row],[monthly_rent_inr]]/tblTenants[[#This Row],[store_size_sqft]]</f>
        <v>39.906787066705505</v>
      </c>
    </row>
    <row r="26" spans="1:7">
      <c r="A26" t="s">
        <v>18</v>
      </c>
      <c r="B26" t="s">
        <v>3305</v>
      </c>
      <c r="C26" t="s">
        <v>3277</v>
      </c>
      <c r="D26" t="s">
        <v>3300</v>
      </c>
      <c r="E26">
        <v>937</v>
      </c>
      <c r="F26" s="7">
        <v>329000</v>
      </c>
      <c r="G26" s="7">
        <f>tblTenants[[#This Row],[monthly_rent_inr]]/tblTenants[[#This Row],[store_size_sqft]]</f>
        <v>351.12059765208113</v>
      </c>
    </row>
    <row r="27" spans="1:7">
      <c r="A27" t="s">
        <v>87</v>
      </c>
      <c r="B27" t="s">
        <v>3306</v>
      </c>
      <c r="C27" t="s">
        <v>3265</v>
      </c>
      <c r="D27" t="s">
        <v>3289</v>
      </c>
      <c r="E27">
        <v>1688</v>
      </c>
      <c r="F27" s="7">
        <v>152000</v>
      </c>
      <c r="G27" s="7">
        <f>tblTenants[[#This Row],[monthly_rent_inr]]/tblTenants[[#This Row],[store_size_sqft]]</f>
        <v>90.047393364928908</v>
      </c>
    </row>
    <row r="28" spans="1:7">
      <c r="A28" t="s">
        <v>70</v>
      </c>
      <c r="B28" t="s">
        <v>3307</v>
      </c>
      <c r="C28" t="s">
        <v>3268</v>
      </c>
      <c r="D28" t="s">
        <v>3269</v>
      </c>
      <c r="E28">
        <v>2961</v>
      </c>
      <c r="F28" s="7">
        <v>427000</v>
      </c>
      <c r="G28" s="7">
        <f>tblTenants[[#This Row],[monthly_rent_inr]]/tblTenants[[#This Row],[store_size_sqft]]</f>
        <v>144.20803782505911</v>
      </c>
    </row>
    <row r="29" spans="1:7">
      <c r="A29" t="s">
        <v>72</v>
      </c>
      <c r="B29" t="s">
        <v>3308</v>
      </c>
      <c r="C29" t="s">
        <v>3271</v>
      </c>
      <c r="D29" t="s">
        <v>3284</v>
      </c>
      <c r="E29">
        <v>1052</v>
      </c>
      <c r="F29" s="7">
        <v>385000</v>
      </c>
      <c r="G29" s="7">
        <f>tblTenants[[#This Row],[monthly_rent_inr]]/tblTenants[[#This Row],[store_size_sqft]]</f>
        <v>365.96958174904944</v>
      </c>
    </row>
    <row r="30" spans="1:7">
      <c r="A30" t="s">
        <v>85</v>
      </c>
      <c r="B30" t="s">
        <v>3309</v>
      </c>
      <c r="C30" t="s">
        <v>3274</v>
      </c>
      <c r="D30" t="s">
        <v>3286</v>
      </c>
      <c r="E30">
        <v>3075</v>
      </c>
      <c r="F30" s="7">
        <v>102000</v>
      </c>
      <c r="G30" s="7">
        <f>tblTenants[[#This Row],[monthly_rent_inr]]/tblTenants[[#This Row],[store_size_sqft]]</f>
        <v>33.170731707317074</v>
      </c>
    </row>
    <row r="31" spans="1:7">
      <c r="A31" t="s">
        <v>53</v>
      </c>
      <c r="B31" t="s">
        <v>3310</v>
      </c>
      <c r="C31" t="s">
        <v>3277</v>
      </c>
      <c r="D31" t="s">
        <v>3300</v>
      </c>
      <c r="E31">
        <v>3329</v>
      </c>
      <c r="F31" s="7">
        <v>385000</v>
      </c>
      <c r="G31" s="7">
        <f>tblTenants[[#This Row],[monthly_rent_inr]]/tblTenants[[#This Row],[store_size_sqft]]</f>
        <v>115.65034544908382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pane ySplit="1" topLeftCell="A2" activePane="bottomLeft" state="frozen"/>
      <selection pane="bottomLeft" activeCell="K6" sqref="K6"/>
    </sheetView>
  </sheetViews>
  <sheetFormatPr defaultRowHeight="14.4"/>
  <cols>
    <col min="1" max="1" width="13.6640625" customWidth="1"/>
    <col min="2" max="2" width="19" customWidth="1"/>
    <col min="3" max="4" width="12" customWidth="1"/>
    <col min="5" max="5" width="15.88671875" customWidth="1"/>
    <col min="6" max="6" width="12.109375" style="7" customWidth="1"/>
  </cols>
  <sheetData>
    <row r="1" spans="1:6" ht="30" customHeight="1">
      <c r="A1" s="3" t="s">
        <v>3311</v>
      </c>
      <c r="B1" s="3" t="s">
        <v>3312</v>
      </c>
      <c r="C1" s="3" t="s">
        <v>3313</v>
      </c>
      <c r="D1" s="3" t="s">
        <v>3314</v>
      </c>
      <c r="E1" s="3" t="s">
        <v>3315</v>
      </c>
      <c r="F1" s="5" t="s">
        <v>3316</v>
      </c>
    </row>
    <row r="2" spans="1:6">
      <c r="A2" t="s">
        <v>3317</v>
      </c>
      <c r="B2" t="s">
        <v>3318</v>
      </c>
      <c r="C2" t="s">
        <v>3319</v>
      </c>
      <c r="D2" t="s">
        <v>3320</v>
      </c>
      <c r="E2" t="s">
        <v>3321</v>
      </c>
      <c r="F2" s="7">
        <v>180000</v>
      </c>
    </row>
    <row r="3" spans="1:6">
      <c r="A3" t="s">
        <v>3322</v>
      </c>
      <c r="B3" t="s">
        <v>3323</v>
      </c>
      <c r="C3" t="s">
        <v>3324</v>
      </c>
      <c r="D3" t="s">
        <v>3325</v>
      </c>
      <c r="E3" t="s">
        <v>3326</v>
      </c>
      <c r="F3" s="7">
        <v>95000</v>
      </c>
    </row>
    <row r="4" spans="1:6">
      <c r="A4" t="s">
        <v>3327</v>
      </c>
      <c r="B4" t="s">
        <v>3328</v>
      </c>
      <c r="C4" t="s">
        <v>3329</v>
      </c>
      <c r="D4" t="s">
        <v>3330</v>
      </c>
      <c r="E4" t="s">
        <v>3321</v>
      </c>
      <c r="F4" s="7">
        <v>220000</v>
      </c>
    </row>
    <row r="5" spans="1:6">
      <c r="A5" t="s">
        <v>3331</v>
      </c>
      <c r="B5" t="s">
        <v>3332</v>
      </c>
      <c r="C5" t="s">
        <v>3333</v>
      </c>
      <c r="D5" t="s">
        <v>3334</v>
      </c>
      <c r="E5" t="s">
        <v>3335</v>
      </c>
      <c r="F5" s="7">
        <v>145000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1986-BD12-466C-BA12-08BF4FD42B44}">
  <dimension ref="A1:G9"/>
  <sheetViews>
    <sheetView workbookViewId="0">
      <selection activeCell="C3" sqref="C3"/>
    </sheetView>
  </sheetViews>
  <sheetFormatPr defaultRowHeight="14.4"/>
  <cols>
    <col min="1" max="1" width="26.109375" customWidth="1"/>
    <col min="2" max="2" width="12.88671875" customWidth="1"/>
    <col min="3" max="3" width="23.88671875" customWidth="1"/>
    <col min="4" max="4" width="27.5546875" customWidth="1"/>
    <col min="5" max="5" width="21.21875" customWidth="1"/>
    <col min="6" max="6" width="20.88671875" customWidth="1"/>
    <col min="7" max="7" width="19.5546875" customWidth="1"/>
  </cols>
  <sheetData>
    <row r="1" spans="1:7">
      <c r="A1" s="20" t="s">
        <v>3371</v>
      </c>
      <c r="B1" s="20" t="s">
        <v>3372</v>
      </c>
      <c r="C1" s="19"/>
      <c r="D1" s="19"/>
      <c r="E1" s="19"/>
      <c r="F1" s="19"/>
      <c r="G1" s="19"/>
    </row>
    <row r="2" spans="1:7">
      <c r="A2" s="21" t="s">
        <v>3373</v>
      </c>
      <c r="B2" s="22">
        <f>AVERAGE(tblTransactions[net_sales_inr])</f>
        <v>1146.6620468750007</v>
      </c>
    </row>
    <row r="3" spans="1:7">
      <c r="A3" s="21" t="s">
        <v>3374</v>
      </c>
      <c r="B3" s="23">
        <f>MEDIAN(tblTransactions[net_sales_inr])</f>
        <v>910.51</v>
      </c>
    </row>
    <row r="4" spans="1:7">
      <c r="A4" s="21" t="s">
        <v>3375</v>
      </c>
      <c r="B4" s="22">
        <f>_xlfn.STDEV.S(tblTransactions[net_sales_inr])</f>
        <v>878.82975081443612</v>
      </c>
    </row>
    <row r="5" spans="1:7">
      <c r="A5" s="21" t="s">
        <v>3376</v>
      </c>
      <c r="B5" s="23">
        <f>_xlfn.QUARTILE.INC(tblTransactions[net_sales_inr],1)</f>
        <v>576.79</v>
      </c>
    </row>
    <row r="6" spans="1:7">
      <c r="A6" s="21" t="s">
        <v>3377</v>
      </c>
      <c r="B6" s="23">
        <f>_xlfn.QUARTILE.INC(tblTransactions[net_sales_inr],3)</f>
        <v>1435.79</v>
      </c>
    </row>
    <row r="7" spans="1:7">
      <c r="A7" s="21" t="s">
        <v>3378</v>
      </c>
      <c r="B7" s="24">
        <f>B6-B5</f>
        <v>859</v>
      </c>
    </row>
    <row r="8" spans="1:7">
      <c r="A8" s="21" t="s">
        <v>3379</v>
      </c>
      <c r="B8" s="24">
        <f>B5-1.5*B7</f>
        <v>-711.71</v>
      </c>
    </row>
    <row r="9" spans="1:7">
      <c r="A9" s="21" t="s">
        <v>3380</v>
      </c>
      <c r="B9" s="24">
        <f>B6+1.5*B7</f>
        <v>2724.29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" customWidth="1"/>
    <col min="2" max="3" width="26" customWidth="1"/>
  </cols>
  <sheetData>
    <row r="1" spans="1:3" ht="30" customHeight="1">
      <c r="A1" s="1" t="s">
        <v>3336</v>
      </c>
      <c r="B1" s="1" t="s">
        <v>3337</v>
      </c>
      <c r="C1" s="1" t="s">
        <v>3338</v>
      </c>
    </row>
    <row r="2" spans="1:3">
      <c r="A2" t="s">
        <v>3339</v>
      </c>
      <c r="B2" t="s">
        <v>3340</v>
      </c>
      <c r="C2" t="s">
        <v>3341</v>
      </c>
    </row>
    <row r="3" spans="1:3">
      <c r="A3" t="s">
        <v>3342</v>
      </c>
      <c r="B3" t="s">
        <v>3343</v>
      </c>
      <c r="C3" t="s">
        <v>3344</v>
      </c>
    </row>
    <row r="4" spans="1:3">
      <c r="A4" t="s">
        <v>3345</v>
      </c>
      <c r="B4" t="s">
        <v>3346</v>
      </c>
      <c r="C4" t="s">
        <v>3347</v>
      </c>
    </row>
    <row r="5" spans="1:3">
      <c r="A5" t="s">
        <v>3348</v>
      </c>
      <c r="B5" t="s">
        <v>3349</v>
      </c>
      <c r="C5" t="s">
        <v>3350</v>
      </c>
    </row>
  </sheetData>
  <autoFilter ref="A1:C5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Monthly Sales</vt:lpstr>
      <vt:lpstr>Zone performance</vt:lpstr>
      <vt:lpstr>Category performance</vt:lpstr>
      <vt:lpstr>Payment mix</vt:lpstr>
      <vt:lpstr>Discount analysis</vt:lpstr>
      <vt:lpstr>Day type total sales</vt:lpstr>
      <vt:lpstr>transactions</vt:lpstr>
      <vt:lpstr>Entrance Footfall</vt:lpstr>
      <vt:lpstr>footfall</vt:lpstr>
      <vt:lpstr>tenants</vt:lpstr>
      <vt:lpstr>campaigns</vt:lpstr>
      <vt:lpstr>statistics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kulkarni</cp:lastModifiedBy>
  <dcterms:created xsi:type="dcterms:W3CDTF">2026-10-11T13:00:22Z</dcterms:created>
  <dcterms:modified xsi:type="dcterms:W3CDTF">2026-10-11T17:31:30Z</dcterms:modified>
</cp:coreProperties>
</file>